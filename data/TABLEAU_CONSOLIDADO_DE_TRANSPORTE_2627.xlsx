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210" documentId="11_2D1726D3272D2A77ED2A43934847BAB828642002" xr6:coauthVersionLast="47" xr6:coauthVersionMax="47" xr10:uidLastSave="{1391C3B7-6BA0-4327-B0F1-8485DD64DC8F}"/>
  <bookViews>
    <workbookView xWindow="-110" yWindow="-110" windowWidth="19420" windowHeight="11500" activeTab="1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MARÍTIMOS!$A$1:$BQ$274</definedName>
    <definedName name="PRECONSOLIDADO">OLDBD[#All]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BB1100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Y1100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L1100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K1100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H1100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G1100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F1100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BE1090" i="2" l="1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4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5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76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1" i="2"/>
  <c r="AZ1095" i="2"/>
  <c r="AZ1083" i="2"/>
  <c r="AZ1071" i="2"/>
  <c r="AZ1059" i="2"/>
  <c r="AZ1047" i="2"/>
  <c r="AZ103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0" i="2"/>
  <c r="AQ1100" i="2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76" i="2"/>
  <c r="AZ1094" i="2"/>
  <c r="AZ1082" i="2"/>
  <c r="AZ1070" i="2"/>
  <c r="AZ1058" i="2"/>
  <c r="AZ1046" i="2"/>
  <c r="AZ1034" i="2"/>
  <c r="AZ102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2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1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BD962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4" i="2"/>
  <c r="BE1089" i="2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3" i="2"/>
  <c r="BE1100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2" i="2"/>
  <c r="BD1080" i="2"/>
  <c r="BD1068" i="2"/>
  <c r="BD1056" i="2"/>
  <c r="BD1044" i="2"/>
  <c r="BD1032" i="2"/>
  <c r="BD1091" i="2"/>
  <c r="BD1079" i="2"/>
  <c r="BD1067" i="2"/>
  <c r="BD1055" i="2"/>
  <c r="BD1043" i="2"/>
  <c r="BD103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9" i="2"/>
  <c r="AZ1087" i="2"/>
  <c r="AZ1075" i="2"/>
  <c r="AZ1063" i="2"/>
  <c r="AZ1051" i="2"/>
  <c r="AZ1039" i="2"/>
  <c r="AZ1027" i="2"/>
  <c r="AZ1098" i="2"/>
  <c r="AZ1086" i="2"/>
  <c r="AZ1074" i="2"/>
  <c r="AZ1062" i="2"/>
  <c r="AZ1050" i="2"/>
  <c r="AZ1038" i="2"/>
  <c r="AZ1026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1" i="2"/>
  <c r="BD989" i="2"/>
  <c r="BD881" i="2"/>
  <c r="BD797" i="2"/>
  <c r="BD701" i="2"/>
  <c r="BD617" i="2"/>
  <c r="BD545" i="2"/>
  <c r="BD437" i="2"/>
  <c r="BD341" i="2"/>
  <c r="BD257" i="2"/>
  <c r="BD137" i="2"/>
  <c r="BD17" i="2"/>
  <c r="BD1097" i="2"/>
  <c r="BD1013" i="2"/>
  <c r="BD953" i="2"/>
  <c r="BD857" i="2"/>
  <c r="BD785" i="2"/>
  <c r="BD713" i="2"/>
  <c r="BD629" i="2"/>
  <c r="BD557" i="2"/>
  <c r="BD473" i="2"/>
  <c r="BD401" i="2"/>
  <c r="BD317" i="2"/>
  <c r="BD233" i="2"/>
  <c r="BD149" i="2"/>
  <c r="BD65" i="2"/>
  <c r="BD1096" i="2"/>
  <c r="BD1084" i="2"/>
  <c r="BD1072" i="2"/>
  <c r="BD1060" i="2"/>
  <c r="BD1048" i="2"/>
  <c r="BD1036" i="2"/>
  <c r="BD1024" i="2"/>
  <c r="BD1085" i="2"/>
  <c r="BD1001" i="2"/>
  <c r="BD917" i="2"/>
  <c r="BD833" i="2"/>
  <c r="BD749" i="2"/>
  <c r="BD665" i="2"/>
  <c r="BD581" i="2"/>
  <c r="BD497" i="2"/>
  <c r="BD377" i="2"/>
  <c r="BD269" i="2"/>
  <c r="BD185" i="2"/>
  <c r="BD89" i="2"/>
  <c r="BD1095" i="2"/>
  <c r="BD1023" i="2"/>
  <c r="BD975" i="2"/>
  <c r="BD915" i="2"/>
  <c r="BD867" i="2"/>
  <c r="BD819" i="2"/>
  <c r="BD759" i="2"/>
  <c r="BD699" i="2"/>
  <c r="BD651" i="2"/>
  <c r="BD579" i="2"/>
  <c r="BD519" i="2"/>
  <c r="BD459" i="2"/>
  <c r="BD399" i="2"/>
  <c r="BD339" i="2"/>
  <c r="BD279" i="2"/>
  <c r="BD219" i="2"/>
  <c r="BD159" i="2"/>
  <c r="BD7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10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2" i="2"/>
  <c r="BD1049" i="2"/>
  <c r="BD941" i="2"/>
  <c r="BD869" i="2"/>
  <c r="BD773" i="2"/>
  <c r="BD689" i="2"/>
  <c r="BD605" i="2"/>
  <c r="BD509" i="2"/>
  <c r="BD425" i="2"/>
  <c r="BD353" i="2"/>
  <c r="BD281" i="2"/>
  <c r="BD197" i="2"/>
  <c r="BD125" i="2"/>
  <c r="BD41" i="2"/>
  <c r="BD1047" i="2"/>
  <c r="BD987" i="2"/>
  <c r="BD927" i="2"/>
  <c r="BD855" i="2"/>
  <c r="BD783" i="2"/>
  <c r="BD723" i="2"/>
  <c r="BD663" i="2"/>
  <c r="BD603" i="2"/>
  <c r="BD543" i="2"/>
  <c r="BD483" i="2"/>
  <c r="BD387" i="2"/>
  <c r="BD303" i="2"/>
  <c r="BD243" i="2"/>
  <c r="BD183" i="2"/>
  <c r="BD123" i="2"/>
  <c r="BD39" i="2"/>
  <c r="BE1062" i="2"/>
  <c r="BE990" i="2"/>
  <c r="BE930" i="2"/>
  <c r="BE870" i="2"/>
  <c r="BE810" i="2"/>
  <c r="BE762" i="2"/>
  <c r="BE702" i="2"/>
  <c r="BE654" i="2"/>
  <c r="BE594" i="2"/>
  <c r="BE546" i="2"/>
  <c r="BE486" i="2"/>
  <c r="BE426" i="2"/>
  <c r="BE366" i="2"/>
  <c r="BE306" i="2"/>
  <c r="BE234" i="2"/>
  <c r="BE162" i="2"/>
  <c r="BE90" i="2"/>
  <c r="BE6" i="2"/>
  <c r="BD1037" i="2"/>
  <c r="BD929" i="2"/>
  <c r="BD821" i="2"/>
  <c r="BD737" i="2"/>
  <c r="BD653" i="2"/>
  <c r="BD569" i="2"/>
  <c r="BD485" i="2"/>
  <c r="BD413" i="2"/>
  <c r="BD329" i="2"/>
  <c r="BD245" i="2"/>
  <c r="BD173" i="2"/>
  <c r="BD101" i="2"/>
  <c r="BD5" i="2"/>
  <c r="BD1083" i="2"/>
  <c r="BD1035" i="2"/>
  <c r="BD999" i="2"/>
  <c r="BD939" i="2"/>
  <c r="BD879" i="2"/>
  <c r="BD807" i="2"/>
  <c r="BD735" i="2"/>
  <c r="BD687" i="2"/>
  <c r="BD615" i="2"/>
  <c r="BD567" i="2"/>
  <c r="BD507" i="2"/>
  <c r="BD435" i="2"/>
  <c r="BD375" i="2"/>
  <c r="BD315" i="2"/>
  <c r="BD255" i="2"/>
  <c r="BD195" i="2"/>
  <c r="BD147" i="2"/>
  <c r="BD99" i="2"/>
  <c r="BD27" i="2"/>
  <c r="BE1074" i="2"/>
  <c r="BE1014" i="2"/>
  <c r="BE954" i="2"/>
  <c r="BE894" i="2"/>
  <c r="BE834" i="2"/>
  <c r="BE774" i="2"/>
  <c r="BE726" i="2"/>
  <c r="BE666" i="2"/>
  <c r="BE618" i="2"/>
  <c r="BE570" i="2"/>
  <c r="BE510" i="2"/>
  <c r="BE450" i="2"/>
  <c r="BE402" i="2"/>
  <c r="BE342" i="2"/>
  <c r="BE282" i="2"/>
  <c r="BE198" i="2"/>
  <c r="BE126" i="2"/>
  <c r="BE30" i="2"/>
  <c r="BD1073" i="2"/>
  <c r="BD977" i="2"/>
  <c r="BD905" i="2"/>
  <c r="BD845" i="2"/>
  <c r="BD761" i="2"/>
  <c r="BD677" i="2"/>
  <c r="BD593" i="2"/>
  <c r="BD521" i="2"/>
  <c r="BD461" i="2"/>
  <c r="BD389" i="2"/>
  <c r="BD305" i="2"/>
  <c r="BD221" i="2"/>
  <c r="BD161" i="2"/>
  <c r="BD77" i="2"/>
  <c r="BD29" i="2"/>
  <c r="BD1059" i="2"/>
  <c r="BD951" i="2"/>
  <c r="BD891" i="2"/>
  <c r="BD831" i="2"/>
  <c r="BD771" i="2"/>
  <c r="BD711" i="2"/>
  <c r="BD639" i="2"/>
  <c r="BD555" i="2"/>
  <c r="BD495" i="2"/>
  <c r="BD447" i="2"/>
  <c r="BD411" i="2"/>
  <c r="BD351" i="2"/>
  <c r="BD291" i="2"/>
  <c r="BD231" i="2"/>
  <c r="BD171" i="2"/>
  <c r="BD111" i="2"/>
  <c r="BD63" i="2"/>
  <c r="BD51" i="2"/>
  <c r="BD15" i="2"/>
  <c r="BE1098" i="2"/>
  <c r="BE1050" i="2"/>
  <c r="BE1038" i="2"/>
  <c r="BE1002" i="2"/>
  <c r="BE978" i="2"/>
  <c r="BE942" i="2"/>
  <c r="BE918" i="2"/>
  <c r="BE882" i="2"/>
  <c r="BE858" i="2"/>
  <c r="BE822" i="2"/>
  <c r="BE786" i="2"/>
  <c r="BE750" i="2"/>
  <c r="BE714" i="2"/>
  <c r="BE690" i="2"/>
  <c r="BE642" i="2"/>
  <c r="BE606" i="2"/>
  <c r="BE582" i="2"/>
  <c r="BE534" i="2"/>
  <c r="BE522" i="2"/>
  <c r="BE474" i="2"/>
  <c r="BE462" i="2"/>
  <c r="BE414" i="2"/>
  <c r="BE378" i="2"/>
  <c r="BE354" i="2"/>
  <c r="BE318" i="2"/>
  <c r="BE294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5" i="2"/>
  <c r="BD965" i="2"/>
  <c r="BD893" i="2"/>
  <c r="BD809" i="2"/>
  <c r="BD725" i="2"/>
  <c r="BD641" i="2"/>
  <c r="BD533" i="2"/>
  <c r="BD449" i="2"/>
  <c r="BD365" i="2"/>
  <c r="BD293" i="2"/>
  <c r="BD209" i="2"/>
  <c r="BD113" i="2"/>
  <c r="BD53" i="2"/>
  <c r="BD1071" i="2"/>
  <c r="BD1011" i="2"/>
  <c r="BD963" i="2"/>
  <c r="BD903" i="2"/>
  <c r="BD843" i="2"/>
  <c r="BD795" i="2"/>
  <c r="BD747" i="2"/>
  <c r="BD675" i="2"/>
  <c r="BD627" i="2"/>
  <c r="BD591" i="2"/>
  <c r="BD531" i="2"/>
  <c r="BD471" i="2"/>
  <c r="BD423" i="2"/>
  <c r="BD363" i="2"/>
  <c r="BD327" i="2"/>
  <c r="BD267" i="2"/>
  <c r="BD207" i="2"/>
  <c r="BD135" i="2"/>
  <c r="BD87" i="2"/>
  <c r="BD3" i="2"/>
  <c r="BE1086" i="2"/>
  <c r="BE1026" i="2"/>
  <c r="BE966" i="2"/>
  <c r="BE906" i="2"/>
  <c r="BE846" i="2"/>
  <c r="BE798" i="2"/>
  <c r="BE738" i="2"/>
  <c r="BE678" i="2"/>
  <c r="BE630" i="2"/>
  <c r="BE558" i="2"/>
  <c r="BE498" i="2"/>
  <c r="BE438" i="2"/>
  <c r="BE390" i="2"/>
  <c r="BE330" i="2"/>
  <c r="BE258" i="2"/>
  <c r="BE186" i="2"/>
  <c r="BE114" i="2"/>
  <c r="BE42" i="2"/>
  <c r="AZ1023" i="2"/>
  <c r="BD1012" i="2"/>
  <c r="BD1000" i="2"/>
  <c r="BD988" i="2"/>
  <c r="BD976" i="2"/>
  <c r="BD964" i="2"/>
  <c r="BD952" i="2"/>
  <c r="BD940" i="2"/>
  <c r="BD928" i="2"/>
  <c r="BD916" i="2"/>
  <c r="BD904" i="2"/>
  <c r="BD892" i="2"/>
  <c r="BD880" i="2"/>
  <c r="BD868" i="2"/>
  <c r="BD856" i="2"/>
  <c r="BD844" i="2"/>
  <c r="BD832" i="2"/>
  <c r="BD820" i="2"/>
  <c r="BD808" i="2"/>
  <c r="BD796" i="2"/>
  <c r="BD784" i="2"/>
  <c r="BD772" i="2"/>
  <c r="BD760" i="2"/>
  <c r="BD748" i="2"/>
  <c r="BD736" i="2"/>
  <c r="BD724" i="2"/>
  <c r="BD712" i="2"/>
  <c r="BD700" i="2"/>
  <c r="BD688" i="2"/>
  <c r="BD676" i="2"/>
  <c r="BD664" i="2"/>
  <c r="BD652" i="2"/>
  <c r="BD640" i="2"/>
  <c r="BD628" i="2"/>
  <c r="BD616" i="2"/>
  <c r="BD604" i="2"/>
  <c r="BD592" i="2"/>
  <c r="BD580" i="2"/>
  <c r="BD568" i="2"/>
  <c r="BD556" i="2"/>
  <c r="BD544" i="2"/>
  <c r="BD532" i="2"/>
  <c r="BD520" i="2"/>
  <c r="BD508" i="2"/>
  <c r="BD496" i="2"/>
  <c r="BD484" i="2"/>
  <c r="BD472" i="2"/>
  <c r="BD460" i="2"/>
  <c r="BD448" i="2"/>
  <c r="BD436" i="2"/>
  <c r="BD424" i="2"/>
  <c r="BD412" i="2"/>
  <c r="BD400" i="2"/>
  <c r="BD388" i="2"/>
  <c r="BD376" i="2"/>
  <c r="BD364" i="2"/>
  <c r="BD352" i="2"/>
  <c r="BD340" i="2"/>
  <c r="BD328" i="2"/>
  <c r="BD316" i="2"/>
  <c r="BD304" i="2"/>
  <c r="BD292" i="2"/>
  <c r="BD280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4" i="2"/>
  <c r="BD1082" i="2"/>
  <c r="BD1070" i="2"/>
  <c r="BD1058" i="2"/>
  <c r="BD1046" i="2"/>
  <c r="BD1034" i="2"/>
  <c r="BD1022" i="2"/>
  <c r="BD1010" i="2"/>
  <c r="BD998" i="2"/>
  <c r="BD986" i="2"/>
  <c r="BD974" i="2"/>
  <c r="BD950" i="2"/>
  <c r="BE1073" i="2"/>
  <c r="BE1037" i="2"/>
  <c r="BE1025" i="2"/>
  <c r="BE989" i="2"/>
  <c r="BE977" i="2"/>
  <c r="BE941" i="2"/>
  <c r="BE917" i="2"/>
  <c r="BE893" i="2"/>
  <c r="BE857" i="2"/>
  <c r="BE833" i="2"/>
  <c r="BE809" i="2"/>
  <c r="BE773" i="2"/>
  <c r="BE761" i="2"/>
  <c r="BE725" i="2"/>
  <c r="BE701" i="2"/>
  <c r="BE677" i="2"/>
  <c r="BE653" i="2"/>
  <c r="BE617" i="2"/>
  <c r="BE593" i="2"/>
  <c r="BE569" i="2"/>
  <c r="BE545" i="2"/>
  <c r="BE521" i="2"/>
  <c r="BE497" i="2"/>
  <c r="BE473" i="2"/>
  <c r="BE461" i="2"/>
  <c r="BE425" i="2"/>
  <c r="BE413" i="2"/>
  <c r="BE377" i="2"/>
  <c r="BE365" i="2"/>
  <c r="BE341" i="2"/>
  <c r="BE317" i="2"/>
  <c r="BE293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7" i="2"/>
  <c r="BE1049" i="2"/>
  <c r="BE1001" i="2"/>
  <c r="BE953" i="2"/>
  <c r="BE905" i="2"/>
  <c r="BE869" i="2"/>
  <c r="BE821" i="2"/>
  <c r="BE785" i="2"/>
  <c r="BE737" i="2"/>
  <c r="BE689" i="2"/>
  <c r="BE641" i="2"/>
  <c r="BE605" i="2"/>
  <c r="BE557" i="2"/>
  <c r="BE509" i="2"/>
  <c r="BE437" i="2"/>
  <c r="BE389" i="2"/>
  <c r="BE329" i="2"/>
  <c r="BE281" i="2"/>
  <c r="BE233" i="2"/>
  <c r="BE185" i="2"/>
  <c r="BE137" i="2"/>
  <c r="BE89" i="2"/>
  <c r="BE29" i="2"/>
  <c r="BE1085" i="2"/>
  <c r="BE1061" i="2"/>
  <c r="BE1013" i="2"/>
  <c r="BE965" i="2"/>
  <c r="BE929" i="2"/>
  <c r="BE881" i="2"/>
  <c r="BE845" i="2"/>
  <c r="BE797" i="2"/>
  <c r="BE749" i="2"/>
  <c r="BE713" i="2"/>
  <c r="BE665" i="2"/>
  <c r="BE629" i="2"/>
  <c r="BE581" i="2"/>
  <c r="BE533" i="2"/>
  <c r="BE485" i="2"/>
  <c r="BE449" i="2"/>
  <c r="BE401" i="2"/>
  <c r="BE353" i="2"/>
  <c r="BE305" i="2"/>
  <c r="BE257" i="2"/>
  <c r="BE209" i="2"/>
  <c r="BE161" i="2"/>
  <c r="BE101" i="2"/>
  <c r="BE53" i="2"/>
  <c r="BE5" i="2"/>
  <c r="BD938" i="2"/>
  <c r="BD926" i="2"/>
  <c r="BD914" i="2"/>
  <c r="BD902" i="2"/>
  <c r="BD890" i="2"/>
  <c r="BD878" i="2"/>
  <c r="BD866" i="2"/>
  <c r="BD854" i="2"/>
  <c r="BD842" i="2"/>
  <c r="BD830" i="2"/>
  <c r="BD818" i="2"/>
  <c r="BD806" i="2"/>
  <c r="BD794" i="2"/>
  <c r="BD782" i="2"/>
  <c r="BD770" i="2"/>
  <c r="BD758" i="2"/>
  <c r="BD746" i="2"/>
  <c r="BD734" i="2"/>
  <c r="BD722" i="2"/>
  <c r="BD710" i="2"/>
  <c r="BD698" i="2"/>
  <c r="BD686" i="2"/>
  <c r="BD674" i="2"/>
  <c r="BD662" i="2"/>
  <c r="BD650" i="2"/>
  <c r="BD638" i="2"/>
  <c r="BD626" i="2"/>
  <c r="BD614" i="2"/>
  <c r="BD602" i="2"/>
  <c r="BD590" i="2"/>
  <c r="BD578" i="2"/>
  <c r="BD566" i="2"/>
  <c r="BD554" i="2"/>
  <c r="BD542" i="2"/>
  <c r="BD530" i="2"/>
  <c r="BD518" i="2"/>
  <c r="BD506" i="2"/>
  <c r="BD494" i="2"/>
  <c r="BD482" i="2"/>
  <c r="BD470" i="2"/>
  <c r="BD458" i="2"/>
  <c r="BD446" i="2"/>
  <c r="BD434" i="2"/>
  <c r="BD422" i="2"/>
  <c r="BD410" i="2"/>
  <c r="BD398" i="2"/>
  <c r="BD386" i="2"/>
  <c r="BD374" i="2"/>
  <c r="BD362" i="2"/>
  <c r="BD350" i="2"/>
  <c r="BD338" i="2"/>
  <c r="BD326" i="2"/>
  <c r="BD314" i="2"/>
  <c r="BD302" i="2"/>
  <c r="BD290" i="2"/>
  <c r="BD278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90" i="2"/>
  <c r="BD1066" i="2"/>
  <c r="BD1042" i="2"/>
  <c r="BD1006" i="2"/>
  <c r="BD970" i="2"/>
  <c r="BD946" i="2"/>
  <c r="BD910" i="2"/>
  <c r="BD886" i="2"/>
  <c r="BD862" i="2"/>
  <c r="BD826" i="2"/>
  <c r="BD802" i="2"/>
  <c r="BD766" i="2"/>
  <c r="BD742" i="2"/>
  <c r="BD718" i="2"/>
  <c r="BD694" i="2"/>
  <c r="BD670" i="2"/>
  <c r="BD634" i="2"/>
  <c r="BD610" i="2"/>
  <c r="BD586" i="2"/>
  <c r="BD550" i="2"/>
  <c r="BD526" i="2"/>
  <c r="BD502" i="2"/>
  <c r="BD466" i="2"/>
  <c r="BD430" i="2"/>
  <c r="BD406" i="2"/>
  <c r="BD370" i="2"/>
  <c r="BD346" i="2"/>
  <c r="BD310" i="2"/>
  <c r="BD286" i="2"/>
  <c r="BD262" i="2"/>
  <c r="BD226" i="2"/>
  <c r="BD202" i="2"/>
  <c r="BD178" i="2"/>
  <c r="BD154" i="2"/>
  <c r="BD130" i="2"/>
  <c r="BD94" i="2"/>
  <c r="BD58" i="2"/>
  <c r="BD22" i="2"/>
  <c r="BE1084" i="2"/>
  <c r="BE1048" i="2"/>
  <c r="BE1012" i="2"/>
  <c r="BE988" i="2"/>
  <c r="BE952" i="2"/>
  <c r="BE916" i="2"/>
  <c r="BE880" i="2"/>
  <c r="BE844" i="2"/>
  <c r="BE820" i="2"/>
  <c r="BE784" i="2"/>
  <c r="BE748" i="2"/>
  <c r="BE724" i="2"/>
  <c r="BE688" i="2"/>
  <c r="BE652" i="2"/>
  <c r="BE616" i="2"/>
  <c r="BE592" i="2"/>
  <c r="BE568" i="2"/>
  <c r="BE532" i="2"/>
  <c r="BE496" i="2"/>
  <c r="BE460" i="2"/>
  <c r="BE424" i="2"/>
  <c r="BE388" i="2"/>
  <c r="BE352" i="2"/>
  <c r="BE316" i="2"/>
  <c r="BE280" i="2"/>
  <c r="BE256" i="2"/>
  <c r="BE220" i="2"/>
  <c r="BE184" i="2"/>
  <c r="BE148" i="2"/>
  <c r="BE124" i="2"/>
  <c r="BE88" i="2"/>
  <c r="BE52" i="2"/>
  <c r="BE16" i="2"/>
  <c r="BD1078" i="2"/>
  <c r="BD1054" i="2"/>
  <c r="BD1030" i="2"/>
  <c r="BD1018" i="2"/>
  <c r="BD994" i="2"/>
  <c r="BD982" i="2"/>
  <c r="BD958" i="2"/>
  <c r="BD934" i="2"/>
  <c r="BD922" i="2"/>
  <c r="BD898" i="2"/>
  <c r="BD874" i="2"/>
  <c r="BD850" i="2"/>
  <c r="BD838" i="2"/>
  <c r="BD814" i="2"/>
  <c r="BD790" i="2"/>
  <c r="BD778" i="2"/>
  <c r="BD754" i="2"/>
  <c r="BD730" i="2"/>
  <c r="BD706" i="2"/>
  <c r="BD682" i="2"/>
  <c r="BD658" i="2"/>
  <c r="BD646" i="2"/>
  <c r="BD622" i="2"/>
  <c r="BD598" i="2"/>
  <c r="BD574" i="2"/>
  <c r="BD562" i="2"/>
  <c r="BD538" i="2"/>
  <c r="BD514" i="2"/>
  <c r="BD490" i="2"/>
  <c r="BD478" i="2"/>
  <c r="BD454" i="2"/>
  <c r="BD442" i="2"/>
  <c r="BD418" i="2"/>
  <c r="BD394" i="2"/>
  <c r="BD382" i="2"/>
  <c r="BD358" i="2"/>
  <c r="BD334" i="2"/>
  <c r="BD322" i="2"/>
  <c r="BD298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6" i="2"/>
  <c r="BE1072" i="2"/>
  <c r="BE1060" i="2"/>
  <c r="BE1036" i="2"/>
  <c r="BE1024" i="2"/>
  <c r="BE1000" i="2"/>
  <c r="BE976" i="2"/>
  <c r="BE964" i="2"/>
  <c r="BE940" i="2"/>
  <c r="BE928" i="2"/>
  <c r="BE904" i="2"/>
  <c r="BE892" i="2"/>
  <c r="BE868" i="2"/>
  <c r="BE856" i="2"/>
  <c r="BE832" i="2"/>
  <c r="BE808" i="2"/>
  <c r="BE796" i="2"/>
  <c r="BE772" i="2"/>
  <c r="BE760" i="2"/>
  <c r="BE736" i="2"/>
  <c r="BE712" i="2"/>
  <c r="BE700" i="2"/>
  <c r="BE676" i="2"/>
  <c r="BE664" i="2"/>
  <c r="BE640" i="2"/>
  <c r="BE628" i="2"/>
  <c r="BE604" i="2"/>
  <c r="BE580" i="2"/>
  <c r="BE556" i="2"/>
  <c r="BE544" i="2"/>
  <c r="BE520" i="2"/>
  <c r="BE508" i="2"/>
  <c r="BE484" i="2"/>
  <c r="BE472" i="2"/>
  <c r="BE448" i="2"/>
  <c r="BE436" i="2"/>
  <c r="BE412" i="2"/>
  <c r="BE400" i="2"/>
  <c r="BE376" i="2"/>
  <c r="BE364" i="2"/>
  <c r="BE340" i="2"/>
  <c r="BE328" i="2"/>
  <c r="BE304" i="2"/>
  <c r="BE292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9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9" i="2"/>
  <c r="BD1077" i="2"/>
  <c r="BD1065" i="2"/>
  <c r="BD1053" i="2"/>
  <c r="BD1041" i="2"/>
  <c r="BD1029" i="2"/>
  <c r="BD1017" i="2"/>
  <c r="BD1005" i="2"/>
  <c r="BD993" i="2"/>
  <c r="BD981" i="2"/>
  <c r="BD969" i="2"/>
  <c r="BD957" i="2"/>
  <c r="BD945" i="2"/>
  <c r="BD933" i="2"/>
  <c r="BD921" i="2"/>
  <c r="BD909" i="2"/>
  <c r="BD897" i="2"/>
  <c r="BD885" i="2"/>
  <c r="BD873" i="2"/>
  <c r="BD861" i="2"/>
  <c r="BD849" i="2"/>
  <c r="BD837" i="2"/>
  <c r="BD825" i="2"/>
  <c r="BD813" i="2"/>
  <c r="BD801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61" i="2"/>
  <c r="BD949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9" i="2"/>
  <c r="AZ1077" i="2"/>
  <c r="AZ1065" i="2"/>
  <c r="AZ1053" i="2"/>
  <c r="AZ1041" i="2"/>
  <c r="AZ1029" i="2"/>
  <c r="BD777" i="2"/>
  <c r="BD765" i="2"/>
  <c r="BD753" i="2"/>
  <c r="BD741" i="2"/>
  <c r="BD729" i="2"/>
  <c r="BD717" i="2"/>
  <c r="BD705" i="2"/>
  <c r="BD693" i="2"/>
  <c r="BD681" i="2"/>
  <c r="BD669" i="2"/>
  <c r="BD657" i="2"/>
  <c r="BD645" i="2"/>
  <c r="BD633" i="2"/>
  <c r="BD621" i="2"/>
  <c r="BD609" i="2"/>
  <c r="BD597" i="2"/>
  <c r="BD585" i="2"/>
  <c r="BD573" i="2"/>
  <c r="BD561" i="2"/>
  <c r="BD549" i="2"/>
  <c r="BD537" i="2"/>
  <c r="BD525" i="2"/>
  <c r="BD513" i="2"/>
  <c r="BD501" i="2"/>
  <c r="BD489" i="2"/>
  <c r="BD477" i="2"/>
  <c r="BD465" i="2"/>
  <c r="BD453" i="2"/>
  <c r="BD441" i="2"/>
  <c r="BD429" i="2"/>
  <c r="BD417" i="2"/>
  <c r="BD405" i="2"/>
  <c r="BD393" i="2"/>
  <c r="BD381" i="2"/>
  <c r="BD369" i="2"/>
  <c r="BD357" i="2"/>
  <c r="BD345" i="2"/>
  <c r="BD333" i="2"/>
  <c r="BD321" i="2"/>
  <c r="BD309" i="2"/>
  <c r="BD297" i="2"/>
  <c r="BD285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5" i="2"/>
  <c r="BE1083" i="2"/>
  <c r="BE1071" i="2"/>
  <c r="BE1059" i="2"/>
  <c r="BE1047" i="2"/>
  <c r="BE1035" i="2"/>
  <c r="BE1023" i="2"/>
  <c r="BE1011" i="2"/>
  <c r="BE999" i="2"/>
  <c r="BE987" i="2"/>
  <c r="BE975" i="2"/>
  <c r="BE963" i="2"/>
  <c r="BE951" i="2"/>
  <c r="BE939" i="2"/>
  <c r="BE927" i="2"/>
  <c r="BE915" i="2"/>
  <c r="BE903" i="2"/>
  <c r="BE891" i="2"/>
  <c r="BE879" i="2"/>
  <c r="BE867" i="2"/>
  <c r="BE855" i="2"/>
  <c r="BE843" i="2"/>
  <c r="BE831" i="2"/>
  <c r="BE819" i="2"/>
  <c r="BE807" i="2"/>
  <c r="BE795" i="2"/>
  <c r="BE783" i="2"/>
  <c r="BE771" i="2"/>
  <c r="BE759" i="2"/>
  <c r="BE747" i="2"/>
  <c r="BE735" i="2"/>
  <c r="BE723" i="2"/>
  <c r="BE711" i="2"/>
  <c r="BE699" i="2"/>
  <c r="BE687" i="2"/>
  <c r="BE675" i="2"/>
  <c r="BE663" i="2"/>
  <c r="BE651" i="2"/>
  <c r="BE639" i="2"/>
  <c r="BE627" i="2"/>
  <c r="BE615" i="2"/>
  <c r="BE603" i="2"/>
  <c r="BE591" i="2"/>
  <c r="BE579" i="2"/>
  <c r="BE567" i="2"/>
  <c r="BE555" i="2"/>
  <c r="BE543" i="2"/>
  <c r="BE531" i="2"/>
  <c r="BE519" i="2"/>
  <c r="BE507" i="2"/>
  <c r="BE495" i="2"/>
  <c r="BE483" i="2"/>
  <c r="BE471" i="2"/>
  <c r="BE459" i="2"/>
  <c r="BE447" i="2"/>
  <c r="BE435" i="2"/>
  <c r="BE423" i="2"/>
  <c r="BE411" i="2"/>
  <c r="BE399" i="2"/>
  <c r="BE387" i="2"/>
  <c r="BE375" i="2"/>
  <c r="BE363" i="2"/>
  <c r="BE351" i="2"/>
  <c r="BE339" i="2"/>
  <c r="BE327" i="2"/>
  <c r="BE315" i="2"/>
  <c r="BE303" i="2"/>
  <c r="BE291" i="2"/>
  <c r="BE279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7" i="2"/>
  <c r="AZ1085" i="2"/>
  <c r="AZ1073" i="2"/>
  <c r="AZ1061" i="2"/>
  <c r="AZ1049" i="2"/>
  <c r="AZ1037" i="2"/>
  <c r="AZ1025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100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78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Z1096" i="2"/>
  <c r="AZ1084" i="2"/>
  <c r="AZ1072" i="2"/>
  <c r="AZ1060" i="2"/>
  <c r="AZ1048" i="2"/>
  <c r="AZ1036" i="2"/>
  <c r="AZ1024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5" i="2" a="1"/>
  <c r="AY1065" i="2" s="1"/>
  <c r="AO1065" i="2" a="1"/>
  <c r="AO1065" i="2" s="1"/>
  <c r="AN1065" i="2"/>
  <c r="AY933" i="2" a="1"/>
  <c r="AY933" i="2" s="1"/>
  <c r="AO933" i="2" a="1"/>
  <c r="AO933" i="2" s="1"/>
  <c r="AN933" i="2"/>
  <c r="AY825" i="2" a="1"/>
  <c r="AY825" i="2" s="1"/>
  <c r="AO825" i="2" a="1"/>
  <c r="AO825" i="2" s="1"/>
  <c r="AN825" i="2"/>
  <c r="AY765" i="2" a="1"/>
  <c r="AY765" i="2" s="1"/>
  <c r="AO765" i="2" a="1"/>
  <c r="AO765" i="2" s="1"/>
  <c r="AN765" i="2"/>
  <c r="AY669" i="2" a="1"/>
  <c r="AY669" i="2" s="1"/>
  <c r="AO669" i="2" a="1"/>
  <c r="AO669" i="2" s="1"/>
  <c r="AN669" i="2"/>
  <c r="AY621" i="2" a="1"/>
  <c r="AY621" i="2" s="1"/>
  <c r="AO621" i="2" a="1"/>
  <c r="AO621" i="2" s="1"/>
  <c r="AN621" i="2"/>
  <c r="AY537" i="2" a="1"/>
  <c r="AY537" i="2" s="1"/>
  <c r="AN537" i="2"/>
  <c r="AO537" i="2" a="1"/>
  <c r="AO537" i="2" s="1"/>
  <c r="AY465" i="2" a="1"/>
  <c r="AY465" i="2" s="1"/>
  <c r="AO465" i="2" a="1"/>
  <c r="AO465" i="2" s="1"/>
  <c r="AN465" i="2"/>
  <c r="AY345" i="2" a="1"/>
  <c r="AY345" i="2" s="1"/>
  <c r="AN345" i="2"/>
  <c r="AO345" i="2" a="1"/>
  <c r="AO345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1" i="2"/>
  <c r="AT281" i="2" s="1"/>
  <c r="AS281" i="2" a="1"/>
  <c r="AS281" i="2" s="1"/>
  <c r="AW281" i="2" s="1"/>
  <c r="AP281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N1057" i="2"/>
  <c r="AO1057" i="2" a="1"/>
  <c r="AO1057" i="2" s="1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O961" i="2" a="1"/>
  <c r="AO961" i="2" s="1"/>
  <c r="AN961" i="2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N925" i="2"/>
  <c r="AO925" i="2" a="1"/>
  <c r="AO925" i="2" s="1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N637" i="2"/>
  <c r="AO637" i="2" a="1"/>
  <c r="AO637" i="2" s="1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O589" i="2" a="1"/>
  <c r="AO589" i="2" s="1"/>
  <c r="AN589" i="2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N481" i="2"/>
  <c r="AO481" i="2" a="1"/>
  <c r="AO481" i="2" s="1"/>
  <c r="AY469" i="2" a="1"/>
  <c r="AY469" i="2" s="1"/>
  <c r="AO469" i="2" a="1"/>
  <c r="AO469" i="2" s="1"/>
  <c r="AN469" i="2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Y433" i="2" a="1"/>
  <c r="AY433" i="2" s="1"/>
  <c r="AO433" i="2" a="1"/>
  <c r="AO433" i="2" s="1"/>
  <c r="AN433" i="2"/>
  <c r="AY421" i="2" a="1"/>
  <c r="AY421" i="2" s="1"/>
  <c r="AO421" i="2" a="1"/>
  <c r="AO421" i="2" s="1"/>
  <c r="AN421" i="2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N373" i="2"/>
  <c r="AO373" i="2" a="1"/>
  <c r="AO373" i="2" s="1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7" i="2" a="1"/>
  <c r="AY1077" i="2" s="1"/>
  <c r="AO1077" i="2" a="1"/>
  <c r="AO1077" i="2" s="1"/>
  <c r="AN1077" i="2"/>
  <c r="AY945" i="2" a="1"/>
  <c r="AY945" i="2" s="1"/>
  <c r="AO945" i="2" a="1"/>
  <c r="AO945" i="2" s="1"/>
  <c r="AN945" i="2"/>
  <c r="AY801" i="2" a="1"/>
  <c r="AY801" i="2" s="1"/>
  <c r="AO801" i="2" a="1"/>
  <c r="AO801" i="2" s="1"/>
  <c r="AN801" i="2"/>
  <c r="AY645" i="2" a="1"/>
  <c r="AY645" i="2" s="1"/>
  <c r="AO645" i="2" a="1"/>
  <c r="AO645" i="2" s="1"/>
  <c r="AN645" i="2"/>
  <c r="AY513" i="2" a="1"/>
  <c r="AY513" i="2" s="1"/>
  <c r="AO513" i="2" a="1"/>
  <c r="AO513" i="2" s="1"/>
  <c r="AN513" i="2"/>
  <c r="AY381" i="2" a="1"/>
  <c r="AY381" i="2" s="1"/>
  <c r="AN381" i="2"/>
  <c r="AO381" i="2" a="1"/>
  <c r="AO381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3" i="2" a="1"/>
  <c r="AS953" i="2" s="1"/>
  <c r="AW953" i="2" s="1"/>
  <c r="AR953" i="2"/>
  <c r="AT953" i="2" s="1"/>
  <c r="AP953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O1056" i="2" a="1"/>
  <c r="AO1056" i="2" s="1"/>
  <c r="AN1056" i="2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O924" i="2" a="1"/>
  <c r="AO924" i="2" s="1"/>
  <c r="AN924" i="2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O636" i="2" a="1"/>
  <c r="AO636" i="2" s="1"/>
  <c r="AN636" i="2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O480" i="2" a="1"/>
  <c r="AO480" i="2" s="1"/>
  <c r="AN480" i="2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O372" i="2" a="1"/>
  <c r="AO372" i="2" s="1"/>
  <c r="AN372" i="2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5" i="2" a="1"/>
  <c r="AY1005" i="2" s="1"/>
  <c r="AO1005" i="2" a="1"/>
  <c r="AO1005" i="2" s="1"/>
  <c r="AN1005" i="2"/>
  <c r="AY885" i="2" a="1"/>
  <c r="AY885" i="2" s="1"/>
  <c r="AO885" i="2" a="1"/>
  <c r="AO885" i="2" s="1"/>
  <c r="AN885" i="2"/>
  <c r="AY741" i="2" a="1"/>
  <c r="AY741" i="2" s="1"/>
  <c r="AO741" i="2" a="1"/>
  <c r="AO741" i="2" s="1"/>
  <c r="AN741" i="2"/>
  <c r="AY633" i="2" a="1"/>
  <c r="AY633" i="2" s="1"/>
  <c r="AO633" i="2" a="1"/>
  <c r="AO633" i="2" s="1"/>
  <c r="AN633" i="2"/>
  <c r="AY525" i="2" a="1"/>
  <c r="AY525" i="2" s="1"/>
  <c r="AO525" i="2" a="1"/>
  <c r="AO525" i="2" s="1"/>
  <c r="AN525" i="2"/>
  <c r="AY405" i="2" a="1"/>
  <c r="AY405" i="2" s="1"/>
  <c r="AO405" i="2" a="1"/>
  <c r="AO405" i="2" s="1"/>
  <c r="AN405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1" i="2" a="1"/>
  <c r="AS701" i="2" s="1"/>
  <c r="AW701" i="2" s="1"/>
  <c r="AR701" i="2"/>
  <c r="AT701" i="2" s="1"/>
  <c r="AP701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N1067" i="2"/>
  <c r="AO1067" i="2" a="1"/>
  <c r="AO1067" i="2" s="1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N935" i="2"/>
  <c r="AO935" i="2" a="1"/>
  <c r="AO935" i="2" s="1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N647" i="2"/>
  <c r="AO647" i="2" a="1"/>
  <c r="AO647" i="2" s="1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N539" i="2"/>
  <c r="AO539" i="2" a="1"/>
  <c r="AO539" i="2" s="1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3" i="2" a="1"/>
  <c r="AY993" i="2" s="1"/>
  <c r="AO993" i="2" a="1"/>
  <c r="AO993" i="2" s="1"/>
  <c r="AN993" i="2"/>
  <c r="AY861" i="2" a="1"/>
  <c r="AY861" i="2" s="1"/>
  <c r="AO861" i="2" a="1"/>
  <c r="AO861" i="2" s="1"/>
  <c r="AN861" i="2"/>
  <c r="AY705" i="2" a="1"/>
  <c r="AY705" i="2" s="1"/>
  <c r="AO705" i="2" a="1"/>
  <c r="AO705" i="2" s="1"/>
  <c r="AN705" i="2"/>
  <c r="AY573" i="2" a="1"/>
  <c r="AY573" i="2" s="1"/>
  <c r="AN573" i="2"/>
  <c r="AO573" i="2" a="1"/>
  <c r="AO573" i="2" s="1"/>
  <c r="AY441" i="2" a="1"/>
  <c r="AY441" i="2" s="1"/>
  <c r="AN441" i="2"/>
  <c r="AO441" i="2" a="1"/>
  <c r="AO441" i="2" s="1"/>
  <c r="AY321" i="2" a="1"/>
  <c r="AY321" i="2" s="1"/>
  <c r="AN321" i="2"/>
  <c r="AO321" i="2" a="1"/>
  <c r="AO321" i="2" s="1"/>
  <c r="AY129" i="2" a="1"/>
  <c r="AY129" i="2" s="1"/>
  <c r="AO129" i="2" a="1"/>
  <c r="AO129" i="2" s="1"/>
  <c r="AN129" i="2"/>
  <c r="AS689" i="2" a="1"/>
  <c r="AS689" i="2" s="1"/>
  <c r="AW689" i="2" s="1"/>
  <c r="AR689" i="2"/>
  <c r="AT689" i="2" s="1"/>
  <c r="AP689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O1066" i="2" a="1"/>
  <c r="AO1066" i="2" s="1"/>
  <c r="AN1066" i="2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O934" i="2" a="1"/>
  <c r="AO934" i="2" s="1"/>
  <c r="AN934" i="2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O646" i="2" a="1"/>
  <c r="AO646" i="2" s="1"/>
  <c r="AN646" i="2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O538" i="2" a="1"/>
  <c r="AO538" i="2" s="1"/>
  <c r="AN538" i="2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N382" i="2"/>
  <c r="AO382" i="2" a="1"/>
  <c r="AO382" i="2" s="1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7" i="2" a="1"/>
  <c r="AY1017" i="2" s="1"/>
  <c r="AO1017" i="2" a="1"/>
  <c r="AO1017" i="2" s="1"/>
  <c r="AN1017" i="2"/>
  <c r="AY921" i="2" a="1"/>
  <c r="AY921" i="2" s="1"/>
  <c r="AO921" i="2" a="1"/>
  <c r="AO921" i="2" s="1"/>
  <c r="AN921" i="2"/>
  <c r="AY813" i="2" a="1"/>
  <c r="AY813" i="2" s="1"/>
  <c r="AO813" i="2" a="1"/>
  <c r="AO813" i="2" s="1"/>
  <c r="AN813" i="2"/>
  <c r="AY717" i="2" a="1"/>
  <c r="AY717" i="2" s="1"/>
  <c r="AO717" i="2" a="1"/>
  <c r="AO717" i="2" s="1"/>
  <c r="AN717" i="2"/>
  <c r="AY585" i="2" a="1"/>
  <c r="AY585" i="2" s="1"/>
  <c r="AO585" i="2" a="1"/>
  <c r="AO585" i="2" s="1"/>
  <c r="AN585" i="2"/>
  <c r="AY477" i="2" a="1"/>
  <c r="AY477" i="2" s="1"/>
  <c r="AN477" i="2"/>
  <c r="AO477" i="2" a="1"/>
  <c r="AO477" i="2" s="1"/>
  <c r="AY369" i="2" a="1"/>
  <c r="AY369" i="2" s="1"/>
  <c r="AN369" i="2"/>
  <c r="AO369" i="2" a="1"/>
  <c r="AO369" i="2" s="1"/>
  <c r="AY285" i="2" a="1"/>
  <c r="AY285" i="2" s="1"/>
  <c r="AO285" i="2" a="1"/>
  <c r="AO285" i="2" s="1"/>
  <c r="AN285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7" i="2"/>
  <c r="AT1097" i="2" s="1"/>
  <c r="AS1097" i="2" a="1"/>
  <c r="AS1097" i="2" s="1"/>
  <c r="AW1097" i="2" s="1"/>
  <c r="AP1097" i="2"/>
  <c r="AR1037" i="2"/>
  <c r="AT1037" i="2" s="1"/>
  <c r="AS1037" i="2" a="1"/>
  <c r="AS1037" i="2" s="1"/>
  <c r="AW1037" i="2" s="1"/>
  <c r="AP1037" i="2"/>
  <c r="AS989" i="2" a="1"/>
  <c r="AS989" i="2" s="1"/>
  <c r="AW989" i="2" s="1"/>
  <c r="AR989" i="2"/>
  <c r="AT989" i="2" s="1"/>
  <c r="AP989" i="2"/>
  <c r="AS929" i="2" a="1"/>
  <c r="AS929" i="2" s="1"/>
  <c r="AW929" i="2" s="1"/>
  <c r="AR929" i="2"/>
  <c r="AT929" i="2" s="1"/>
  <c r="AP929" i="2"/>
  <c r="AS881" i="2" a="1"/>
  <c r="AS881" i="2" s="1"/>
  <c r="AW881" i="2" s="1"/>
  <c r="AR881" i="2"/>
  <c r="AT881" i="2" s="1"/>
  <c r="AP881" i="2"/>
  <c r="AR821" i="2"/>
  <c r="AT821" i="2" s="1"/>
  <c r="AS821" i="2" a="1"/>
  <c r="AS821" i="2" s="1"/>
  <c r="AW821" i="2" s="1"/>
  <c r="AP821" i="2"/>
  <c r="AS761" i="2" a="1"/>
  <c r="AS761" i="2" s="1"/>
  <c r="AW761" i="2" s="1"/>
  <c r="AR761" i="2"/>
  <c r="AT761" i="2" s="1"/>
  <c r="AP761" i="2"/>
  <c r="AS713" i="2" a="1"/>
  <c r="AS713" i="2" s="1"/>
  <c r="AW713" i="2" s="1"/>
  <c r="AR713" i="2"/>
  <c r="AT713" i="2" s="1"/>
  <c r="AP713" i="2"/>
  <c r="AR653" i="2"/>
  <c r="AT653" i="2" s="1"/>
  <c r="AS653" i="2" a="1"/>
  <c r="AS653" i="2" s="1"/>
  <c r="AW653" i="2" s="1"/>
  <c r="AP653" i="2"/>
  <c r="AS605" i="2" a="1"/>
  <c r="AS605" i="2" s="1"/>
  <c r="AW605" i="2" s="1"/>
  <c r="AP605" i="2"/>
  <c r="AR605" i="2"/>
  <c r="AT605" i="2" s="1"/>
  <c r="AS569" i="2" a="1"/>
  <c r="AS569" i="2" s="1"/>
  <c r="AW569" i="2" s="1"/>
  <c r="AR569" i="2"/>
  <c r="AT569" i="2" s="1"/>
  <c r="AP569" i="2"/>
  <c r="AS533" i="2" a="1"/>
  <c r="AS533" i="2" s="1"/>
  <c r="AW533" i="2" s="1"/>
  <c r="AR533" i="2"/>
  <c r="AT533" i="2" s="1"/>
  <c r="AP533" i="2"/>
  <c r="AR473" i="2"/>
  <c r="AT473" i="2" s="1"/>
  <c r="AS473" i="2" a="1"/>
  <c r="AS473" i="2" s="1"/>
  <c r="AW473" i="2" s="1"/>
  <c r="AP473" i="2"/>
  <c r="AR449" i="2"/>
  <c r="AT449" i="2" s="1"/>
  <c r="AP449" i="2"/>
  <c r="AS449" i="2" a="1"/>
  <c r="AS449" i="2" s="1"/>
  <c r="AW449" i="2" s="1"/>
  <c r="AS401" i="2" a="1"/>
  <c r="AS401" i="2" s="1"/>
  <c r="AW401" i="2" s="1"/>
  <c r="AR401" i="2"/>
  <c r="AT401" i="2" s="1"/>
  <c r="AP401" i="2"/>
  <c r="AS377" i="2" a="1"/>
  <c r="AS377" i="2" s="1"/>
  <c r="AW377" i="2" s="1"/>
  <c r="AP377" i="2"/>
  <c r="AR377" i="2"/>
  <c r="AT377" i="2" s="1"/>
  <c r="AR329" i="2"/>
  <c r="AT329" i="2" s="1"/>
  <c r="AS329" i="2" a="1"/>
  <c r="AS329" i="2" s="1"/>
  <c r="AW329" i="2" s="1"/>
  <c r="AP329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7" i="2"/>
  <c r="AV1087" i="2"/>
  <c r="AU1051" i="2"/>
  <c r="AV1051" i="2"/>
  <c r="AU1015" i="2"/>
  <c r="AV1015" i="2"/>
  <c r="AU967" i="2"/>
  <c r="AV967" i="2"/>
  <c r="AU931" i="2"/>
  <c r="AV931" i="2"/>
  <c r="AU883" i="2"/>
  <c r="AV883" i="2"/>
  <c r="AU847" i="2"/>
  <c r="AV847" i="2"/>
  <c r="AV811" i="2"/>
  <c r="AU811" i="2"/>
  <c r="AU775" i="2"/>
  <c r="AV775" i="2"/>
  <c r="AV739" i="2"/>
  <c r="AU739" i="2"/>
  <c r="AU703" i="2"/>
  <c r="AV703" i="2"/>
  <c r="AV667" i="2"/>
  <c r="AU667" i="2"/>
  <c r="AU631" i="2"/>
  <c r="AV631" i="2"/>
  <c r="AU583" i="2"/>
  <c r="AV583" i="2"/>
  <c r="AU535" i="2"/>
  <c r="AV535" i="2"/>
  <c r="AV499" i="2"/>
  <c r="AU499" i="2"/>
  <c r="AV463" i="2"/>
  <c r="AU463" i="2"/>
  <c r="AV403" i="2"/>
  <c r="AU403" i="2"/>
  <c r="AU343" i="2"/>
  <c r="AV343" i="2"/>
  <c r="AU271" i="2"/>
  <c r="AV271" i="2"/>
  <c r="AV79" i="2"/>
  <c r="AU79" i="2"/>
  <c r="AY1100" i="2" a="1"/>
  <c r="AY1100" i="2" s="1"/>
  <c r="AO1100" i="2" a="1"/>
  <c r="AO1100" i="2" s="1"/>
  <c r="AN1100" i="2"/>
  <c r="AY1088" i="2" a="1"/>
  <c r="AY1088" i="2" s="1"/>
  <c r="AO1088" i="2" a="1"/>
  <c r="AO1088" i="2" s="1"/>
  <c r="AN1088" i="2"/>
  <c r="AY1076" i="2" a="1"/>
  <c r="AY1076" i="2" s="1"/>
  <c r="AO1076" i="2" a="1"/>
  <c r="AO1076" i="2" s="1"/>
  <c r="AN1076" i="2"/>
  <c r="AY1064" i="2" a="1"/>
  <c r="AY1064" i="2" s="1"/>
  <c r="AO1064" i="2" a="1"/>
  <c r="AO1064" i="2" s="1"/>
  <c r="AN1064" i="2"/>
  <c r="AY1052" i="2" a="1"/>
  <c r="AY1052" i="2" s="1"/>
  <c r="AO1052" i="2" a="1"/>
  <c r="AO1052" i="2" s="1"/>
  <c r="AN1052" i="2"/>
  <c r="AY1040" i="2" a="1"/>
  <c r="AY1040" i="2" s="1"/>
  <c r="AO1040" i="2" a="1"/>
  <c r="AO1040" i="2" s="1"/>
  <c r="AN1040" i="2"/>
  <c r="AY1028" i="2" a="1"/>
  <c r="AY1028" i="2" s="1"/>
  <c r="AO1028" i="2" a="1"/>
  <c r="AO1028" i="2" s="1"/>
  <c r="AN1028" i="2"/>
  <c r="AY1016" i="2" a="1"/>
  <c r="AY1016" i="2" s="1"/>
  <c r="AO1016" i="2" a="1"/>
  <c r="AO1016" i="2" s="1"/>
  <c r="AN1016" i="2"/>
  <c r="AY1004" i="2" a="1"/>
  <c r="AY1004" i="2" s="1"/>
  <c r="AO1004" i="2" a="1"/>
  <c r="AO1004" i="2" s="1"/>
  <c r="AN1004" i="2"/>
  <c r="AY992" i="2" a="1"/>
  <c r="AY992" i="2" s="1"/>
  <c r="AO992" i="2" a="1"/>
  <c r="AO992" i="2" s="1"/>
  <c r="AN992" i="2"/>
  <c r="AY980" i="2" a="1"/>
  <c r="AY980" i="2" s="1"/>
  <c r="AO980" i="2" a="1"/>
  <c r="AO980" i="2" s="1"/>
  <c r="AN980" i="2"/>
  <c r="AY968" i="2" a="1"/>
  <c r="AY968" i="2" s="1"/>
  <c r="AO968" i="2" a="1"/>
  <c r="AO968" i="2" s="1"/>
  <c r="AN968" i="2"/>
  <c r="AY956" i="2" a="1"/>
  <c r="AY956" i="2" s="1"/>
  <c r="AO956" i="2" a="1"/>
  <c r="AO956" i="2" s="1"/>
  <c r="AN956" i="2"/>
  <c r="AY944" i="2" a="1"/>
  <c r="AY944" i="2" s="1"/>
  <c r="AO944" i="2" a="1"/>
  <c r="AO944" i="2" s="1"/>
  <c r="AN944" i="2"/>
  <c r="AY932" i="2" a="1"/>
  <c r="AY932" i="2" s="1"/>
  <c r="AO932" i="2" a="1"/>
  <c r="AO932" i="2" s="1"/>
  <c r="AN932" i="2"/>
  <c r="AY920" i="2" a="1"/>
  <c r="AY920" i="2" s="1"/>
  <c r="AO920" i="2" a="1"/>
  <c r="AO920" i="2" s="1"/>
  <c r="AN920" i="2"/>
  <c r="AY908" i="2" a="1"/>
  <c r="AY908" i="2" s="1"/>
  <c r="AO908" i="2" a="1"/>
  <c r="AO908" i="2" s="1"/>
  <c r="AN908" i="2"/>
  <c r="AY896" i="2" a="1"/>
  <c r="AY896" i="2" s="1"/>
  <c r="AO896" i="2" a="1"/>
  <c r="AO896" i="2" s="1"/>
  <c r="AN896" i="2"/>
  <c r="AY884" i="2" a="1"/>
  <c r="AY884" i="2" s="1"/>
  <c r="AO884" i="2" a="1"/>
  <c r="AO884" i="2" s="1"/>
  <c r="AN884" i="2"/>
  <c r="AY872" i="2" a="1"/>
  <c r="AY872" i="2" s="1"/>
  <c r="AO872" i="2" a="1"/>
  <c r="AO872" i="2" s="1"/>
  <c r="AN872" i="2"/>
  <c r="AY860" i="2" a="1"/>
  <c r="AY860" i="2" s="1"/>
  <c r="AO860" i="2" a="1"/>
  <c r="AO860" i="2" s="1"/>
  <c r="AN860" i="2"/>
  <c r="AY848" i="2" a="1"/>
  <c r="AY848" i="2" s="1"/>
  <c r="AO848" i="2" a="1"/>
  <c r="AO848" i="2" s="1"/>
  <c r="AN848" i="2"/>
  <c r="AY836" i="2" a="1"/>
  <c r="AY836" i="2" s="1"/>
  <c r="AO836" i="2" a="1"/>
  <c r="AO836" i="2" s="1"/>
  <c r="AN836" i="2"/>
  <c r="AY824" i="2" a="1"/>
  <c r="AY824" i="2" s="1"/>
  <c r="AO824" i="2" a="1"/>
  <c r="AO824" i="2" s="1"/>
  <c r="AN824" i="2"/>
  <c r="AY812" i="2" a="1"/>
  <c r="AY812" i="2" s="1"/>
  <c r="AO812" i="2" a="1"/>
  <c r="AO812" i="2" s="1"/>
  <c r="AN812" i="2"/>
  <c r="AY800" i="2" a="1"/>
  <c r="AY800" i="2" s="1"/>
  <c r="AO800" i="2" a="1"/>
  <c r="AO800" i="2" s="1"/>
  <c r="AN800" i="2"/>
  <c r="AY788" i="2" a="1"/>
  <c r="AY788" i="2" s="1"/>
  <c r="AO788" i="2" a="1"/>
  <c r="AO788" i="2" s="1"/>
  <c r="AN788" i="2"/>
  <c r="AY776" i="2" a="1"/>
  <c r="AY776" i="2" s="1"/>
  <c r="AO776" i="2" a="1"/>
  <c r="AO776" i="2" s="1"/>
  <c r="AN776" i="2"/>
  <c r="AY764" i="2" a="1"/>
  <c r="AY764" i="2" s="1"/>
  <c r="AO764" i="2" a="1"/>
  <c r="AO764" i="2" s="1"/>
  <c r="AN764" i="2"/>
  <c r="AY752" i="2" a="1"/>
  <c r="AY752" i="2" s="1"/>
  <c r="AO752" i="2" a="1"/>
  <c r="AO752" i="2" s="1"/>
  <c r="AN752" i="2"/>
  <c r="AY740" i="2" a="1"/>
  <c r="AY740" i="2" s="1"/>
  <c r="AO740" i="2" a="1"/>
  <c r="AO740" i="2" s="1"/>
  <c r="AN740" i="2"/>
  <c r="AY728" i="2" a="1"/>
  <c r="AY728" i="2" s="1"/>
  <c r="AO728" i="2" a="1"/>
  <c r="AO728" i="2" s="1"/>
  <c r="AN728" i="2"/>
  <c r="AY716" i="2" a="1"/>
  <c r="AY716" i="2" s="1"/>
  <c r="AO716" i="2" a="1"/>
  <c r="AO716" i="2" s="1"/>
  <c r="AN716" i="2"/>
  <c r="AY704" i="2" a="1"/>
  <c r="AY704" i="2" s="1"/>
  <c r="AO704" i="2" a="1"/>
  <c r="AO704" i="2" s="1"/>
  <c r="AN704" i="2"/>
  <c r="AY692" i="2" a="1"/>
  <c r="AY692" i="2" s="1"/>
  <c r="AO692" i="2" a="1"/>
  <c r="AO692" i="2" s="1"/>
  <c r="AN692" i="2"/>
  <c r="AY680" i="2" a="1"/>
  <c r="AY680" i="2" s="1"/>
  <c r="AO680" i="2" a="1"/>
  <c r="AO680" i="2" s="1"/>
  <c r="AN680" i="2"/>
  <c r="AY668" i="2" a="1"/>
  <c r="AY668" i="2" s="1"/>
  <c r="AO668" i="2" a="1"/>
  <c r="AO668" i="2" s="1"/>
  <c r="AN668" i="2"/>
  <c r="AY656" i="2" a="1"/>
  <c r="AY656" i="2" s="1"/>
  <c r="AO656" i="2" a="1"/>
  <c r="AO656" i="2" s="1"/>
  <c r="AN656" i="2"/>
  <c r="AY644" i="2" a="1"/>
  <c r="AY644" i="2" s="1"/>
  <c r="AO644" i="2" a="1"/>
  <c r="AO644" i="2" s="1"/>
  <c r="AN644" i="2"/>
  <c r="AY981" i="2" a="1"/>
  <c r="AY981" i="2" s="1"/>
  <c r="AO981" i="2" a="1"/>
  <c r="AO981" i="2" s="1"/>
  <c r="AN981" i="2"/>
  <c r="AY849" i="2" a="1"/>
  <c r="AY849" i="2" s="1"/>
  <c r="AO849" i="2" a="1"/>
  <c r="AO849" i="2" s="1"/>
  <c r="AN849" i="2"/>
  <c r="AY729" i="2" a="1"/>
  <c r="AY729" i="2" s="1"/>
  <c r="AO729" i="2" a="1"/>
  <c r="AO729" i="2" s="1"/>
  <c r="AN729" i="2"/>
  <c r="AY609" i="2" a="1"/>
  <c r="AY609" i="2" s="1"/>
  <c r="AO609" i="2" a="1"/>
  <c r="AO609" i="2" s="1"/>
  <c r="AN609" i="2"/>
  <c r="AY489" i="2" a="1"/>
  <c r="AY489" i="2" s="1"/>
  <c r="AN489" i="2"/>
  <c r="AO489" i="2" a="1"/>
  <c r="AO489" i="2" s="1"/>
  <c r="AY393" i="2" a="1"/>
  <c r="AY393" i="2" s="1"/>
  <c r="AN393" i="2"/>
  <c r="AO393" i="2" a="1"/>
  <c r="AO393" i="2" s="1"/>
  <c r="AY309" i="2" a="1"/>
  <c r="AY309" i="2" s="1"/>
  <c r="AO309" i="2" a="1"/>
  <c r="AO309" i="2" s="1"/>
  <c r="AN309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5" i="2" a="1"/>
  <c r="AS1085" i="2" s="1"/>
  <c r="AW1085" i="2" s="1"/>
  <c r="AR1085" i="2"/>
  <c r="AT1085" i="2" s="1"/>
  <c r="AP1085" i="2"/>
  <c r="AR1013" i="2"/>
  <c r="AT1013" i="2" s="1"/>
  <c r="AS1013" i="2" a="1"/>
  <c r="AS1013" i="2" s="1"/>
  <c r="AW1013" i="2" s="1"/>
  <c r="AP1013" i="2"/>
  <c r="AR917" i="2"/>
  <c r="AT917" i="2" s="1"/>
  <c r="AS917" i="2" a="1"/>
  <c r="AS917" i="2" s="1"/>
  <c r="AW917" i="2" s="1"/>
  <c r="AP917" i="2"/>
  <c r="AS845" i="2" a="1"/>
  <c r="AS845" i="2" s="1"/>
  <c r="AW845" i="2" s="1"/>
  <c r="AR845" i="2"/>
  <c r="AT845" i="2" s="1"/>
  <c r="AP845" i="2"/>
  <c r="AR797" i="2"/>
  <c r="AT797" i="2" s="1"/>
  <c r="AS797" i="2" a="1"/>
  <c r="AS797" i="2" s="1"/>
  <c r="AW797" i="2" s="1"/>
  <c r="AP797" i="2"/>
  <c r="AS737" i="2" a="1"/>
  <c r="AS737" i="2" s="1"/>
  <c r="AW737" i="2" s="1"/>
  <c r="AR737" i="2"/>
  <c r="AT737" i="2" s="1"/>
  <c r="AP737" i="2"/>
  <c r="AS629" i="2" a="1"/>
  <c r="AS629" i="2" s="1"/>
  <c r="AW629" i="2" s="1"/>
  <c r="AR629" i="2"/>
  <c r="AT629" i="2" s="1"/>
  <c r="AP629" i="2"/>
  <c r="AS581" i="2" a="1"/>
  <c r="AS581" i="2" s="1"/>
  <c r="AW581" i="2" s="1"/>
  <c r="AR581" i="2"/>
  <c r="AT581" i="2" s="1"/>
  <c r="AP581" i="2"/>
  <c r="AS521" i="2" a="1"/>
  <c r="AS521" i="2" s="1"/>
  <c r="AW521" i="2" s="1"/>
  <c r="AR521" i="2"/>
  <c r="AT521" i="2" s="1"/>
  <c r="AP521" i="2"/>
  <c r="AR461" i="2"/>
  <c r="AT461" i="2" s="1"/>
  <c r="AS461" i="2" a="1"/>
  <c r="AS461" i="2" s="1"/>
  <c r="AW461" i="2" s="1"/>
  <c r="AP461" i="2"/>
  <c r="AS425" i="2" a="1"/>
  <c r="AS425" i="2" s="1"/>
  <c r="AW425" i="2" s="1"/>
  <c r="AR425" i="2"/>
  <c r="AT425" i="2" s="1"/>
  <c r="AP425" i="2"/>
  <c r="AS365" i="2" a="1"/>
  <c r="AS365" i="2" s="1"/>
  <c r="AW365" i="2" s="1"/>
  <c r="AR365" i="2"/>
  <c r="AT365" i="2" s="1"/>
  <c r="AP365" i="2"/>
  <c r="AS317" i="2" a="1"/>
  <c r="AS317" i="2" s="1"/>
  <c r="AW317" i="2" s="1"/>
  <c r="AR317" i="2"/>
  <c r="AT317" i="2" s="1"/>
  <c r="AP317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7" i="2"/>
  <c r="AV907" i="2"/>
  <c r="AU355" i="2"/>
  <c r="AV355" i="2"/>
  <c r="AV307" i="2"/>
  <c r="AU307" i="2"/>
  <c r="AV235" i="2"/>
  <c r="AU235" i="2"/>
  <c r="AV175" i="2"/>
  <c r="AU175" i="2"/>
  <c r="AV115" i="2"/>
  <c r="AU115" i="2"/>
  <c r="AV31" i="2"/>
  <c r="AU31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N739" i="2"/>
  <c r="AO739" i="2" a="1"/>
  <c r="AO739" i="2" s="1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O607" i="2" a="1"/>
  <c r="AO607" i="2" s="1"/>
  <c r="AN607" i="2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O499" i="2" a="1"/>
  <c r="AO499" i="2" s="1"/>
  <c r="AN499" i="2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O391" i="2" a="1"/>
  <c r="AO391" i="2" s="1"/>
  <c r="AN391" i="2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9" i="2" a="1"/>
  <c r="AY1089" i="2" s="1"/>
  <c r="AO1089" i="2" a="1"/>
  <c r="AO1089" i="2" s="1"/>
  <c r="AN1089" i="2"/>
  <c r="AY957" i="2" a="1"/>
  <c r="AY957" i="2" s="1"/>
  <c r="AO957" i="2" a="1"/>
  <c r="AO957" i="2" s="1"/>
  <c r="AN957" i="2"/>
  <c r="AY837" i="2" a="1"/>
  <c r="AY837" i="2" s="1"/>
  <c r="AO837" i="2" a="1"/>
  <c r="AO837" i="2" s="1"/>
  <c r="AN837" i="2"/>
  <c r="AY693" i="2" a="1"/>
  <c r="AY693" i="2" s="1"/>
  <c r="AO693" i="2" a="1"/>
  <c r="AO693" i="2" s="1"/>
  <c r="AN693" i="2"/>
  <c r="AY549" i="2" a="1"/>
  <c r="AY549" i="2" s="1"/>
  <c r="AN549" i="2"/>
  <c r="AO549" i="2" a="1"/>
  <c r="AO549" i="2" s="1"/>
  <c r="AY429" i="2" a="1"/>
  <c r="AY429" i="2" s="1"/>
  <c r="AN429" i="2"/>
  <c r="AO429" i="2" a="1"/>
  <c r="AO429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5" i="2" a="1"/>
  <c r="AS1025" i="2" s="1"/>
  <c r="AW1025" i="2" s="1"/>
  <c r="AR1025" i="2"/>
  <c r="AT1025" i="2" s="1"/>
  <c r="AP1025" i="2"/>
  <c r="AS965" i="2" a="1"/>
  <c r="AS965" i="2" s="1"/>
  <c r="AW965" i="2" s="1"/>
  <c r="AR965" i="2"/>
  <c r="AT965" i="2" s="1"/>
  <c r="AP965" i="2"/>
  <c r="AS893" i="2" a="1"/>
  <c r="AS893" i="2" s="1"/>
  <c r="AW893" i="2" s="1"/>
  <c r="AR893" i="2"/>
  <c r="AT893" i="2" s="1"/>
  <c r="AP893" i="2"/>
  <c r="AS833" i="2" a="1"/>
  <c r="AS833" i="2" s="1"/>
  <c r="AW833" i="2" s="1"/>
  <c r="AR833" i="2"/>
  <c r="AT833" i="2" s="1"/>
  <c r="AP833" i="2"/>
  <c r="AS785" i="2" a="1"/>
  <c r="AS785" i="2" s="1"/>
  <c r="AW785" i="2" s="1"/>
  <c r="AR785" i="2"/>
  <c r="AT785" i="2" s="1"/>
  <c r="AP785" i="2"/>
  <c r="AS749" i="2" a="1"/>
  <c r="AS749" i="2" s="1"/>
  <c r="AW749" i="2" s="1"/>
  <c r="AR749" i="2"/>
  <c r="AT749" i="2" s="1"/>
  <c r="AP749" i="2"/>
  <c r="AS665" i="2" a="1"/>
  <c r="AS665" i="2" s="1"/>
  <c r="AW665" i="2" s="1"/>
  <c r="AR665" i="2"/>
  <c r="AT665" i="2" s="1"/>
  <c r="AP665" i="2"/>
  <c r="AS641" i="2" a="1"/>
  <c r="AS641" i="2" s="1"/>
  <c r="AW641" i="2" s="1"/>
  <c r="AR641" i="2"/>
  <c r="AT641" i="2" s="1"/>
  <c r="AP641" i="2"/>
  <c r="AS593" i="2" a="1"/>
  <c r="AS593" i="2" s="1"/>
  <c r="AW593" i="2" s="1"/>
  <c r="AR593" i="2"/>
  <c r="AT593" i="2" s="1"/>
  <c r="AP593" i="2"/>
  <c r="AR545" i="2"/>
  <c r="AT545" i="2" s="1"/>
  <c r="AS545" i="2" a="1"/>
  <c r="AS545" i="2" s="1"/>
  <c r="AW545" i="2" s="1"/>
  <c r="AP545" i="2"/>
  <c r="AS485" i="2" a="1"/>
  <c r="AS485" i="2" s="1"/>
  <c r="AW485" i="2" s="1"/>
  <c r="AR485" i="2"/>
  <c r="AT485" i="2" s="1"/>
  <c r="AP485" i="2"/>
  <c r="AS437" i="2" a="1"/>
  <c r="AS437" i="2" s="1"/>
  <c r="AW437" i="2" s="1"/>
  <c r="AR437" i="2"/>
  <c r="AT437" i="2" s="1"/>
  <c r="AP437" i="2"/>
  <c r="AS389" i="2" a="1"/>
  <c r="AS389" i="2" s="1"/>
  <c r="AW389" i="2" s="1"/>
  <c r="AR389" i="2"/>
  <c r="AT389" i="2" s="1"/>
  <c r="AP389" i="2"/>
  <c r="AS341" i="2" a="1"/>
  <c r="AS341" i="2" s="1"/>
  <c r="AW341" i="2" s="1"/>
  <c r="AR341" i="2"/>
  <c r="AT341" i="2" s="1"/>
  <c r="AP341" i="2"/>
  <c r="AR305" i="2"/>
  <c r="AT305" i="2" s="1"/>
  <c r="AS305" i="2" a="1"/>
  <c r="AS305" i="2" s="1"/>
  <c r="AW305" i="2" s="1"/>
  <c r="AP305" i="2"/>
  <c r="AS257" i="2" a="1"/>
  <c r="AS257" i="2" s="1"/>
  <c r="AW257" i="2" s="1"/>
  <c r="AR257" i="2"/>
  <c r="AT257" i="2" s="1"/>
  <c r="AP257" i="2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9" i="2"/>
  <c r="AV1099" i="2"/>
  <c r="AU1063" i="2"/>
  <c r="AV1063" i="2"/>
  <c r="AU1039" i="2"/>
  <c r="AV1039" i="2"/>
  <c r="AU1003" i="2"/>
  <c r="AV1003" i="2"/>
  <c r="AU979" i="2"/>
  <c r="AV979" i="2"/>
  <c r="AU943" i="2"/>
  <c r="AV943" i="2"/>
  <c r="AU895" i="2"/>
  <c r="AV895" i="2"/>
  <c r="AU859" i="2"/>
  <c r="AV859" i="2"/>
  <c r="AV823" i="2"/>
  <c r="AU823" i="2"/>
  <c r="AU787" i="2"/>
  <c r="AV787" i="2"/>
  <c r="AU751" i="2"/>
  <c r="AV751" i="2"/>
  <c r="AV715" i="2"/>
  <c r="AU715" i="2"/>
  <c r="AU679" i="2"/>
  <c r="AV679" i="2"/>
  <c r="AV643" i="2"/>
  <c r="AU643" i="2"/>
  <c r="AU607" i="2"/>
  <c r="AV607" i="2"/>
  <c r="AV571" i="2"/>
  <c r="AU571" i="2"/>
  <c r="AV547" i="2"/>
  <c r="AU547" i="2"/>
  <c r="AU511" i="2"/>
  <c r="AV511" i="2"/>
  <c r="AU487" i="2"/>
  <c r="AV487" i="2"/>
  <c r="AV451" i="2"/>
  <c r="AU451" i="2"/>
  <c r="AV427" i="2"/>
  <c r="AU427" i="2"/>
  <c r="AU391" i="2"/>
  <c r="AV391" i="2"/>
  <c r="AU379" i="2"/>
  <c r="AV379" i="2"/>
  <c r="AU331" i="2"/>
  <c r="AV331" i="2"/>
  <c r="AV295" i="2"/>
  <c r="AU295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9" i="2" a="1"/>
  <c r="AY1029" i="2" s="1"/>
  <c r="AO1029" i="2" a="1"/>
  <c r="AO1029" i="2" s="1"/>
  <c r="AN1029" i="2"/>
  <c r="AY897" i="2" a="1"/>
  <c r="AY897" i="2" s="1"/>
  <c r="AN897" i="2"/>
  <c r="AO897" i="2" a="1"/>
  <c r="AO897" i="2" s="1"/>
  <c r="AY753" i="2" a="1"/>
  <c r="AY753" i="2" s="1"/>
  <c r="AO753" i="2" a="1"/>
  <c r="AO753" i="2" s="1"/>
  <c r="AN753" i="2"/>
  <c r="AY597" i="2" a="1"/>
  <c r="AY597" i="2" s="1"/>
  <c r="AO597" i="2" a="1"/>
  <c r="AO597" i="2" s="1"/>
  <c r="AN597" i="2"/>
  <c r="AY417" i="2" a="1"/>
  <c r="AY417" i="2" s="1"/>
  <c r="AO417" i="2" a="1"/>
  <c r="AO417" i="2" s="1"/>
  <c r="AN417" i="2"/>
  <c r="AY297" i="2" a="1"/>
  <c r="AY297" i="2" s="1"/>
  <c r="AO297" i="2" a="1"/>
  <c r="AO297" i="2" s="1"/>
  <c r="AN297" i="2"/>
  <c r="AY105" i="2" a="1"/>
  <c r="AY105" i="2" s="1"/>
  <c r="AN105" i="2"/>
  <c r="AO105" i="2" a="1"/>
  <c r="AO105" i="2" s="1"/>
  <c r="AS1061" i="2" a="1"/>
  <c r="AS1061" i="2" s="1"/>
  <c r="AW1061" i="2" s="1"/>
  <c r="AR1061" i="2"/>
  <c r="AT1061" i="2" s="1"/>
  <c r="AP1061" i="2"/>
  <c r="AS977" i="2" a="1"/>
  <c r="AS977" i="2" s="1"/>
  <c r="AW977" i="2" s="1"/>
  <c r="AR977" i="2"/>
  <c r="AT977" i="2" s="1"/>
  <c r="AP977" i="2"/>
  <c r="AS869" i="2" a="1"/>
  <c r="AS869" i="2" s="1"/>
  <c r="AW869" i="2" s="1"/>
  <c r="AR869" i="2"/>
  <c r="AT869" i="2" s="1"/>
  <c r="AP869" i="2"/>
  <c r="AS773" i="2" a="1"/>
  <c r="AS773" i="2" s="1"/>
  <c r="AW773" i="2" s="1"/>
  <c r="AR773" i="2"/>
  <c r="AT773" i="2" s="1"/>
  <c r="AP773" i="2"/>
  <c r="AS677" i="2" a="1"/>
  <c r="AS677" i="2" s="1"/>
  <c r="AW677" i="2" s="1"/>
  <c r="AR677" i="2"/>
  <c r="AT677" i="2" s="1"/>
  <c r="AP677" i="2"/>
  <c r="AS617" i="2" a="1"/>
  <c r="AS617" i="2" s="1"/>
  <c r="AW617" i="2" s="1"/>
  <c r="AR617" i="2"/>
  <c r="AT617" i="2" s="1"/>
  <c r="AP617" i="2"/>
  <c r="AR557" i="2"/>
  <c r="AT557" i="2" s="1"/>
  <c r="AS557" i="2" a="1"/>
  <c r="AS557" i="2" s="1"/>
  <c r="AW557" i="2" s="1"/>
  <c r="AP557" i="2"/>
  <c r="AS497" i="2" a="1"/>
  <c r="AS497" i="2" s="1"/>
  <c r="AW497" i="2" s="1"/>
  <c r="AR497" i="2"/>
  <c r="AT497" i="2" s="1"/>
  <c r="AP497" i="2"/>
  <c r="AS413" i="2" a="1"/>
  <c r="AS413" i="2" s="1"/>
  <c r="AW413" i="2" s="1"/>
  <c r="AP413" i="2"/>
  <c r="AR413" i="2"/>
  <c r="AT413" i="2" s="1"/>
  <c r="AR353" i="2"/>
  <c r="AT353" i="2" s="1"/>
  <c r="AS353" i="2" a="1"/>
  <c r="AS353" i="2" s="1"/>
  <c r="AW353" i="2" s="1"/>
  <c r="AP353" i="2"/>
  <c r="AS293" i="2" a="1"/>
  <c r="AS293" i="2" s="1"/>
  <c r="AW293" i="2" s="1"/>
  <c r="AP293" i="2"/>
  <c r="AR293" i="2"/>
  <c r="AT293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5" i="2"/>
  <c r="AV1075" i="2"/>
  <c r="AU1027" i="2"/>
  <c r="AV1027" i="2"/>
  <c r="AU991" i="2"/>
  <c r="AV991" i="2"/>
  <c r="AU955" i="2"/>
  <c r="AV955" i="2"/>
  <c r="AU919" i="2"/>
  <c r="AV919" i="2"/>
  <c r="AU871" i="2"/>
  <c r="AV871" i="2"/>
  <c r="AU835" i="2"/>
  <c r="AV835" i="2"/>
  <c r="AV799" i="2"/>
  <c r="AU799" i="2"/>
  <c r="AV763" i="2"/>
  <c r="AU763" i="2"/>
  <c r="AU727" i="2"/>
  <c r="AV727" i="2"/>
  <c r="AV691" i="2"/>
  <c r="AU691" i="2"/>
  <c r="AU655" i="2"/>
  <c r="AV655" i="2"/>
  <c r="AV619" i="2"/>
  <c r="AU619" i="2"/>
  <c r="AU595" i="2"/>
  <c r="AV595" i="2"/>
  <c r="AU559" i="2"/>
  <c r="AV559" i="2"/>
  <c r="AV523" i="2"/>
  <c r="AU523" i="2"/>
  <c r="AV475" i="2"/>
  <c r="AU475" i="2"/>
  <c r="AV439" i="2"/>
  <c r="AU439" i="2"/>
  <c r="AV415" i="2"/>
  <c r="AU415" i="2"/>
  <c r="AU367" i="2"/>
  <c r="AV367" i="2"/>
  <c r="AV319" i="2"/>
  <c r="AU319" i="2"/>
  <c r="AV283" i="2"/>
  <c r="AU283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N773" i="2"/>
  <c r="AO773" i="2" a="1"/>
  <c r="AO773" i="2" s="1"/>
  <c r="AY761" i="2" a="1"/>
  <c r="AY761" i="2" s="1"/>
  <c r="AN761" i="2"/>
  <c r="AO761" i="2" a="1"/>
  <c r="AO761" i="2" s="1"/>
  <c r="AY749" i="2" a="1"/>
  <c r="AY749" i="2" s="1"/>
  <c r="AN749" i="2"/>
  <c r="AO749" i="2" a="1"/>
  <c r="AO749" i="2" s="1"/>
  <c r="AY737" i="2" a="1"/>
  <c r="AY737" i="2" s="1"/>
  <c r="AN737" i="2"/>
  <c r="AO737" i="2" a="1"/>
  <c r="AO737" i="2" s="1"/>
  <c r="AY725" i="2" a="1"/>
  <c r="AY725" i="2" s="1"/>
  <c r="AN725" i="2"/>
  <c r="AO725" i="2" a="1"/>
  <c r="AO725" i="2" s="1"/>
  <c r="AY713" i="2" a="1"/>
  <c r="AY713" i="2" s="1"/>
  <c r="AN713" i="2"/>
  <c r="AO713" i="2" a="1"/>
  <c r="AO713" i="2" s="1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N677" i="2"/>
  <c r="AO677" i="2" a="1"/>
  <c r="AO677" i="2" s="1"/>
  <c r="AY665" i="2" a="1"/>
  <c r="AY665" i="2" s="1"/>
  <c r="AN665" i="2"/>
  <c r="AO665" i="2" a="1"/>
  <c r="AO665" i="2" s="1"/>
  <c r="AY653" i="2" a="1"/>
  <c r="AY653" i="2" s="1"/>
  <c r="AN653" i="2"/>
  <c r="AO653" i="2" a="1"/>
  <c r="AO653" i="2" s="1"/>
  <c r="AY641" i="2" a="1"/>
  <c r="AY641" i="2" s="1"/>
  <c r="AN641" i="2"/>
  <c r="AO641" i="2" a="1"/>
  <c r="AO641" i="2" s="1"/>
  <c r="AY629" i="2" a="1"/>
  <c r="AY629" i="2" s="1"/>
  <c r="AN629" i="2"/>
  <c r="AO629" i="2" a="1"/>
  <c r="AO629" i="2" s="1"/>
  <c r="AY617" i="2" a="1"/>
  <c r="AY617" i="2" s="1"/>
  <c r="AN617" i="2"/>
  <c r="AO617" i="2" a="1"/>
  <c r="AO617" i="2" s="1"/>
  <c r="AY605" i="2" a="1"/>
  <c r="AY605" i="2" s="1"/>
  <c r="AO605" i="2" a="1"/>
  <c r="AO605" i="2" s="1"/>
  <c r="AN605" i="2"/>
  <c r="AY593" i="2" a="1"/>
  <c r="AY593" i="2" s="1"/>
  <c r="AN593" i="2"/>
  <c r="AO593" i="2" a="1"/>
  <c r="AO593" i="2" s="1"/>
  <c r="AY581" i="2" a="1"/>
  <c r="AY581" i="2" s="1"/>
  <c r="AN581" i="2"/>
  <c r="AO581" i="2" a="1"/>
  <c r="AO581" i="2" s="1"/>
  <c r="AY569" i="2" a="1"/>
  <c r="AY569" i="2" s="1"/>
  <c r="AN569" i="2"/>
  <c r="AO569" i="2" a="1"/>
  <c r="AO569" i="2" s="1"/>
  <c r="AY557" i="2" a="1"/>
  <c r="AY557" i="2" s="1"/>
  <c r="AO557" i="2" a="1"/>
  <c r="AO557" i="2" s="1"/>
  <c r="AN557" i="2"/>
  <c r="AY545" i="2" a="1"/>
  <c r="AY545" i="2" s="1"/>
  <c r="AN545" i="2"/>
  <c r="AO545" i="2" a="1"/>
  <c r="AO545" i="2" s="1"/>
  <c r="AY533" i="2" a="1"/>
  <c r="AY533" i="2" s="1"/>
  <c r="AN533" i="2"/>
  <c r="AO533" i="2" a="1"/>
  <c r="AO533" i="2" s="1"/>
  <c r="AY521" i="2" a="1"/>
  <c r="AY521" i="2" s="1"/>
  <c r="AN521" i="2"/>
  <c r="AO521" i="2" a="1"/>
  <c r="AO521" i="2" s="1"/>
  <c r="AY509" i="2" a="1"/>
  <c r="AY509" i="2" s="1"/>
  <c r="AN509" i="2"/>
  <c r="AO509" i="2" a="1"/>
  <c r="AO509" i="2" s="1"/>
  <c r="AY497" i="2" a="1"/>
  <c r="AY497" i="2" s="1"/>
  <c r="AN497" i="2"/>
  <c r="AO497" i="2" a="1"/>
  <c r="AO497" i="2" s="1"/>
  <c r="AY485" i="2" a="1"/>
  <c r="AY485" i="2" s="1"/>
  <c r="AN485" i="2"/>
  <c r="AO485" i="2" a="1"/>
  <c r="AO485" i="2" s="1"/>
  <c r="AY473" i="2" a="1"/>
  <c r="AY473" i="2" s="1"/>
  <c r="AN473" i="2"/>
  <c r="AO473" i="2" a="1"/>
  <c r="AO473" i="2" s="1"/>
  <c r="AY461" i="2" a="1"/>
  <c r="AY461" i="2" s="1"/>
  <c r="AN461" i="2"/>
  <c r="AO461" i="2" a="1"/>
  <c r="AO461" i="2" s="1"/>
  <c r="AY449" i="2" a="1"/>
  <c r="AY449" i="2" s="1"/>
  <c r="AN449" i="2"/>
  <c r="AO449" i="2" a="1"/>
  <c r="AO449" i="2" s="1"/>
  <c r="AY437" i="2" a="1"/>
  <c r="AY437" i="2" s="1"/>
  <c r="AO437" i="2" a="1"/>
  <c r="AO437" i="2" s="1"/>
  <c r="AN437" i="2"/>
  <c r="AY425" i="2" a="1"/>
  <c r="AY425" i="2" s="1"/>
  <c r="AN425" i="2"/>
  <c r="AO425" i="2" a="1"/>
  <c r="AO425" i="2" s="1"/>
  <c r="AY413" i="2" a="1"/>
  <c r="AY413" i="2" s="1"/>
  <c r="AN413" i="2"/>
  <c r="AO413" i="2" a="1"/>
  <c r="AO413" i="2" s="1"/>
  <c r="AY401" i="2" a="1"/>
  <c r="AY401" i="2" s="1"/>
  <c r="AN401" i="2"/>
  <c r="AO401" i="2" a="1"/>
  <c r="AO401" i="2" s="1"/>
  <c r="AY389" i="2" a="1"/>
  <c r="AY389" i="2" s="1"/>
  <c r="AN389" i="2"/>
  <c r="AO389" i="2" a="1"/>
  <c r="AO389" i="2" s="1"/>
  <c r="AY377" i="2" a="1"/>
  <c r="AY377" i="2" s="1"/>
  <c r="AN377" i="2"/>
  <c r="AO377" i="2" a="1"/>
  <c r="AO377" i="2" s="1"/>
  <c r="AY365" i="2" a="1"/>
  <c r="AY365" i="2" s="1"/>
  <c r="AN365" i="2"/>
  <c r="AO365" i="2" a="1"/>
  <c r="AO365" i="2" s="1"/>
  <c r="AY353" i="2" a="1"/>
  <c r="AY353" i="2" s="1"/>
  <c r="AN353" i="2"/>
  <c r="AO353" i="2" a="1"/>
  <c r="AO353" i="2" s="1"/>
  <c r="AY341" i="2" a="1"/>
  <c r="AY341" i="2" s="1"/>
  <c r="AN341" i="2"/>
  <c r="AO341" i="2" a="1"/>
  <c r="AO341" i="2" s="1"/>
  <c r="AY329" i="2" a="1"/>
  <c r="AY329" i="2" s="1"/>
  <c r="AO329" i="2" a="1"/>
  <c r="AO329" i="2" s="1"/>
  <c r="AN329" i="2"/>
  <c r="AY317" i="2" a="1"/>
  <c r="AY317" i="2" s="1"/>
  <c r="AN317" i="2"/>
  <c r="AO317" i="2" a="1"/>
  <c r="AO317" i="2" s="1"/>
  <c r="AY305" i="2" a="1"/>
  <c r="AY305" i="2" s="1"/>
  <c r="AN305" i="2"/>
  <c r="AO305" i="2" a="1"/>
  <c r="AO305" i="2" s="1"/>
  <c r="AY293" i="2" a="1"/>
  <c r="AY293" i="2" s="1"/>
  <c r="AN293" i="2"/>
  <c r="AO293" i="2" a="1"/>
  <c r="AO293" i="2" s="1"/>
  <c r="AY281" i="2" a="1"/>
  <c r="AY281" i="2" s="1"/>
  <c r="AN281" i="2"/>
  <c r="AO281" i="2" a="1"/>
  <c r="AO281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1" i="2" a="1"/>
  <c r="AS941" i="2" s="1"/>
  <c r="AW941" i="2" s="1"/>
  <c r="AR941" i="2"/>
  <c r="AT941" i="2" s="1"/>
  <c r="AP941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O772" i="2" a="1"/>
  <c r="AO772" i="2" s="1"/>
  <c r="AN772" i="2"/>
  <c r="AY760" i="2" a="1"/>
  <c r="AY760" i="2" s="1"/>
  <c r="AO760" i="2" a="1"/>
  <c r="AO760" i="2" s="1"/>
  <c r="AN760" i="2"/>
  <c r="AY748" i="2" a="1"/>
  <c r="AY748" i="2" s="1"/>
  <c r="AO748" i="2" a="1"/>
  <c r="AO748" i="2" s="1"/>
  <c r="AN748" i="2"/>
  <c r="AY736" i="2" a="1"/>
  <c r="AY736" i="2" s="1"/>
  <c r="AO736" i="2" a="1"/>
  <c r="AO736" i="2" s="1"/>
  <c r="AN736" i="2"/>
  <c r="AY724" i="2" a="1"/>
  <c r="AY724" i="2" s="1"/>
  <c r="AO724" i="2" a="1"/>
  <c r="AO724" i="2" s="1"/>
  <c r="AN724" i="2"/>
  <c r="AY712" i="2" a="1"/>
  <c r="AY712" i="2" s="1"/>
  <c r="AO712" i="2" a="1"/>
  <c r="AO712" i="2" s="1"/>
  <c r="AN712" i="2"/>
  <c r="AY700" i="2" a="1"/>
  <c r="AY700" i="2" s="1"/>
  <c r="AO700" i="2" a="1"/>
  <c r="AO700" i="2" s="1"/>
  <c r="AN700" i="2"/>
  <c r="AY688" i="2" a="1"/>
  <c r="AY688" i="2" s="1"/>
  <c r="AO688" i="2" a="1"/>
  <c r="AO688" i="2" s="1"/>
  <c r="AN688" i="2"/>
  <c r="AY676" i="2" a="1"/>
  <c r="AY676" i="2" s="1"/>
  <c r="AO676" i="2" a="1"/>
  <c r="AO676" i="2" s="1"/>
  <c r="AN676" i="2"/>
  <c r="AY664" i="2" a="1"/>
  <c r="AY664" i="2" s="1"/>
  <c r="AO664" i="2" a="1"/>
  <c r="AO664" i="2" s="1"/>
  <c r="AN664" i="2"/>
  <c r="AY652" i="2" a="1"/>
  <c r="AY652" i="2" s="1"/>
  <c r="AO652" i="2" a="1"/>
  <c r="AO652" i="2" s="1"/>
  <c r="AN652" i="2"/>
  <c r="AY640" i="2" a="1"/>
  <c r="AY640" i="2" s="1"/>
  <c r="AO640" i="2" a="1"/>
  <c r="AO640" i="2" s="1"/>
  <c r="AN640" i="2"/>
  <c r="AY628" i="2" a="1"/>
  <c r="AY628" i="2" s="1"/>
  <c r="AO628" i="2" a="1"/>
  <c r="AO628" i="2" s="1"/>
  <c r="AN628" i="2"/>
  <c r="AY616" i="2" a="1"/>
  <c r="AY616" i="2" s="1"/>
  <c r="AO616" i="2" a="1"/>
  <c r="AO616" i="2" s="1"/>
  <c r="AN616" i="2"/>
  <c r="AY604" i="2" a="1"/>
  <c r="AY604" i="2" s="1"/>
  <c r="AO604" i="2" a="1"/>
  <c r="AO604" i="2" s="1"/>
  <c r="AN604" i="2"/>
  <c r="AY592" i="2" a="1"/>
  <c r="AY592" i="2" s="1"/>
  <c r="AO592" i="2" a="1"/>
  <c r="AO592" i="2" s="1"/>
  <c r="AN592" i="2"/>
  <c r="AY580" i="2" a="1"/>
  <c r="AY580" i="2" s="1"/>
  <c r="AO580" i="2" a="1"/>
  <c r="AO580" i="2" s="1"/>
  <c r="AN580" i="2"/>
  <c r="AY568" i="2" a="1"/>
  <c r="AY568" i="2" s="1"/>
  <c r="AO568" i="2" a="1"/>
  <c r="AO568" i="2" s="1"/>
  <c r="AN568" i="2"/>
  <c r="AY556" i="2" a="1"/>
  <c r="AY556" i="2" s="1"/>
  <c r="AO556" i="2" a="1"/>
  <c r="AO556" i="2" s="1"/>
  <c r="AN556" i="2"/>
  <c r="AY544" i="2" a="1"/>
  <c r="AY544" i="2" s="1"/>
  <c r="AO544" i="2" a="1"/>
  <c r="AO544" i="2" s="1"/>
  <c r="AN544" i="2"/>
  <c r="AY532" i="2" a="1"/>
  <c r="AY532" i="2" s="1"/>
  <c r="AO532" i="2" a="1"/>
  <c r="AO532" i="2" s="1"/>
  <c r="AN532" i="2"/>
  <c r="AY520" i="2" a="1"/>
  <c r="AY520" i="2" s="1"/>
  <c r="AO520" i="2" a="1"/>
  <c r="AO520" i="2" s="1"/>
  <c r="AN520" i="2"/>
  <c r="AY508" i="2" a="1"/>
  <c r="AY508" i="2" s="1"/>
  <c r="AO508" i="2" a="1"/>
  <c r="AO508" i="2" s="1"/>
  <c r="AN508" i="2"/>
  <c r="AY496" i="2" a="1"/>
  <c r="AY496" i="2" s="1"/>
  <c r="AO496" i="2" a="1"/>
  <c r="AO496" i="2" s="1"/>
  <c r="AN496" i="2"/>
  <c r="AY484" i="2" a="1"/>
  <c r="AY484" i="2" s="1"/>
  <c r="AO484" i="2" a="1"/>
  <c r="AO484" i="2" s="1"/>
  <c r="AN484" i="2"/>
  <c r="AY472" i="2" a="1"/>
  <c r="AY472" i="2" s="1"/>
  <c r="AO472" i="2" a="1"/>
  <c r="AO472" i="2" s="1"/>
  <c r="AN472" i="2"/>
  <c r="AY460" i="2" a="1"/>
  <c r="AY460" i="2" s="1"/>
  <c r="AO460" i="2" a="1"/>
  <c r="AO460" i="2" s="1"/>
  <c r="AN460" i="2"/>
  <c r="AY448" i="2" a="1"/>
  <c r="AY448" i="2" s="1"/>
  <c r="AO448" i="2" a="1"/>
  <c r="AO448" i="2" s="1"/>
  <c r="AN448" i="2"/>
  <c r="AY436" i="2" a="1"/>
  <c r="AY436" i="2" s="1"/>
  <c r="AO436" i="2" a="1"/>
  <c r="AO436" i="2" s="1"/>
  <c r="AN436" i="2"/>
  <c r="AY424" i="2" a="1"/>
  <c r="AY424" i="2" s="1"/>
  <c r="AO424" i="2" a="1"/>
  <c r="AO424" i="2" s="1"/>
  <c r="AN424" i="2"/>
  <c r="AY412" i="2" a="1"/>
  <c r="AY412" i="2" s="1"/>
  <c r="AO412" i="2" a="1"/>
  <c r="AO412" i="2" s="1"/>
  <c r="AN412" i="2"/>
  <c r="AY400" i="2" a="1"/>
  <c r="AY400" i="2" s="1"/>
  <c r="AO400" i="2" a="1"/>
  <c r="AO400" i="2" s="1"/>
  <c r="AN400" i="2"/>
  <c r="AY388" i="2" a="1"/>
  <c r="AY388" i="2" s="1"/>
  <c r="AO388" i="2" a="1"/>
  <c r="AO388" i="2" s="1"/>
  <c r="AN388" i="2"/>
  <c r="AY376" i="2" a="1"/>
  <c r="AY376" i="2" s="1"/>
  <c r="AO376" i="2" a="1"/>
  <c r="AO376" i="2" s="1"/>
  <c r="AN376" i="2"/>
  <c r="AY364" i="2" a="1"/>
  <c r="AY364" i="2" s="1"/>
  <c r="AO364" i="2" a="1"/>
  <c r="AO364" i="2" s="1"/>
  <c r="AN364" i="2"/>
  <c r="AY352" i="2" a="1"/>
  <c r="AY352" i="2" s="1"/>
  <c r="AO352" i="2" a="1"/>
  <c r="AO352" i="2" s="1"/>
  <c r="AN352" i="2"/>
  <c r="AY340" i="2" a="1"/>
  <c r="AY340" i="2" s="1"/>
  <c r="AO340" i="2" a="1"/>
  <c r="AO340" i="2" s="1"/>
  <c r="AN340" i="2"/>
  <c r="AY328" i="2" a="1"/>
  <c r="AY328" i="2" s="1"/>
  <c r="AO328" i="2" a="1"/>
  <c r="AO328" i="2" s="1"/>
  <c r="AN328" i="2"/>
  <c r="AY316" i="2" a="1"/>
  <c r="AY316" i="2" s="1"/>
  <c r="AO316" i="2" a="1"/>
  <c r="AO316" i="2" s="1"/>
  <c r="AN316" i="2"/>
  <c r="AY304" i="2" a="1"/>
  <c r="AY304" i="2" s="1"/>
  <c r="AO304" i="2" a="1"/>
  <c r="AO304" i="2" s="1"/>
  <c r="AN304" i="2"/>
  <c r="AY292" i="2" a="1"/>
  <c r="AY292" i="2" s="1"/>
  <c r="AN292" i="2"/>
  <c r="AO292" i="2" a="1"/>
  <c r="AO292" i="2" s="1"/>
  <c r="AY280" i="2" a="1"/>
  <c r="AY280" i="2" s="1"/>
  <c r="AO280" i="2" a="1"/>
  <c r="AO280" i="2" s="1"/>
  <c r="AN280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1" i="2" a="1"/>
  <c r="AY1041" i="2" s="1"/>
  <c r="AO1041" i="2" a="1"/>
  <c r="AO1041" i="2" s="1"/>
  <c r="AN1041" i="2"/>
  <c r="AY909" i="2" a="1"/>
  <c r="AY909" i="2" s="1"/>
  <c r="AO909" i="2" a="1"/>
  <c r="AO909" i="2" s="1"/>
  <c r="AN909" i="2"/>
  <c r="AY777" i="2" a="1"/>
  <c r="AY777" i="2" s="1"/>
  <c r="AN777" i="2"/>
  <c r="AO777" i="2" a="1"/>
  <c r="AO777" i="2" s="1"/>
  <c r="AY657" i="2" a="1"/>
  <c r="AY657" i="2" s="1"/>
  <c r="AO657" i="2" a="1"/>
  <c r="AO657" i="2" s="1"/>
  <c r="AN657" i="2"/>
  <c r="AY501" i="2" a="1"/>
  <c r="AY501" i="2" s="1"/>
  <c r="AN501" i="2"/>
  <c r="AO501" i="2" a="1"/>
  <c r="AO501" i="2" s="1"/>
  <c r="AY333" i="2" a="1"/>
  <c r="AY333" i="2" s="1"/>
  <c r="AN333" i="2"/>
  <c r="AO333" i="2" a="1"/>
  <c r="AO333" i="2" s="1"/>
  <c r="AY153" i="2" a="1"/>
  <c r="AY153" i="2" s="1"/>
  <c r="AN153" i="2"/>
  <c r="AO153" i="2" a="1"/>
  <c r="AO153" i="2" s="1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O291" i="2" a="1"/>
  <c r="AO291" i="2" s="1"/>
  <c r="AN291" i="2"/>
  <c r="AY279" i="2" a="1"/>
  <c r="AY279" i="2" s="1"/>
  <c r="AO279" i="2" a="1"/>
  <c r="AO279" i="2" s="1"/>
  <c r="AN279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3" i="2" a="1"/>
  <c r="AY1053" i="2" s="1"/>
  <c r="AO1053" i="2" a="1"/>
  <c r="AO1053" i="2" s="1"/>
  <c r="AN1053" i="2"/>
  <c r="AY969" i="2" a="1"/>
  <c r="AY969" i="2" s="1"/>
  <c r="AO969" i="2" a="1"/>
  <c r="AO969" i="2" s="1"/>
  <c r="AN969" i="2"/>
  <c r="AY873" i="2" a="1"/>
  <c r="AY873" i="2" s="1"/>
  <c r="AO873" i="2" a="1"/>
  <c r="AO873" i="2" s="1"/>
  <c r="AN873" i="2"/>
  <c r="AY789" i="2" a="1"/>
  <c r="AY789" i="2" s="1"/>
  <c r="AO789" i="2" a="1"/>
  <c r="AO789" i="2" s="1"/>
  <c r="AN789" i="2"/>
  <c r="AY681" i="2" a="1"/>
  <c r="AY681" i="2" s="1"/>
  <c r="AO681" i="2" a="1"/>
  <c r="AO681" i="2" s="1"/>
  <c r="AN681" i="2"/>
  <c r="AY561" i="2" a="1"/>
  <c r="AY561" i="2" s="1"/>
  <c r="AO561" i="2" a="1"/>
  <c r="AO561" i="2" s="1"/>
  <c r="AN561" i="2"/>
  <c r="AY453" i="2" a="1"/>
  <c r="AY453" i="2" s="1"/>
  <c r="AN453" i="2"/>
  <c r="AO453" i="2" a="1"/>
  <c r="AO453" i="2" s="1"/>
  <c r="AY357" i="2" a="1"/>
  <c r="AY357" i="2" s="1"/>
  <c r="AO357" i="2" a="1"/>
  <c r="AO357" i="2" s="1"/>
  <c r="AN357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3" i="2" a="1"/>
  <c r="AS1073" i="2" s="1"/>
  <c r="AW1073" i="2" s="1"/>
  <c r="AR1073" i="2"/>
  <c r="AT1073" i="2" s="1"/>
  <c r="AP1073" i="2"/>
  <c r="AS1049" i="2" a="1"/>
  <c r="AS1049" i="2" s="1"/>
  <c r="AW1049" i="2" s="1"/>
  <c r="AR1049" i="2"/>
  <c r="AT1049" i="2" s="1"/>
  <c r="AP1049" i="2"/>
  <c r="AS1001" i="2" a="1"/>
  <c r="AS1001" i="2" s="1"/>
  <c r="AW1001" i="2" s="1"/>
  <c r="AR1001" i="2"/>
  <c r="AT1001" i="2" s="1"/>
  <c r="AP1001" i="2"/>
  <c r="AS905" i="2" a="1"/>
  <c r="AS905" i="2" s="1"/>
  <c r="AW905" i="2" s="1"/>
  <c r="AR905" i="2"/>
  <c r="AT905" i="2" s="1"/>
  <c r="AP905" i="2"/>
  <c r="AS857" i="2" a="1"/>
  <c r="AS857" i="2" s="1"/>
  <c r="AW857" i="2" s="1"/>
  <c r="AR857" i="2"/>
  <c r="AT857" i="2" s="1"/>
  <c r="AP857" i="2"/>
  <c r="AS809" i="2" a="1"/>
  <c r="AS809" i="2" s="1"/>
  <c r="AW809" i="2" s="1"/>
  <c r="AR809" i="2"/>
  <c r="AT809" i="2" s="1"/>
  <c r="AP809" i="2"/>
  <c r="AR725" i="2"/>
  <c r="AT725" i="2" s="1"/>
  <c r="AS725" i="2" a="1"/>
  <c r="AS725" i="2" s="1"/>
  <c r="AW725" i="2" s="1"/>
  <c r="AP725" i="2"/>
  <c r="AR509" i="2"/>
  <c r="AT509" i="2" s="1"/>
  <c r="AS509" i="2" a="1"/>
  <c r="AS509" i="2" s="1"/>
  <c r="AW509" i="2" s="1"/>
  <c r="AP509" i="2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N962" i="2"/>
  <c r="AO962" i="2" a="1"/>
  <c r="AO962" i="2" s="1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N590" i="2"/>
  <c r="AO590" i="2" a="1"/>
  <c r="AO590" i="2" s="1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N470" i="2"/>
  <c r="AO470" i="2" a="1"/>
  <c r="AO470" i="2" s="1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R1065" i="2"/>
  <c r="AT1065" i="2" s="1"/>
  <c r="AS1065" i="2" a="1"/>
  <c r="AS1065" i="2" s="1"/>
  <c r="AW1065" i="2" s="1"/>
  <c r="AP1065" i="2"/>
  <c r="AP1053" i="2"/>
  <c r="AS1053" i="2" a="1"/>
  <c r="AS1053" i="2" s="1"/>
  <c r="AW1053" i="2" s="1"/>
  <c r="AR1053" i="2"/>
  <c r="AT1053" i="2" s="1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R993" i="2"/>
  <c r="AT993" i="2" s="1"/>
  <c r="AS993" i="2" a="1"/>
  <c r="AS993" i="2" s="1"/>
  <c r="AW993" i="2" s="1"/>
  <c r="AP993" i="2"/>
  <c r="AS981" i="2" a="1"/>
  <c r="AS981" i="2" s="1"/>
  <c r="AW981" i="2" s="1"/>
  <c r="AR981" i="2"/>
  <c r="AT981" i="2" s="1"/>
  <c r="AP981" i="2"/>
  <c r="AS969" i="2" a="1"/>
  <c r="AS969" i="2" s="1"/>
  <c r="AW969" i="2" s="1"/>
  <c r="AR969" i="2"/>
  <c r="AT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S933" i="2" a="1"/>
  <c r="AS933" i="2" s="1"/>
  <c r="AW933" i="2" s="1"/>
  <c r="AR933" i="2"/>
  <c r="AT933" i="2" s="1"/>
  <c r="AP933" i="2"/>
  <c r="AS921" i="2" a="1"/>
  <c r="AS921" i="2" s="1"/>
  <c r="AW921" i="2" s="1"/>
  <c r="AR921" i="2"/>
  <c r="AT921" i="2" s="1"/>
  <c r="AP921" i="2"/>
  <c r="AS909" i="2" a="1"/>
  <c r="AS909" i="2" s="1"/>
  <c r="AW909" i="2" s="1"/>
  <c r="AR909" i="2"/>
  <c r="AT909" i="2" s="1"/>
  <c r="AP909" i="2"/>
  <c r="AR897" i="2"/>
  <c r="AT897" i="2" s="1"/>
  <c r="AS897" i="2" a="1"/>
  <c r="AS897" i="2" s="1"/>
  <c r="AW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S861" i="2" a="1"/>
  <c r="AS861" i="2" s="1"/>
  <c r="AW861" i="2" s="1"/>
  <c r="AR861" i="2"/>
  <c r="AT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S813" i="2" a="1"/>
  <c r="AS813" i="2" s="1"/>
  <c r="AW813" i="2" s="1"/>
  <c r="AR813" i="2"/>
  <c r="AT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R777" i="2"/>
  <c r="AT777" i="2" s="1"/>
  <c r="AS777" i="2" a="1"/>
  <c r="AS777" i="2" s="1"/>
  <c r="AW777" i="2" s="1"/>
  <c r="AP777" i="2"/>
  <c r="AS765" i="2" a="1"/>
  <c r="AS765" i="2" s="1"/>
  <c r="AW765" i="2" s="1"/>
  <c r="AR765" i="2"/>
  <c r="AT765" i="2" s="1"/>
  <c r="AP765" i="2"/>
  <c r="AR753" i="2"/>
  <c r="AT753" i="2" s="1"/>
  <c r="AS753" i="2" a="1"/>
  <c r="AS753" i="2" s="1"/>
  <c r="AW753" i="2" s="1"/>
  <c r="AP753" i="2"/>
  <c r="AS741" i="2" a="1"/>
  <c r="AS741" i="2" s="1"/>
  <c r="AW741" i="2" s="1"/>
  <c r="AR741" i="2"/>
  <c r="AT741" i="2" s="1"/>
  <c r="AP741" i="2"/>
  <c r="AS729" i="2" a="1"/>
  <c r="AS729" i="2" s="1"/>
  <c r="AW729" i="2" s="1"/>
  <c r="AR729" i="2"/>
  <c r="AT729" i="2" s="1"/>
  <c r="AP729" i="2"/>
  <c r="AR717" i="2"/>
  <c r="AT717" i="2" s="1"/>
  <c r="AS717" i="2" a="1"/>
  <c r="AS717" i="2" s="1"/>
  <c r="AW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S645" i="2" a="1"/>
  <c r="AS645" i="2" s="1"/>
  <c r="AW645" i="2" s="1"/>
  <c r="AR645" i="2"/>
  <c r="AT645" i="2" s="1"/>
  <c r="AP645" i="2"/>
  <c r="AR633" i="2"/>
  <c r="AT633" i="2" s="1"/>
  <c r="AS633" i="2" a="1"/>
  <c r="AS633" i="2" s="1"/>
  <c r="AW633" i="2" s="1"/>
  <c r="AP633" i="2"/>
  <c r="AS621" i="2" a="1"/>
  <c r="AS621" i="2" s="1"/>
  <c r="AW621" i="2" s="1"/>
  <c r="AR621" i="2"/>
  <c r="AT621" i="2" s="1"/>
  <c r="AP621" i="2"/>
  <c r="AR609" i="2"/>
  <c r="AT609" i="2" s="1"/>
  <c r="AS609" i="2" a="1"/>
  <c r="AS609" i="2" s="1"/>
  <c r="AW609" i="2" s="1"/>
  <c r="AP609" i="2"/>
  <c r="AR597" i="2"/>
  <c r="AT597" i="2" s="1"/>
  <c r="AS597" i="2" a="1"/>
  <c r="AS597" i="2" s="1"/>
  <c r="AW597" i="2" s="1"/>
  <c r="AP597" i="2"/>
  <c r="AS585" i="2" a="1"/>
  <c r="AS585" i="2" s="1"/>
  <c r="AW585" i="2" s="1"/>
  <c r="AR585" i="2"/>
  <c r="AT585" i="2" s="1"/>
  <c r="AP585" i="2"/>
  <c r="AS573" i="2" a="1"/>
  <c r="AS573" i="2" s="1"/>
  <c r="AW573" i="2" s="1"/>
  <c r="AR573" i="2"/>
  <c r="AT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S537" i="2" a="1"/>
  <c r="AS537" i="2" s="1"/>
  <c r="AW537" i="2" s="1"/>
  <c r="AR537" i="2"/>
  <c r="AT537" i="2" s="1"/>
  <c r="AP537" i="2"/>
  <c r="AS525" i="2" a="1"/>
  <c r="AS525" i="2" s="1"/>
  <c r="AW525" i="2" s="1"/>
  <c r="AR525" i="2"/>
  <c r="AT525" i="2" s="1"/>
  <c r="AP525" i="2"/>
  <c r="AS513" i="2" a="1"/>
  <c r="AS513" i="2" s="1"/>
  <c r="AW513" i="2" s="1"/>
  <c r="AR513" i="2"/>
  <c r="AT513" i="2" s="1"/>
  <c r="AP513" i="2"/>
  <c r="AS501" i="2" a="1"/>
  <c r="AS501" i="2" s="1"/>
  <c r="AW501" i="2" s="1"/>
  <c r="AR501" i="2"/>
  <c r="AT501" i="2" s="1"/>
  <c r="AP501" i="2"/>
  <c r="AR489" i="2"/>
  <c r="AT489" i="2" s="1"/>
  <c r="AS489" i="2" a="1"/>
  <c r="AS489" i="2" s="1"/>
  <c r="AW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P465" i="2"/>
  <c r="AR465" i="2"/>
  <c r="AT465" i="2" s="1"/>
  <c r="AS453" i="2" a="1"/>
  <c r="AS453" i="2" s="1"/>
  <c r="AW453" i="2" s="1"/>
  <c r="AR453" i="2"/>
  <c r="AT453" i="2" s="1"/>
  <c r="AP453" i="2"/>
  <c r="AS441" i="2" a="1"/>
  <c r="AS441" i="2" s="1"/>
  <c r="AW441" i="2" s="1"/>
  <c r="AP441" i="2"/>
  <c r="AR441" i="2"/>
  <c r="AT441" i="2" s="1"/>
  <c r="AR429" i="2"/>
  <c r="AT429" i="2" s="1"/>
  <c r="AS429" i="2" a="1"/>
  <c r="AS429" i="2" s="1"/>
  <c r="AW429" i="2" s="1"/>
  <c r="AP429" i="2"/>
  <c r="AR417" i="2"/>
  <c r="AT417" i="2" s="1"/>
  <c r="AS417" i="2" a="1"/>
  <c r="AS417" i="2" s="1"/>
  <c r="AW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R381" i="2"/>
  <c r="AT381" i="2" s="1"/>
  <c r="AS381" i="2" a="1"/>
  <c r="AS381" i="2" s="1"/>
  <c r="AW381" i="2" s="1"/>
  <c r="AP381" i="2"/>
  <c r="AS369" i="2" a="1"/>
  <c r="AS369" i="2" s="1"/>
  <c r="AW369" i="2" s="1"/>
  <c r="AR369" i="2"/>
  <c r="AT369" i="2" s="1"/>
  <c r="AP369" i="2"/>
  <c r="AS357" i="2" a="1"/>
  <c r="AS357" i="2" s="1"/>
  <c r="AW357" i="2" s="1"/>
  <c r="AR357" i="2"/>
  <c r="AT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R321" i="2"/>
  <c r="AT321" i="2" s="1"/>
  <c r="AS321" i="2" a="1"/>
  <c r="AS321" i="2" s="1"/>
  <c r="AW321" i="2" s="1"/>
  <c r="AP321" i="2"/>
  <c r="AS309" i="2" a="1"/>
  <c r="AS309" i="2" s="1"/>
  <c r="AW309" i="2" s="1"/>
  <c r="AR309" i="2"/>
  <c r="AT309" i="2" s="1"/>
  <c r="AP309" i="2"/>
  <c r="AS297" i="2" a="1"/>
  <c r="AS297" i="2" s="1"/>
  <c r="AW297" i="2" s="1"/>
  <c r="AR297" i="2"/>
  <c r="AT297" i="2" s="1"/>
  <c r="AP297" i="2"/>
  <c r="AS285" i="2" a="1"/>
  <c r="AS285" i="2" s="1"/>
  <c r="AW285" i="2" s="1"/>
  <c r="AR285" i="2"/>
  <c r="AT285" i="2" s="1"/>
  <c r="AP285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1" i="2"/>
  <c r="AV1091" i="2"/>
  <c r="AU1079" i="2"/>
  <c r="AV1079" i="2"/>
  <c r="AU1067" i="2"/>
  <c r="AV1067" i="2"/>
  <c r="AU1055" i="2"/>
  <c r="AV1055" i="2"/>
  <c r="AU1043" i="2"/>
  <c r="AV1043" i="2"/>
  <c r="AU1031" i="2"/>
  <c r="AV1031" i="2"/>
  <c r="AU1019" i="2"/>
  <c r="AV1019" i="2"/>
  <c r="AU1007" i="2"/>
  <c r="AV1007" i="2"/>
  <c r="AU995" i="2"/>
  <c r="AV995" i="2"/>
  <c r="AU983" i="2"/>
  <c r="AV983" i="2"/>
  <c r="AU971" i="2"/>
  <c r="AV971" i="2"/>
  <c r="AU959" i="2"/>
  <c r="AV959" i="2"/>
  <c r="AU947" i="2"/>
  <c r="AV947" i="2"/>
  <c r="AU935" i="2"/>
  <c r="AV935" i="2"/>
  <c r="AU923" i="2"/>
  <c r="AV923" i="2"/>
  <c r="AU911" i="2"/>
  <c r="AV911" i="2"/>
  <c r="AU899" i="2"/>
  <c r="AV899" i="2"/>
  <c r="AU887" i="2"/>
  <c r="AV887" i="2"/>
  <c r="AU875" i="2"/>
  <c r="AV875" i="2"/>
  <c r="AU863" i="2"/>
  <c r="AV863" i="2"/>
  <c r="AU851" i="2"/>
  <c r="AV851" i="2"/>
  <c r="AU839" i="2"/>
  <c r="AV839" i="2"/>
  <c r="AV827" i="2"/>
  <c r="AU827" i="2"/>
  <c r="AV815" i="2"/>
  <c r="AU815" i="2"/>
  <c r="AV803" i="2"/>
  <c r="AU803" i="2"/>
  <c r="AV791" i="2"/>
  <c r="AU791" i="2"/>
  <c r="AU779" i="2"/>
  <c r="AV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U623" i="2"/>
  <c r="AV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U527" i="2"/>
  <c r="AV527" i="2"/>
  <c r="AV515" i="2"/>
  <c r="AU515" i="2"/>
  <c r="AV503" i="2"/>
  <c r="AU503" i="2"/>
  <c r="AV491" i="2"/>
  <c r="AU491" i="2"/>
  <c r="AV479" i="2"/>
  <c r="AU479" i="2"/>
  <c r="AU467" i="2"/>
  <c r="AV467" i="2"/>
  <c r="AU455" i="2"/>
  <c r="AV455" i="2"/>
  <c r="AV443" i="2"/>
  <c r="AU443" i="2"/>
  <c r="AU431" i="2"/>
  <c r="AV431" i="2"/>
  <c r="AV419" i="2"/>
  <c r="AU419" i="2"/>
  <c r="AV407" i="2"/>
  <c r="AU407" i="2"/>
  <c r="AV395" i="2"/>
  <c r="AU395" i="2"/>
  <c r="AU383" i="2"/>
  <c r="AV383" i="2"/>
  <c r="AU371" i="2"/>
  <c r="AV371" i="2"/>
  <c r="AU359" i="2"/>
  <c r="AV359" i="2"/>
  <c r="AU347" i="2"/>
  <c r="AV347" i="2"/>
  <c r="AV335" i="2"/>
  <c r="AU335" i="2"/>
  <c r="AV323" i="2"/>
  <c r="AU323" i="2"/>
  <c r="AU311" i="2"/>
  <c r="AV311" i="2"/>
  <c r="AU299" i="2"/>
  <c r="AV299" i="2"/>
  <c r="AV287" i="2"/>
  <c r="AU287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100" i="2" a="1"/>
  <c r="AS1100" i="2" s="1"/>
  <c r="AW1100" i="2" s="1"/>
  <c r="AR1100" i="2"/>
  <c r="AT1100" i="2" s="1"/>
  <c r="AP1100" i="2"/>
  <c r="AR1088" i="2"/>
  <c r="AT1088" i="2" s="1"/>
  <c r="AS1088" i="2" a="1"/>
  <c r="AS1088" i="2" s="1"/>
  <c r="AW1088" i="2" s="1"/>
  <c r="AP1088" i="2"/>
  <c r="AS1076" i="2" a="1"/>
  <c r="AS1076" i="2" s="1"/>
  <c r="AW1076" i="2" s="1"/>
  <c r="AR1076" i="2"/>
  <c r="AT1076" i="2" s="1"/>
  <c r="AP1076" i="2"/>
  <c r="AS1064" i="2" a="1"/>
  <c r="AS1064" i="2" s="1"/>
  <c r="AW1064" i="2" s="1"/>
  <c r="AR1064" i="2"/>
  <c r="AT1064" i="2" s="1"/>
  <c r="AP1064" i="2"/>
  <c r="AR1052" i="2"/>
  <c r="AT1052" i="2" s="1"/>
  <c r="AS1052" i="2" a="1"/>
  <c r="AS1052" i="2" s="1"/>
  <c r="AW1052" i="2" s="1"/>
  <c r="AP1052" i="2"/>
  <c r="AR1040" i="2"/>
  <c r="AT1040" i="2" s="1"/>
  <c r="AS1040" i="2" a="1"/>
  <c r="AS1040" i="2" s="1"/>
  <c r="AW1040" i="2" s="1"/>
  <c r="AP1040" i="2"/>
  <c r="AR1028" i="2"/>
  <c r="AT1028" i="2" s="1"/>
  <c r="AS1028" i="2" a="1"/>
  <c r="AS1028" i="2" s="1"/>
  <c r="AW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S992" i="2" a="1"/>
  <c r="AS992" i="2" s="1"/>
  <c r="AW992" i="2" s="1"/>
  <c r="AR992" i="2"/>
  <c r="AT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R932" i="2"/>
  <c r="AT932" i="2" s="1"/>
  <c r="AS932" i="2" a="1"/>
  <c r="AS932" i="2" s="1"/>
  <c r="AW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S896" i="2" a="1"/>
  <c r="AS896" i="2" s="1"/>
  <c r="AW896" i="2" s="1"/>
  <c r="AR896" i="2"/>
  <c r="AT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R824" i="2"/>
  <c r="AT824" i="2" s="1"/>
  <c r="AS824" i="2" a="1"/>
  <c r="AS824" i="2" s="1"/>
  <c r="AW824" i="2" s="1"/>
  <c r="AP824" i="2"/>
  <c r="AS812" i="2" a="1"/>
  <c r="AS812" i="2" s="1"/>
  <c r="AW812" i="2" s="1"/>
  <c r="AR812" i="2"/>
  <c r="AT812" i="2" s="1"/>
  <c r="AP812" i="2"/>
  <c r="AR800" i="2"/>
  <c r="AT800" i="2" s="1"/>
  <c r="AS800" i="2" a="1"/>
  <c r="AS800" i="2" s="1"/>
  <c r="AW800" i="2" s="1"/>
  <c r="AP800" i="2"/>
  <c r="AS788" i="2" a="1"/>
  <c r="AS788" i="2" s="1"/>
  <c r="AW788" i="2" s="1"/>
  <c r="AR788" i="2"/>
  <c r="AT788" i="2" s="1"/>
  <c r="AP788" i="2"/>
  <c r="AS776" i="2" a="1"/>
  <c r="AS776" i="2" s="1"/>
  <c r="AW776" i="2" s="1"/>
  <c r="AR776" i="2"/>
  <c r="AT776" i="2" s="1"/>
  <c r="AP776" i="2"/>
  <c r="AS764" i="2" a="1"/>
  <c r="AS764" i="2" s="1"/>
  <c r="AW764" i="2" s="1"/>
  <c r="AR764" i="2"/>
  <c r="AT764" i="2" s="1"/>
  <c r="AP764" i="2"/>
  <c r="AS752" i="2" a="1"/>
  <c r="AS752" i="2" s="1"/>
  <c r="AW752" i="2" s="1"/>
  <c r="AR752" i="2"/>
  <c r="AT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R704" i="2"/>
  <c r="AT704" i="2" s="1"/>
  <c r="AP704" i="2"/>
  <c r="AS704" i="2" a="1"/>
  <c r="AS704" i="2" s="1"/>
  <c r="AW704" i="2" s="1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S632" i="2" a="1"/>
  <c r="AS632" i="2" s="1"/>
  <c r="AW632" i="2" s="1"/>
  <c r="AR632" i="2"/>
  <c r="AT632" i="2" s="1"/>
  <c r="AP632" i="2"/>
  <c r="AR620" i="2"/>
  <c r="AT620" i="2" s="1"/>
  <c r="AP620" i="2"/>
  <c r="AS620" i="2" a="1"/>
  <c r="AS620" i="2" s="1"/>
  <c r="AW620" i="2" s="1"/>
  <c r="AS608" i="2" a="1"/>
  <c r="AS608" i="2" s="1"/>
  <c r="AW608" i="2" s="1"/>
  <c r="AR608" i="2"/>
  <c r="AT608" i="2" s="1"/>
  <c r="AP608" i="2"/>
  <c r="AS596" i="2" a="1"/>
  <c r="AS596" i="2" s="1"/>
  <c r="AW596" i="2" s="1"/>
  <c r="AR596" i="2"/>
  <c r="AT596" i="2" s="1"/>
  <c r="AP596" i="2"/>
  <c r="AR584" i="2"/>
  <c r="AT584" i="2" s="1"/>
  <c r="AS584" i="2" a="1"/>
  <c r="AS584" i="2" s="1"/>
  <c r="AW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R524" i="2"/>
  <c r="AT524" i="2" s="1"/>
  <c r="AS524" i="2" a="1"/>
  <c r="AS524" i="2" s="1"/>
  <c r="AW524" i="2" s="1"/>
  <c r="AP524" i="2"/>
  <c r="AR512" i="2"/>
  <c r="AT512" i="2" s="1"/>
  <c r="AS512" i="2" a="1"/>
  <c r="AS512" i="2" s="1"/>
  <c r="AW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R464" i="2"/>
  <c r="AT464" i="2" s="1"/>
  <c r="AP464" i="2"/>
  <c r="AS452" i="2" a="1"/>
  <c r="AS452" i="2" s="1"/>
  <c r="AW452" i="2" s="1"/>
  <c r="AR452" i="2"/>
  <c r="AT452" i="2" s="1"/>
  <c r="AP452" i="2"/>
  <c r="AR440" i="2"/>
  <c r="AT440" i="2" s="1"/>
  <c r="AS440" i="2" a="1"/>
  <c r="AS440" i="2" s="1"/>
  <c r="AW440" i="2" s="1"/>
  <c r="AP440" i="2"/>
  <c r="AS428" i="2" a="1"/>
  <c r="AS428" i="2" s="1"/>
  <c r="AW428" i="2" s="1"/>
  <c r="AR428" i="2"/>
  <c r="AT428" i="2" s="1"/>
  <c r="AP428" i="2"/>
  <c r="AS416" i="2" a="1"/>
  <c r="AS416" i="2" s="1"/>
  <c r="AW416" i="2" s="1"/>
  <c r="AR416" i="2"/>
  <c r="AT416" i="2" s="1"/>
  <c r="AP416" i="2"/>
  <c r="AS404" i="2" a="1"/>
  <c r="AS404" i="2" s="1"/>
  <c r="AW404" i="2" s="1"/>
  <c r="AR404" i="2"/>
  <c r="AT404" i="2" s="1"/>
  <c r="AP404" i="2"/>
  <c r="AS392" i="2" a="1"/>
  <c r="AS392" i="2" s="1"/>
  <c r="AW392" i="2" s="1"/>
  <c r="AR392" i="2"/>
  <c r="AT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P368" i="2"/>
  <c r="AR368" i="2"/>
  <c r="AT368" i="2" s="1"/>
  <c r="AR356" i="2"/>
  <c r="AT356" i="2" s="1"/>
  <c r="AS356" i="2" a="1"/>
  <c r="AS356" i="2" s="1"/>
  <c r="AW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S320" i="2" a="1"/>
  <c r="AS320" i="2" s="1"/>
  <c r="AW320" i="2" s="1"/>
  <c r="AR320" i="2"/>
  <c r="AT320" i="2" s="1"/>
  <c r="AP320" i="2"/>
  <c r="AS308" i="2" a="1"/>
  <c r="AS308" i="2" s="1"/>
  <c r="AW308" i="2" s="1"/>
  <c r="AR308" i="2"/>
  <c r="AT308" i="2" s="1"/>
  <c r="AP308" i="2"/>
  <c r="AR296" i="2"/>
  <c r="AT296" i="2" s="1"/>
  <c r="AS296" i="2" a="1"/>
  <c r="AS296" i="2" s="1"/>
  <c r="AW296" i="2" s="1"/>
  <c r="AP296" i="2"/>
  <c r="AS284" i="2" a="1"/>
  <c r="AS284" i="2" s="1"/>
  <c r="AW284" i="2" s="1"/>
  <c r="AR284" i="2"/>
  <c r="AT284" i="2" s="1"/>
  <c r="AP284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90" i="2"/>
  <c r="AU1090" i="2"/>
  <c r="AV1078" i="2"/>
  <c r="AU1078" i="2"/>
  <c r="AV1066" i="2"/>
  <c r="AU1066" i="2"/>
  <c r="AV1054" i="2"/>
  <c r="AU1054" i="2"/>
  <c r="AV1042" i="2"/>
  <c r="AU1042" i="2"/>
  <c r="AV1030" i="2"/>
  <c r="AU1030" i="2"/>
  <c r="AV1018" i="2"/>
  <c r="AU1018" i="2"/>
  <c r="AV1006" i="2"/>
  <c r="AU1006" i="2"/>
  <c r="AV994" i="2"/>
  <c r="AU994" i="2"/>
  <c r="AV982" i="2"/>
  <c r="AU982" i="2"/>
  <c r="AV970" i="2"/>
  <c r="AU970" i="2"/>
  <c r="AV958" i="2"/>
  <c r="AU958" i="2"/>
  <c r="AV946" i="2"/>
  <c r="AU946" i="2"/>
  <c r="AV934" i="2"/>
  <c r="AU934" i="2"/>
  <c r="AV922" i="2"/>
  <c r="AU922" i="2"/>
  <c r="AV910" i="2"/>
  <c r="AU910" i="2"/>
  <c r="AV898" i="2"/>
  <c r="AU898" i="2"/>
  <c r="AV886" i="2"/>
  <c r="AU886" i="2"/>
  <c r="AV874" i="2"/>
  <c r="AU874" i="2"/>
  <c r="AV862" i="2"/>
  <c r="AU862" i="2"/>
  <c r="AV850" i="2"/>
  <c r="AU850" i="2"/>
  <c r="AV838" i="2"/>
  <c r="AU838" i="2"/>
  <c r="AV826" i="2"/>
  <c r="AU826" i="2"/>
  <c r="AV814" i="2"/>
  <c r="AU814" i="2"/>
  <c r="AV802" i="2"/>
  <c r="AU802" i="2"/>
  <c r="AV790" i="2"/>
  <c r="AU790" i="2"/>
  <c r="AV778" i="2"/>
  <c r="AU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V622" i="2"/>
  <c r="AU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V526" i="2"/>
  <c r="AU526" i="2"/>
  <c r="AV514" i="2"/>
  <c r="AU514" i="2"/>
  <c r="AV502" i="2"/>
  <c r="AU502" i="2"/>
  <c r="AV490" i="2"/>
  <c r="AU490" i="2"/>
  <c r="AV478" i="2"/>
  <c r="AU478" i="2"/>
  <c r="AV466" i="2"/>
  <c r="AU466" i="2"/>
  <c r="AV454" i="2"/>
  <c r="AU454" i="2"/>
  <c r="AU442" i="2"/>
  <c r="AV442" i="2"/>
  <c r="AV430" i="2"/>
  <c r="AU430" i="2"/>
  <c r="AU418" i="2"/>
  <c r="AV418" i="2"/>
  <c r="AV406" i="2"/>
  <c r="AU406" i="2"/>
  <c r="AV394" i="2"/>
  <c r="AU394" i="2"/>
  <c r="AV382" i="2"/>
  <c r="AU382" i="2"/>
  <c r="AV370" i="2"/>
  <c r="AU370" i="2"/>
  <c r="AV358" i="2"/>
  <c r="AU358" i="2"/>
  <c r="AV346" i="2"/>
  <c r="AU346" i="2"/>
  <c r="AV334" i="2"/>
  <c r="AU334" i="2"/>
  <c r="AV322" i="2"/>
  <c r="AU322" i="2"/>
  <c r="AV310" i="2"/>
  <c r="AU310" i="2"/>
  <c r="AV298" i="2"/>
  <c r="AU298" i="2"/>
  <c r="AV286" i="2"/>
  <c r="AU286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9" i="2" a="1"/>
  <c r="AS1099" i="2" s="1"/>
  <c r="AW1099" i="2" s="1"/>
  <c r="AR1099" i="2"/>
  <c r="AT1099" i="2" s="1"/>
  <c r="AP1099" i="2"/>
  <c r="AS1087" i="2" a="1"/>
  <c r="AS1087" i="2" s="1"/>
  <c r="AW1087" i="2" s="1"/>
  <c r="AR1087" i="2"/>
  <c r="AT1087" i="2" s="1"/>
  <c r="AP1087" i="2"/>
  <c r="AR1075" i="2"/>
  <c r="AT1075" i="2" s="1"/>
  <c r="AS1075" i="2" a="1"/>
  <c r="AS1075" i="2" s="1"/>
  <c r="AW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S931" i="2" a="1"/>
  <c r="AS931" i="2" s="1"/>
  <c r="AW931" i="2" s="1"/>
  <c r="AR931" i="2"/>
  <c r="AT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S823" i="2" a="1"/>
  <c r="AS823" i="2" s="1"/>
  <c r="AW823" i="2" s="1"/>
  <c r="AR823" i="2"/>
  <c r="AT823" i="2" s="1"/>
  <c r="AP823" i="2"/>
  <c r="AS811" i="2" a="1"/>
  <c r="AS811" i="2" s="1"/>
  <c r="AW811" i="2" s="1"/>
  <c r="AR811" i="2"/>
  <c r="AT811" i="2" s="1"/>
  <c r="AP811" i="2"/>
  <c r="AS799" i="2" a="1"/>
  <c r="AS799" i="2" s="1"/>
  <c r="AW799" i="2" s="1"/>
  <c r="AR799" i="2"/>
  <c r="AT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S703" i="2" a="1"/>
  <c r="AS703" i="2" s="1"/>
  <c r="AW703" i="2" s="1"/>
  <c r="AR703" i="2"/>
  <c r="AT703" i="2" s="1"/>
  <c r="AP703" i="2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R667" i="2"/>
  <c r="AT667" i="2" s="1"/>
  <c r="AS667" i="2" a="1"/>
  <c r="AS667" i="2" s="1"/>
  <c r="AW667" i="2" s="1"/>
  <c r="AP667" i="2"/>
  <c r="AR655" i="2"/>
  <c r="AT655" i="2" s="1"/>
  <c r="AS655" i="2" a="1"/>
  <c r="AS655" i="2" s="1"/>
  <c r="AW655" i="2" s="1"/>
  <c r="AP655" i="2"/>
  <c r="AR643" i="2"/>
  <c r="AT643" i="2" s="1"/>
  <c r="AS643" i="2" a="1"/>
  <c r="AS643" i="2" s="1"/>
  <c r="AW643" i="2" s="1"/>
  <c r="AP643" i="2"/>
  <c r="AS631" i="2" a="1"/>
  <c r="AS631" i="2" s="1"/>
  <c r="AW631" i="2" s="1"/>
  <c r="AR631" i="2"/>
  <c r="AT631" i="2" s="1"/>
  <c r="AP631" i="2"/>
  <c r="AS619" i="2" a="1"/>
  <c r="AS619" i="2" s="1"/>
  <c r="AW619" i="2" s="1"/>
  <c r="AR619" i="2"/>
  <c r="AT619" i="2" s="1"/>
  <c r="AP619" i="2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S583" i="2" a="1"/>
  <c r="AS583" i="2" s="1"/>
  <c r="AW583" i="2" s="1"/>
  <c r="AR583" i="2"/>
  <c r="AT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S523" i="2" a="1"/>
  <c r="AS523" i="2" s="1"/>
  <c r="AW523" i="2" s="1"/>
  <c r="AR523" i="2"/>
  <c r="AT523" i="2" s="1"/>
  <c r="AP523" i="2"/>
  <c r="AS511" i="2" a="1"/>
  <c r="AS511" i="2" s="1"/>
  <c r="AW511" i="2" s="1"/>
  <c r="AR511" i="2"/>
  <c r="AT511" i="2" s="1"/>
  <c r="AP511" i="2"/>
  <c r="AS499" i="2" a="1"/>
  <c r="AS499" i="2" s="1"/>
  <c r="AW499" i="2" s="1"/>
  <c r="AR499" i="2"/>
  <c r="AT499" i="2" s="1"/>
  <c r="AP499" i="2"/>
  <c r="AS487" i="2" a="1"/>
  <c r="AS487" i="2" s="1"/>
  <c r="AW487" i="2" s="1"/>
  <c r="AR487" i="2"/>
  <c r="AT487" i="2" s="1"/>
  <c r="AP487" i="2"/>
  <c r="AR475" i="2"/>
  <c r="AT475" i="2" s="1"/>
  <c r="AS475" i="2" a="1"/>
  <c r="AS475" i="2" s="1"/>
  <c r="AW475" i="2" s="1"/>
  <c r="AP475" i="2"/>
  <c r="AR463" i="2"/>
  <c r="AT463" i="2" s="1"/>
  <c r="AS463" i="2" a="1"/>
  <c r="AS463" i="2" s="1"/>
  <c r="AW463" i="2" s="1"/>
  <c r="AP463" i="2"/>
  <c r="AS451" i="2" a="1"/>
  <c r="AS451" i="2" s="1"/>
  <c r="AW451" i="2" s="1"/>
  <c r="AR451" i="2"/>
  <c r="AT451" i="2" s="1"/>
  <c r="AP451" i="2"/>
  <c r="AS439" i="2" a="1"/>
  <c r="AS439" i="2" s="1"/>
  <c r="AW439" i="2" s="1"/>
  <c r="AR439" i="2"/>
  <c r="AT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S379" i="2" a="1"/>
  <c r="AS379" i="2" s="1"/>
  <c r="AW379" i="2" s="1"/>
  <c r="AR379" i="2"/>
  <c r="AT379" i="2" s="1"/>
  <c r="AP379" i="2"/>
  <c r="AS367" i="2" a="1"/>
  <c r="AS367" i="2" s="1"/>
  <c r="AW367" i="2" s="1"/>
  <c r="AR367" i="2"/>
  <c r="AT367" i="2" s="1"/>
  <c r="AP367" i="2"/>
  <c r="AS355" i="2" a="1"/>
  <c r="AS355" i="2" s="1"/>
  <c r="AW355" i="2" s="1"/>
  <c r="AR355" i="2"/>
  <c r="AT355" i="2" s="1"/>
  <c r="AP355" i="2"/>
  <c r="AS343" i="2" a="1"/>
  <c r="AS343" i="2" s="1"/>
  <c r="AW343" i="2" s="1"/>
  <c r="AR343" i="2"/>
  <c r="AT343" i="2" s="1"/>
  <c r="AP343" i="2"/>
  <c r="AR331" i="2"/>
  <c r="AT331" i="2" s="1"/>
  <c r="AS331" i="2" a="1"/>
  <c r="AS331" i="2" s="1"/>
  <c r="AW331" i="2" s="1"/>
  <c r="AP331" i="2"/>
  <c r="AR319" i="2"/>
  <c r="AT319" i="2" s="1"/>
  <c r="AS319" i="2" a="1"/>
  <c r="AS319" i="2" s="1"/>
  <c r="AW319" i="2" s="1"/>
  <c r="AP319" i="2"/>
  <c r="AR307" i="2"/>
  <c r="AT307" i="2" s="1"/>
  <c r="AS307" i="2" a="1"/>
  <c r="AS307" i="2" s="1"/>
  <c r="AW307" i="2" s="1"/>
  <c r="AP307" i="2"/>
  <c r="AS295" i="2" a="1"/>
  <c r="AS295" i="2" s="1"/>
  <c r="AW295" i="2" s="1"/>
  <c r="AR295" i="2"/>
  <c r="AT295" i="2" s="1"/>
  <c r="AP295" i="2"/>
  <c r="AS283" i="2" a="1"/>
  <c r="AS283" i="2" s="1"/>
  <c r="AW283" i="2" s="1"/>
  <c r="AP283" i="2"/>
  <c r="AR283" i="2"/>
  <c r="AT283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U873" i="2"/>
  <c r="AV873" i="2"/>
  <c r="AV861" i="2"/>
  <c r="AU861" i="2"/>
  <c r="AV849" i="2"/>
  <c r="AU849" i="2"/>
  <c r="AV837" i="2"/>
  <c r="AU837" i="2"/>
  <c r="AU825" i="2"/>
  <c r="AV825" i="2"/>
  <c r="AU813" i="2"/>
  <c r="AV813" i="2"/>
  <c r="AU801" i="2"/>
  <c r="AV801" i="2"/>
  <c r="AU789" i="2"/>
  <c r="AV789" i="2"/>
  <c r="AU777" i="2"/>
  <c r="AV777" i="2"/>
  <c r="AU765" i="2"/>
  <c r="AV765" i="2"/>
  <c r="AU753" i="2"/>
  <c r="AV753" i="2"/>
  <c r="AU741" i="2"/>
  <c r="AV741" i="2"/>
  <c r="AU729" i="2"/>
  <c r="AV729" i="2"/>
  <c r="AU717" i="2"/>
  <c r="AV717" i="2"/>
  <c r="AU705" i="2"/>
  <c r="AV705" i="2"/>
  <c r="AU693" i="2"/>
  <c r="AV693" i="2"/>
  <c r="AU681" i="2"/>
  <c r="AV681" i="2"/>
  <c r="AU669" i="2"/>
  <c r="AV669" i="2"/>
  <c r="AU657" i="2"/>
  <c r="AV657" i="2"/>
  <c r="AU645" i="2"/>
  <c r="AV645" i="2"/>
  <c r="AU633" i="2"/>
  <c r="AV633" i="2"/>
  <c r="AU621" i="2"/>
  <c r="AV621" i="2"/>
  <c r="AU609" i="2"/>
  <c r="AV609" i="2"/>
  <c r="AU597" i="2"/>
  <c r="AV597" i="2"/>
  <c r="AU585" i="2"/>
  <c r="AV585" i="2"/>
  <c r="AU573" i="2"/>
  <c r="AV573" i="2"/>
  <c r="AU561" i="2"/>
  <c r="AV561" i="2"/>
  <c r="AU549" i="2"/>
  <c r="AV549" i="2"/>
  <c r="AU537" i="2"/>
  <c r="AV537" i="2"/>
  <c r="AU525" i="2"/>
  <c r="AV525" i="2"/>
  <c r="AU513" i="2"/>
  <c r="AV513" i="2"/>
  <c r="AU501" i="2"/>
  <c r="AV501" i="2"/>
  <c r="AU489" i="2"/>
  <c r="AV489" i="2"/>
  <c r="AU477" i="2"/>
  <c r="AV477" i="2"/>
  <c r="AU465" i="2"/>
  <c r="AV465" i="2"/>
  <c r="AU453" i="2"/>
  <c r="AV453" i="2"/>
  <c r="AV441" i="2"/>
  <c r="AU441" i="2"/>
  <c r="AV429" i="2"/>
  <c r="AU429" i="2"/>
  <c r="AV417" i="2"/>
  <c r="AU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U297" i="2"/>
  <c r="AV297" i="2"/>
  <c r="AV285" i="2"/>
  <c r="AU285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3" i="2"/>
  <c r="AZ1081" i="2"/>
  <c r="AZ1069" i="2"/>
  <c r="AZ1057" i="2"/>
  <c r="AZ1045" i="2"/>
  <c r="AZ1033" i="2"/>
  <c r="AZ1021" i="2"/>
  <c r="AZ1009" i="2"/>
  <c r="AZ997" i="2"/>
  <c r="AZ985" i="2"/>
  <c r="AZ973" i="2"/>
  <c r="AZ961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S1074" i="2" a="1"/>
  <c r="AS1074" i="2" s="1"/>
  <c r="AW1074" i="2" s="1"/>
  <c r="AR1074" i="2"/>
  <c r="AT1074" i="2" s="1"/>
  <c r="AP1074" i="2"/>
  <c r="AS1062" i="2" a="1"/>
  <c r="AS1062" i="2" s="1"/>
  <c r="AW1062" i="2" s="1"/>
  <c r="AR1062" i="2"/>
  <c r="AT1062" i="2" s="1"/>
  <c r="AP1062" i="2"/>
  <c r="AS1050" i="2" a="1"/>
  <c r="AS1050" i="2" s="1"/>
  <c r="AW1050" i="2" s="1"/>
  <c r="AR1050" i="2"/>
  <c r="AT1050" i="2" s="1"/>
  <c r="AP1050" i="2"/>
  <c r="AS1038" i="2" a="1"/>
  <c r="AS1038" i="2" s="1"/>
  <c r="AW1038" i="2" s="1"/>
  <c r="AR1038" i="2"/>
  <c r="AT1038" i="2" s="1"/>
  <c r="AP1038" i="2"/>
  <c r="AS1026" i="2" a="1"/>
  <c r="AS1026" i="2" s="1"/>
  <c r="AW1026" i="2" s="1"/>
  <c r="AR1026" i="2"/>
  <c r="AT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R954" i="2"/>
  <c r="AT954" i="2" s="1"/>
  <c r="AS954" i="2" a="1"/>
  <c r="AS954" i="2" s="1"/>
  <c r="AW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R822" i="2"/>
  <c r="AT822" i="2" s="1"/>
  <c r="AS822" i="2" a="1"/>
  <c r="AS822" i="2" s="1"/>
  <c r="AW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R786" i="2"/>
  <c r="AT786" i="2" s="1"/>
  <c r="AS786" i="2" a="1"/>
  <c r="AS786" i="2" s="1"/>
  <c r="AW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R738" i="2"/>
  <c r="AT738" i="2" s="1"/>
  <c r="AS738" i="2" a="1"/>
  <c r="AS738" i="2" s="1"/>
  <c r="AW738" i="2" s="1"/>
  <c r="AP738" i="2"/>
  <c r="AS726" i="2" a="1"/>
  <c r="AS726" i="2" s="1"/>
  <c r="AW726" i="2" s="1"/>
  <c r="AR726" i="2"/>
  <c r="AT726" i="2" s="1"/>
  <c r="AP726" i="2"/>
  <c r="AS714" i="2" a="1"/>
  <c r="AS714" i="2" s="1"/>
  <c r="AW714" i="2" s="1"/>
  <c r="AR714" i="2"/>
  <c r="AT714" i="2" s="1"/>
  <c r="AP714" i="2"/>
  <c r="AS702" i="2" a="1"/>
  <c r="AS702" i="2" s="1"/>
  <c r="AW702" i="2" s="1"/>
  <c r="AR702" i="2"/>
  <c r="AT702" i="2" s="1"/>
  <c r="AP702" i="2"/>
  <c r="AR690" i="2"/>
  <c r="AT690" i="2" s="1"/>
  <c r="AS690" i="2" a="1"/>
  <c r="AS690" i="2" s="1"/>
  <c r="AW690" i="2" s="1"/>
  <c r="AP690" i="2"/>
  <c r="AR678" i="2"/>
  <c r="AT678" i="2" s="1"/>
  <c r="AS678" i="2" a="1"/>
  <c r="AS678" i="2" s="1"/>
  <c r="AW678" i="2" s="1"/>
  <c r="AP678" i="2"/>
  <c r="AS666" i="2" a="1"/>
  <c r="AS666" i="2" s="1"/>
  <c r="AW666" i="2" s="1"/>
  <c r="AR666" i="2"/>
  <c r="AT666" i="2" s="1"/>
  <c r="AP666" i="2"/>
  <c r="AS654" i="2" a="1"/>
  <c r="AS654" i="2" s="1"/>
  <c r="AW654" i="2" s="1"/>
  <c r="AR654" i="2"/>
  <c r="AT654" i="2" s="1"/>
  <c r="AP654" i="2"/>
  <c r="AS642" i="2" a="1"/>
  <c r="AS642" i="2" s="1"/>
  <c r="AW642" i="2" s="1"/>
  <c r="AR642" i="2"/>
  <c r="AT642" i="2" s="1"/>
  <c r="AP642" i="2"/>
  <c r="AS630" i="2" a="1"/>
  <c r="AS630" i="2" s="1"/>
  <c r="AW630" i="2" s="1"/>
  <c r="AR630" i="2"/>
  <c r="AT630" i="2" s="1"/>
  <c r="AP630" i="2"/>
  <c r="AR618" i="2"/>
  <c r="AT618" i="2" s="1"/>
  <c r="AS618" i="2" a="1"/>
  <c r="AS618" i="2" s="1"/>
  <c r="AW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R510" i="2"/>
  <c r="AT510" i="2" s="1"/>
  <c r="AS510" i="2" a="1"/>
  <c r="AS510" i="2" s="1"/>
  <c r="AW510" i="2" s="1"/>
  <c r="AP510" i="2"/>
  <c r="AS498" i="2" a="1"/>
  <c r="AS498" i="2" s="1"/>
  <c r="AW498" i="2" s="1"/>
  <c r="AR498" i="2"/>
  <c r="AT498" i="2" s="1"/>
  <c r="AP498" i="2"/>
  <c r="AR486" i="2"/>
  <c r="AT486" i="2" s="1"/>
  <c r="AS486" i="2" a="1"/>
  <c r="AS486" i="2" s="1"/>
  <c r="AW486" i="2" s="1"/>
  <c r="AP486" i="2"/>
  <c r="AS474" i="2" a="1"/>
  <c r="AS474" i="2" s="1"/>
  <c r="AW474" i="2" s="1"/>
  <c r="AR474" i="2"/>
  <c r="AT474" i="2" s="1"/>
  <c r="AP474" i="2"/>
  <c r="AS462" i="2" a="1"/>
  <c r="AS462" i="2" s="1"/>
  <c r="AW462" i="2" s="1"/>
  <c r="AR462" i="2"/>
  <c r="AT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R390" i="2"/>
  <c r="AT390" i="2" s="1"/>
  <c r="AS390" i="2" a="1"/>
  <c r="AS390" i="2" s="1"/>
  <c r="AW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S330" i="2" a="1"/>
  <c r="AS330" i="2" s="1"/>
  <c r="AW330" i="2" s="1"/>
  <c r="AR330" i="2"/>
  <c r="AT330" i="2" s="1"/>
  <c r="AP330" i="2"/>
  <c r="AS318" i="2" a="1"/>
  <c r="AS318" i="2" s="1"/>
  <c r="AW318" i="2" s="1"/>
  <c r="AR318" i="2"/>
  <c r="AT318" i="2" s="1"/>
  <c r="AP318" i="2"/>
  <c r="AS306" i="2" a="1"/>
  <c r="AS306" i="2" s="1"/>
  <c r="AW306" i="2" s="1"/>
  <c r="AR306" i="2"/>
  <c r="AT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R282" i="2"/>
  <c r="AT282" i="2" s="1"/>
  <c r="AP282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100" i="2"/>
  <c r="AU1100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V872" i="2"/>
  <c r="AU872" i="2"/>
  <c r="AV860" i="2"/>
  <c r="AU860" i="2"/>
  <c r="AU848" i="2"/>
  <c r="AV848" i="2"/>
  <c r="AV836" i="2"/>
  <c r="AU836" i="2"/>
  <c r="AV824" i="2"/>
  <c r="AU824" i="2"/>
  <c r="AV812" i="2"/>
  <c r="AU812" i="2"/>
  <c r="AV800" i="2"/>
  <c r="AU800" i="2"/>
  <c r="AV788" i="2"/>
  <c r="AU788" i="2"/>
  <c r="AV776" i="2"/>
  <c r="AU776" i="2"/>
  <c r="AV764" i="2"/>
  <c r="AU764" i="2"/>
  <c r="AV752" i="2"/>
  <c r="AU752" i="2"/>
  <c r="AU740" i="2"/>
  <c r="AV740" i="2"/>
  <c r="AV728" i="2"/>
  <c r="AU728" i="2"/>
  <c r="AU716" i="2"/>
  <c r="AV716" i="2"/>
  <c r="AV704" i="2"/>
  <c r="AU704" i="2"/>
  <c r="AU692" i="2"/>
  <c r="AV692" i="2"/>
  <c r="AV680" i="2"/>
  <c r="AU680" i="2"/>
  <c r="AU668" i="2"/>
  <c r="AV668" i="2"/>
  <c r="AV656" i="2"/>
  <c r="AU656" i="2"/>
  <c r="AU644" i="2"/>
  <c r="AV644" i="2"/>
  <c r="AV632" i="2"/>
  <c r="AU632" i="2"/>
  <c r="AU620" i="2"/>
  <c r="AV620" i="2"/>
  <c r="AV608" i="2"/>
  <c r="AU608" i="2"/>
  <c r="AU596" i="2"/>
  <c r="AV596" i="2"/>
  <c r="AV584" i="2"/>
  <c r="AU584" i="2"/>
  <c r="AU572" i="2"/>
  <c r="AV572" i="2"/>
  <c r="AU560" i="2"/>
  <c r="AV560" i="2"/>
  <c r="AU548" i="2"/>
  <c r="AV548" i="2"/>
  <c r="AV536" i="2"/>
  <c r="AU536" i="2"/>
  <c r="AU524" i="2"/>
  <c r="AV524" i="2"/>
  <c r="AV512" i="2"/>
  <c r="AU512" i="2"/>
  <c r="AU500" i="2"/>
  <c r="AV500" i="2"/>
  <c r="AU488" i="2"/>
  <c r="AV488" i="2"/>
  <c r="AV476" i="2"/>
  <c r="AU476" i="2"/>
  <c r="AU464" i="2"/>
  <c r="AV464" i="2"/>
  <c r="AV452" i="2"/>
  <c r="AU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V296" i="2"/>
  <c r="AU296" i="2"/>
  <c r="AU284" i="2"/>
  <c r="AV284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2" i="2" a="1"/>
  <c r="AY632" i="2" s="1"/>
  <c r="AO632" i="2" a="1"/>
  <c r="AO632" i="2" s="1"/>
  <c r="AN632" i="2"/>
  <c r="AY620" i="2" a="1"/>
  <c r="AY620" i="2" s="1"/>
  <c r="AO620" i="2" a="1"/>
  <c r="AO620" i="2" s="1"/>
  <c r="AN620" i="2"/>
  <c r="AY608" i="2" a="1"/>
  <c r="AY608" i="2" s="1"/>
  <c r="AN608" i="2"/>
  <c r="AO608" i="2" a="1"/>
  <c r="AO608" i="2" s="1"/>
  <c r="AY596" i="2" a="1"/>
  <c r="AY596" i="2" s="1"/>
  <c r="AO596" i="2" a="1"/>
  <c r="AO596" i="2" s="1"/>
  <c r="AN596" i="2"/>
  <c r="AY584" i="2" a="1"/>
  <c r="AY584" i="2" s="1"/>
  <c r="AO584" i="2" a="1"/>
  <c r="AO584" i="2" s="1"/>
  <c r="AN584" i="2"/>
  <c r="AY572" i="2" a="1"/>
  <c r="AY572" i="2" s="1"/>
  <c r="AO572" i="2" a="1"/>
  <c r="AO572" i="2" s="1"/>
  <c r="AN572" i="2"/>
  <c r="AY560" i="2" a="1"/>
  <c r="AY560" i="2" s="1"/>
  <c r="AO560" i="2" a="1"/>
  <c r="AO560" i="2" s="1"/>
  <c r="AN560" i="2"/>
  <c r="AY548" i="2" a="1"/>
  <c r="AY548" i="2" s="1"/>
  <c r="AO548" i="2" a="1"/>
  <c r="AO548" i="2" s="1"/>
  <c r="AN548" i="2"/>
  <c r="AY536" i="2" a="1"/>
  <c r="AY536" i="2" s="1"/>
  <c r="AO536" i="2" a="1"/>
  <c r="AO536" i="2" s="1"/>
  <c r="AN536" i="2"/>
  <c r="AY524" i="2" a="1"/>
  <c r="AY524" i="2" s="1"/>
  <c r="AO524" i="2" a="1"/>
  <c r="AO524" i="2" s="1"/>
  <c r="AN524" i="2"/>
  <c r="AY512" i="2" a="1"/>
  <c r="AY512" i="2" s="1"/>
  <c r="AO512" i="2" a="1"/>
  <c r="AO512" i="2" s="1"/>
  <c r="AN512" i="2"/>
  <c r="AY500" i="2" a="1"/>
  <c r="AY500" i="2" s="1"/>
  <c r="AN500" i="2"/>
  <c r="AO500" i="2" a="1"/>
  <c r="AO500" i="2" s="1"/>
  <c r="AY488" i="2" a="1"/>
  <c r="AY488" i="2" s="1"/>
  <c r="AO488" i="2" a="1"/>
  <c r="AO488" i="2" s="1"/>
  <c r="AN488" i="2"/>
  <c r="AY476" i="2" a="1"/>
  <c r="AY476" i="2" s="1"/>
  <c r="AO476" i="2" a="1"/>
  <c r="AO476" i="2" s="1"/>
  <c r="AN476" i="2"/>
  <c r="AY464" i="2" a="1"/>
  <c r="AY464" i="2" s="1"/>
  <c r="AO464" i="2" a="1"/>
  <c r="AO464" i="2" s="1"/>
  <c r="AN464" i="2"/>
  <c r="AY452" i="2" a="1"/>
  <c r="AY452" i="2" s="1"/>
  <c r="AO452" i="2" a="1"/>
  <c r="AO452" i="2" s="1"/>
  <c r="AN452" i="2"/>
  <c r="AY440" i="2" a="1"/>
  <c r="AY440" i="2" s="1"/>
  <c r="AO440" i="2" a="1"/>
  <c r="AO440" i="2" s="1"/>
  <c r="AN440" i="2"/>
  <c r="AY428" i="2" a="1"/>
  <c r="AY428" i="2" s="1"/>
  <c r="AO428" i="2" a="1"/>
  <c r="AO428" i="2" s="1"/>
  <c r="AN428" i="2"/>
  <c r="AY416" i="2" a="1"/>
  <c r="AY416" i="2" s="1"/>
  <c r="AO416" i="2" a="1"/>
  <c r="AO416" i="2" s="1"/>
  <c r="AN416" i="2"/>
  <c r="AY404" i="2" a="1"/>
  <c r="AY404" i="2" s="1"/>
  <c r="AO404" i="2" a="1"/>
  <c r="AO404" i="2" s="1"/>
  <c r="AN404" i="2"/>
  <c r="AY392" i="2" a="1"/>
  <c r="AY392" i="2" s="1"/>
  <c r="AN392" i="2"/>
  <c r="AO392" i="2" a="1"/>
  <c r="AO392" i="2" s="1"/>
  <c r="AY380" i="2" a="1"/>
  <c r="AY380" i="2" s="1"/>
  <c r="AO380" i="2" a="1"/>
  <c r="AO380" i="2" s="1"/>
  <c r="AN380" i="2"/>
  <c r="AY368" i="2" a="1"/>
  <c r="AY368" i="2" s="1"/>
  <c r="AO368" i="2" a="1"/>
  <c r="AO368" i="2" s="1"/>
  <c r="AN368" i="2"/>
  <c r="AY356" i="2" a="1"/>
  <c r="AY356" i="2" s="1"/>
  <c r="AO356" i="2" a="1"/>
  <c r="AO356" i="2" s="1"/>
  <c r="AN356" i="2"/>
  <c r="AY344" i="2" a="1"/>
  <c r="AY344" i="2" s="1"/>
  <c r="AO344" i="2" a="1"/>
  <c r="AO344" i="2" s="1"/>
  <c r="AN344" i="2"/>
  <c r="AY332" i="2" a="1"/>
  <c r="AY332" i="2" s="1"/>
  <c r="AO332" i="2" a="1"/>
  <c r="AO332" i="2" s="1"/>
  <c r="AN332" i="2"/>
  <c r="AY320" i="2" a="1"/>
  <c r="AY320" i="2" s="1"/>
  <c r="AO320" i="2" a="1"/>
  <c r="AO320" i="2" s="1"/>
  <c r="AN320" i="2"/>
  <c r="AY308" i="2" a="1"/>
  <c r="AY308" i="2" s="1"/>
  <c r="AO308" i="2" a="1"/>
  <c r="AO308" i="2" s="1"/>
  <c r="AN308" i="2"/>
  <c r="AY296" i="2" a="1"/>
  <c r="AY296" i="2" s="1"/>
  <c r="AO296" i="2" a="1"/>
  <c r="AO296" i="2" s="1"/>
  <c r="AN296" i="2"/>
  <c r="AY284" i="2" a="1"/>
  <c r="AY284" i="2" s="1"/>
  <c r="AO284" i="2" a="1"/>
  <c r="AO284" i="2" s="1"/>
  <c r="AN284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6" i="2" a="1"/>
  <c r="AS1096" i="2" s="1"/>
  <c r="AW1096" i="2" s="1"/>
  <c r="AR1096" i="2"/>
  <c r="AT1096" i="2" s="1"/>
  <c r="AP1096" i="2"/>
  <c r="AS1084" i="2" a="1"/>
  <c r="AS1084" i="2" s="1"/>
  <c r="AW1084" i="2" s="1"/>
  <c r="AR1084" i="2"/>
  <c r="AT1084" i="2" s="1"/>
  <c r="AP1084" i="2"/>
  <c r="AS1072" i="2" a="1"/>
  <c r="AS1072" i="2" s="1"/>
  <c r="AW1072" i="2" s="1"/>
  <c r="AR1072" i="2"/>
  <c r="AT1072" i="2" s="1"/>
  <c r="AP1072" i="2"/>
  <c r="AS1060" i="2" a="1"/>
  <c r="AS1060" i="2" s="1"/>
  <c r="AW1060" i="2" s="1"/>
  <c r="AR1060" i="2"/>
  <c r="AT1060" i="2" s="1"/>
  <c r="AP1060" i="2"/>
  <c r="AS1048" i="2" a="1"/>
  <c r="AS1048" i="2" s="1"/>
  <c r="AW1048" i="2" s="1"/>
  <c r="AR1048" i="2"/>
  <c r="AT1048" i="2" s="1"/>
  <c r="AP1048" i="2"/>
  <c r="AS1036" i="2" a="1"/>
  <c r="AS1036" i="2" s="1"/>
  <c r="AW1036" i="2" s="1"/>
  <c r="AR1036" i="2"/>
  <c r="AT1036" i="2" s="1"/>
  <c r="AP1036" i="2"/>
  <c r="AR1024" i="2"/>
  <c r="AT1024" i="2" s="1"/>
  <c r="AS1024" i="2" a="1"/>
  <c r="AS1024" i="2" s="1"/>
  <c r="AW1024" i="2" s="1"/>
  <c r="AP1024" i="2"/>
  <c r="AS1012" i="2" a="1"/>
  <c r="AS1012" i="2" s="1"/>
  <c r="AW1012" i="2" s="1"/>
  <c r="AR1012" i="2"/>
  <c r="AT1012" i="2" s="1"/>
  <c r="AP1012" i="2"/>
  <c r="AS1000" i="2" a="1"/>
  <c r="AS1000" i="2" s="1"/>
  <c r="AW1000" i="2" s="1"/>
  <c r="AR1000" i="2"/>
  <c r="AT1000" i="2" s="1"/>
  <c r="AP1000" i="2"/>
  <c r="AS988" i="2" a="1"/>
  <c r="AS988" i="2" s="1"/>
  <c r="AW988" i="2" s="1"/>
  <c r="AR988" i="2"/>
  <c r="AT988" i="2" s="1"/>
  <c r="AP988" i="2"/>
  <c r="AS976" i="2" a="1"/>
  <c r="AS976" i="2" s="1"/>
  <c r="AW976" i="2" s="1"/>
  <c r="AR976" i="2"/>
  <c r="AT976" i="2" s="1"/>
  <c r="AP976" i="2"/>
  <c r="AS964" i="2" a="1"/>
  <c r="AS964" i="2" s="1"/>
  <c r="AW964" i="2" s="1"/>
  <c r="AR964" i="2"/>
  <c r="AT964" i="2" s="1"/>
  <c r="AP964" i="2"/>
  <c r="AS952" i="2" a="1"/>
  <c r="AS952" i="2" s="1"/>
  <c r="AW952" i="2" s="1"/>
  <c r="AR952" i="2"/>
  <c r="AT952" i="2" s="1"/>
  <c r="AP952" i="2"/>
  <c r="AS940" i="2" a="1"/>
  <c r="AS940" i="2" s="1"/>
  <c r="AW940" i="2" s="1"/>
  <c r="AR940" i="2"/>
  <c r="AT940" i="2" s="1"/>
  <c r="AP940" i="2"/>
  <c r="AS928" i="2" a="1"/>
  <c r="AS928" i="2" s="1"/>
  <c r="AW928" i="2" s="1"/>
  <c r="AR928" i="2"/>
  <c r="AT928" i="2" s="1"/>
  <c r="AP928" i="2"/>
  <c r="AS916" i="2" a="1"/>
  <c r="AS916" i="2" s="1"/>
  <c r="AW916" i="2" s="1"/>
  <c r="AR916" i="2"/>
  <c r="AT916" i="2" s="1"/>
  <c r="AP916" i="2"/>
  <c r="AR904" i="2"/>
  <c r="AT904" i="2" s="1"/>
  <c r="AS904" i="2" a="1"/>
  <c r="AS904" i="2" s="1"/>
  <c r="AW904" i="2" s="1"/>
  <c r="AP904" i="2"/>
  <c r="AR892" i="2"/>
  <c r="AT892" i="2" s="1"/>
  <c r="AS892" i="2" a="1"/>
  <c r="AS892" i="2" s="1"/>
  <c r="AW892" i="2" s="1"/>
  <c r="AP892" i="2"/>
  <c r="AS880" i="2" a="1"/>
  <c r="AS880" i="2" s="1"/>
  <c r="AW880" i="2" s="1"/>
  <c r="AR880" i="2"/>
  <c r="AT880" i="2" s="1"/>
  <c r="AP880" i="2"/>
  <c r="AR868" i="2"/>
  <c r="AT868" i="2" s="1"/>
  <c r="AS868" i="2" a="1"/>
  <c r="AS868" i="2" s="1"/>
  <c r="AW868" i="2" s="1"/>
  <c r="AP868" i="2"/>
  <c r="AS856" i="2" a="1"/>
  <c r="AS856" i="2" s="1"/>
  <c r="AW856" i="2" s="1"/>
  <c r="AR856" i="2"/>
  <c r="AT856" i="2" s="1"/>
  <c r="AP856" i="2"/>
  <c r="AS844" i="2" a="1"/>
  <c r="AS844" i="2" s="1"/>
  <c r="AW844" i="2" s="1"/>
  <c r="AR844" i="2"/>
  <c r="AT844" i="2" s="1"/>
  <c r="AP844" i="2"/>
  <c r="AR832" i="2"/>
  <c r="AT832" i="2" s="1"/>
  <c r="AS832" i="2" a="1"/>
  <c r="AS832" i="2" s="1"/>
  <c r="AW832" i="2" s="1"/>
  <c r="AP832" i="2"/>
  <c r="AS820" i="2" a="1"/>
  <c r="AS820" i="2" s="1"/>
  <c r="AW820" i="2" s="1"/>
  <c r="AR820" i="2"/>
  <c r="AT820" i="2" s="1"/>
  <c r="AP820" i="2"/>
  <c r="AS808" i="2" a="1"/>
  <c r="AS808" i="2" s="1"/>
  <c r="AW808" i="2" s="1"/>
  <c r="AR808" i="2"/>
  <c r="AT808" i="2" s="1"/>
  <c r="AP808" i="2"/>
  <c r="AS796" i="2" a="1"/>
  <c r="AS796" i="2" s="1"/>
  <c r="AW796" i="2" s="1"/>
  <c r="AR796" i="2"/>
  <c r="AT796" i="2" s="1"/>
  <c r="AP796" i="2"/>
  <c r="AS784" i="2" a="1"/>
  <c r="AS784" i="2" s="1"/>
  <c r="AW784" i="2" s="1"/>
  <c r="AR784" i="2"/>
  <c r="AT784" i="2" s="1"/>
  <c r="AP784" i="2"/>
  <c r="AS772" i="2" a="1"/>
  <c r="AS772" i="2" s="1"/>
  <c r="AW772" i="2" s="1"/>
  <c r="AR772" i="2"/>
  <c r="AT772" i="2" s="1"/>
  <c r="AP772" i="2"/>
  <c r="AP760" i="2"/>
  <c r="AS760" i="2" a="1"/>
  <c r="AS760" i="2" s="1"/>
  <c r="AW760" i="2" s="1"/>
  <c r="AR760" i="2"/>
  <c r="AT760" i="2" s="1"/>
  <c r="AS748" i="2" a="1"/>
  <c r="AS748" i="2" s="1"/>
  <c r="AW748" i="2" s="1"/>
  <c r="AR748" i="2"/>
  <c r="AT748" i="2" s="1"/>
  <c r="AP748" i="2"/>
  <c r="AS736" i="2" a="1"/>
  <c r="AS736" i="2" s="1"/>
  <c r="AW736" i="2" s="1"/>
  <c r="AR736" i="2"/>
  <c r="AT736" i="2" s="1"/>
  <c r="AP736" i="2"/>
  <c r="AS724" i="2" a="1"/>
  <c r="AS724" i="2" s="1"/>
  <c r="AW724" i="2" s="1"/>
  <c r="AR724" i="2"/>
  <c r="AT724" i="2" s="1"/>
  <c r="AP724" i="2"/>
  <c r="AR712" i="2"/>
  <c r="AT712" i="2" s="1"/>
  <c r="AS712" i="2" a="1"/>
  <c r="AS712" i="2" s="1"/>
  <c r="AW712" i="2" s="1"/>
  <c r="AP712" i="2"/>
  <c r="AR700" i="2"/>
  <c r="AT700" i="2" s="1"/>
  <c r="AS700" i="2" a="1"/>
  <c r="AS700" i="2" s="1"/>
  <c r="AW700" i="2" s="1"/>
  <c r="AP700" i="2"/>
  <c r="AS688" i="2" a="1"/>
  <c r="AS688" i="2" s="1"/>
  <c r="AW688" i="2" s="1"/>
  <c r="AR688" i="2"/>
  <c r="AT688" i="2" s="1"/>
  <c r="AP688" i="2"/>
  <c r="AR676" i="2"/>
  <c r="AT676" i="2" s="1"/>
  <c r="AS676" i="2" a="1"/>
  <c r="AS676" i="2" s="1"/>
  <c r="AW676" i="2" s="1"/>
  <c r="AP676" i="2"/>
  <c r="AS664" i="2" a="1"/>
  <c r="AS664" i="2" s="1"/>
  <c r="AW664" i="2" s="1"/>
  <c r="AR664" i="2"/>
  <c r="AT664" i="2" s="1"/>
  <c r="AP664" i="2"/>
  <c r="AS652" i="2" a="1"/>
  <c r="AS652" i="2" s="1"/>
  <c r="AW652" i="2" s="1"/>
  <c r="AR652" i="2"/>
  <c r="AT652" i="2" s="1"/>
  <c r="AP652" i="2"/>
  <c r="AS640" i="2" a="1"/>
  <c r="AS640" i="2" s="1"/>
  <c r="AW640" i="2" s="1"/>
  <c r="AR640" i="2"/>
  <c r="AT640" i="2" s="1"/>
  <c r="AP640" i="2"/>
  <c r="AR628" i="2"/>
  <c r="AT628" i="2" s="1"/>
  <c r="AS628" i="2" a="1"/>
  <c r="AS628" i="2" s="1"/>
  <c r="AW628" i="2" s="1"/>
  <c r="AP628" i="2"/>
  <c r="AS616" i="2" a="1"/>
  <c r="AS616" i="2" s="1"/>
  <c r="AW616" i="2" s="1"/>
  <c r="AR616" i="2"/>
  <c r="AT616" i="2" s="1"/>
  <c r="AP616" i="2"/>
  <c r="AS604" i="2" a="1"/>
  <c r="AS604" i="2" s="1"/>
  <c r="AW604" i="2" s="1"/>
  <c r="AR604" i="2"/>
  <c r="AT604" i="2" s="1"/>
  <c r="AP604" i="2"/>
  <c r="AS592" i="2" a="1"/>
  <c r="AS592" i="2" s="1"/>
  <c r="AW592" i="2" s="1"/>
  <c r="AR592" i="2"/>
  <c r="AT592" i="2" s="1"/>
  <c r="AP592" i="2"/>
  <c r="AS580" i="2" a="1"/>
  <c r="AS580" i="2" s="1"/>
  <c r="AW580" i="2" s="1"/>
  <c r="AR580" i="2"/>
  <c r="AT580" i="2" s="1"/>
  <c r="AP580" i="2"/>
  <c r="AS568" i="2" a="1"/>
  <c r="AS568" i="2" s="1"/>
  <c r="AW568" i="2" s="1"/>
  <c r="AR568" i="2"/>
  <c r="AT568" i="2" s="1"/>
  <c r="AP568" i="2"/>
  <c r="AS556" i="2" a="1"/>
  <c r="AS556" i="2" s="1"/>
  <c r="AW556" i="2" s="1"/>
  <c r="AR556" i="2"/>
  <c r="AT556" i="2" s="1"/>
  <c r="AP556" i="2"/>
  <c r="AS544" i="2" a="1"/>
  <c r="AS544" i="2" s="1"/>
  <c r="AW544" i="2" s="1"/>
  <c r="AR544" i="2"/>
  <c r="AT544" i="2" s="1"/>
  <c r="AP544" i="2"/>
  <c r="AS532" i="2" a="1"/>
  <c r="AS532" i="2" s="1"/>
  <c r="AW532" i="2" s="1"/>
  <c r="AR532" i="2"/>
  <c r="AT532" i="2" s="1"/>
  <c r="AP532" i="2"/>
  <c r="AR520" i="2"/>
  <c r="AT520" i="2" s="1"/>
  <c r="AS520" i="2" a="1"/>
  <c r="AS520" i="2" s="1"/>
  <c r="AW520" i="2" s="1"/>
  <c r="AP520" i="2"/>
  <c r="AR508" i="2"/>
  <c r="AT508" i="2" s="1"/>
  <c r="AP508" i="2"/>
  <c r="AS508" i="2" a="1"/>
  <c r="AS508" i="2" s="1"/>
  <c r="AW508" i="2" s="1"/>
  <c r="AS496" i="2" a="1"/>
  <c r="AS496" i="2" s="1"/>
  <c r="AW496" i="2" s="1"/>
  <c r="AR496" i="2"/>
  <c r="AT496" i="2" s="1"/>
  <c r="AP496" i="2"/>
  <c r="AS484" i="2" a="1"/>
  <c r="AS484" i="2" s="1"/>
  <c r="AW484" i="2" s="1"/>
  <c r="AP484" i="2"/>
  <c r="AR484" i="2"/>
  <c r="AT484" i="2" s="1"/>
  <c r="AS472" i="2" a="1"/>
  <c r="AS472" i="2" s="1"/>
  <c r="AW472" i="2" s="1"/>
  <c r="AR472" i="2"/>
  <c r="AT472" i="2" s="1"/>
  <c r="AP472" i="2"/>
  <c r="AS460" i="2" a="1"/>
  <c r="AS460" i="2" s="1"/>
  <c r="AW460" i="2" s="1"/>
  <c r="AR460" i="2"/>
  <c r="AT460" i="2" s="1"/>
  <c r="AP460" i="2"/>
  <c r="AR448" i="2"/>
  <c r="AT448" i="2" s="1"/>
  <c r="AS448" i="2" a="1"/>
  <c r="AS448" i="2" s="1"/>
  <c r="AW448" i="2" s="1"/>
  <c r="AP448" i="2"/>
  <c r="AS436" i="2" a="1"/>
  <c r="AS436" i="2" s="1"/>
  <c r="AW436" i="2" s="1"/>
  <c r="AP436" i="2"/>
  <c r="AR436" i="2"/>
  <c r="AT436" i="2" s="1"/>
  <c r="AR424" i="2"/>
  <c r="AT424" i="2" s="1"/>
  <c r="AS424" i="2" a="1"/>
  <c r="AS424" i="2" s="1"/>
  <c r="AW424" i="2" s="1"/>
  <c r="AP424" i="2"/>
  <c r="AS412" i="2" a="1"/>
  <c r="AS412" i="2" s="1"/>
  <c r="AW412" i="2" s="1"/>
  <c r="AR412" i="2"/>
  <c r="AT412" i="2" s="1"/>
  <c r="AP412" i="2"/>
  <c r="AS400" i="2" a="1"/>
  <c r="AS400" i="2" s="1"/>
  <c r="AW400" i="2" s="1"/>
  <c r="AP400" i="2"/>
  <c r="AR400" i="2"/>
  <c r="AT400" i="2" s="1"/>
  <c r="AR388" i="2"/>
  <c r="AT388" i="2" s="1"/>
  <c r="AS388" i="2" a="1"/>
  <c r="AS388" i="2" s="1"/>
  <c r="AW388" i="2" s="1"/>
  <c r="AP388" i="2"/>
  <c r="AS376" i="2" a="1"/>
  <c r="AS376" i="2" s="1"/>
  <c r="AW376" i="2" s="1"/>
  <c r="AR376" i="2"/>
  <c r="AT376" i="2" s="1"/>
  <c r="AP376" i="2"/>
  <c r="AS364" i="2" a="1"/>
  <c r="AS364" i="2" s="1"/>
  <c r="AW364" i="2" s="1"/>
  <c r="AR364" i="2"/>
  <c r="AT364" i="2" s="1"/>
  <c r="AP364" i="2"/>
  <c r="AS352" i="2" a="1"/>
  <c r="AS352" i="2" s="1"/>
  <c r="AW352" i="2" s="1"/>
  <c r="AR352" i="2"/>
  <c r="AT352" i="2" s="1"/>
  <c r="AP352" i="2"/>
  <c r="AR340" i="2"/>
  <c r="AT340" i="2" s="1"/>
  <c r="AP340" i="2"/>
  <c r="AS340" i="2" a="1"/>
  <c r="AS340" i="2" s="1"/>
  <c r="AW340" i="2" s="1"/>
  <c r="AS328" i="2" a="1"/>
  <c r="AS328" i="2" s="1"/>
  <c r="AW328" i="2" s="1"/>
  <c r="AR328" i="2"/>
  <c r="AT328" i="2" s="1"/>
  <c r="AP328" i="2"/>
  <c r="AS316" i="2" a="1"/>
  <c r="AS316" i="2" s="1"/>
  <c r="AW316" i="2" s="1"/>
  <c r="AR316" i="2"/>
  <c r="AT316" i="2" s="1"/>
  <c r="AP316" i="2"/>
  <c r="AS304" i="2" a="1"/>
  <c r="AS304" i="2" s="1"/>
  <c r="AW304" i="2" s="1"/>
  <c r="AR304" i="2"/>
  <c r="AT304" i="2" s="1"/>
  <c r="AP304" i="2"/>
  <c r="AR292" i="2"/>
  <c r="AT292" i="2" s="1"/>
  <c r="AS292" i="2" a="1"/>
  <c r="AS292" i="2" s="1"/>
  <c r="AW292" i="2" s="1"/>
  <c r="AP292" i="2"/>
  <c r="AS280" i="2" a="1"/>
  <c r="AS280" i="2" s="1"/>
  <c r="AW280" i="2" s="1"/>
  <c r="AR280" i="2"/>
  <c r="AT280" i="2" s="1"/>
  <c r="AP280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8" i="2"/>
  <c r="AV1098" i="2"/>
  <c r="AU1086" i="2"/>
  <c r="AV1086" i="2"/>
  <c r="AV1074" i="2"/>
  <c r="AU1074" i="2"/>
  <c r="AV1062" i="2"/>
  <c r="AU1062" i="2"/>
  <c r="AV1050" i="2"/>
  <c r="AU1050" i="2"/>
  <c r="AU1038" i="2"/>
  <c r="AV1038" i="2"/>
  <c r="AV1026" i="2"/>
  <c r="AU1026" i="2"/>
  <c r="AV1014" i="2"/>
  <c r="AU1014" i="2"/>
  <c r="AV1002" i="2"/>
  <c r="AU1002" i="2"/>
  <c r="AU990" i="2"/>
  <c r="AV990" i="2"/>
  <c r="AV978" i="2"/>
  <c r="AU978" i="2"/>
  <c r="AV966" i="2"/>
  <c r="AU966" i="2"/>
  <c r="AV954" i="2"/>
  <c r="AU954" i="2"/>
  <c r="AU942" i="2"/>
  <c r="AV942" i="2"/>
  <c r="AV930" i="2"/>
  <c r="AU930" i="2"/>
  <c r="AV918" i="2"/>
  <c r="AU918" i="2"/>
  <c r="AV906" i="2"/>
  <c r="AU906" i="2"/>
  <c r="AU894" i="2"/>
  <c r="AV894" i="2"/>
  <c r="AV882" i="2"/>
  <c r="AU882" i="2"/>
  <c r="AU870" i="2"/>
  <c r="AV870" i="2"/>
  <c r="AV858" i="2"/>
  <c r="AU858" i="2"/>
  <c r="AU846" i="2"/>
  <c r="AV846" i="2"/>
  <c r="AV834" i="2"/>
  <c r="AU834" i="2"/>
  <c r="AU822" i="2"/>
  <c r="AV822" i="2"/>
  <c r="AV810" i="2"/>
  <c r="AU810" i="2"/>
  <c r="AV798" i="2"/>
  <c r="AU798" i="2"/>
  <c r="AV786" i="2"/>
  <c r="AU786" i="2"/>
  <c r="AV774" i="2"/>
  <c r="AU774" i="2"/>
  <c r="AV762" i="2"/>
  <c r="AU762" i="2"/>
  <c r="AV750" i="2"/>
  <c r="AU750" i="2"/>
  <c r="AU738" i="2"/>
  <c r="AV738" i="2"/>
  <c r="AV726" i="2"/>
  <c r="AU726" i="2"/>
  <c r="AU714" i="2"/>
  <c r="AV714" i="2"/>
  <c r="AV702" i="2"/>
  <c r="AU702" i="2"/>
  <c r="AU690" i="2"/>
  <c r="AV690" i="2"/>
  <c r="AV678" i="2"/>
  <c r="AU678" i="2"/>
  <c r="AU666" i="2"/>
  <c r="AV666" i="2"/>
  <c r="AV654" i="2"/>
  <c r="AU654" i="2"/>
  <c r="AU642" i="2"/>
  <c r="AV642" i="2"/>
  <c r="AV630" i="2"/>
  <c r="AU630" i="2"/>
  <c r="AU618" i="2"/>
  <c r="AV618" i="2"/>
  <c r="AV606" i="2"/>
  <c r="AU606" i="2"/>
  <c r="AU594" i="2"/>
  <c r="AV594" i="2"/>
  <c r="AV582" i="2"/>
  <c r="AU582" i="2"/>
  <c r="AU570" i="2"/>
  <c r="AV570" i="2"/>
  <c r="AV558" i="2"/>
  <c r="AU558" i="2"/>
  <c r="AU546" i="2"/>
  <c r="AV546" i="2"/>
  <c r="AU534" i="2"/>
  <c r="AV534" i="2"/>
  <c r="AU522" i="2"/>
  <c r="AV522" i="2"/>
  <c r="AV510" i="2"/>
  <c r="AU510" i="2"/>
  <c r="AV498" i="2"/>
  <c r="AU498" i="2"/>
  <c r="AU486" i="2"/>
  <c r="AV486" i="2"/>
  <c r="AU474" i="2"/>
  <c r="AV474" i="2"/>
  <c r="AV462" i="2"/>
  <c r="AU462" i="2"/>
  <c r="AV450" i="2"/>
  <c r="AU450" i="2"/>
  <c r="AV438" i="2"/>
  <c r="AU438" i="2"/>
  <c r="AV426" i="2"/>
  <c r="AU426" i="2"/>
  <c r="AV414" i="2"/>
  <c r="AU414" i="2"/>
  <c r="AV402" i="2"/>
  <c r="AU402" i="2"/>
  <c r="AV390" i="2"/>
  <c r="AU390" i="2"/>
  <c r="AV378" i="2"/>
  <c r="AU378" i="2"/>
  <c r="AV366" i="2"/>
  <c r="AU366" i="2"/>
  <c r="AV354" i="2"/>
  <c r="AU354" i="2"/>
  <c r="AV342" i="2"/>
  <c r="AU342" i="2"/>
  <c r="AV330" i="2"/>
  <c r="AU330" i="2"/>
  <c r="AV318" i="2"/>
  <c r="AU318" i="2"/>
  <c r="AU306" i="2"/>
  <c r="AV306" i="2"/>
  <c r="AV294" i="2"/>
  <c r="AU294" i="2"/>
  <c r="AV282" i="2"/>
  <c r="AU282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S1023" i="2" a="1"/>
  <c r="AS1023" i="2" s="1"/>
  <c r="AW1023" i="2" s="1"/>
  <c r="AR1023" i="2"/>
  <c r="AT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R987" i="2"/>
  <c r="AT987" i="2" s="1"/>
  <c r="AS987" i="2" a="1"/>
  <c r="AS987" i="2" s="1"/>
  <c r="AW987" i="2" s="1"/>
  <c r="AP987" i="2"/>
  <c r="AR975" i="2"/>
  <c r="AT975" i="2" s="1"/>
  <c r="AS975" i="2" a="1"/>
  <c r="AS975" i="2" s="1"/>
  <c r="AW975" i="2" s="1"/>
  <c r="AP975" i="2"/>
  <c r="AR963" i="2"/>
  <c r="AT963" i="2" s="1"/>
  <c r="AS963" i="2" a="1"/>
  <c r="AS963" i="2" s="1"/>
  <c r="AW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S903" i="2" a="1"/>
  <c r="AS903" i="2" s="1"/>
  <c r="AW903" i="2" s="1"/>
  <c r="AR903" i="2"/>
  <c r="AT903" i="2" s="1"/>
  <c r="AP903" i="2"/>
  <c r="AS891" i="2" a="1"/>
  <c r="AS891" i="2" s="1"/>
  <c r="AW891" i="2" s="1"/>
  <c r="AR891" i="2"/>
  <c r="AT891" i="2" s="1"/>
  <c r="AP891" i="2"/>
  <c r="AS879" i="2" a="1"/>
  <c r="AS879" i="2" s="1"/>
  <c r="AW879" i="2" s="1"/>
  <c r="AR879" i="2"/>
  <c r="AT879" i="2" s="1"/>
  <c r="AP879" i="2"/>
  <c r="AS867" i="2" a="1"/>
  <c r="AS867" i="2" s="1"/>
  <c r="AW867" i="2" s="1"/>
  <c r="AR867" i="2"/>
  <c r="AT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S831" i="2" a="1"/>
  <c r="AS831" i="2" s="1"/>
  <c r="AW831" i="2" s="1"/>
  <c r="AR831" i="2"/>
  <c r="AT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R759" i="2"/>
  <c r="AT759" i="2" s="1"/>
  <c r="AS759" i="2" a="1"/>
  <c r="AS759" i="2" s="1"/>
  <c r="AW759" i="2" s="1"/>
  <c r="AP759" i="2"/>
  <c r="AR747" i="2"/>
  <c r="AT747" i="2" s="1"/>
  <c r="AS747" i="2" a="1"/>
  <c r="AS747" i="2" s="1"/>
  <c r="AW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S711" i="2" a="1"/>
  <c r="AS711" i="2" s="1"/>
  <c r="AW711" i="2" s="1"/>
  <c r="AR711" i="2"/>
  <c r="AT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S675" i="2" a="1"/>
  <c r="AS675" i="2" s="1"/>
  <c r="AW675" i="2" s="1"/>
  <c r="AR675" i="2"/>
  <c r="AT675" i="2" s="1"/>
  <c r="AP675" i="2"/>
  <c r="AR663" i="2"/>
  <c r="AT663" i="2" s="1"/>
  <c r="AS663" i="2" a="1"/>
  <c r="AS663" i="2" s="1"/>
  <c r="AW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R615" i="2"/>
  <c r="AT615" i="2" s="1"/>
  <c r="AS615" i="2" a="1"/>
  <c r="AS615" i="2" s="1"/>
  <c r="AW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R567" i="2"/>
  <c r="AT567" i="2" s="1"/>
  <c r="AS567" i="2" a="1"/>
  <c r="AS567" i="2" s="1"/>
  <c r="AW567" i="2" s="1"/>
  <c r="AP567" i="2"/>
  <c r="AR555" i="2"/>
  <c r="AT555" i="2" s="1"/>
  <c r="AS555" i="2" a="1"/>
  <c r="AS555" i="2" s="1"/>
  <c r="AW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S519" i="2" a="1"/>
  <c r="AS519" i="2" s="1"/>
  <c r="AW519" i="2" s="1"/>
  <c r="AR519" i="2"/>
  <c r="AT519" i="2" s="1"/>
  <c r="AP519" i="2"/>
  <c r="AS507" i="2" a="1"/>
  <c r="AS507" i="2" s="1"/>
  <c r="AW507" i="2" s="1"/>
  <c r="AR507" i="2"/>
  <c r="AT507" i="2" s="1"/>
  <c r="AP507" i="2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P471" i="2"/>
  <c r="AS471" i="2" a="1"/>
  <c r="AS471" i="2" s="1"/>
  <c r="AW471" i="2" s="1"/>
  <c r="AR471" i="2"/>
  <c r="AT471" i="2" s="1"/>
  <c r="AS459" i="2" a="1"/>
  <c r="AS459" i="2" s="1"/>
  <c r="AW459" i="2" s="1"/>
  <c r="AR459" i="2"/>
  <c r="AT459" i="2" s="1"/>
  <c r="AP459" i="2"/>
  <c r="AS447" i="2" a="1"/>
  <c r="AS447" i="2" s="1"/>
  <c r="AW447" i="2" s="1"/>
  <c r="AR447" i="2"/>
  <c r="AT447" i="2" s="1"/>
  <c r="AP447" i="2"/>
  <c r="AS435" i="2" a="1"/>
  <c r="AS435" i="2" s="1"/>
  <c r="AW435" i="2" s="1"/>
  <c r="AR435" i="2"/>
  <c r="AT435" i="2" s="1"/>
  <c r="AP435" i="2"/>
  <c r="AS423" i="2" a="1"/>
  <c r="AS423" i="2" s="1"/>
  <c r="AW423" i="2" s="1"/>
  <c r="AR423" i="2"/>
  <c r="AT423" i="2" s="1"/>
  <c r="AP423" i="2"/>
  <c r="AR411" i="2"/>
  <c r="AT411" i="2" s="1"/>
  <c r="AS411" i="2" a="1"/>
  <c r="AS411" i="2" s="1"/>
  <c r="AW411" i="2" s="1"/>
  <c r="AP411" i="2"/>
  <c r="AS399" i="2" a="1"/>
  <c r="AS399" i="2" s="1"/>
  <c r="AW399" i="2" s="1"/>
  <c r="AR399" i="2"/>
  <c r="AT399" i="2" s="1"/>
  <c r="AP399" i="2"/>
  <c r="AS387" i="2" a="1"/>
  <c r="AS387" i="2" s="1"/>
  <c r="AW387" i="2" s="1"/>
  <c r="AR387" i="2"/>
  <c r="AT387" i="2" s="1"/>
  <c r="AP387" i="2"/>
  <c r="AR375" i="2"/>
  <c r="AT375" i="2" s="1"/>
  <c r="AS375" i="2" a="1"/>
  <c r="AS375" i="2" s="1"/>
  <c r="AW375" i="2" s="1"/>
  <c r="AP375" i="2"/>
  <c r="AR363" i="2"/>
  <c r="AT363" i="2" s="1"/>
  <c r="AP363" i="2"/>
  <c r="AS363" i="2" a="1"/>
  <c r="AS363" i="2" s="1"/>
  <c r="AW363" i="2" s="1"/>
  <c r="AS351" i="2" a="1"/>
  <c r="AS351" i="2" s="1"/>
  <c r="AW351" i="2" s="1"/>
  <c r="AR351" i="2"/>
  <c r="AT351" i="2" s="1"/>
  <c r="AP351" i="2"/>
  <c r="AS339" i="2" a="1"/>
  <c r="AS339" i="2" s="1"/>
  <c r="AW339" i="2" s="1"/>
  <c r="AR339" i="2"/>
  <c r="AT339" i="2" s="1"/>
  <c r="AP339" i="2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S291" i="2" a="1"/>
  <c r="AS291" i="2" s="1"/>
  <c r="AW291" i="2" s="1"/>
  <c r="AR291" i="2"/>
  <c r="AT291" i="2" s="1"/>
  <c r="AP291" i="2"/>
  <c r="AS279" i="2" a="1"/>
  <c r="AS279" i="2" s="1"/>
  <c r="AW279" i="2" s="1"/>
  <c r="AR279" i="2"/>
  <c r="AT279" i="2" s="1"/>
  <c r="AP279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7" i="2"/>
  <c r="AU1097" i="2"/>
  <c r="AV1085" i="2"/>
  <c r="AU1085" i="2"/>
  <c r="AU1073" i="2"/>
  <c r="AV1073" i="2"/>
  <c r="AV1061" i="2"/>
  <c r="AU1061" i="2"/>
  <c r="AV1049" i="2"/>
  <c r="AU1049" i="2"/>
  <c r="AV1037" i="2"/>
  <c r="AU1037" i="2"/>
  <c r="AU1025" i="2"/>
  <c r="AV1025" i="2"/>
  <c r="AV1013" i="2"/>
  <c r="AU1013" i="2"/>
  <c r="AV1001" i="2"/>
  <c r="AU1001" i="2"/>
  <c r="AV989" i="2"/>
  <c r="AU989" i="2"/>
  <c r="AU977" i="2"/>
  <c r="AV977" i="2"/>
  <c r="AV965" i="2"/>
  <c r="AU965" i="2"/>
  <c r="AV953" i="2"/>
  <c r="AU953" i="2"/>
  <c r="AV941" i="2"/>
  <c r="AU941" i="2"/>
  <c r="AU929" i="2"/>
  <c r="AV929" i="2"/>
  <c r="AV917" i="2"/>
  <c r="AU917" i="2"/>
  <c r="AV905" i="2"/>
  <c r="AU905" i="2"/>
  <c r="AV893" i="2"/>
  <c r="AU893" i="2"/>
  <c r="AU881" i="2"/>
  <c r="AV881" i="2"/>
  <c r="AV869" i="2"/>
  <c r="AU869" i="2"/>
  <c r="AV857" i="2"/>
  <c r="AU857" i="2"/>
  <c r="AV845" i="2"/>
  <c r="AU845" i="2"/>
  <c r="AU833" i="2"/>
  <c r="AV833" i="2"/>
  <c r="AU821" i="2"/>
  <c r="AV821" i="2"/>
  <c r="AU809" i="2"/>
  <c r="AV809" i="2"/>
  <c r="AU797" i="2"/>
  <c r="AV797" i="2"/>
  <c r="AU785" i="2"/>
  <c r="AV785" i="2"/>
  <c r="AU773" i="2"/>
  <c r="AV773" i="2"/>
  <c r="AU761" i="2"/>
  <c r="AV761" i="2"/>
  <c r="AU749" i="2"/>
  <c r="AV749" i="2"/>
  <c r="AU737" i="2"/>
  <c r="AV737" i="2"/>
  <c r="AU725" i="2"/>
  <c r="AV725" i="2"/>
  <c r="AU713" i="2"/>
  <c r="AV713" i="2"/>
  <c r="AU701" i="2"/>
  <c r="AV701" i="2"/>
  <c r="AU689" i="2"/>
  <c r="AV689" i="2"/>
  <c r="AU677" i="2"/>
  <c r="AV677" i="2"/>
  <c r="AU665" i="2"/>
  <c r="AV665" i="2"/>
  <c r="AU653" i="2"/>
  <c r="AV653" i="2"/>
  <c r="AU641" i="2"/>
  <c r="AV641" i="2"/>
  <c r="AU629" i="2"/>
  <c r="AV629" i="2"/>
  <c r="AU617" i="2"/>
  <c r="AV617" i="2"/>
  <c r="AU605" i="2"/>
  <c r="AV605" i="2"/>
  <c r="AU593" i="2"/>
  <c r="AV593" i="2"/>
  <c r="AU581" i="2"/>
  <c r="AV581" i="2"/>
  <c r="AU569" i="2"/>
  <c r="AV569" i="2"/>
  <c r="AU557" i="2"/>
  <c r="AV557" i="2"/>
  <c r="AU545" i="2"/>
  <c r="AV545" i="2"/>
  <c r="AU533" i="2"/>
  <c r="AV533" i="2"/>
  <c r="AU521" i="2"/>
  <c r="AV521" i="2"/>
  <c r="AU509" i="2"/>
  <c r="AV509" i="2"/>
  <c r="AU497" i="2"/>
  <c r="AV497" i="2"/>
  <c r="AU485" i="2"/>
  <c r="AV485" i="2"/>
  <c r="AU473" i="2"/>
  <c r="AV473" i="2"/>
  <c r="AU461" i="2"/>
  <c r="AV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V305" i="2"/>
  <c r="AU305" i="2"/>
  <c r="AV293" i="2"/>
  <c r="AU293" i="2"/>
  <c r="AU281" i="2"/>
  <c r="AV281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O738" i="2" a="1"/>
  <c r="AO738" i="2" s="1"/>
  <c r="AN738" i="2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N702" i="2"/>
  <c r="AO702" i="2" a="1"/>
  <c r="AO702" i="2" s="1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R998" i="2"/>
  <c r="AT998" i="2" s="1"/>
  <c r="AS998" i="2" a="1"/>
  <c r="AS998" i="2" s="1"/>
  <c r="AW998" i="2" s="1"/>
  <c r="AP998" i="2"/>
  <c r="AS986" i="2" a="1"/>
  <c r="AS986" i="2" s="1"/>
  <c r="AW986" i="2" s="1"/>
  <c r="AR986" i="2"/>
  <c r="AT986" i="2" s="1"/>
  <c r="AP986" i="2"/>
  <c r="AS974" i="2" a="1"/>
  <c r="AS974" i="2" s="1"/>
  <c r="AW974" i="2" s="1"/>
  <c r="AR974" i="2"/>
  <c r="AT974" i="2" s="1"/>
  <c r="AP974" i="2"/>
  <c r="AS962" i="2" a="1"/>
  <c r="AS962" i="2" s="1"/>
  <c r="AW962" i="2" s="1"/>
  <c r="AR962" i="2"/>
  <c r="AT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R902" i="2"/>
  <c r="AT902" i="2" s="1"/>
  <c r="AS902" i="2" a="1"/>
  <c r="AS902" i="2" s="1"/>
  <c r="AW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R854" i="2"/>
  <c r="AT854" i="2" s="1"/>
  <c r="AS854" i="2" a="1"/>
  <c r="AS854" i="2" s="1"/>
  <c r="AW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R818" i="2"/>
  <c r="AT818" i="2" s="1"/>
  <c r="AS818" i="2" a="1"/>
  <c r="AS818" i="2" s="1"/>
  <c r="AW818" i="2" s="1"/>
  <c r="AP818" i="2"/>
  <c r="AS806" i="2" a="1"/>
  <c r="AS806" i="2" s="1"/>
  <c r="AW806" i="2" s="1"/>
  <c r="AR806" i="2"/>
  <c r="AT806" i="2" s="1"/>
  <c r="AP806" i="2"/>
  <c r="AR794" i="2"/>
  <c r="AT794" i="2" s="1"/>
  <c r="AS794" i="2" a="1"/>
  <c r="AS794" i="2" s="1"/>
  <c r="AW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S758" i="2" a="1"/>
  <c r="AS758" i="2" s="1"/>
  <c r="AW758" i="2" s="1"/>
  <c r="AR758" i="2"/>
  <c r="AT758" i="2" s="1"/>
  <c r="AP758" i="2"/>
  <c r="AS746" i="2" a="1"/>
  <c r="AS746" i="2" s="1"/>
  <c r="AW746" i="2" s="1"/>
  <c r="AR746" i="2"/>
  <c r="AT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S698" i="2" a="1"/>
  <c r="AS698" i="2" s="1"/>
  <c r="AW698" i="2" s="1"/>
  <c r="AR698" i="2"/>
  <c r="AT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S662" i="2" a="1"/>
  <c r="AS662" i="2" s="1"/>
  <c r="AW662" i="2" s="1"/>
  <c r="AR662" i="2"/>
  <c r="AT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P638" i="2"/>
  <c r="AR638" i="2"/>
  <c r="AT638" i="2" s="1"/>
  <c r="AS626" i="2" a="1"/>
  <c r="AS626" i="2" s="1"/>
  <c r="AW626" i="2" s="1"/>
  <c r="AR626" i="2"/>
  <c r="AT626" i="2" s="1"/>
  <c r="AP626" i="2"/>
  <c r="AS614" i="2" a="1"/>
  <c r="AS614" i="2" s="1"/>
  <c r="AW614" i="2" s="1"/>
  <c r="AR614" i="2"/>
  <c r="AT614" i="2" s="1"/>
  <c r="AP614" i="2"/>
  <c r="AR602" i="2"/>
  <c r="AT602" i="2" s="1"/>
  <c r="AP602" i="2"/>
  <c r="AS602" i="2" a="1"/>
  <c r="AS602" i="2" s="1"/>
  <c r="AW602" i="2" s="1"/>
  <c r="AR590" i="2"/>
  <c r="AT590" i="2" s="1"/>
  <c r="AS590" i="2" a="1"/>
  <c r="AS590" i="2" s="1"/>
  <c r="AW590" i="2" s="1"/>
  <c r="AP590" i="2"/>
  <c r="AR578" i="2"/>
  <c r="AT578" i="2" s="1"/>
  <c r="AS578" i="2" a="1"/>
  <c r="AS578" i="2" s="1"/>
  <c r="AW578" i="2" s="1"/>
  <c r="AP578" i="2"/>
  <c r="AS566" i="2" a="1"/>
  <c r="AS566" i="2" s="1"/>
  <c r="AW566" i="2" s="1"/>
  <c r="AR566" i="2"/>
  <c r="AT566" i="2" s="1"/>
  <c r="AP566" i="2"/>
  <c r="AS554" i="2" a="1"/>
  <c r="AS554" i="2" s="1"/>
  <c r="AW554" i="2" s="1"/>
  <c r="AR554" i="2"/>
  <c r="AT554" i="2" s="1"/>
  <c r="AP554" i="2"/>
  <c r="AS542" i="2" a="1"/>
  <c r="AS542" i="2" s="1"/>
  <c r="AW542" i="2" s="1"/>
  <c r="AR542" i="2"/>
  <c r="AT542" i="2" s="1"/>
  <c r="AP542" i="2"/>
  <c r="AR530" i="2"/>
  <c r="AT530" i="2" s="1"/>
  <c r="AS530" i="2" a="1"/>
  <c r="AS530" i="2" s="1"/>
  <c r="AW530" i="2" s="1"/>
  <c r="AP530" i="2"/>
  <c r="AS518" i="2" a="1"/>
  <c r="AS518" i="2" s="1"/>
  <c r="AW518" i="2" s="1"/>
  <c r="AR518" i="2"/>
  <c r="AT518" i="2" s="1"/>
  <c r="AP518" i="2"/>
  <c r="AR506" i="2"/>
  <c r="AT506" i="2" s="1"/>
  <c r="AS506" i="2" a="1"/>
  <c r="AS506" i="2" s="1"/>
  <c r="AW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R482" i="2"/>
  <c r="AT482" i="2" s="1"/>
  <c r="AP482" i="2"/>
  <c r="AR470" i="2"/>
  <c r="AT470" i="2" s="1"/>
  <c r="AS470" i="2" a="1"/>
  <c r="AS470" i="2" s="1"/>
  <c r="AW470" i="2" s="1"/>
  <c r="AP470" i="2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P386" i="2"/>
  <c r="AR386" i="2"/>
  <c r="AT386" i="2" s="1"/>
  <c r="AS374" i="2" a="1"/>
  <c r="AS374" i="2" s="1"/>
  <c r="AW374" i="2" s="1"/>
  <c r="AR374" i="2"/>
  <c r="AT374" i="2" s="1"/>
  <c r="AP374" i="2"/>
  <c r="AR362" i="2"/>
  <c r="AT362" i="2" s="1"/>
  <c r="AS362" i="2" a="1"/>
  <c r="AS362" i="2" s="1"/>
  <c r="AW362" i="2" s="1"/>
  <c r="AP362" i="2"/>
  <c r="AS350" i="2" a="1"/>
  <c r="AS350" i="2" s="1"/>
  <c r="AW350" i="2" s="1"/>
  <c r="AR350" i="2"/>
  <c r="AT350" i="2" s="1"/>
  <c r="AP350" i="2"/>
  <c r="AR338" i="2"/>
  <c r="AT338" i="2" s="1"/>
  <c r="AS338" i="2" a="1"/>
  <c r="AS338" i="2" s="1"/>
  <c r="AW338" i="2" s="1"/>
  <c r="AP338" i="2"/>
  <c r="AR326" i="2"/>
  <c r="AT326" i="2" s="1"/>
  <c r="AP326" i="2"/>
  <c r="AS326" i="2" a="1"/>
  <c r="AS326" i="2" s="1"/>
  <c r="AW326" i="2" s="1"/>
  <c r="AS314" i="2" a="1"/>
  <c r="AS314" i="2" s="1"/>
  <c r="AW314" i="2" s="1"/>
  <c r="AR314" i="2"/>
  <c r="AT314" i="2" s="1"/>
  <c r="AP314" i="2"/>
  <c r="AP302" i="2"/>
  <c r="AS302" i="2" a="1"/>
  <c r="AS302" i="2" s="1"/>
  <c r="AW302" i="2" s="1"/>
  <c r="AR302" i="2"/>
  <c r="AT302" i="2" s="1"/>
  <c r="AS290" i="2" a="1"/>
  <c r="AS290" i="2" s="1"/>
  <c r="AW290" i="2" s="1"/>
  <c r="AR290" i="2"/>
  <c r="AT290" i="2" s="1"/>
  <c r="AP290" i="2"/>
  <c r="AS278" i="2" a="1"/>
  <c r="AS278" i="2" s="1"/>
  <c r="AW278" i="2" s="1"/>
  <c r="AP278" i="2"/>
  <c r="AR278" i="2"/>
  <c r="AT278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6" i="2"/>
  <c r="AU1096" i="2"/>
  <c r="AV1084" i="2"/>
  <c r="AU1084" i="2"/>
  <c r="AV1072" i="2"/>
  <c r="AU1072" i="2"/>
  <c r="AU1060" i="2"/>
  <c r="AV1060" i="2"/>
  <c r="AV1048" i="2"/>
  <c r="AU1048" i="2"/>
  <c r="AV1036" i="2"/>
  <c r="AU1036" i="2"/>
  <c r="AV1024" i="2"/>
  <c r="AU1024" i="2"/>
  <c r="AU1012" i="2"/>
  <c r="AV1012" i="2"/>
  <c r="AV1000" i="2"/>
  <c r="AU1000" i="2"/>
  <c r="AV988" i="2"/>
  <c r="AU988" i="2"/>
  <c r="AV976" i="2"/>
  <c r="AU976" i="2"/>
  <c r="AU964" i="2"/>
  <c r="AV964" i="2"/>
  <c r="AV952" i="2"/>
  <c r="AU952" i="2"/>
  <c r="AV940" i="2"/>
  <c r="AU940" i="2"/>
  <c r="AV928" i="2"/>
  <c r="AU928" i="2"/>
  <c r="AU916" i="2"/>
  <c r="AV916" i="2"/>
  <c r="AV904" i="2"/>
  <c r="AU904" i="2"/>
  <c r="AV892" i="2"/>
  <c r="AU892" i="2"/>
  <c r="AV880" i="2"/>
  <c r="AU880" i="2"/>
  <c r="AU868" i="2"/>
  <c r="AV868" i="2"/>
  <c r="AV856" i="2"/>
  <c r="AU856" i="2"/>
  <c r="AU844" i="2"/>
  <c r="AV844" i="2"/>
  <c r="AV832" i="2"/>
  <c r="AU832" i="2"/>
  <c r="AV820" i="2"/>
  <c r="AU820" i="2"/>
  <c r="AV808" i="2"/>
  <c r="AU808" i="2"/>
  <c r="AV796" i="2"/>
  <c r="AU796" i="2"/>
  <c r="AV784" i="2"/>
  <c r="AU784" i="2"/>
  <c r="AV772" i="2"/>
  <c r="AU772" i="2"/>
  <c r="AV760" i="2"/>
  <c r="AU760" i="2"/>
  <c r="AV748" i="2"/>
  <c r="AU748" i="2"/>
  <c r="AV736" i="2"/>
  <c r="AU736" i="2"/>
  <c r="AV724" i="2"/>
  <c r="AU724" i="2"/>
  <c r="AV712" i="2"/>
  <c r="AU712" i="2"/>
  <c r="AV700" i="2"/>
  <c r="AU700" i="2"/>
  <c r="AV688" i="2"/>
  <c r="AU688" i="2"/>
  <c r="AU676" i="2"/>
  <c r="AV676" i="2"/>
  <c r="AV664" i="2"/>
  <c r="AU664" i="2"/>
  <c r="AV652" i="2"/>
  <c r="AU652" i="2"/>
  <c r="AV640" i="2"/>
  <c r="AU640" i="2"/>
  <c r="AV628" i="2"/>
  <c r="AU628" i="2"/>
  <c r="AV616" i="2"/>
  <c r="AU616" i="2"/>
  <c r="AV604" i="2"/>
  <c r="AU604" i="2"/>
  <c r="AV592" i="2"/>
  <c r="AU592" i="2"/>
  <c r="AV580" i="2"/>
  <c r="AU580" i="2"/>
  <c r="AV568" i="2"/>
  <c r="AU568" i="2"/>
  <c r="AV556" i="2"/>
  <c r="AU556" i="2"/>
  <c r="AV544" i="2"/>
  <c r="AU544" i="2"/>
  <c r="AU532" i="2"/>
  <c r="AV532" i="2"/>
  <c r="AV520" i="2"/>
  <c r="AU520" i="2"/>
  <c r="AV508" i="2"/>
  <c r="AU508" i="2"/>
  <c r="AV496" i="2"/>
  <c r="AU496" i="2"/>
  <c r="AV484" i="2"/>
  <c r="AU484" i="2"/>
  <c r="AV472" i="2"/>
  <c r="AU472" i="2"/>
  <c r="AV460" i="2"/>
  <c r="AU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V280" i="2"/>
  <c r="AU280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3" i="2" a="1"/>
  <c r="AS1093" i="2" s="1"/>
  <c r="AW1093" i="2" s="1"/>
  <c r="AR1093" i="2"/>
  <c r="AT1093" i="2" s="1"/>
  <c r="AP1093" i="2"/>
  <c r="AR1081" i="2"/>
  <c r="AT1081" i="2" s="1"/>
  <c r="AS1081" i="2" a="1"/>
  <c r="AS1081" i="2" s="1"/>
  <c r="AW1081" i="2" s="1"/>
  <c r="AP1081" i="2"/>
  <c r="AS1069" i="2" a="1"/>
  <c r="AS1069" i="2" s="1"/>
  <c r="AW1069" i="2" s="1"/>
  <c r="AR1069" i="2"/>
  <c r="AT1069" i="2" s="1"/>
  <c r="AP1069" i="2"/>
  <c r="AR1057" i="2"/>
  <c r="AT1057" i="2" s="1"/>
  <c r="AS1057" i="2" a="1"/>
  <c r="AS1057" i="2" s="1"/>
  <c r="AW1057" i="2" s="1"/>
  <c r="AP1057" i="2"/>
  <c r="AR1045" i="2"/>
  <c r="AT1045" i="2" s="1"/>
  <c r="AS1045" i="2" a="1"/>
  <c r="AS1045" i="2" s="1"/>
  <c r="AW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R1009" i="2"/>
  <c r="AT1009" i="2" s="1"/>
  <c r="AS1009" i="2" a="1"/>
  <c r="AS1009" i="2" s="1"/>
  <c r="AW1009" i="2" s="1"/>
  <c r="AP1009" i="2"/>
  <c r="AS997" i="2" a="1"/>
  <c r="AS997" i="2" s="1"/>
  <c r="AW997" i="2" s="1"/>
  <c r="AR997" i="2"/>
  <c r="AT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R937" i="2"/>
  <c r="AT937" i="2" s="1"/>
  <c r="AS937" i="2" a="1"/>
  <c r="AS937" i="2" s="1"/>
  <c r="AW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S901" i="2" a="1"/>
  <c r="AS901" i="2" s="1"/>
  <c r="AW901" i="2" s="1"/>
  <c r="AR901" i="2"/>
  <c r="AT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S853" i="2" a="1"/>
  <c r="AS853" i="2" s="1"/>
  <c r="AW853" i="2" s="1"/>
  <c r="AR853" i="2"/>
  <c r="AT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S817" i="2" a="1"/>
  <c r="AS817" i="2" s="1"/>
  <c r="AW817" i="2" s="1"/>
  <c r="AR817" i="2"/>
  <c r="AT817" i="2" s="1"/>
  <c r="AP817" i="2"/>
  <c r="AS805" i="2" a="1"/>
  <c r="AS805" i="2" s="1"/>
  <c r="AW805" i="2" s="1"/>
  <c r="AR805" i="2"/>
  <c r="AT805" i="2" s="1"/>
  <c r="AP805" i="2"/>
  <c r="AS793" i="2" a="1"/>
  <c r="AS793" i="2" s="1"/>
  <c r="AW793" i="2" s="1"/>
  <c r="AR793" i="2"/>
  <c r="AT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R637" i="2"/>
  <c r="AT637" i="2" s="1"/>
  <c r="AP637" i="2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S601" i="2" a="1"/>
  <c r="AS601" i="2" s="1"/>
  <c r="AW601" i="2" s="1"/>
  <c r="AR601" i="2"/>
  <c r="AT601" i="2" s="1"/>
  <c r="AP601" i="2"/>
  <c r="AS589" i="2" a="1"/>
  <c r="AS589" i="2" s="1"/>
  <c r="AW589" i="2" s="1"/>
  <c r="AR589" i="2"/>
  <c r="AT589" i="2" s="1"/>
  <c r="AP589" i="2"/>
  <c r="AS577" i="2" a="1"/>
  <c r="AS577" i="2" s="1"/>
  <c r="AW577" i="2" s="1"/>
  <c r="AR577" i="2"/>
  <c r="AT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S529" i="2" a="1"/>
  <c r="AS529" i="2" s="1"/>
  <c r="AW529" i="2" s="1"/>
  <c r="AR529" i="2"/>
  <c r="AT529" i="2" s="1"/>
  <c r="AP529" i="2"/>
  <c r="AS517" i="2" a="1"/>
  <c r="AS517" i="2" s="1"/>
  <c r="AW517" i="2" s="1"/>
  <c r="AR517" i="2"/>
  <c r="AT517" i="2" s="1"/>
  <c r="AP517" i="2"/>
  <c r="AS505" i="2" a="1"/>
  <c r="AS505" i="2" s="1"/>
  <c r="AW505" i="2" s="1"/>
  <c r="AR505" i="2"/>
  <c r="AT505" i="2" s="1"/>
  <c r="AP505" i="2"/>
  <c r="AR493" i="2"/>
  <c r="AT493" i="2" s="1"/>
  <c r="AS493" i="2" a="1"/>
  <c r="AS493" i="2" s="1"/>
  <c r="AW493" i="2" s="1"/>
  <c r="AP493" i="2"/>
  <c r="AR481" i="2"/>
  <c r="AT481" i="2" s="1"/>
  <c r="AS481" i="2" a="1"/>
  <c r="AS481" i="2" s="1"/>
  <c r="AW481" i="2" s="1"/>
  <c r="AP481" i="2"/>
  <c r="AS469" i="2" a="1"/>
  <c r="AS469" i="2" s="1"/>
  <c r="AW469" i="2" s="1"/>
  <c r="AR469" i="2"/>
  <c r="AT469" i="2" s="1"/>
  <c r="AP469" i="2"/>
  <c r="AR457" i="2"/>
  <c r="AT457" i="2" s="1"/>
  <c r="AS457" i="2" a="1"/>
  <c r="AS457" i="2" s="1"/>
  <c r="AW457" i="2" s="1"/>
  <c r="AP457" i="2"/>
  <c r="AP445" i="2"/>
  <c r="AR445" i="2"/>
  <c r="AT445" i="2" s="1"/>
  <c r="AS445" i="2" a="1"/>
  <c r="AS445" i="2" s="1"/>
  <c r="AW445" i="2" s="1"/>
  <c r="AS433" i="2" a="1"/>
  <c r="AS433" i="2" s="1"/>
  <c r="AW433" i="2" s="1"/>
  <c r="AR433" i="2"/>
  <c r="AT433" i="2" s="1"/>
  <c r="AP433" i="2"/>
  <c r="AR421" i="2"/>
  <c r="AT421" i="2" s="1"/>
  <c r="AP421" i="2"/>
  <c r="AS421" i="2" a="1"/>
  <c r="AS421" i="2" s="1"/>
  <c r="AW421" i="2" s="1"/>
  <c r="AS409" i="2" a="1"/>
  <c r="AS409" i="2" s="1"/>
  <c r="AW409" i="2" s="1"/>
  <c r="AR409" i="2"/>
  <c r="AT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R385" i="2"/>
  <c r="AT385" i="2" s="1"/>
  <c r="AP385" i="2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S337" i="2" a="1"/>
  <c r="AS337" i="2" s="1"/>
  <c r="AW337" i="2" s="1"/>
  <c r="AR337" i="2"/>
  <c r="AT337" i="2" s="1"/>
  <c r="AP337" i="2"/>
  <c r="AS325" i="2" a="1"/>
  <c r="AS325" i="2" s="1"/>
  <c r="AW325" i="2" s="1"/>
  <c r="AR325" i="2"/>
  <c r="AT325" i="2" s="1"/>
  <c r="AP325" i="2"/>
  <c r="AS313" i="2" a="1"/>
  <c r="AS313" i="2" s="1"/>
  <c r="AW313" i="2" s="1"/>
  <c r="AR313" i="2"/>
  <c r="AT313" i="2" s="1"/>
  <c r="AP313" i="2"/>
  <c r="AS301" i="2" a="1"/>
  <c r="AS301" i="2" s="1"/>
  <c r="AW301" i="2" s="1"/>
  <c r="AR301" i="2"/>
  <c r="AT301" i="2" s="1"/>
  <c r="AP301" i="2"/>
  <c r="AS289" i="2" a="1"/>
  <c r="AS289" i="2" s="1"/>
  <c r="AW289" i="2" s="1"/>
  <c r="AR289" i="2"/>
  <c r="AT289" i="2" s="1"/>
  <c r="AP289" i="2"/>
  <c r="AS277" i="2" a="1"/>
  <c r="AS277" i="2" s="1"/>
  <c r="AW277" i="2" s="1"/>
  <c r="AR277" i="2"/>
  <c r="AT277" i="2" s="1"/>
  <c r="AP277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5" i="2"/>
  <c r="AV1095" i="2"/>
  <c r="AU1083" i="2"/>
  <c r="AV1083" i="2"/>
  <c r="AU1071" i="2"/>
  <c r="AV1071" i="2"/>
  <c r="AU1059" i="2"/>
  <c r="AV1059" i="2"/>
  <c r="AU1047" i="2"/>
  <c r="AV1047" i="2"/>
  <c r="AU1035" i="2"/>
  <c r="AV1035" i="2"/>
  <c r="AU1023" i="2"/>
  <c r="AV1023" i="2"/>
  <c r="AU1011" i="2"/>
  <c r="AV1011" i="2"/>
  <c r="AU999" i="2"/>
  <c r="AV999" i="2"/>
  <c r="AU987" i="2"/>
  <c r="AV987" i="2"/>
  <c r="AU975" i="2"/>
  <c r="AV975" i="2"/>
  <c r="AU963" i="2"/>
  <c r="AV963" i="2"/>
  <c r="AU951" i="2"/>
  <c r="AV951" i="2"/>
  <c r="AU939" i="2"/>
  <c r="AV939" i="2"/>
  <c r="AU927" i="2"/>
  <c r="AV927" i="2"/>
  <c r="AU915" i="2"/>
  <c r="AV915" i="2"/>
  <c r="AU903" i="2"/>
  <c r="AV903" i="2"/>
  <c r="AU891" i="2"/>
  <c r="AV891" i="2"/>
  <c r="AU879" i="2"/>
  <c r="AV879" i="2"/>
  <c r="AU867" i="2"/>
  <c r="AV867" i="2"/>
  <c r="AU855" i="2"/>
  <c r="AV855" i="2"/>
  <c r="AU843" i="2"/>
  <c r="AV843" i="2"/>
  <c r="AV831" i="2"/>
  <c r="AU831" i="2"/>
  <c r="AU819" i="2"/>
  <c r="AV819" i="2"/>
  <c r="AV807" i="2"/>
  <c r="AU807" i="2"/>
  <c r="AU795" i="2"/>
  <c r="AV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U711" i="2"/>
  <c r="AV711" i="2"/>
  <c r="AV699" i="2"/>
  <c r="AU699" i="2"/>
  <c r="AV687" i="2"/>
  <c r="AU687" i="2"/>
  <c r="AV675" i="2"/>
  <c r="AU675" i="2"/>
  <c r="AV663" i="2"/>
  <c r="AU663" i="2"/>
  <c r="AV651" i="2"/>
  <c r="AU651" i="2"/>
  <c r="AV639" i="2"/>
  <c r="AU639" i="2"/>
  <c r="AV627" i="2"/>
  <c r="AU627" i="2"/>
  <c r="AU615" i="2"/>
  <c r="AV615" i="2"/>
  <c r="AV603" i="2"/>
  <c r="AU603" i="2"/>
  <c r="AV591" i="2"/>
  <c r="AU591" i="2"/>
  <c r="AV579" i="2"/>
  <c r="AU579" i="2"/>
  <c r="AV567" i="2"/>
  <c r="AU567" i="2"/>
  <c r="AU555" i="2"/>
  <c r="AV555" i="2"/>
  <c r="AV543" i="2"/>
  <c r="AU543" i="2"/>
  <c r="AV531" i="2"/>
  <c r="AU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U423" i="2"/>
  <c r="AV423" i="2"/>
  <c r="AV411" i="2"/>
  <c r="AU411" i="2"/>
  <c r="AV399" i="2"/>
  <c r="AU399" i="2"/>
  <c r="AU387" i="2"/>
  <c r="AV387" i="2"/>
  <c r="AU375" i="2"/>
  <c r="AV375" i="2"/>
  <c r="AU363" i="2"/>
  <c r="AV363" i="2"/>
  <c r="AU351" i="2"/>
  <c r="AV351" i="2"/>
  <c r="AV339" i="2"/>
  <c r="AU339" i="2"/>
  <c r="AV327" i="2"/>
  <c r="AU327" i="2"/>
  <c r="AV315" i="2"/>
  <c r="AU315" i="2"/>
  <c r="AU303" i="2"/>
  <c r="AV303" i="2"/>
  <c r="AV291" i="2"/>
  <c r="AU291" i="2"/>
  <c r="AV279" i="2"/>
  <c r="AU279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7" i="2"/>
  <c r="AQ365" i="2"/>
  <c r="AQ353" i="2"/>
  <c r="AQ341" i="2"/>
  <c r="AQ329" i="2"/>
  <c r="AQ317" i="2"/>
  <c r="AQ305" i="2"/>
  <c r="AQ293" i="2"/>
  <c r="AQ281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2" i="2" a="1"/>
  <c r="AS1092" i="2" s="1"/>
  <c r="AW1092" i="2" s="1"/>
  <c r="AR1092" i="2"/>
  <c r="AT1092" i="2" s="1"/>
  <c r="AP1092" i="2"/>
  <c r="AS1080" i="2" a="1"/>
  <c r="AS1080" i="2" s="1"/>
  <c r="AW1080" i="2" s="1"/>
  <c r="AR1080" i="2"/>
  <c r="AT1080" i="2" s="1"/>
  <c r="AP1080" i="2"/>
  <c r="AS1068" i="2" a="1"/>
  <c r="AS1068" i="2" s="1"/>
  <c r="AW1068" i="2" s="1"/>
  <c r="AR1068" i="2"/>
  <c r="AT1068" i="2" s="1"/>
  <c r="AP1068" i="2"/>
  <c r="AS1056" i="2" a="1"/>
  <c r="AS1056" i="2" s="1"/>
  <c r="AW1056" i="2" s="1"/>
  <c r="AR1056" i="2"/>
  <c r="AT1056" i="2" s="1"/>
  <c r="AP1056" i="2"/>
  <c r="AS1044" i="2" a="1"/>
  <c r="AS1044" i="2" s="1"/>
  <c r="AW1044" i="2" s="1"/>
  <c r="AR1044" i="2"/>
  <c r="AT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S1008" i="2" a="1"/>
  <c r="AS1008" i="2" s="1"/>
  <c r="AW1008" i="2" s="1"/>
  <c r="AR1008" i="2"/>
  <c r="AT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R972" i="2"/>
  <c r="AT972" i="2" s="1"/>
  <c r="AS972" i="2" a="1"/>
  <c r="AS972" i="2" s="1"/>
  <c r="AW972" i="2" s="1"/>
  <c r="AP972" i="2"/>
  <c r="AS960" i="2" a="1"/>
  <c r="AS960" i="2" s="1"/>
  <c r="AW960" i="2" s="1"/>
  <c r="AR960" i="2"/>
  <c r="AT960" i="2" s="1"/>
  <c r="AP960" i="2"/>
  <c r="AR948" i="2"/>
  <c r="AT948" i="2" s="1"/>
  <c r="AS948" i="2" a="1"/>
  <c r="AS948" i="2" s="1"/>
  <c r="AW948" i="2" s="1"/>
  <c r="AP948" i="2"/>
  <c r="AS936" i="2" a="1"/>
  <c r="AS936" i="2" s="1"/>
  <c r="AW936" i="2" s="1"/>
  <c r="AR936" i="2"/>
  <c r="AT936" i="2" s="1"/>
  <c r="AP936" i="2"/>
  <c r="AS924" i="2" a="1"/>
  <c r="AS924" i="2" s="1"/>
  <c r="AW924" i="2" s="1"/>
  <c r="AR924" i="2"/>
  <c r="AT924" i="2" s="1"/>
  <c r="AP924" i="2"/>
  <c r="AR912" i="2"/>
  <c r="AT912" i="2" s="1"/>
  <c r="AS912" i="2" a="1"/>
  <c r="AS912" i="2" s="1"/>
  <c r="AW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R852" i="2"/>
  <c r="AT852" i="2" s="1"/>
  <c r="AS852" i="2" a="1"/>
  <c r="AS852" i="2" s="1"/>
  <c r="AW852" i="2" s="1"/>
  <c r="AP852" i="2"/>
  <c r="AR840" i="2"/>
  <c r="AT840" i="2" s="1"/>
  <c r="AS840" i="2" a="1"/>
  <c r="AS840" i="2" s="1"/>
  <c r="AW840" i="2" s="1"/>
  <c r="AP840" i="2"/>
  <c r="AS828" i="2" a="1"/>
  <c r="AS828" i="2" s="1"/>
  <c r="AW828" i="2" s="1"/>
  <c r="AR828" i="2"/>
  <c r="AT828" i="2" s="1"/>
  <c r="AP828" i="2"/>
  <c r="AR816" i="2"/>
  <c r="AT816" i="2" s="1"/>
  <c r="AS816" i="2" a="1"/>
  <c r="AS816" i="2" s="1"/>
  <c r="AW816" i="2" s="1"/>
  <c r="AP816" i="2"/>
  <c r="AR804" i="2"/>
  <c r="AT804" i="2" s="1"/>
  <c r="AS804" i="2" a="1"/>
  <c r="AS804" i="2" s="1"/>
  <c r="AW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R768" i="2"/>
  <c r="AT768" i="2" s="1"/>
  <c r="AS768" i="2" a="1"/>
  <c r="AS768" i="2" s="1"/>
  <c r="AW768" i="2" s="1"/>
  <c r="AP768" i="2"/>
  <c r="AS756" i="2" a="1"/>
  <c r="AS756" i="2" s="1"/>
  <c r="AW756" i="2" s="1"/>
  <c r="AR756" i="2"/>
  <c r="AT756" i="2" s="1"/>
  <c r="AP756" i="2"/>
  <c r="AR744" i="2"/>
  <c r="AT744" i="2" s="1"/>
  <c r="AS744" i="2" a="1"/>
  <c r="AS744" i="2" s="1"/>
  <c r="AW744" i="2" s="1"/>
  <c r="AP744" i="2"/>
  <c r="AS732" i="2" a="1"/>
  <c r="AS732" i="2" s="1"/>
  <c r="AW732" i="2" s="1"/>
  <c r="AP732" i="2"/>
  <c r="AR732" i="2"/>
  <c r="AT732" i="2" s="1"/>
  <c r="AS720" i="2" a="1"/>
  <c r="AS720" i="2" s="1"/>
  <c r="AW720" i="2" s="1"/>
  <c r="AR720" i="2"/>
  <c r="AT720" i="2" s="1"/>
  <c r="AP720" i="2"/>
  <c r="AR708" i="2"/>
  <c r="AT708" i="2" s="1"/>
  <c r="AS708" i="2" a="1"/>
  <c r="AS708" i="2" s="1"/>
  <c r="AW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R528" i="2"/>
  <c r="AT528" i="2" s="1"/>
  <c r="AS528" i="2" a="1"/>
  <c r="AS528" i="2" s="1"/>
  <c r="AW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S492" i="2" a="1"/>
  <c r="AS492" i="2" s="1"/>
  <c r="AW492" i="2" s="1"/>
  <c r="AR492" i="2"/>
  <c r="AT492" i="2" s="1"/>
  <c r="AP492" i="2"/>
  <c r="AS480" i="2" a="1"/>
  <c r="AS480" i="2" s="1"/>
  <c r="AW480" i="2" s="1"/>
  <c r="AR480" i="2"/>
  <c r="AT480" i="2" s="1"/>
  <c r="AP480" i="2"/>
  <c r="AR468" i="2"/>
  <c r="AT468" i="2" s="1"/>
  <c r="AS468" i="2" a="1"/>
  <c r="AS468" i="2" s="1"/>
  <c r="AW468" i="2" s="1"/>
  <c r="AP468" i="2"/>
  <c r="AS456" i="2" a="1"/>
  <c r="AS456" i="2" s="1"/>
  <c r="AW456" i="2" s="1"/>
  <c r="AR456" i="2"/>
  <c r="AT456" i="2" s="1"/>
  <c r="AP456" i="2"/>
  <c r="AR444" i="2"/>
  <c r="AT444" i="2" s="1"/>
  <c r="AS444" i="2" a="1"/>
  <c r="AS444" i="2" s="1"/>
  <c r="AW444" i="2" s="1"/>
  <c r="AP444" i="2"/>
  <c r="AS432" i="2" a="1"/>
  <c r="AS432" i="2" s="1"/>
  <c r="AW432" i="2" s="1"/>
  <c r="AR432" i="2"/>
  <c r="AT432" i="2" s="1"/>
  <c r="AP432" i="2"/>
  <c r="AS420" i="2" a="1"/>
  <c r="AS420" i="2" s="1"/>
  <c r="AW420" i="2" s="1"/>
  <c r="AR420" i="2"/>
  <c r="AT420" i="2" s="1"/>
  <c r="AP420" i="2"/>
  <c r="AR408" i="2"/>
  <c r="AT408" i="2" s="1"/>
  <c r="AP408" i="2"/>
  <c r="AS408" i="2" a="1"/>
  <c r="AS408" i="2" s="1"/>
  <c r="AW408" i="2" s="1"/>
  <c r="AS396" i="2" a="1"/>
  <c r="AS396" i="2" s="1"/>
  <c r="AW396" i="2" s="1"/>
  <c r="AR396" i="2"/>
  <c r="AT396" i="2" s="1"/>
  <c r="AP396" i="2"/>
  <c r="AR384" i="2"/>
  <c r="AT384" i="2" s="1"/>
  <c r="AS384" i="2" a="1"/>
  <c r="AS384" i="2" s="1"/>
  <c r="AW384" i="2" s="1"/>
  <c r="AP384" i="2"/>
  <c r="AS372" i="2" a="1"/>
  <c r="AS372" i="2" s="1"/>
  <c r="AW372" i="2" s="1"/>
  <c r="AR372" i="2"/>
  <c r="AT372" i="2" s="1"/>
  <c r="AP372" i="2"/>
  <c r="AS360" i="2" a="1"/>
  <c r="AS360" i="2" s="1"/>
  <c r="AW360" i="2" s="1"/>
  <c r="AR360" i="2"/>
  <c r="AT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R324" i="2"/>
  <c r="AT324" i="2" s="1"/>
  <c r="AS324" i="2" a="1"/>
  <c r="AS324" i="2" s="1"/>
  <c r="AW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R288" i="2"/>
  <c r="AT288" i="2" s="1"/>
  <c r="AS288" i="2" a="1"/>
  <c r="AS288" i="2" s="1"/>
  <c r="AW288" i="2" s="1"/>
  <c r="AP288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P132" i="2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4" i="2"/>
  <c r="AU1094" i="2"/>
  <c r="AV1082" i="2"/>
  <c r="AU1082" i="2"/>
  <c r="AU1070" i="2"/>
  <c r="AV1070" i="2"/>
  <c r="AV1058" i="2"/>
  <c r="AU1058" i="2"/>
  <c r="AV1046" i="2"/>
  <c r="AU1046" i="2"/>
  <c r="AV1034" i="2"/>
  <c r="AU1034" i="2"/>
  <c r="AU1022" i="2"/>
  <c r="AV1022" i="2"/>
  <c r="AV1010" i="2"/>
  <c r="AU1010" i="2"/>
  <c r="AV998" i="2"/>
  <c r="AU998" i="2"/>
  <c r="AV986" i="2"/>
  <c r="AU986" i="2"/>
  <c r="AU974" i="2"/>
  <c r="AV974" i="2"/>
  <c r="AV962" i="2"/>
  <c r="AU962" i="2"/>
  <c r="AV950" i="2"/>
  <c r="AU950" i="2"/>
  <c r="AV938" i="2"/>
  <c r="AU938" i="2"/>
  <c r="AU926" i="2"/>
  <c r="AV926" i="2"/>
  <c r="AV914" i="2"/>
  <c r="AU914" i="2"/>
  <c r="AV902" i="2"/>
  <c r="AU902" i="2"/>
  <c r="AV890" i="2"/>
  <c r="AU890" i="2"/>
  <c r="AU878" i="2"/>
  <c r="AV878" i="2"/>
  <c r="AV866" i="2"/>
  <c r="AU866" i="2"/>
  <c r="AV854" i="2"/>
  <c r="AU854" i="2"/>
  <c r="AV842" i="2"/>
  <c r="AU842" i="2"/>
  <c r="AU830" i="2"/>
  <c r="AV830" i="2"/>
  <c r="AV818" i="2"/>
  <c r="AU818" i="2"/>
  <c r="AU806" i="2"/>
  <c r="AV806" i="2"/>
  <c r="AV794" i="2"/>
  <c r="AU794" i="2"/>
  <c r="AV782" i="2"/>
  <c r="AU782" i="2"/>
  <c r="AV770" i="2"/>
  <c r="AU770" i="2"/>
  <c r="AU758" i="2"/>
  <c r="AV758" i="2"/>
  <c r="AU746" i="2"/>
  <c r="AV746" i="2"/>
  <c r="AV734" i="2"/>
  <c r="AU734" i="2"/>
  <c r="AV722" i="2"/>
  <c r="AU722" i="2"/>
  <c r="AV710" i="2"/>
  <c r="AU710" i="2"/>
  <c r="AV698" i="2"/>
  <c r="AU698" i="2"/>
  <c r="AV686" i="2"/>
  <c r="AU686" i="2"/>
  <c r="AV674" i="2"/>
  <c r="AU674" i="2"/>
  <c r="AV662" i="2"/>
  <c r="AU662" i="2"/>
  <c r="AU650" i="2"/>
  <c r="AV650" i="2"/>
  <c r="AV638" i="2"/>
  <c r="AU638" i="2"/>
  <c r="AV626" i="2"/>
  <c r="AU626" i="2"/>
  <c r="AV614" i="2"/>
  <c r="AU614" i="2"/>
  <c r="AV602" i="2"/>
  <c r="AU602" i="2"/>
  <c r="AU590" i="2"/>
  <c r="AV590" i="2"/>
  <c r="AV578" i="2"/>
  <c r="AU578" i="2"/>
  <c r="AU566" i="2"/>
  <c r="AV566" i="2"/>
  <c r="AV554" i="2"/>
  <c r="AU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U446" i="2"/>
  <c r="AV446" i="2"/>
  <c r="AV434" i="2"/>
  <c r="AU434" i="2"/>
  <c r="AV422" i="2"/>
  <c r="AU422" i="2"/>
  <c r="AV410" i="2"/>
  <c r="AU410" i="2"/>
  <c r="AV398" i="2"/>
  <c r="AU398" i="2"/>
  <c r="AV386" i="2"/>
  <c r="AU386" i="2"/>
  <c r="AV374" i="2"/>
  <c r="AU374" i="2"/>
  <c r="AV362" i="2"/>
  <c r="AU362" i="2"/>
  <c r="AV350" i="2"/>
  <c r="AU350" i="2"/>
  <c r="AV338" i="2"/>
  <c r="AU338" i="2"/>
  <c r="AV326" i="2"/>
  <c r="AU326" i="2"/>
  <c r="AV314" i="2"/>
  <c r="AU314" i="2"/>
  <c r="AV302" i="2"/>
  <c r="AU302" i="2"/>
  <c r="AU290" i="2"/>
  <c r="AV290" i="2"/>
  <c r="AV278" i="2"/>
  <c r="AU278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Q376" i="2"/>
  <c r="AQ364" i="2"/>
  <c r="AQ352" i="2"/>
  <c r="AQ340" i="2"/>
  <c r="AQ328" i="2"/>
  <c r="AQ316" i="2"/>
  <c r="AQ304" i="2"/>
  <c r="AQ292" i="2"/>
  <c r="AQ280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R1043" i="2"/>
  <c r="AT1043" i="2" s="1"/>
  <c r="AS1043" i="2" a="1"/>
  <c r="AS1043" i="2" s="1"/>
  <c r="AW1043" i="2" s="1"/>
  <c r="AP1043" i="2"/>
  <c r="AR1031" i="2"/>
  <c r="AT1031" i="2" s="1"/>
  <c r="AS1031" i="2" a="1"/>
  <c r="AS1031" i="2" s="1"/>
  <c r="AW1031" i="2" s="1"/>
  <c r="AP1031" i="2"/>
  <c r="AR1019" i="2"/>
  <c r="AT1019" i="2" s="1"/>
  <c r="AS1019" i="2" a="1"/>
  <c r="AS1019" i="2" s="1"/>
  <c r="AW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S971" i="2" a="1"/>
  <c r="AS971" i="2" s="1"/>
  <c r="AW971" i="2" s="1"/>
  <c r="AR971" i="2"/>
  <c r="AT971" i="2" s="1"/>
  <c r="AP971" i="2"/>
  <c r="AR959" i="2"/>
  <c r="AT959" i="2" s="1"/>
  <c r="AS959" i="2" a="1"/>
  <c r="AS959" i="2" s="1"/>
  <c r="AW959" i="2" s="1"/>
  <c r="AP959" i="2"/>
  <c r="AS947" i="2" a="1"/>
  <c r="AS947" i="2" s="1"/>
  <c r="AW947" i="2" s="1"/>
  <c r="AR947" i="2"/>
  <c r="AT947" i="2" s="1"/>
  <c r="AP947" i="2"/>
  <c r="AR935" i="2"/>
  <c r="AT935" i="2" s="1"/>
  <c r="AS935" i="2" a="1"/>
  <c r="AS935" i="2" s="1"/>
  <c r="AW935" i="2" s="1"/>
  <c r="AP935" i="2"/>
  <c r="AR923" i="2"/>
  <c r="AT923" i="2" s="1"/>
  <c r="AS923" i="2" a="1"/>
  <c r="AS923" i="2" s="1"/>
  <c r="AW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R875" i="2"/>
  <c r="AT875" i="2" s="1"/>
  <c r="AS875" i="2" a="1"/>
  <c r="AS875" i="2" s="1"/>
  <c r="AW875" i="2" s="1"/>
  <c r="AP875" i="2"/>
  <c r="AS863" i="2" a="1"/>
  <c r="AS863" i="2" s="1"/>
  <c r="AW863" i="2" s="1"/>
  <c r="AR863" i="2"/>
  <c r="AT863" i="2" s="1"/>
  <c r="AP863" i="2"/>
  <c r="AS851" i="2" a="1"/>
  <c r="AS851" i="2" s="1"/>
  <c r="AW851" i="2" s="1"/>
  <c r="AR851" i="2"/>
  <c r="AT851" i="2" s="1"/>
  <c r="AP851" i="2"/>
  <c r="AS839" i="2" a="1"/>
  <c r="AS839" i="2" s="1"/>
  <c r="AW839" i="2" s="1"/>
  <c r="AR839" i="2"/>
  <c r="AT839" i="2" s="1"/>
  <c r="AP839" i="2"/>
  <c r="AS827" i="2" a="1"/>
  <c r="AS827" i="2" s="1"/>
  <c r="AW827" i="2" s="1"/>
  <c r="AR827" i="2"/>
  <c r="AT827" i="2" s="1"/>
  <c r="AP827" i="2"/>
  <c r="AS815" i="2" a="1"/>
  <c r="AS815" i="2" s="1"/>
  <c r="AW815" i="2" s="1"/>
  <c r="AR815" i="2"/>
  <c r="AT815" i="2" s="1"/>
  <c r="AP815" i="2"/>
  <c r="AS803" i="2" a="1"/>
  <c r="AS803" i="2" s="1"/>
  <c r="AW803" i="2" s="1"/>
  <c r="AR803" i="2"/>
  <c r="AT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S743" i="2" a="1"/>
  <c r="AS743" i="2" s="1"/>
  <c r="AW743" i="2" s="1"/>
  <c r="AR743" i="2"/>
  <c r="AT743" i="2" s="1"/>
  <c r="AP743" i="2"/>
  <c r="AS731" i="2" a="1"/>
  <c r="AS731" i="2" s="1"/>
  <c r="AW731" i="2" s="1"/>
  <c r="AR731" i="2"/>
  <c r="AT731" i="2" s="1"/>
  <c r="AP731" i="2"/>
  <c r="AS719" i="2" a="1"/>
  <c r="AS719" i="2" s="1"/>
  <c r="AW719" i="2" s="1"/>
  <c r="AR719" i="2"/>
  <c r="AT719" i="2" s="1"/>
  <c r="AP719" i="2"/>
  <c r="AS707" i="2" a="1"/>
  <c r="AS707" i="2" s="1"/>
  <c r="AW707" i="2" s="1"/>
  <c r="AR707" i="2"/>
  <c r="AT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R671" i="2"/>
  <c r="AT671" i="2" s="1"/>
  <c r="AS671" i="2" a="1"/>
  <c r="AS671" i="2" s="1"/>
  <c r="AW671" i="2" s="1"/>
  <c r="AP671" i="2"/>
  <c r="AR659" i="2"/>
  <c r="AT659" i="2" s="1"/>
  <c r="AS659" i="2" a="1"/>
  <c r="AS659" i="2" s="1"/>
  <c r="AW659" i="2" s="1"/>
  <c r="AP659" i="2"/>
  <c r="AS647" i="2" a="1"/>
  <c r="AS647" i="2" s="1"/>
  <c r="AW647" i="2" s="1"/>
  <c r="AR647" i="2"/>
  <c r="AT647" i="2" s="1"/>
  <c r="AP647" i="2"/>
  <c r="AR635" i="2"/>
  <c r="AT635" i="2" s="1"/>
  <c r="AS635" i="2" a="1"/>
  <c r="AS635" i="2" s="1"/>
  <c r="AW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R587" i="2"/>
  <c r="AT587" i="2" s="1"/>
  <c r="AS587" i="2" a="1"/>
  <c r="AS587" i="2" s="1"/>
  <c r="AW587" i="2" s="1"/>
  <c r="AP587" i="2"/>
  <c r="AR575" i="2"/>
  <c r="AT575" i="2" s="1"/>
  <c r="AS575" i="2" a="1"/>
  <c r="AS575" i="2" s="1"/>
  <c r="AW575" i="2" s="1"/>
  <c r="AP575" i="2"/>
  <c r="AS563" i="2" a="1"/>
  <c r="AS563" i="2" s="1"/>
  <c r="AW563" i="2" s="1"/>
  <c r="AR563" i="2"/>
  <c r="AT563" i="2" s="1"/>
  <c r="AP563" i="2"/>
  <c r="AR551" i="2"/>
  <c r="AT551" i="2" s="1"/>
  <c r="AS551" i="2" a="1"/>
  <c r="AS551" i="2" s="1"/>
  <c r="AW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R515" i="2"/>
  <c r="AT515" i="2" s="1"/>
  <c r="AS515" i="2" a="1"/>
  <c r="AS515" i="2" s="1"/>
  <c r="AW515" i="2" s="1"/>
  <c r="AP515" i="2"/>
  <c r="AS503" i="2" a="1"/>
  <c r="AS503" i="2" s="1"/>
  <c r="AW503" i="2" s="1"/>
  <c r="AR503" i="2"/>
  <c r="AT503" i="2" s="1"/>
  <c r="AP503" i="2"/>
  <c r="AR491" i="2"/>
  <c r="AT491" i="2" s="1"/>
  <c r="AS491" i="2" a="1"/>
  <c r="AS491" i="2" s="1"/>
  <c r="AW491" i="2" s="1"/>
  <c r="AP491" i="2"/>
  <c r="AS479" i="2" a="1"/>
  <c r="AS479" i="2" s="1"/>
  <c r="AW479" i="2" s="1"/>
  <c r="AR479" i="2"/>
  <c r="AT479" i="2" s="1"/>
  <c r="AP479" i="2"/>
  <c r="AS467" i="2" a="1"/>
  <c r="AS467" i="2" s="1"/>
  <c r="AW467" i="2" s="1"/>
  <c r="AR467" i="2"/>
  <c r="AT467" i="2" s="1"/>
  <c r="AP467" i="2"/>
  <c r="AS455" i="2" a="1"/>
  <c r="AS455" i="2" s="1"/>
  <c r="AW455" i="2" s="1"/>
  <c r="AR455" i="2"/>
  <c r="AT455" i="2" s="1"/>
  <c r="AP455" i="2"/>
  <c r="AS443" i="2" a="1"/>
  <c r="AS443" i="2" s="1"/>
  <c r="AW443" i="2" s="1"/>
  <c r="AR443" i="2"/>
  <c r="AT443" i="2" s="1"/>
  <c r="AP443" i="2"/>
  <c r="AR431" i="2"/>
  <c r="AT431" i="2" s="1"/>
  <c r="AS431" i="2" a="1"/>
  <c r="AS431" i="2" s="1"/>
  <c r="AW431" i="2" s="1"/>
  <c r="AP431" i="2"/>
  <c r="AS419" i="2" a="1"/>
  <c r="AS419" i="2" s="1"/>
  <c r="AW419" i="2" s="1"/>
  <c r="AR419" i="2"/>
  <c r="AT419" i="2" s="1"/>
  <c r="AP419" i="2"/>
  <c r="AS407" i="2" a="1"/>
  <c r="AS407" i="2" s="1"/>
  <c r="AW407" i="2" s="1"/>
  <c r="AR407" i="2"/>
  <c r="AT407" i="2" s="1"/>
  <c r="AP407" i="2"/>
  <c r="AR395" i="2"/>
  <c r="AT395" i="2" s="1"/>
  <c r="AP395" i="2"/>
  <c r="AS395" i="2" a="1"/>
  <c r="AS395" i="2" s="1"/>
  <c r="AW395" i="2" s="1"/>
  <c r="AS383" i="2" a="1"/>
  <c r="AS383" i="2" s="1"/>
  <c r="AW383" i="2" s="1"/>
  <c r="AR383" i="2"/>
  <c r="AT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R335" i="2"/>
  <c r="AT335" i="2" s="1"/>
  <c r="AS335" i="2" a="1"/>
  <c r="AS335" i="2" s="1"/>
  <c r="AW335" i="2" s="1"/>
  <c r="AP335" i="2"/>
  <c r="AS323" i="2" a="1"/>
  <c r="AS323" i="2" s="1"/>
  <c r="AW323" i="2" s="1"/>
  <c r="AR323" i="2"/>
  <c r="AT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S287" i="2" a="1"/>
  <c r="AS287" i="2" s="1"/>
  <c r="AW287" i="2" s="1"/>
  <c r="AR287" i="2"/>
  <c r="AT287" i="2" s="1"/>
  <c r="AP287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P131" i="2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3" i="2"/>
  <c r="AV1093" i="2"/>
  <c r="AV1081" i="2"/>
  <c r="AU1081" i="2"/>
  <c r="AV1069" i="2"/>
  <c r="AU1069" i="2"/>
  <c r="AU1057" i="2"/>
  <c r="AV1057" i="2"/>
  <c r="AV1045" i="2"/>
  <c r="AU1045" i="2"/>
  <c r="AV1033" i="2"/>
  <c r="AU1033" i="2"/>
  <c r="AV1021" i="2"/>
  <c r="AU1021" i="2"/>
  <c r="AU1009" i="2"/>
  <c r="AV1009" i="2"/>
  <c r="AV997" i="2"/>
  <c r="AU997" i="2"/>
  <c r="AV985" i="2"/>
  <c r="AU985" i="2"/>
  <c r="AV973" i="2"/>
  <c r="AU973" i="2"/>
  <c r="AU961" i="2"/>
  <c r="AV961" i="2"/>
  <c r="AV949" i="2"/>
  <c r="AU949" i="2"/>
  <c r="AV937" i="2"/>
  <c r="AU937" i="2"/>
  <c r="AV925" i="2"/>
  <c r="AU925" i="2"/>
  <c r="AU913" i="2"/>
  <c r="AV913" i="2"/>
  <c r="AV901" i="2"/>
  <c r="AU901" i="2"/>
  <c r="AV889" i="2"/>
  <c r="AU889" i="2"/>
  <c r="AU877" i="2"/>
  <c r="AV877" i="2"/>
  <c r="AU865" i="2"/>
  <c r="AV865" i="2"/>
  <c r="AV853" i="2"/>
  <c r="AU853" i="2"/>
  <c r="AV841" i="2"/>
  <c r="AU841" i="2"/>
  <c r="AU829" i="2"/>
  <c r="AV829" i="2"/>
  <c r="AU817" i="2"/>
  <c r="AV817" i="2"/>
  <c r="AU805" i="2"/>
  <c r="AV805" i="2"/>
  <c r="AU793" i="2"/>
  <c r="AV793" i="2"/>
  <c r="AU781" i="2"/>
  <c r="AV781" i="2"/>
  <c r="AU769" i="2"/>
  <c r="AV769" i="2"/>
  <c r="AU757" i="2"/>
  <c r="AV757" i="2"/>
  <c r="AU745" i="2"/>
  <c r="AV745" i="2"/>
  <c r="AU733" i="2"/>
  <c r="AV733" i="2"/>
  <c r="AU721" i="2"/>
  <c r="AV721" i="2"/>
  <c r="AU709" i="2"/>
  <c r="AV709" i="2"/>
  <c r="AU697" i="2"/>
  <c r="AV697" i="2"/>
  <c r="AU685" i="2"/>
  <c r="AV685" i="2"/>
  <c r="AU673" i="2"/>
  <c r="AV673" i="2"/>
  <c r="AU661" i="2"/>
  <c r="AV661" i="2"/>
  <c r="AU649" i="2"/>
  <c r="AV649" i="2"/>
  <c r="AU637" i="2"/>
  <c r="AV637" i="2"/>
  <c r="AU625" i="2"/>
  <c r="AV625" i="2"/>
  <c r="AU613" i="2"/>
  <c r="AV613" i="2"/>
  <c r="AU601" i="2"/>
  <c r="AV601" i="2"/>
  <c r="AU589" i="2"/>
  <c r="AV589" i="2"/>
  <c r="AU577" i="2"/>
  <c r="AV577" i="2"/>
  <c r="AU565" i="2"/>
  <c r="AV565" i="2"/>
  <c r="AU553" i="2"/>
  <c r="AV553" i="2"/>
  <c r="AU541" i="2"/>
  <c r="AV541" i="2"/>
  <c r="AU529" i="2"/>
  <c r="AV529" i="2"/>
  <c r="AU517" i="2"/>
  <c r="AV517" i="2"/>
  <c r="AU505" i="2"/>
  <c r="AV505" i="2"/>
  <c r="AU493" i="2"/>
  <c r="AV493" i="2"/>
  <c r="AU481" i="2"/>
  <c r="AV481" i="2"/>
  <c r="AU469" i="2"/>
  <c r="AV469" i="2"/>
  <c r="AU457" i="2"/>
  <c r="AV457" i="2"/>
  <c r="AU445" i="2"/>
  <c r="AV445" i="2"/>
  <c r="AU433" i="2"/>
  <c r="AV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V289" i="2"/>
  <c r="AU289" i="2"/>
  <c r="AV277" i="2"/>
  <c r="AU277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4" i="2" a="1"/>
  <c r="AY434" i="2" s="1"/>
  <c r="AO434" i="2" a="1"/>
  <c r="AO434" i="2" s="1"/>
  <c r="AN434" i="2"/>
  <c r="AY422" i="2" a="1"/>
  <c r="AY422" i="2" s="1"/>
  <c r="AN422" i="2"/>
  <c r="AO422" i="2" a="1"/>
  <c r="AO422" i="2" s="1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S1042" i="2" a="1"/>
  <c r="AS1042" i="2" s="1"/>
  <c r="AW1042" i="2" s="1"/>
  <c r="AR1042" i="2"/>
  <c r="AT1042" i="2" s="1"/>
  <c r="AP1042" i="2"/>
  <c r="AS1030" i="2" a="1"/>
  <c r="AS1030" i="2" s="1"/>
  <c r="AW1030" i="2" s="1"/>
  <c r="AR1030" i="2"/>
  <c r="AT1030" i="2" s="1"/>
  <c r="AP1030" i="2"/>
  <c r="AS1018" i="2" a="1"/>
  <c r="AS1018" i="2" s="1"/>
  <c r="AW1018" i="2" s="1"/>
  <c r="AR1018" i="2"/>
  <c r="AT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R970" i="2"/>
  <c r="AT970" i="2" s="1"/>
  <c r="AS970" i="2" a="1"/>
  <c r="AS970" i="2" s="1"/>
  <c r="AW970" i="2" s="1"/>
  <c r="AP970" i="2"/>
  <c r="AS958" i="2" a="1"/>
  <c r="AS958" i="2" s="1"/>
  <c r="AW958" i="2" s="1"/>
  <c r="AR958" i="2"/>
  <c r="AT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S910" i="2" a="1"/>
  <c r="AS910" i="2" s="1"/>
  <c r="AW910" i="2" s="1"/>
  <c r="AR910" i="2"/>
  <c r="AT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S874" i="2" a="1"/>
  <c r="AS874" i="2" s="1"/>
  <c r="AW874" i="2" s="1"/>
  <c r="AR874" i="2"/>
  <c r="AT874" i="2" s="1"/>
  <c r="AP874" i="2"/>
  <c r="AR862" i="2"/>
  <c r="AT862" i="2" s="1"/>
  <c r="AS862" i="2" a="1"/>
  <c r="AS862" i="2" s="1"/>
  <c r="AW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R814" i="2"/>
  <c r="AT814" i="2" s="1"/>
  <c r="AS814" i="2" a="1"/>
  <c r="AS814" i="2" s="1"/>
  <c r="AW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S766" i="2" a="1"/>
  <c r="AS766" i="2" s="1"/>
  <c r="AW766" i="2" s="1"/>
  <c r="AR766" i="2"/>
  <c r="AT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R730" i="2"/>
  <c r="AT730" i="2" s="1"/>
  <c r="AS730" i="2" a="1"/>
  <c r="AS730" i="2" s="1"/>
  <c r="AW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S670" i="2" a="1"/>
  <c r="AS670" i="2" s="1"/>
  <c r="AW670" i="2" s="1"/>
  <c r="AR670" i="2"/>
  <c r="AT670" i="2" s="1"/>
  <c r="AP670" i="2"/>
  <c r="AS658" i="2" a="1"/>
  <c r="AS658" i="2" s="1"/>
  <c r="AW658" i="2" s="1"/>
  <c r="AR658" i="2"/>
  <c r="AT658" i="2" s="1"/>
  <c r="AP658" i="2"/>
  <c r="AR646" i="2"/>
  <c r="AT646" i="2" s="1"/>
  <c r="AS646" i="2" a="1"/>
  <c r="AS646" i="2" s="1"/>
  <c r="AW646" i="2" s="1"/>
  <c r="AP646" i="2"/>
  <c r="AS634" i="2" a="1"/>
  <c r="AS634" i="2" s="1"/>
  <c r="AW634" i="2" s="1"/>
  <c r="AR634" i="2"/>
  <c r="AT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S550" i="2" a="1"/>
  <c r="AS550" i="2" s="1"/>
  <c r="AW550" i="2" s="1"/>
  <c r="AR550" i="2"/>
  <c r="AT550" i="2" s="1"/>
  <c r="AP550" i="2"/>
  <c r="AR538" i="2"/>
  <c r="AT538" i="2" s="1"/>
  <c r="AS538" i="2" a="1"/>
  <c r="AS538" i="2" s="1"/>
  <c r="AW538" i="2" s="1"/>
  <c r="AP538" i="2"/>
  <c r="AR526" i="2"/>
  <c r="AT526" i="2" s="1"/>
  <c r="AS526" i="2" a="1"/>
  <c r="AS526" i="2" s="1"/>
  <c r="AW526" i="2" s="1"/>
  <c r="AP526" i="2"/>
  <c r="AS514" i="2" a="1"/>
  <c r="AS514" i="2" s="1"/>
  <c r="AW514" i="2" s="1"/>
  <c r="AR514" i="2"/>
  <c r="AT514" i="2" s="1"/>
  <c r="AP514" i="2"/>
  <c r="AR502" i="2"/>
  <c r="AT502" i="2" s="1"/>
  <c r="AS502" i="2" a="1"/>
  <c r="AS502" i="2" s="1"/>
  <c r="AW502" i="2" s="1"/>
  <c r="AP502" i="2"/>
  <c r="AS490" i="2" a="1"/>
  <c r="AS490" i="2" s="1"/>
  <c r="AW490" i="2" s="1"/>
  <c r="AR490" i="2"/>
  <c r="AT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R454" i="2"/>
  <c r="AT454" i="2" s="1"/>
  <c r="AS454" i="2" a="1"/>
  <c r="AS454" i="2" s="1"/>
  <c r="AW454" i="2" s="1"/>
  <c r="AP454" i="2"/>
  <c r="AS442" i="2" a="1"/>
  <c r="AS442" i="2" s="1"/>
  <c r="AW442" i="2" s="1"/>
  <c r="AR442" i="2"/>
  <c r="AT442" i="2" s="1"/>
  <c r="AP442" i="2"/>
  <c r="AS430" i="2" a="1"/>
  <c r="AS430" i="2" s="1"/>
  <c r="AW430" i="2" s="1"/>
  <c r="AR430" i="2"/>
  <c r="AT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S394" i="2" a="1"/>
  <c r="AS394" i="2" s="1"/>
  <c r="AW394" i="2" s="1"/>
  <c r="AP394" i="2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R358" i="2"/>
  <c r="AT358" i="2" s="1"/>
  <c r="AS358" i="2" a="1"/>
  <c r="AS358" i="2" s="1"/>
  <c r="AW358" i="2" s="1"/>
  <c r="AP358" i="2"/>
  <c r="AS346" i="2" a="1"/>
  <c r="AS346" i="2" s="1"/>
  <c r="AW346" i="2" s="1"/>
  <c r="AR346" i="2"/>
  <c r="AT346" i="2" s="1"/>
  <c r="AP346" i="2"/>
  <c r="AS334" i="2" a="1"/>
  <c r="AS334" i="2" s="1"/>
  <c r="AW334" i="2" s="1"/>
  <c r="AR334" i="2"/>
  <c r="AT334" i="2" s="1"/>
  <c r="AP334" i="2"/>
  <c r="AS322" i="2" a="1"/>
  <c r="AS322" i="2" s="1"/>
  <c r="AW322" i="2" s="1"/>
  <c r="AR322" i="2"/>
  <c r="AT322" i="2" s="1"/>
  <c r="AP322" i="2"/>
  <c r="AR310" i="2"/>
  <c r="AT310" i="2" s="1"/>
  <c r="AS310" i="2" a="1"/>
  <c r="AS310" i="2" s="1"/>
  <c r="AW310" i="2" s="1"/>
  <c r="AP310" i="2"/>
  <c r="AS298" i="2" a="1"/>
  <c r="AS298" i="2" s="1"/>
  <c r="AW298" i="2" s="1"/>
  <c r="AR298" i="2"/>
  <c r="AT298" i="2" s="1"/>
  <c r="AP298" i="2"/>
  <c r="AR286" i="2"/>
  <c r="AT286" i="2" s="1"/>
  <c r="AS286" i="2" a="1"/>
  <c r="AS286" i="2" s="1"/>
  <c r="AW286" i="2" s="1"/>
  <c r="AP286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P58" i="2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2" i="2"/>
  <c r="AU1092" i="2"/>
  <c r="AV1080" i="2"/>
  <c r="AU1080" i="2"/>
  <c r="AV1068" i="2"/>
  <c r="AU1068" i="2"/>
  <c r="AV1056" i="2"/>
  <c r="AU1056" i="2"/>
  <c r="AU1044" i="2"/>
  <c r="AV1044" i="2"/>
  <c r="AV1032" i="2"/>
  <c r="AU1032" i="2"/>
  <c r="AV1020" i="2"/>
  <c r="AU1020" i="2"/>
  <c r="AV1008" i="2"/>
  <c r="AU1008" i="2"/>
  <c r="AU996" i="2"/>
  <c r="AV996" i="2"/>
  <c r="AV984" i="2"/>
  <c r="AU984" i="2"/>
  <c r="AV972" i="2"/>
  <c r="AU972" i="2"/>
  <c r="AV960" i="2"/>
  <c r="AU960" i="2"/>
  <c r="AU948" i="2"/>
  <c r="AV948" i="2"/>
  <c r="AV936" i="2"/>
  <c r="AU936" i="2"/>
  <c r="AV924" i="2"/>
  <c r="AU924" i="2"/>
  <c r="AV912" i="2"/>
  <c r="AU912" i="2"/>
  <c r="AU900" i="2"/>
  <c r="AV900" i="2"/>
  <c r="AV888" i="2"/>
  <c r="AU888" i="2"/>
  <c r="AV876" i="2"/>
  <c r="AU876" i="2"/>
  <c r="AU864" i="2"/>
  <c r="AV864" i="2"/>
  <c r="AU852" i="2"/>
  <c r="AV852" i="2"/>
  <c r="AV840" i="2"/>
  <c r="AU840" i="2"/>
  <c r="AV828" i="2"/>
  <c r="AU828" i="2"/>
  <c r="AV816" i="2"/>
  <c r="AU816" i="2"/>
  <c r="AV804" i="2"/>
  <c r="AU804" i="2"/>
  <c r="AV792" i="2"/>
  <c r="AU792" i="2"/>
  <c r="AV780" i="2"/>
  <c r="AU780" i="2"/>
  <c r="AV768" i="2"/>
  <c r="AU768" i="2"/>
  <c r="AV756" i="2"/>
  <c r="AU756" i="2"/>
  <c r="AV744" i="2"/>
  <c r="AU744" i="2"/>
  <c r="AV732" i="2"/>
  <c r="AU732" i="2"/>
  <c r="AV720" i="2"/>
  <c r="AU720" i="2"/>
  <c r="AV708" i="2"/>
  <c r="AU708" i="2"/>
  <c r="AV696" i="2"/>
  <c r="AU696" i="2"/>
  <c r="AV684" i="2"/>
  <c r="AU684" i="2"/>
  <c r="AV672" i="2"/>
  <c r="AU672" i="2"/>
  <c r="AV660" i="2"/>
  <c r="AU660" i="2"/>
  <c r="AV648" i="2"/>
  <c r="AU648" i="2"/>
  <c r="AV636" i="2"/>
  <c r="AU636" i="2"/>
  <c r="AV624" i="2"/>
  <c r="AU624" i="2"/>
  <c r="AV612" i="2"/>
  <c r="AU612" i="2"/>
  <c r="AV600" i="2"/>
  <c r="AU600" i="2"/>
  <c r="AV588" i="2"/>
  <c r="AU588" i="2"/>
  <c r="AV576" i="2"/>
  <c r="AU576" i="2"/>
  <c r="AV564" i="2"/>
  <c r="AU564" i="2"/>
  <c r="AV552" i="2"/>
  <c r="AU552" i="2"/>
  <c r="AV540" i="2"/>
  <c r="AU540" i="2"/>
  <c r="AV528" i="2"/>
  <c r="AU528" i="2"/>
  <c r="AV516" i="2"/>
  <c r="AU516" i="2"/>
  <c r="AV504" i="2"/>
  <c r="AU504" i="2"/>
  <c r="AV492" i="2"/>
  <c r="AU492" i="2"/>
  <c r="AV480" i="2"/>
  <c r="AU480" i="2"/>
  <c r="AV468" i="2"/>
  <c r="AU468" i="2"/>
  <c r="AV456" i="2"/>
  <c r="AU456" i="2"/>
  <c r="AV444" i="2"/>
  <c r="AU444" i="2"/>
  <c r="AV432" i="2"/>
  <c r="AU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100" i="2"/>
  <c r="AZ1088" i="2"/>
  <c r="AZ1076" i="2"/>
  <c r="AZ1064" i="2"/>
  <c r="AZ1052" i="2"/>
  <c r="AZ1040" i="2"/>
  <c r="AZ102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name="Consulta - MARÍTIMOS" description="Conexión a la consulta 'MARÍTIMOS' en el libro." type="5" refreshedVersion="8" background="1" refreshOnLoa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<sst xmlns="http://schemas.openxmlformats.org/spreadsheetml/2006/main" count="10362" uniqueCount="1931">
  <si>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</si>
  <si>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</si>
  <si>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</si>
  <si>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</si>
  <si>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</si>
  <si>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</si>
  <si>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</si>
  <si>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</si>
  <si>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</si>
  <si>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</si>
  <si>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</si>
  <si>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</si>
  <si>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</si>
  <si>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</si>
  <si>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</si>
  <si>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</si>
  <si>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</si>
  <si>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</si>
  <si>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</si>
  <si>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</si>
  <si>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</si>
  <si>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</si>
  <si>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</si>
  <si>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</si>
  <si>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</si>
  <si>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</si>
  <si>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</si>
  <si>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</si>
  <si>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</si>
  <si>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</si>
  <si>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</si>
  <si>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</si>
  <si>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</si>
  <si>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</si>
  <si>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</si>
  <si>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</si>
  <si>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</si>
  <si>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</si>
  <si>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</si>
  <si>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</si>
  <si>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</si>
  <si>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</si>
  <si>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</si>
  <si>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</si>
  <si>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</si>
  <si>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</si>
  <si>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</si>
  <si>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</si>
  <si>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</si>
  <si>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</si>
  <si>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</si>
  <si>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</si>
  <si>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</si>
  <si>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</si>
  <si>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</si>
  <si>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</si>
  <si>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</si>
  <si>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</si>
  <si>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</si>
  <si>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</si>
  <si>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</si>
  <si>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</si>
  <si>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</si>
  <si>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</si>
  <si>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</si>
  <si>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</si>
  <si>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</si>
  <si>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</si>
  <si>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</si>
  <si>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</si>
  <si>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</si>
  <si>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</si>
  <si>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</si>
  <si>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</si>
  <si>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</si>
  <si>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</si>
  <si>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</si>
  <si>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</si>
  <si>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</si>
  <si>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</si>
  <si>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</si>
  <si>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</si>
  <si>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</si>
  <si>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</si>
  <si>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</si>
  <si>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</si>
  <si>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</si>
  <si>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</si>
  <si>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</si>
  <si>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</si>
  <si>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</si>
  <si>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</si>
  <si>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</si>
  <si>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</si>
  <si>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</si>
  <si>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</si>
  <si>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</si>
  <si>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</si>
  <si>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</si>
  <si>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</si>
  <si>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</si>
  <si>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</si>
  <si>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</si>
  <si>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</si>
  <si>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</si>
  <si>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</si>
  <si>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</si>
  <si>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</si>
  <si>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</si>
  <si>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</si>
  <si>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</si>
  <si>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</si>
  <si>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</si>
  <si>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</si>
  <si>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</si>
  <si>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</si>
  <si>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</si>
  <si>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</si>
  <si>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</si>
  <si>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</si>
  <si>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</si>
  <si>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</si>
  <si>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</si>
  <si>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</si>
  <si>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</si>
  <si>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</si>
  <si>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</si>
  <si>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</si>
  <si>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</si>
  <si>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</si>
  <si>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</si>
  <si>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</si>
  <si>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</si>
  <si>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</si>
  <si>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</si>
  <si>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</si>
  <si>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</si>
  <si>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</si>
  <si>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</si>
  <si>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</si>
  <si>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Documetnal</t>
  </si>
  <si>
    <t>Gestor SENASA</t>
  </si>
  <si>
    <t>Agente de Aduanas</t>
  </si>
  <si>
    <t>Tipo de Unidad</t>
  </si>
  <si>
    <t>Número de Contacto</t>
  </si>
  <si>
    <t>Ruta Internacional Terrestre</t>
  </si>
  <si>
    <t xml:space="preserve"> Aprobación SIGMA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</si>
  <si>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</si>
  <si>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</si>
  <si>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</si>
  <si>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</si>
  <si>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</si>
  <si>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</si>
  <si>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</si>
  <si>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</si>
  <si>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</si>
  <si>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</si>
  <si>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</si>
  <si>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</si>
  <si>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</si>
  <si>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Etapa Despacho -  Llegada</t>
  </si>
  <si>
    <t>Etapa Despacho -  Registro</t>
  </si>
  <si>
    <t>Inspección Externa</t>
  </si>
  <si>
    <t>Inspección Interna</t>
  </si>
  <si>
    <t>Etapa Despacho -  Inicio de Carga</t>
  </si>
  <si>
    <t>Etapa Despacho -  Mitad de Carga</t>
  </si>
  <si>
    <t>Etapa Despacho -  Fin de Carga</t>
  </si>
  <si>
    <t>Etapa Despacho -  Salida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</si>
  <si>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</si>
  <si>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</si>
  <si>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</si>
  <si>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</si>
  <si>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</si>
  <si>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</si>
  <si>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</si>
  <si>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</si>
  <si>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</si>
  <si>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</si>
  <si>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</si>
  <si>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</si>
  <si>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</si>
  <si>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</si>
  <si>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</si>
  <si>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</si>
  <si>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</si>
  <si>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</si>
  <si>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</si>
  <si>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</si>
  <si>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</si>
  <si>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</si>
  <si>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</si>
  <si>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</si>
  <si>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</si>
  <si>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</si>
  <si>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</si>
  <si>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</si>
  <si>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</si>
  <si>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</si>
  <si>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</si>
  <si>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</si>
  <si>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</si>
  <si>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</si>
  <si>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</si>
  <si>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</si>
  <si>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</si>
  <si>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</si>
  <si>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</si>
  <si>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</si>
  <si>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</si>
  <si>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</si>
  <si>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</si>
  <si>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</si>
  <si>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</si>
  <si>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</si>
  <si>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</si>
  <si>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</si>
  <si>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</si>
  <si>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</si>
  <si>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</si>
  <si>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</si>
  <si>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</si>
  <si>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</si>
  <si>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</si>
  <si>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</si>
  <si>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</si>
  <si>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</si>
  <si>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</si>
  <si>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</si>
  <si>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</si>
  <si>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</si>
  <si>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</si>
  <si>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</si>
  <si>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</si>
  <si>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</si>
  <si>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</si>
  <si>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</si>
  <si>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</si>
  <si>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</si>
  <si>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</si>
  <si>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</si>
  <si>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</si>
  <si>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</si>
  <si>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</si>
  <si>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</si>
  <si>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</si>
  <si>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</si>
  <si>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</si>
  <si>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</si>
  <si>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</si>
  <si>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</si>
  <si>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</si>
  <si>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</si>
  <si>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</si>
  <si>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</si>
  <si>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</si>
  <si>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</si>
  <si>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</si>
  <si>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</si>
  <si>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</si>
  <si>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</si>
  <si>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</si>
  <si>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</si>
  <si>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</si>
  <si>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</si>
  <si>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</si>
  <si>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</si>
  <si>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</si>
  <si>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</si>
  <si>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</si>
  <si>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</si>
  <si>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</si>
  <si>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</si>
  <si>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</si>
  <si>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</si>
  <si>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</si>
  <si>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</si>
  <si>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</si>
  <si>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</si>
  <si>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</si>
  <si>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</si>
  <si>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</si>
  <si>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</si>
  <si>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</si>
  <si>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</si>
  <si>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</si>
  <si>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</si>
  <si>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</si>
  <si>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</si>
  <si>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</si>
  <si>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</si>
  <si>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</si>
  <si>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</si>
  <si>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</si>
  <si>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</si>
  <si>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</si>
  <si>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</si>
  <si>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</si>
  <si>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</si>
  <si>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</si>
  <si>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</si>
  <si>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</si>
  <si>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</si>
  <si>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</si>
  <si>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</si>
  <si>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</si>
  <si>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</si>
  <si>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</si>
  <si>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</si>
  <si>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</si>
  <si>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</si>
  <si>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</si>
  <si>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</si>
  <si>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</si>
  <si>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</si>
  <si>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</si>
  <si>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</si>
  <si>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</si>
  <si>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</si>
  <si>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</si>
  <si>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</si>
  <si>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</si>
  <si>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</si>
  <si>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</si>
  <si>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</si>
  <si>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</si>
  <si>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</si>
  <si>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</si>
  <si>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</si>
  <si>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</si>
  <si>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</si>
  <si>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</si>
  <si>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</si>
  <si>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</si>
  <si>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</si>
  <si>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</si>
  <si>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</si>
  <si>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</si>
  <si>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</si>
  <si>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</si>
  <si>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</si>
  <si>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</si>
  <si>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</si>
  <si>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</si>
  <si>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</si>
  <si>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</si>
  <si>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</si>
  <si>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</si>
  <si>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</si>
  <si>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</si>
  <si>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</si>
  <si>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</si>
  <si>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</si>
  <si>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</si>
  <si>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</si>
  <si>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</si>
  <si>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</si>
  <si>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</si>
  <si>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</si>
  <si>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</si>
  <si>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</si>
  <si>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</si>
  <si>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</si>
  <si>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</si>
  <si>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</si>
  <si>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</si>
  <si>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</si>
  <si>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</si>
  <si>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</si>
  <si>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</si>
  <si>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</si>
  <si>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</si>
  <si>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</si>
  <si>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</si>
  <si>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</si>
  <si>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</si>
  <si>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</si>
  <si>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</si>
  <si>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</si>
  <si>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</si>
  <si>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</si>
  <si>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</si>
  <si>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</si>
  <si>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</si>
  <si>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</si>
  <si>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</si>
  <si>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</si>
  <si>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</si>
  <si>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</si>
  <si>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</si>
  <si>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</si>
  <si>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</si>
  <si>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</si>
  <si>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</si>
  <si>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</si>
  <si>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</si>
  <si>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</si>
  <si>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</si>
  <si>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</si>
  <si>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</si>
  <si>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</si>
  <si>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</si>
  <si>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</si>
  <si>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</si>
  <si>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</si>
  <si>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</si>
  <si>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</si>
  <si>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</si>
  <si>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</si>
  <si>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</si>
  <si>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</si>
  <si>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</si>
  <si>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</si>
  <si>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</si>
  <si>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</si>
  <si>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</si>
  <si>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</si>
  <si>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</si>
  <si>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</si>
  <si>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</si>
  <si>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</si>
  <si>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</si>
  <si>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</si>
  <si>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</si>
  <si>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</si>
  <si>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</si>
  <si>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</si>
  <si>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</si>
  <si>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</si>
  <si>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</si>
  <si>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</si>
  <si>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</si>
  <si>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</si>
  <si>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</si>
  <si>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</si>
  <si>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</si>
  <si>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</si>
  <si>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</si>
  <si>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</si>
  <si>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</si>
  <si>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</si>
  <si>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</si>
  <si>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</si>
  <si>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</si>
  <si>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</si>
  <si>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</si>
  <si>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</si>
  <si>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</si>
  <si>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</si>
  <si>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</si>
  <si>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</si>
  <si>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</si>
  <si>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</si>
  <si>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</si>
  <si>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</si>
  <si>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</si>
  <si>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</si>
  <si>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</si>
  <si>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</si>
  <si>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</si>
  <si>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</si>
  <si>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</si>
  <si>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</si>
  <si>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</si>
  <si>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</si>
  <si>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</si>
  <si>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</si>
  <si>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</si>
  <si>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</si>
  <si>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</si>
  <si>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</si>
  <si>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</si>
  <si>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</si>
  <si>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</si>
  <si>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</si>
  <si>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</si>
  <si>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</si>
  <si>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</si>
  <si>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</si>
  <si>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</si>
  <si>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</si>
  <si>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</si>
  <si>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</si>
  <si>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</si>
  <si>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</si>
  <si>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</si>
  <si>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</si>
  <si>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</si>
  <si>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</si>
  <si>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</si>
  <si>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</si>
  <si>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</si>
  <si>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</si>
  <si>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</si>
  <si>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</si>
  <si>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</si>
  <si>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</si>
  <si>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</si>
  <si>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</si>
  <si>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</si>
  <si>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</si>
  <si>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</si>
  <si>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</si>
  <si>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</si>
  <si>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</si>
  <si>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</si>
  <si>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</si>
  <si>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</si>
  <si>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</si>
  <si>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</si>
  <si>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</si>
  <si>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</si>
  <si>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</si>
  <si>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</si>
  <si>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</si>
  <si>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</si>
  <si>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</si>
  <si>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</si>
  <si>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</si>
  <si>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</si>
  <si>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</si>
  <si>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</si>
  <si>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</si>
  <si>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</si>
  <si>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</si>
  <si>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</si>
  <si>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</si>
  <si>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</si>
  <si>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</si>
  <si>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</si>
  <si>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</si>
  <si>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</si>
  <si>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</si>
  <si>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</si>
  <si>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</si>
  <si>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</si>
  <si>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</si>
  <si>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</si>
  <si>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</si>
  <si>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</si>
  <si>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</si>
  <si>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</si>
  <si>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</si>
  <si>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</si>
  <si>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</si>
  <si>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</si>
  <si>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</si>
  <si>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</si>
  <si>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</si>
  <si>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</si>
  <si>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</si>
  <si>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</si>
  <si>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</si>
  <si>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</si>
  <si>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</si>
  <si>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</si>
  <si>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</si>
  <si>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</si>
  <si>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</si>
  <si>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</si>
  <si>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</si>
  <si>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</si>
  <si>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</si>
  <si>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</si>
  <si>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</si>
  <si>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</si>
  <si>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</si>
  <si>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</si>
  <si>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</si>
  <si>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</si>
  <si>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</si>
  <si>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</si>
  <si>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</si>
  <si>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</si>
  <si>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</si>
  <si>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</si>
  <si>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</si>
  <si>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</si>
  <si>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</si>
  <si>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</si>
  <si>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</si>
  <si>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</si>
  <si>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</si>
  <si>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</si>
  <si>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</si>
  <si>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</si>
  <si>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</si>
  <si>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</si>
  <si>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</si>
  <si>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</si>
  <si>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</si>
  <si>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</si>
  <si>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</si>
  <si>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</si>
  <si>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</si>
  <si>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</si>
  <si>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</si>
  <si>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</si>
  <si>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</si>
  <si>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</si>
  <si>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</si>
  <si>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</si>
  <si>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</si>
  <si>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</si>
  <si>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</si>
  <si>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</si>
  <si>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</si>
  <si>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</si>
  <si>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</si>
  <si>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</si>
  <si>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</si>
  <si>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</si>
  <si>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</si>
  <si>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</si>
  <si>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</si>
  <si>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</si>
  <si>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</si>
  <si>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</si>
  <si>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</si>
  <si>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</si>
  <si>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</si>
  <si>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</si>
  <si>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</si>
  <si>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</si>
  <si>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</si>
  <si>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</si>
  <si>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</si>
  <si>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</si>
  <si>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</si>
  <si>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</si>
  <si>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</si>
  <si>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</si>
  <si>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</si>
  <si>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</si>
  <si>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</si>
  <si>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</si>
  <si>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</si>
  <si>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</si>
  <si>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</si>
  <si>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</si>
  <si>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</si>
  <si>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</si>
  <si>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</si>
  <si>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</si>
  <si>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</si>
  <si>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</si>
  <si>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</si>
  <si>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</si>
  <si>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</si>
  <si>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</si>
  <si>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</si>
  <si>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</si>
  <si>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</si>
  <si>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</si>
  <si>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</si>
  <si>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</si>
  <si>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</si>
  <si>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</si>
  <si>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</si>
  <si>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</si>
  <si>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</si>
  <si>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</si>
  <si>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</si>
  <si>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</si>
  <si>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</si>
  <si>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</si>
  <si>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</si>
  <si>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</si>
  <si>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</si>
  <si>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</si>
  <si>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</si>
  <si>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</si>
  <si>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</si>
  <si>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</si>
  <si>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</si>
  <si>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</si>
  <si>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</si>
  <si>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</si>
  <si>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</si>
  <si>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</si>
  <si>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</si>
  <si>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</si>
  <si>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</si>
  <si>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</si>
  <si>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</si>
  <si>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</si>
  <si>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</si>
  <si>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</si>
  <si>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</si>
  <si>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</si>
  <si>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</si>
  <si>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</si>
  <si>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</si>
  <si>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</si>
  <si>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</si>
  <si>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</si>
  <si>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</si>
  <si>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</si>
  <si>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</si>
  <si>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</si>
  <si>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</si>
  <si>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</si>
  <si>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</si>
  <si>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</si>
  <si>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</si>
  <si>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</si>
  <si>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</si>
  <si>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</si>
  <si>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</si>
  <si>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</si>
  <si>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</si>
  <si>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</si>
  <si>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</si>
  <si>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</si>
  <si>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</si>
  <si>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</si>
  <si>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</si>
  <si>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</si>
  <si>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</si>
  <si>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</si>
  <si>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</si>
  <si>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</si>
  <si>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</si>
  <si>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</si>
  <si>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</si>
  <si>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</si>
  <si>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</si>
  <si>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</si>
  <si>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</si>
  <si>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</si>
  <si>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</si>
  <si>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</si>
  <si>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</si>
  <si>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</si>
  <si>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</si>
  <si>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</si>
  <si>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</si>
  <si>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</si>
  <si>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</si>
  <si>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</si>
  <si>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</si>
  <si>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</si>
  <si>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</si>
  <si>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</si>
  <si>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</si>
  <si>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</si>
  <si>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</si>
  <si>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</si>
  <si>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</si>
  <si>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</si>
  <si>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</si>
  <si>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</si>
  <si>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</si>
  <si>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</si>
  <si>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</si>
  <si>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</si>
  <si>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</si>
  <si>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</si>
  <si>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</si>
  <si>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</si>
  <si>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</si>
  <si>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</si>
  <si>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</si>
  <si>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</si>
  <si>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</si>
  <si>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</si>
  <si>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</si>
  <si>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</si>
  <si>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</si>
  <si>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</si>
  <si>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</si>
  <si>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</si>
  <si>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</si>
  <si>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</si>
  <si>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</si>
  <si>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</si>
  <si>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</si>
  <si>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</si>
  <si>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</si>
  <si>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</si>
  <si>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</si>
  <si>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</si>
  <si>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</si>
  <si>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</si>
  <si>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</si>
  <si>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</si>
  <si>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</si>
  <si>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</si>
  <si>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</si>
  <si>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</si>
  <si>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</si>
  <si>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</si>
  <si>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</si>
  <si>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</si>
  <si>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</si>
  <si>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</si>
  <si>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</si>
  <si>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</si>
  <si>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</si>
  <si>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</si>
  <si>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</si>
  <si>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</si>
  <si>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</si>
  <si>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</si>
  <si>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</si>
  <si>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</si>
  <si>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</si>
  <si>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</si>
  <si>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</si>
  <si>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</si>
  <si>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</si>
  <si>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</si>
  <si>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</si>
  <si>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</si>
  <si>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</si>
  <si>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</si>
  <si>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</si>
  <si>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</si>
  <si>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</si>
  <si>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</si>
  <si>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</si>
  <si>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</si>
  <si>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</si>
  <si>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</si>
  <si>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</si>
  <si>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</si>
  <si>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</si>
  <si>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</si>
  <si>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</si>
  <si>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</si>
  <si>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</si>
  <si>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</si>
  <si>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</si>
  <si>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</si>
  <si>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</si>
  <si>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</si>
  <si>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</si>
  <si>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</si>
  <si>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</si>
  <si>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</si>
  <si>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</si>
  <si>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</si>
  <si>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</si>
  <si>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</si>
  <si>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</si>
  <si>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</si>
  <si>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</si>
  <si>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</si>
  <si>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</si>
  <si>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</si>
  <si>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</si>
  <si>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</si>
  <si>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</si>
  <si>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</si>
  <si>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</si>
  <si>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</si>
  <si>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</si>
  <si>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</si>
  <si>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</si>
  <si>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</si>
  <si>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</si>
  <si>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</si>
  <si>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</si>
  <si>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</si>
  <si>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</si>
  <si>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</si>
  <si>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</si>
  <si>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</si>
  <si>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</si>
  <si>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</si>
  <si>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</si>
  <si>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</si>
  <si>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</si>
  <si>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</si>
  <si>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</si>
  <si>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</si>
  <si>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</si>
  <si>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</si>
  <si>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</si>
  <si>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</si>
  <si>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</si>
  <si>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</si>
  <si>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</si>
  <si>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</si>
  <si>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</si>
  <si>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</si>
  <si>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</si>
  <si>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</si>
  <si>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</si>
  <si>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</si>
  <si>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</si>
  <si>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</si>
  <si>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</si>
  <si>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</si>
  <si>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</si>
  <si>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</si>
  <si>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</si>
  <si>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</si>
  <si>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</si>
  <si>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</si>
  <si>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</si>
  <si>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</si>
  <si>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</si>
  <si>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</si>
  <si>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</si>
  <si>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</si>
  <si>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</si>
  <si>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</si>
  <si>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</si>
  <si>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</si>
  <si>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</si>
  <si>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</si>
  <si>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</si>
  <si>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</si>
  <si>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</si>
  <si>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</si>
  <si>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</si>
  <si>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</si>
  <si>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</si>
  <si>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</si>
  <si>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</si>
  <si>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</si>
  <si>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</si>
  <si>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</si>
  <si>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</si>
  <si>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</si>
  <si>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</si>
  <si>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</si>
  <si>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</si>
  <si>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</si>
  <si>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</si>
  <si>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</si>
  <si>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</si>
  <si>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</si>
  <si>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</si>
  <si>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</si>
  <si>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</si>
  <si>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</si>
  <si>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</si>
  <si>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</si>
  <si>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</si>
  <si>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</si>
  <si>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</si>
  <si>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</si>
  <si>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</si>
  <si>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</si>
  <si>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</si>
  <si>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</si>
  <si>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</si>
  <si>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</si>
  <si>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</si>
  <si>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</si>
  <si>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</si>
  <si>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</si>
  <si>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</si>
  <si>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</si>
  <si>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</si>
  <si>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</si>
  <si>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</si>
  <si>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</si>
  <si>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</si>
  <si>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</si>
  <si>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</si>
  <si>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</si>
  <si>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</si>
  <si>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</si>
  <si>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</si>
  <si>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</si>
  <si>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</si>
  <si>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</si>
  <si>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</si>
  <si>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</si>
  <si>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</si>
  <si>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</si>
  <si>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</si>
  <si>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</si>
  <si>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</si>
  <si>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</si>
  <si>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</si>
  <si>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</si>
  <si>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</si>
  <si>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</si>
  <si>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</si>
  <si>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</si>
  <si>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</si>
  <si>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</si>
  <si>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</si>
  <si>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</si>
  <si>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</si>
  <si>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</si>
  <si>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</si>
  <si>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</si>
  <si>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</si>
  <si>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</si>
  <si>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</si>
  <si>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</si>
  <si>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</si>
  <si>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</si>
  <si>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</si>
  <si>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</si>
  <si>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</si>
  <si>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</si>
  <si>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</si>
  <si>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</si>
  <si>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</si>
  <si>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</si>
  <si>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</si>
  <si>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</si>
  <si>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</si>
  <si>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</si>
  <si>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</si>
  <si>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</si>
  <si>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</si>
  <si>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</si>
  <si>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</si>
  <si>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</si>
  <si>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</si>
  <si>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</si>
  <si>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</si>
  <si>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</si>
  <si>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</si>
  <si>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</si>
  <si>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</si>
  <si>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</si>
  <si>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</si>
  <si>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</si>
  <si>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</si>
  <si>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</si>
  <si>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</si>
  <si>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</si>
  <si>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</si>
  <si>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</si>
  <si>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</si>
  <si>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</si>
  <si>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</si>
  <si>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</si>
  <si>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</si>
  <si>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</si>
  <si>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</si>
  <si>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</si>
  <si>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</si>
  <si>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</si>
  <si>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</si>
  <si>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</si>
  <si>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</si>
  <si>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</si>
  <si>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</si>
  <si>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</si>
  <si>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</si>
  <si>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</si>
  <si>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</si>
  <si>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</si>
  <si>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</si>
  <si>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</si>
  <si>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</si>
  <si>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</si>
  <si>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</si>
  <si>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</si>
  <si>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</si>
  <si>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</si>
  <si>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</si>
  <si>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</si>
  <si>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</si>
  <si>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</si>
  <si>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</si>
  <si>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</si>
  <si>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</si>
  <si>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</si>
  <si>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</si>
  <si>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</si>
  <si>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</si>
  <si>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</si>
  <si>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</si>
  <si>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</si>
  <si>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</si>
  <si>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</si>
  <si>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</si>
  <si>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</si>
  <si>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</si>
  <si>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</si>
  <si>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</si>
  <si>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</si>
  <si>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</si>
  <si>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</si>
  <si>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</si>
  <si>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</si>
  <si>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</si>
  <si>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</si>
  <si>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</si>
  <si>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</si>
  <si>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</si>
  <si>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</si>
  <si>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</si>
  <si>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</si>
  <si>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</si>
  <si>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</si>
  <si>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</si>
  <si>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</si>
  <si>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</si>
  <si>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</si>
  <si>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</si>
  <si>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</si>
  <si>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</si>
  <si>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</si>
  <si>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</si>
  <si>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</si>
  <si>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</si>
  <si>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</si>
  <si>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</si>
  <si>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</si>
  <si>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</si>
  <si>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</si>
  <si>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</si>
  <si>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</si>
  <si>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</si>
  <si>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</si>
  <si>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</si>
  <si>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</si>
  <si>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</si>
  <si>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</si>
  <si>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</si>
  <si>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</si>
  <si>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</si>
  <si>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</si>
  <si>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</si>
  <si>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</si>
  <si>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</si>
  <si>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</si>
  <si>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</si>
  <si>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</si>
  <si>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</si>
  <si>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</si>
  <si>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</si>
  <si>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</si>
  <si>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</si>
  <si>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</si>
  <si>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</si>
  <si>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</si>
  <si>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</si>
  <si>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</si>
  <si>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</si>
  <si>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</si>
  <si>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</si>
  <si>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</si>
  <si>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</si>
  <si>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</si>
  <si>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</si>
  <si>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</si>
  <si>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</si>
  <si>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</si>
  <si>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</si>
  <si>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</si>
  <si>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</si>
  <si>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</si>
  <si>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</si>
  <si>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</si>
  <si>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</si>
  <si>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</si>
  <si>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</si>
  <si>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</si>
  <si>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</si>
  <si>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</si>
  <si>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</si>
  <si>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</si>
  <si>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</si>
  <si>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</si>
  <si>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</si>
  <si>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</si>
  <si>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</si>
  <si>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</si>
  <si>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</si>
  <si>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</si>
  <si>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</si>
  <si>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</si>
  <si>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</si>
  <si>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</si>
  <si>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</si>
  <si>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</si>
  <si>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</si>
  <si>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</si>
  <si>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</si>
  <si>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</si>
  <si>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</si>
  <si>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</si>
  <si>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</si>
  <si>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</si>
  <si>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</si>
  <si>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</si>
  <si>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</si>
  <si>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</si>
  <si>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</si>
  <si>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</si>
  <si>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</si>
  <si>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</si>
  <si>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</si>
  <si>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</si>
  <si>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</si>
  <si>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</si>
  <si>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</si>
  <si>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</si>
  <si>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</si>
  <si>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</si>
  <si>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</si>
  <si>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</si>
  <si>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</si>
  <si>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</si>
  <si>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</si>
  <si>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</si>
  <si>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</si>
  <si>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</si>
  <si>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</si>
  <si>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</si>
  <si>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</si>
  <si>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</si>
  <si>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</si>
  <si>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</si>
  <si>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</si>
  <si>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</si>
  <si>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</si>
  <si>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</si>
  <si>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</si>
  <si>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</si>
  <si>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</si>
  <si>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</si>
  <si>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</si>
  <si>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</si>
  <si>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</si>
  <si>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</si>
  <si>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</si>
  <si>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</si>
  <si>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</si>
  <si>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</si>
  <si>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</si>
  <si>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</si>
  <si>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</si>
  <si>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</si>
  <si>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</si>
  <si>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</si>
  <si>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</si>
  <si>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</si>
  <si>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</si>
  <si>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</si>
  <si>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</si>
  <si>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</si>
  <si>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</si>
  <si>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</si>
  <si>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</si>
  <si>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</si>
  <si>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</si>
  <si>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</si>
  <si>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</si>
  <si>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</si>
  <si>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</si>
  <si>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</si>
  <si>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</si>
  <si>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</si>
  <si>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</si>
  <si>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</si>
  <si>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</si>
  <si>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</si>
  <si>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</si>
  <si>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</si>
  <si>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</si>
  <si>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</si>
  <si>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</si>
  <si>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</si>
  <si>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</si>
  <si>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</si>
  <si>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</si>
  <si>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</si>
  <si>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</si>
  <si>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</si>
  <si>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</si>
  <si>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</si>
  <si>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</si>
  <si>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</si>
  <si>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</si>
  <si>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</si>
  <si>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</si>
  <si>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</si>
  <si>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</si>
  <si>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</si>
  <si>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</si>
  <si>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</si>
  <si>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</si>
  <si>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</si>
  <si>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</si>
  <si>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</si>
  <si>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</si>
  <si>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</si>
  <si>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</si>
  <si>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</si>
  <si>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</si>
  <si>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</si>
  <si>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</si>
  <si>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</si>
  <si>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</si>
  <si>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</si>
  <si>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</si>
  <si>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</si>
  <si>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</si>
  <si>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</si>
  <si>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</si>
  <si>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</si>
  <si>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</si>
  <si>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</si>
  <si>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</si>
  <si>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</si>
  <si>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</si>
  <si>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</si>
  <si>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</si>
  <si>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</si>
  <si>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</si>
  <si>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</si>
  <si>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</si>
  <si>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</si>
  <si>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</si>
  <si>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</si>
  <si>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</si>
  <si>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</si>
  <si>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</si>
  <si>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</si>
  <si>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</si>
  <si>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</si>
  <si>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</si>
  <si>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</si>
  <si>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</si>
  <si>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</si>
  <si>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</si>
  <si>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</si>
  <si>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</si>
  <si>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</si>
  <si>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</si>
  <si>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</si>
  <si>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</si>
  <si>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</si>
  <si>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</si>
  <si>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</si>
  <si>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</si>
  <si>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</si>
  <si>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</si>
  <si>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</si>
  <si>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</si>
  <si>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</si>
  <si>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</si>
  <si>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</si>
  <si>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</si>
  <si>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</si>
  <si>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</si>
  <si>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</si>
  <si>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</si>
  <si>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</si>
  <si>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</si>
  <si>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</si>
  <si>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</si>
  <si>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</si>
  <si>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</si>
  <si>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</si>
  <si>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</si>
  <si>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</si>
  <si>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</si>
  <si>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</si>
  <si>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</si>
  <si>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</si>
  <si>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</si>
  <si>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</si>
  <si>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</si>
  <si>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</si>
  <si>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</si>
  <si>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</si>
  <si>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</si>
  <si>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</si>
  <si>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</si>
  <si>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</si>
  <si>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</si>
  <si>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</si>
  <si>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</si>
  <si>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</si>
  <si>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</si>
  <si>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</si>
  <si>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</si>
  <si>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</si>
  <si>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</si>
  <si>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</si>
  <si>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</si>
  <si>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</si>
  <si>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</si>
  <si>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</si>
  <si>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</si>
  <si>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</si>
  <si>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</si>
  <si>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</si>
  <si>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</si>
  <si>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</si>
  <si>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</si>
  <si>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</si>
  <si>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</si>
  <si>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</si>
  <si>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</si>
  <si>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</si>
  <si>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</si>
  <si>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</si>
  <si>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</si>
  <si>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</si>
  <si>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</si>
  <si>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</si>
  <si>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</si>
  <si>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</si>
  <si>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</si>
  <si>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</si>
  <si>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</si>
  <si>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</si>
  <si>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</si>
  <si>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</si>
  <si>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</si>
  <si>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</si>
  <si>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</si>
  <si>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</si>
  <si>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</si>
  <si>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</si>
  <si>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</si>
  <si>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</si>
  <si>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</si>
  <si>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</si>
  <si>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</si>
  <si>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</si>
  <si>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</si>
  <si>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</si>
  <si>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</si>
  <si>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</si>
  <si>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</si>
  <si>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</si>
  <si>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</si>
  <si>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</si>
  <si>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</si>
  <si>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</si>
  <si>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</si>
  <si>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</si>
  <si>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</si>
  <si>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</si>
  <si>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</si>
  <si>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</si>
  <si>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</si>
  <si>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</si>
  <si>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</si>
  <si>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</si>
  <si>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</si>
  <si>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</si>
  <si>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</si>
  <si>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</si>
  <si>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</si>
  <si>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</si>
  <si>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</si>
  <si>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</si>
  <si>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</si>
  <si>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</si>
  <si>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</si>
  <si>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</si>
  <si>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</si>
  <si>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</si>
  <si>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</si>
  <si>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</si>
  <si>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</si>
  <si>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</si>
  <si>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</si>
  <si>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</si>
  <si>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</si>
  <si>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</si>
  <si>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</si>
  <si>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</si>
  <si>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</si>
  <si>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</si>
  <si>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</si>
  <si>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</si>
  <si>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</si>
  <si>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</si>
  <si>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</si>
  <si>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</si>
  <si>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</si>
  <si>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</si>
  <si>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</si>
  <si>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</si>
  <si>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</si>
  <si>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</si>
  <si>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</si>
  <si>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</si>
  <si>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</si>
  <si>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</si>
  <si>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</si>
  <si>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</si>
  <si>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</si>
  <si>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</si>
  <si>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</si>
  <si>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</si>
  <si>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</si>
  <si>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</si>
  <si>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</si>
  <si>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</si>
  <si>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</si>
  <si>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</si>
  <si>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</si>
  <si>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</si>
  <si>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</si>
  <si>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</si>
  <si>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</si>
  <si>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</si>
  <si>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</si>
  <si>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</si>
  <si>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</si>
  <si>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</si>
  <si>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</si>
  <si>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</si>
  <si>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</si>
  <si>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</si>
  <si>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</si>
  <si>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</si>
  <si>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</si>
  <si>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</si>
  <si>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</si>
  <si>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</si>
  <si>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</si>
  <si>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</si>
  <si>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</si>
  <si>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</si>
  <si>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</si>
  <si>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</si>
  <si>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</si>
  <si>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</si>
  <si>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</si>
  <si>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</si>
  <si>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</si>
  <si>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</si>
  <si>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</si>
  <si>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</si>
  <si>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</si>
  <si>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</si>
  <si>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</si>
  <si>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</si>
  <si>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</si>
  <si>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</si>
  <si>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</si>
  <si>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</si>
  <si>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</si>
  <si>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</si>
  <si>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</si>
  <si>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</si>
  <si>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</si>
  <si>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</si>
  <si>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</si>
  <si>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</si>
  <si>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</si>
  <si>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</si>
  <si>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</si>
  <si>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</si>
  <si>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</si>
  <si>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</si>
  <si>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</si>
  <si>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</si>
  <si>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</si>
  <si>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</si>
  <si>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</si>
  <si>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</si>
  <si>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</si>
  <si>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</si>
  <si>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</si>
  <si>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</si>
  <si>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</si>
  <si>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</si>
  <si>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</si>
  <si>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</si>
  <si>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</si>
  <si>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</si>
  <si>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</si>
  <si>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</si>
  <si>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</si>
  <si>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</si>
  <si>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</si>
  <si>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</si>
  <si>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</si>
  <si>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</si>
  <si>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</si>
  <si>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</si>
  <si>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</si>
  <si>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</si>
  <si>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</si>
  <si>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</si>
  <si>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</si>
  <si>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</si>
  <si>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</si>
  <si>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</si>
  <si>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</si>
  <si>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</si>
  <si>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</si>
  <si>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</si>
  <si>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</si>
  <si>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</si>
  <si>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</si>
  <si>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</si>
  <si>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</si>
  <si>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</si>
  <si>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</si>
  <si>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</si>
  <si>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</si>
  <si>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</si>
  <si>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</si>
  <si>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</si>
  <si>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</si>
  <si>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</si>
  <si>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</si>
  <si>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</si>
  <si>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</si>
  <si>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</si>
  <si>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</si>
  <si>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</si>
  <si>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</si>
  <si>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</si>
  <si>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</si>
  <si>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</si>
  <si>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</si>
  <si>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</si>
  <si>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</si>
  <si>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</si>
  <si>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</si>
  <si>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</si>
  <si>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</si>
  <si>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</si>
  <si>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</si>
  <si>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</si>
  <si>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</si>
  <si>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</si>
  <si>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</si>
  <si>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</si>
  <si>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</si>
  <si>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</si>
  <si>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</si>
  <si>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</si>
  <si>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</si>
  <si>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</si>
  <si>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</si>
  <si>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</si>
  <si>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</si>
  <si>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</si>
  <si>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</si>
  <si>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</si>
  <si>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</si>
  <si>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</si>
  <si>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</si>
  <si>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</si>
  <si>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</si>
  <si>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</si>
  <si>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</si>
  <si>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</si>
  <si>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</si>
  <si>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</si>
  <si>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</si>
  <si>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</si>
  <si>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</si>
  <si>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</si>
  <si>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</si>
  <si>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</si>
  <si>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</si>
  <si>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</si>
  <si>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</si>
  <si>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</si>
  <si>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</si>
  <si>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</si>
  <si>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</si>
  <si>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</si>
  <si>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</si>
  <si>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</si>
  <si>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</si>
  <si>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</si>
  <si>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</si>
  <si>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</si>
  <si>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</si>
  <si>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</si>
  <si>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</si>
  <si>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</si>
  <si>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BYR-886</t>
  </si>
  <si>
    <t>AMQ-980</t>
  </si>
  <si>
    <t>CHAVEZ SAUCEDO SEGUNDO PORFIRIO</t>
  </si>
  <si>
    <t>Q07525965</t>
  </si>
  <si>
    <t>RH-0145</t>
  </si>
  <si>
    <t>EMCU5926413</t>
  </si>
  <si>
    <t>011LA290257</t>
  </si>
  <si>
    <t>BYS-704</t>
  </si>
  <si>
    <t>AMR-981</t>
  </si>
  <si>
    <t>GALAN CHINCHAY DAVID ROGER</t>
  </si>
  <si>
    <t>E77014924</t>
  </si>
  <si>
    <t>RH-0168</t>
  </si>
  <si>
    <t>EGSU5062439</t>
  </si>
  <si>
    <t>011LA290297</t>
  </si>
  <si>
    <t>BYR-898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</si>
  <si>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</si>
  <si>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</si>
  <si>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</si>
  <si>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</si>
  <si>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</si>
  <si>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</si>
  <si>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</si>
  <si>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</si>
  <si>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</si>
  <si>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</si>
  <si>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</si>
  <si>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</si>
  <si>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</si>
  <si>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</si>
  <si>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</si>
  <si>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</si>
  <si>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</si>
  <si>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BFY-936</t>
  </si>
  <si>
    <t>AUQ-993</t>
  </si>
  <si>
    <t>EDWIN JESUS ANTON MARIN</t>
  </si>
  <si>
    <t>B-005015762</t>
  </si>
  <si>
    <t>RH-0209</t>
  </si>
  <si>
    <t>PER9150768A</t>
  </si>
  <si>
    <t>CAAU4079208</t>
  </si>
  <si>
    <t>SML-G3888225</t>
  </si>
  <si>
    <t>AYP-780</t>
  </si>
  <si>
    <t>AUP-993</t>
  </si>
  <si>
    <t>JOSE ALEJANDRO NUÑEZ VILLEGAS</t>
  </si>
  <si>
    <t>Q-49028656</t>
  </si>
  <si>
    <t>RH-0206</t>
  </si>
  <si>
    <t>PER9150729A</t>
  </si>
  <si>
    <t>CAAU4162288</t>
  </si>
  <si>
    <t>SML-G3888255</t>
  </si>
  <si>
    <t>AUR-970</t>
  </si>
  <si>
    <t>YMMER JOSÉ CALDERON RODRIGUEZ</t>
  </si>
  <si>
    <t>B-008200945</t>
  </si>
  <si>
    <t>RH-0210</t>
  </si>
  <si>
    <t>PER9150771A</t>
  </si>
  <si>
    <t>TXGU9032157</t>
  </si>
  <si>
    <t>SML-G3888258</t>
  </si>
  <si>
    <t>F5X-983</t>
  </si>
  <si>
    <t>RICHARD CLEY CALDERÓN RODRIGUEZ</t>
  </si>
  <si>
    <t>B-003228182</t>
  </si>
  <si>
    <t>RH-0211</t>
  </si>
  <si>
    <t>PER9150772A</t>
  </si>
  <si>
    <t>CAAU4164275</t>
  </si>
  <si>
    <t>SML-G3888252</t>
  </si>
  <si>
    <t>BFY-937</t>
  </si>
  <si>
    <t>AUT-994</t>
  </si>
  <si>
    <t>JOSE ALBERTO TROYA GONZALEZ</t>
  </si>
  <si>
    <t>B-005147608</t>
  </si>
  <si>
    <t>RH-0262</t>
  </si>
  <si>
    <t>PER9160158A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</si>
  <si>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</si>
  <si>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</si>
  <si>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</si>
  <si>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</si>
  <si>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</si>
  <si>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</si>
  <si>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</si>
  <si>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</si>
  <si>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</si>
  <si>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</si>
  <si>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</si>
  <si>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</si>
  <si>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</si>
  <si>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</si>
  <si>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</si>
  <si>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</si>
  <si>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</si>
  <si>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</si>
  <si>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</si>
  <si>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</si>
  <si>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</si>
  <si>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</si>
  <si>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</si>
  <si>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</si>
  <si>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</si>
  <si>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</si>
  <si>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</si>
  <si>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</si>
  <si>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</si>
  <si>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</si>
  <si>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PER9166883A</t>
  </si>
  <si>
    <t>SEKU9422037</t>
  </si>
  <si>
    <t>G3888533</t>
  </si>
  <si>
    <t>AYP780</t>
  </si>
  <si>
    <t>Q49028656</t>
  </si>
  <si>
    <t>RH-0345</t>
  </si>
  <si>
    <t>PER9166890A</t>
  </si>
  <si>
    <t>SEKU9119587</t>
  </si>
  <si>
    <t>G3888578</t>
  </si>
  <si>
    <t>BFY932</t>
  </si>
  <si>
    <t>B008200945</t>
  </si>
  <si>
    <t>RH-0353</t>
  </si>
  <si>
    <t>PER9166841A</t>
  </si>
  <si>
    <t>SZLU7011925</t>
  </si>
  <si>
    <t>SML-G4085582</t>
  </si>
  <si>
    <t>RH-0350</t>
  </si>
  <si>
    <t>PER9166895A</t>
  </si>
  <si>
    <t>CAAU4167525</t>
  </si>
  <si>
    <t>SML-G4085595</t>
  </si>
  <si>
    <t>BFY-931</t>
  </si>
  <si>
    <t>RICHARD CLEY CALDERON RODRIGUEZ</t>
  </si>
  <si>
    <t>B003228182</t>
  </si>
  <si>
    <t>RH-0354</t>
  </si>
  <si>
    <t>PER9166845A</t>
  </si>
  <si>
    <t>SZLU5023193</t>
  </si>
  <si>
    <t>SML-G4085591</t>
  </si>
  <si>
    <t>B005015762</t>
  </si>
  <si>
    <t>RH-0426</t>
  </si>
  <si>
    <t>PER9178557A</t>
  </si>
  <si>
    <t>RH-0455</t>
  </si>
  <si>
    <t>PER9174386A</t>
  </si>
  <si>
    <t>RH-0459</t>
  </si>
  <si>
    <t>PER9174390A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</si>
  <si>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</si>
  <si>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</si>
  <si>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</si>
  <si>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</si>
  <si>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</si>
  <si>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</si>
  <si>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</si>
  <si>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</si>
  <si>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</si>
  <si>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</si>
  <si>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</si>
  <si>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</si>
  <si>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</si>
  <si>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</si>
  <si>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</si>
  <si>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</si>
  <si>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</si>
  <si>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</si>
  <si>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</si>
  <si>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</si>
  <si>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</si>
  <si>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</si>
  <si>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</si>
  <si>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</si>
  <si>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</si>
  <si>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</si>
  <si>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</si>
  <si>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</si>
  <si>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</si>
  <si>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</si>
  <si>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BFY-932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</si>
  <si>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</si>
  <si>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</si>
  <si>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</si>
  <si>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</si>
  <si>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</si>
  <si>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</si>
  <si>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</si>
  <si>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</si>
  <si>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</si>
  <si>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</si>
  <si>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</si>
  <si>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</si>
  <si>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</si>
  <si>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</si>
  <si>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</si>
  <si>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</si>
  <si>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</si>
  <si>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</si>
  <si>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</si>
  <si>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</si>
  <si>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</si>
  <si>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</si>
  <si>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</si>
  <si>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</si>
  <si>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</si>
  <si>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</si>
  <si>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</si>
  <si>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</si>
  <si>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</si>
  <si>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</si>
  <si>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</si>
  <si>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</si>
  <si>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</si>
  <si>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</si>
  <si>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</si>
  <si>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</si>
  <si>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</si>
  <si>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</si>
  <si>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</si>
  <si>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</si>
  <si>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</si>
  <si>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</si>
  <si>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</si>
  <si>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</si>
  <si>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</si>
  <si>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</si>
  <si>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</si>
  <si>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</si>
  <si>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</si>
  <si>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</si>
  <si>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</si>
  <si>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</si>
  <si>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</si>
  <si>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</si>
  <si>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</si>
  <si>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</si>
  <si>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</si>
  <si>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</si>
  <si>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</si>
  <si>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</si>
  <si>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</si>
  <si>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</si>
  <si>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</si>
  <si>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</si>
  <si>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</si>
  <si>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</si>
  <si>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</si>
  <si>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</si>
  <si>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</si>
  <si>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</si>
  <si>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</si>
  <si>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</si>
  <si>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</si>
  <si>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</si>
  <si>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</si>
  <si>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</si>
  <si>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</si>
  <si>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</si>
  <si>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</si>
  <si>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</si>
  <si>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</si>
  <si>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</si>
  <si>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</si>
  <si>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</si>
  <si>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</si>
  <si>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</si>
  <si>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</si>
  <si>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</si>
  <si>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</si>
  <si>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</si>
  <si>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</si>
  <si>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Chavimochiv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</si>
</sst>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b/>
      <sz val="8"/>
      <color rgb="FFFF0000"/>
      <name val="JetBrains Mono"/>
    </font>
    <font>
      <b/>
      <sz val="8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20" fontId="7" fillId="9" borderId="1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8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67" fontId="6" fillId="8" borderId="1" xfId="0" applyNumberFormat="1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0"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2" xr16:uid="{AF44FC6B-2B71-4F5B-801D-D3C82A57C0B1}" autoFormatId="16" applyNumberFormats="0" applyBorderFormats="0" applyFontFormats="0" applyPatternFormats="0" applyAlignmentFormats="0" applyWidthHeightFormats="0">
  <queryTableRefresh nextId="74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25" name="Gestor Documetn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39" name=" 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53" name="Etapa Despacho -  Llegada" tableColumnId="53"/>
      <queryTableField id="54" name="Etapa Despacho -  Registro" tableColumnId="54"/>
      <queryTableField id="55" name="Inspección Externa" tableColumnId="55"/>
      <queryTableField id="56" name="Inspección Interna" tableColumnId="56"/>
      <queryTableField id="57" name="Etapa Despacho -  Inicio de Carga" tableColumnId="57"/>
      <queryTableField id="58" name="Etapa Despacho -  Mitad de Carga" tableColumnId="58"/>
      <queryTableField id="59" name="Etapa Despacho -  Fin de Carga" tableColumnId="59"/>
      <queryTableField id="60" name="Etapa Despacho - 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274" tableType="queryTable" totalsRowShown="0" headerRowDxfId="78">
  <autoFilter ref="A1:BQ274" xr:uid="{AF21A9B9-F35C-4E35-A788-18D595E268C8}"/>
  <tableColumns count="69">
    <tableColumn id="1" xr3:uid="{EE9D394A-7EE9-42A4-831A-31BEC30DD345}" uniqueName="1" name="Source.Name" queryTableFieldId="1" dataDxfId="77"/>
    <tableColumn id="2" xr3:uid="{E6D758AC-F35E-423E-B6CB-8B50A8359B44}" uniqueName="2" name="ID" queryTableFieldId="2" dataDxfId="76"/>
    <tableColumn id="3" xr3:uid="{265FC3FE-66EC-424E-81B4-1484C61C7707}" uniqueName="3" name="PP" queryTableFieldId="3" dataDxfId="75"/>
    <tableColumn id="4" xr3:uid="{D524EDA5-33C5-4E0C-B48A-769E15404A9F}" uniqueName="4" name="Exportador" queryTableFieldId="4" dataDxfId="74"/>
    <tableColumn id="5" xr3:uid="{55C5E872-B7F2-468A-B53E-59F431760941}" uniqueName="5" name="Vía" queryTableFieldId="5" dataDxfId="73"/>
    <tableColumn id="6" xr3:uid="{893A0104-DAAD-4198-A447-D4B5162861FF}" uniqueName="6" name="Fecha de Retiro" queryTableFieldId="6" dataDxfId="72"/>
    <tableColumn id="7" xr3:uid="{5F399ED3-29CD-4473-9860-13E88EBF0EE7}" uniqueName="7" name="Fecha de Carga" queryTableFieldId="7" dataDxfId="71"/>
    <tableColumn id="8" xr3:uid="{D1E4DF2C-CD7C-4B59-9F25-42860CA096BF}" uniqueName="8" name="Hora de Carga" queryTableFieldId="8" dataDxfId="70"/>
    <tableColumn id="9" xr3:uid="{F21DC3F2-0101-4187-80BD-C0A9E3B783F8}" uniqueName="9" name="Hora de Posicionamiento" queryTableFieldId="9" dataDxfId="69"/>
    <tableColumn id="10" xr3:uid="{CA422D84-5FAA-4EE2-AEDE-09883AEC6185}" uniqueName="10" name="Sede" queryTableFieldId="10" dataDxfId="68"/>
    <tableColumn id="11" xr3:uid="{863A7253-EC6C-4680-AD37-E18EB11DA554}" uniqueName="11" name="Estatus" queryTableFieldId="11" dataDxfId="67"/>
    <tableColumn id="12" xr3:uid="{5D95F4EC-7D3E-4A0E-8ACF-1084407A687E}" uniqueName="12" name="FCL" queryTableFieldId="12" dataDxfId="66"/>
    <tableColumn id="13" xr3:uid="{19DD21CE-4706-485B-BFB5-FCECD7B1AB1D}" uniqueName="13" name="Instruction" queryTableFieldId="13" dataDxfId="65"/>
    <tableColumn id="14" xr3:uid="{FF801515-BFF6-4599-9A99-952B5D220FEA}" uniqueName="14" name="N° Orden" queryTableFieldId="14" dataDxfId="64"/>
    <tableColumn id="15" xr3:uid="{2FAD8830-A813-4538-9C8E-2E3DD020A62C}" uniqueName="15" name="PO" queryTableFieldId="15" dataDxfId="63"/>
    <tableColumn id="16" xr3:uid="{0341668C-2086-41D2-BFA2-4243C1D682BB}" uniqueName="16" name="Tipo de Operación" queryTableFieldId="16" dataDxfId="62"/>
    <tableColumn id="17" xr3:uid="{8E649C18-7C79-4B2A-BCD8-B8FAC7288553}" uniqueName="17" name="Puerto de Embarque" queryTableFieldId="17" dataDxfId="61"/>
    <tableColumn id="18" xr3:uid="{A2E6E3CF-E275-44B1-881C-6632D8108DD0}" uniqueName="18" name="Puerto de Destino" queryTableFieldId="18" dataDxfId="60"/>
    <tableColumn id="19" xr3:uid="{A49C21F3-372D-4238-BFD7-69BF8A6FE294}" uniqueName="19" name="Línea" queryTableFieldId="19" dataDxfId="59"/>
    <tableColumn id="20" xr3:uid="{85787640-51BF-460D-8598-DF148C090861}" uniqueName="20" name="Booking|AWB|CRT" queryTableFieldId="20" dataDxfId="58"/>
    <tableColumn id="21" xr3:uid="{A4D94A3A-84ED-474C-AB59-E4DAB7F74775}" uniqueName="21" name="Contenedor" queryTableFieldId="21" dataDxfId="57"/>
    <tableColumn id="22" xr3:uid="{D887506F-2314-44D9-9241-7879194D7199}" uniqueName="22" name="N° EIR" queryTableFieldId="22" dataDxfId="56"/>
    <tableColumn id="23" xr3:uid="{B2E25136-83E4-4DF0-9AD7-4745A85E7FA2}" uniqueName="23" name="Precinto de Línea" queryTableFieldId="23" dataDxfId="55"/>
    <tableColumn id="24" xr3:uid="{523BB0DC-01AF-4107-AA29-3B9FE44404F3}" uniqueName="24" name="Operador Logístico" queryTableFieldId="24" dataDxfId="54"/>
    <tableColumn id="25" xr3:uid="{7CB00FC5-5CEA-4264-A3AF-56769F609EF4}" uniqueName="25" name="Gestor Documetnal" queryTableFieldId="25" dataDxfId="53"/>
    <tableColumn id="26" xr3:uid="{A05D914E-CB75-4B83-B7E5-8AE04DFF1B11}" uniqueName="26" name="Gestor SENASA" queryTableFieldId="26" dataDxfId="52"/>
    <tableColumn id="27" xr3:uid="{47213442-F583-4A6D-980A-0C70C950E884}" uniqueName="27" name="Agente de Aduanas" queryTableFieldId="27" dataDxfId="51"/>
    <tableColumn id="28" xr3:uid="{14E83528-D45C-4E7B-8E2C-3D7396DF1565}" uniqueName="28" name="Transportista" queryTableFieldId="28" dataDxfId="50"/>
    <tableColumn id="29" xr3:uid="{4FEAA753-49D9-437F-812C-0C274D5B4614}" uniqueName="29" name="Tercero" queryTableFieldId="29" dataDxfId="49"/>
    <tableColumn id="30" xr3:uid="{4DFA395D-391D-4D68-B9F4-2D75B309E3BE}" uniqueName="30" name="Razón Social" queryTableFieldId="70" dataDxfId="48"/>
    <tableColumn id="31" xr3:uid="{0409AFC5-C14C-44BF-A009-B3CE3687D4EC}" uniqueName="31" name="RUC" queryTableFieldId="71" dataDxfId="47"/>
    <tableColumn id="32" xr3:uid="{BE944DB8-A917-4ECD-A7C8-7E1633ABB75F}" uniqueName="32" name="Placa Tracto" queryTableFieldId="32" dataDxfId="46"/>
    <tableColumn id="33" xr3:uid="{042835B7-39A0-413B-ADBA-21BF499B56CB}" uniqueName="33" name="Placa Carreta" queryTableFieldId="33" dataDxfId="45"/>
    <tableColumn id="34" xr3:uid="{B4A6F900-467C-45D6-8250-FF8E2861F8FA}" uniqueName="34" name="Tipo de Unidad" queryTableFieldId="34" dataDxfId="44"/>
    <tableColumn id="35" xr3:uid="{871228F8-F9A5-44AF-921E-5B97187911AC}" uniqueName="35" name="Conductor" queryTableFieldId="35" dataDxfId="43"/>
    <tableColumn id="36" xr3:uid="{6189792D-E66D-4B55-AF8B-0A5FB329EBCE}" uniqueName="36" name="Licencia" queryTableFieldId="36" dataDxfId="42"/>
    <tableColumn id="37" xr3:uid="{A8FAC661-19B9-4AD4-ACFC-3E52BFC0A01E}" uniqueName="37" name="Número de Contacto" queryTableFieldId="37" dataDxfId="41"/>
    <tableColumn id="38" xr3:uid="{C48B6F3B-4FB4-42D3-886B-4AD28B98B658}" uniqueName="38" name="Ruta Internacional Terrestre" queryTableFieldId="38" dataDxfId="40"/>
    <tableColumn id="39" xr3:uid="{30DF2A3B-4C43-44B5-85E5-38DAE2BFB374}" uniqueName="39" name=" Aprobación SIGMA" queryTableFieldId="39" dataDxfId="39"/>
    <tableColumn id="40" xr3:uid="{0AE57D25-9140-410A-8FFF-E6B837617597}" uniqueName="40" name="Comentarios SIGMA" queryTableFieldId="40" dataDxfId="38"/>
    <tableColumn id="41" xr3:uid="{84623639-098B-4900-909A-70A8893A9104}" uniqueName="41" name="1er Hito Terrestre" queryTableFieldId="41" dataDxfId="37"/>
    <tableColumn id="42" xr3:uid="{88B6259F-3FA9-4B70-81CB-E91567866017}" uniqueName="42" name="2do Hito Terrestre" queryTableFieldId="42" dataDxfId="36"/>
    <tableColumn id="43" xr3:uid="{52CC1C4B-0CC6-4D5E-A4D3-AD1AA69745FD}" uniqueName="43" name="3er Hito Terrestre" queryTableFieldId="43" dataDxfId="35"/>
    <tableColumn id="44" xr3:uid="{18C5DA06-82FC-4938-BA73-FC0554911F57}" uniqueName="44" name="4to Hito Terrestre" queryTableFieldId="44" dataDxfId="34"/>
    <tableColumn id="45" xr3:uid="{F56B4083-DC6D-4AFF-954B-C98FCED497B8}" uniqueName="45" name="Puerto de Retiro" queryTableFieldId="45" dataDxfId="33"/>
    <tableColumn id="46" xr3:uid="{44BFACD2-1783-4EB3-92F9-4ACEC3820CB7}" uniqueName="46" name="Almacén de Retiro" queryTableFieldId="46" dataDxfId="32"/>
    <tableColumn id="47" xr3:uid="{0EAF50CC-859C-4B9D-ABF0-8F5433795AF8}" uniqueName="47" name="Etapa Retiro - Cita" queryTableFieldId="47" dataDxfId="31"/>
    <tableColumn id="48" xr3:uid="{DB8F13E4-03E7-4294-AB11-FE156DEF7C6E}" uniqueName="48" name="Etapa Retiro - Llegada" queryTableFieldId="48" dataDxfId="30"/>
    <tableColumn id="49" xr3:uid="{C27F23F2-666D-4857-9E8A-C065ED448E72}" uniqueName="49" name="Etapa Retiro - Ingreso" queryTableFieldId="49" dataDxfId="29"/>
    <tableColumn id="50" xr3:uid="{74CB29D7-9144-4C40-B837-955152FDB655}" uniqueName="50" name="Etapa Retiro - Atención" queryTableFieldId="50" dataDxfId="28"/>
    <tableColumn id="51" xr3:uid="{864F9BEE-6AE9-4AD0-BD5D-1ACE8D42D0C9}" uniqueName="51" name="Etapa Retiro - Salida" queryTableFieldId="51" dataDxfId="27"/>
    <tableColumn id="52" xr3:uid="{1C4183CC-6F2E-4339-9ECE-01E18E12D6F6}" uniqueName="52" name="Etapa Retiro - Inicio de Ruta" queryTableFieldId="52" dataDxfId="26"/>
    <tableColumn id="53" xr3:uid="{76F655A0-7D9C-43D1-AF0D-558D41E8768D}" uniqueName="53" name="Etapa Despacho -  Llegada" queryTableFieldId="53" dataDxfId="25"/>
    <tableColumn id="54" xr3:uid="{14DBDE59-FE0E-4626-A6B4-9DB1479E1FFB}" uniqueName="54" name="Etapa Despacho -  Registro" queryTableFieldId="54" dataDxfId="24"/>
    <tableColumn id="55" xr3:uid="{82DB37A9-0B7B-40F1-8D57-5FA0D99CE02A}" uniqueName="55" name="Inspección Externa" queryTableFieldId="55" dataDxfId="23"/>
    <tableColumn id="56" xr3:uid="{D55E124B-F50A-4CF2-BF40-6B53369B26DA}" uniqueName="56" name="Inspección Interna" queryTableFieldId="56" dataDxfId="22"/>
    <tableColumn id="57" xr3:uid="{8B741657-2829-48D1-B76D-64E1FE5825AF}" uniqueName="57" name="Etapa Despacho -  Inicio de Carga" queryTableFieldId="57" dataDxfId="21"/>
    <tableColumn id="58" xr3:uid="{D9FD7EE8-2BB2-49F1-9BEE-849E6E1544F2}" uniqueName="58" name="Etapa Despacho -  Mitad de Carga" queryTableFieldId="58" dataDxfId="20"/>
    <tableColumn id="59" xr3:uid="{8770C7DA-8C88-4736-80A6-891B20BED2C8}" uniqueName="59" name="Etapa Despacho -  Fin de Carga" queryTableFieldId="59" dataDxfId="19"/>
    <tableColumn id="60" xr3:uid="{861A38F6-D25F-4BDE-B993-DEA650A69279}" uniqueName="60" name="Etapa Despacho -  Salida" queryTableFieldId="60" dataDxfId="18"/>
    <tableColumn id="61" xr3:uid="{8E0C5B39-6031-46A7-944B-2B095ACC9682}" uniqueName="61" name="Almacén de Ingreso" queryTableFieldId="61" dataDxfId="17"/>
    <tableColumn id="62" xr3:uid="{2849F4CA-D254-4E56-8C73-1BE5C38F8CF2}" uniqueName="62" name="Etapa Ingreso - Cita" queryTableFieldId="62" dataDxfId="16"/>
    <tableColumn id="63" xr3:uid="{81DE37FC-1C21-4818-B95F-E808BD08B20C}" uniqueName="63" name="Etapa Ingreso - Llegada" queryTableFieldId="63" dataDxfId="15"/>
    <tableColumn id="64" xr3:uid="{ABA99B46-6362-4CED-8401-28D7F6E7E000}" uniqueName="64" name="Etapa Ingreso - Ingeso" queryTableFieldId="64" dataDxfId="14"/>
    <tableColumn id="65" xr3:uid="{66E840AA-600A-4B22-AC82-EB1D83DEA5B2}" uniqueName="65" name="Etapa Ingreso - Atención" queryTableFieldId="65" dataDxfId="13"/>
    <tableColumn id="66" xr3:uid="{5F2A30D4-55A6-4A49-8756-A7C0D8E6D664}" uniqueName="66" name="Etapa Ingreso - Salida" queryTableFieldId="66" dataDxfId="12"/>
    <tableColumn id="67" xr3:uid="{BC94F402-4955-4632-93E2-99C6CCD9BBF5}" uniqueName="67" name="Control de Ruta" queryTableFieldId="67" dataDxfId="11"/>
    <tableColumn id="68" xr3:uid="{2F7B9C71-E15B-4A4A-BD4B-A113E4386C74}" uniqueName="68" name="Ubicación Actual" queryTableFieldId="68" dataDxfId="10"/>
    <tableColumn id="69" xr3:uid="{2BCAD133-10A3-415E-8958-ECF372766FB1}" uniqueName="69" name="Monitor - Llegada Estimada" queryTableFieldId="69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100" totalsRowShown="0" headerRowDxfId="139" dataDxfId="137" headerRowBorderDxfId="138" tableBorderDxfId="136">
  <autoFilter ref="A1:BE1100" xr:uid="{85357F7D-1D1E-4AFA-8044-FFF2F1C932F8}"/>
  <tableColumns count="57">
    <tableColumn id="1" xr3:uid="{16788A22-EC83-48F5-B21D-C504D132416F}" name="ID" dataDxfId="135"/>
    <tableColumn id="2" xr3:uid="{CEAA2F4B-B69D-4CE1-8873-625314050F48}" name="pp" dataDxfId="134">
      <calculatedColumnFormula>IFERROR(IF(MARÍTIMOS[[#This Row],[PP]]="","",MARÍTIMOS[[#This Row],[PP]]),"")</calculatedColumnFormula>
    </tableColumn>
    <tableColumn id="3" xr3:uid="{B4443EEE-E028-46F6-A6DB-30CACE4D58AB}" name="Sede" dataDxfId="133">
      <calculatedColumnFormula>IFERROR(IF(MARÍTIMOS[[#This Row],[Sede]]="","",MARÍTIMOS[[#This Row],[Sede]]),"")</calculatedColumnFormula>
    </tableColumn>
    <tableColumn id="4" xr3:uid="{9C436400-9819-4B1B-9B27-C3FE473A8544}" name="Instrucción" dataDxfId="132">
      <calculatedColumnFormula>IFERROR(IF(MARÍTIMOS[[#This Row],[Instruction]]="","",MARÍTIMOS[[#This Row],[Instruction]]),"")</calculatedColumnFormula>
    </tableColumn>
    <tableColumn id="5" xr3:uid="{9BE8B215-CBF3-4673-8EDE-0C134E6A22C5}" name="PO" dataDxfId="131"/>
    <tableColumn id="6" xr3:uid="{19A9407D-81D6-422A-A9BD-98A0DC70E3BC}" name="Transportista" dataDxfId="130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129">
      <calculatedColumnFormula>IFERROR(IF(MARÍTIMOS[[#This Row],[Tercero]]="","",MARÍTIMOS[[#This Row],[Tercero]]),"")</calculatedColumnFormula>
    </tableColumn>
    <tableColumn id="8" xr3:uid="{2697E584-457D-4EAE-BE63-3EAC1F9DD189}" name="Razón Social" dataDxfId="128">
      <calculatedColumnFormula>IFERROR(IF(MARÍTIMOS[[#This Row],[Razón Social]]="","",MARÍTIMOS[[#This Row],[Razón Social]]),"")</calculatedColumnFormula>
    </tableColumn>
    <tableColumn id="9" xr3:uid="{C4D23FCC-C454-4221-89E4-796061F5901E}" name="RUC" dataDxfId="127">
      <calculatedColumnFormula>IFERROR(IF(MARÍTIMOS[[#This Row],[RUC]]="","",MARÍTIMOS[[#This Row],[RUC]]),"")</calculatedColumnFormula>
    </tableColumn>
    <tableColumn id="10" xr3:uid="{64B6C6EA-8D25-4873-B48E-43967D5E19BE}" name="Placa Tracto" dataDxfId="126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125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124">
      <calculatedColumnFormula>IFERROR(IF(MARÍTIMOS[[#This Row],[Conductor]]="","",MARÍTIMOS[[#This Row],[Conductor]]),"")</calculatedColumnFormula>
    </tableColumn>
    <tableColumn id="13" xr3:uid="{F42EDA41-E43F-4BE1-87FD-54D21154C468}" name="Licencia" dataDxfId="123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122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121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120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119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118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117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116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115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114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113">
      <calculatedColumnFormula>IFERROR(IF(MARÍTIMOS[[#This Row],[Etapa Retiro - Salida]]="","",MARÍTIMOS[[#This Row],[Etapa Retiro - Salida]]),"")</calculatedColumnFormula>
    </tableColumn>
    <tableColumn id="24" xr3:uid="{76E69146-4526-441A-8716-06DB25B5EB62}" name="Inicio de Ruta" dataDxfId="112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111">
      <calculatedColumnFormula>IFERROR(IF(MARÍTIMOS[[#This Row],[Hora de Posicionamiento]]="","",MARÍTIMOS[[#This Row],[Hora de Carga]]+MARÍTIMOS[[#This Row],[Hora de Posicionamiento]]),"")</calculatedColumnFormula>
    </tableColumn>
    <tableColumn id="26" xr3:uid="{85516584-8D41-4B17-B874-033E5E94AADE}" name="Llegada a packing" dataDxfId="110">
      <calculatedColumnFormula>IFERROR(IF(MARÍTIMOS[[#This Row],[Etapa Despacho -  Llegada]]="","",MARÍTIMOS[[#This Row],[Etapa Despacho -  Llegada]]),"")</calculatedColumnFormula>
    </tableColumn>
    <tableColumn id="27" xr3:uid="{B11DFF48-337D-4934-AA6E-857AE69E6801}" name="Registro en Packing" dataDxfId="109">
      <calculatedColumnFormula>IFERROR(IF(MARÍTIMOS[[#This Row],[Etapa Despacho -  Registro]]="","",MARÍTIMOS[[#This Row],[Etapa Despacho -  Registro]]),"")</calculatedColumnFormula>
    </tableColumn>
    <tableColumn id="28" xr3:uid="{7DF4DC48-E5F1-418D-92D9-784427B916EA}" name="Ingreso Packing" dataDxfId="108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107">
      <calculatedColumnFormula>IFERROR(IF(MARÍTIMOS[[#This Row],[Etapa Despacho -  Inicio de Carga]]="","",MARÍTIMOS[[#This Row],[Etapa Despacho -  Inicio de Carga]]),"")</calculatedColumnFormula>
    </tableColumn>
    <tableColumn id="30" xr3:uid="{51958B32-52AA-4204-A312-AD9932CD9392}" name="Fin de Carga" dataDxfId="106">
      <calculatedColumnFormula>IFERROR(IF(MARÍTIMOS[[#This Row],[Etapa Despacho -  Fin de Carga]]="","",MARÍTIMOS[[#This Row],[Etapa Despacho -  Fin de Carga]]),"")</calculatedColumnFormula>
    </tableColumn>
    <tableColumn id="31" xr3:uid="{3DC51BC4-896F-41E3-91A8-A157C7787976}" name="Salida Packing" dataDxfId="105">
      <calculatedColumnFormula>IFERROR(IF(MARÍTIMOS[[#This Row],[Etapa Despacho -  Salida]]="","",MARÍTIMOS[[#This Row],[Etapa Despacho -  Salida]]),"")</calculatedColumnFormula>
    </tableColumn>
    <tableColumn id="32" xr3:uid="{8118993B-7B75-4411-A989-EB9FDE77CA89}" name="Puerto ingreso" dataDxfId="104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103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102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101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100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99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98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97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96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95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94">
      <calculatedColumnFormula>IFERROR(OLDBD[[#This Row],[Llegada a packing]]-OLDBD[[#This Row],[Inicio de Ruta]],"")</calculatedColumnFormula>
    </tableColumn>
    <tableColumn id="43" xr3:uid="{F450C7C9-885B-42B7-9DC5-AE42F293D0BB}" name="Route Start Delay" dataDxfId="93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92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91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90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89">
      <calculatedColumnFormula>IFERROR(OLDBD[[#This Row],[Ingreso Packing]]-OLDBD[[#This Row],[Registro en Packing]],"")</calculatedColumnFormula>
    </tableColumn>
    <tableColumn id="48" xr3:uid="{BE637FD0-D101-48B4-B756-D8CF701CC98A}" name="Entry Delay" dataDxfId="88">
      <calculatedColumnFormula>IFERROR(OLDBD[[#This Row],[Ingreso Packing]]-OLDBD[[#This Row],[Llegada a packing]],"")</calculatedColumnFormula>
    </tableColumn>
    <tableColumn id="49" xr3:uid="{2B855BBE-E9F1-46A9-8523-614924AD4AA1}" name="Dispatch Delay" dataDxfId="87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86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85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84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83"/>
    <tableColumn id="54" xr3:uid="{3183B140-CD17-4C9A-A4CC-318A07CEE918}" name="Estatus" dataDxfId="82">
      <calculatedColumnFormula>IFERROR(IF(MARÍTIMOS[[#This Row],[Estatus]]="","",MARÍTIMOS[[#This Row],[Estatus]]),"")</calculatedColumnFormula>
    </tableColumn>
    <tableColumn id="55" xr3:uid="{2E89444D-97E3-475A-AB27-4D2D6278224E}" name="Comentario" dataDxfId="81"/>
    <tableColumn id="56" xr3:uid="{03D95D1D-51AA-446A-B322-56F1EC1CD3CE}" name="Gate out Detention" dataDxfId="80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79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" headerRowBorderDxfId="8" tableBorderDxfId="6">
  <autoFilter ref="A1:F15" xr:uid="{00000000-0009-0000-0100-000002000000}"/>
  <tableColumns count="6">
    <tableColumn id="1" xr3:uid="{5004272F-03B6-4050-9B3E-B9BFF5347A37}" name="Etapas" dataDxfId="5"/>
    <tableColumn id="2" xr3:uid="{90012E90-4E42-4E54-8A88-50B3438AFB60}" name="KPI" dataDxfId="4"/>
    <tableColumn id="3" xr3:uid="{83152F32-4D02-478C-94AD-6A46DAFA02AF}" name="TABLEAU" dataDxfId="3"/>
    <tableColumn id="4" xr3:uid="{6A2EF5C3-4705-4C0C-AB8C-75B7D2E4AA48}" name="FORMULA" dataDxfId="2"/>
    <tableColumn id="6" xr3:uid="{6A21168A-B0E8-4C83-87ED-713C4F425FDE}" name="LÓGICA DE FORMULA" dataDxfId="1"/>
    <tableColumn id="7" xr3:uid="{5C8B56C8-2E44-4D6E-BE23-C0A7AA55A088}" name="% PERMITIDO DE CUMPLIMIENT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Q274"/>
  <sheetViews>
    <sheetView workbookViewId="0">
      <selection activeCell="BF1" sqref="A1:XFD1"/>
    </sheetView>
  </sheetViews>
  <sheetFormatPr baseColWidth="10" defaultRowHeight="14.5" x14ac:dyDescent="0.35"/>
  <cols>
    <col min="1" max="1" width="73.26953125" bestFit="1" customWidth="1"/>
    <col min="2" max="2" width="4.90625" style="32" bestFit="1" customWidth="1"/>
    <col min="3" max="3" width="5.26953125" style="32" bestFit="1" customWidth="1"/>
    <col min="4" max="4" width="12.54296875" style="32" bestFit="1" customWidth="1"/>
    <col min="5" max="5" width="8.54296875" style="32" bestFit="1" customWidth="1"/>
    <col min="6" max="6" width="16" style="54" bestFit="1" customWidth="1"/>
    <col min="7" max="7" width="15.6328125" style="54" bestFit="1" customWidth="1"/>
    <col min="8" max="8" width="14.90625" style="32" bestFit="1" customWidth="1"/>
    <col min="9" max="9" width="24.26953125" style="32" bestFit="1" customWidth="1"/>
    <col min="10" max="10" width="7.08984375" style="32" bestFit="1" customWidth="1"/>
    <col min="11" max="11" width="10.7265625" style="32" bestFit="1" customWidth="1"/>
    <col min="12" max="12" width="5.90625" style="32" bestFit="1" customWidth="1"/>
    <col min="13" max="13" width="12.26953125" style="32" bestFit="1" customWidth="1"/>
    <col min="14" max="14" width="10.81640625" style="32" bestFit="1" customWidth="1"/>
    <col min="15" max="15" width="5.54296875" style="32" bestFit="1" customWidth="1"/>
    <col min="16" max="16" width="18.453125" style="32" bestFit="1" customWidth="1"/>
    <col min="17" max="17" width="20.54296875" style="32" bestFit="1" customWidth="1"/>
    <col min="18" max="18" width="18.36328125" style="32" bestFit="1" customWidth="1"/>
    <col min="19" max="19" width="15.453125" style="32" bestFit="1" customWidth="1"/>
    <col min="20" max="20" width="19" style="32" bestFit="1" customWidth="1"/>
    <col min="21" max="21" width="14.08984375" style="32" bestFit="1" customWidth="1"/>
    <col min="22" max="22" width="22" style="32" bestFit="1" customWidth="1"/>
    <col min="23" max="23" width="19.6328125" style="32" bestFit="1" customWidth="1"/>
    <col min="24" max="24" width="18.90625" style="32" bestFit="1" customWidth="1"/>
    <col min="25" max="25" width="19.453125" style="32" bestFit="1" customWidth="1"/>
    <col min="26" max="26" width="15.6328125" style="32" bestFit="1" customWidth="1"/>
    <col min="27" max="27" width="19.36328125" style="32" bestFit="1" customWidth="1"/>
    <col min="28" max="28" width="14.81640625" style="32" bestFit="1" customWidth="1"/>
    <col min="29" max="29" width="9.453125" style="32" bestFit="1" customWidth="1"/>
    <col min="30" max="30" width="50.26953125" style="32" bestFit="1" customWidth="1"/>
    <col min="31" max="31" width="11.81640625" style="32" bestFit="1" customWidth="1"/>
    <col min="32" max="32" width="13.26953125" style="32" bestFit="1" customWidth="1"/>
    <col min="33" max="33" width="14.1796875" style="32" bestFit="1" customWidth="1"/>
    <col min="34" max="34" width="25" style="32" bestFit="1" customWidth="1"/>
    <col min="35" max="35" width="62.81640625" style="32" bestFit="1" customWidth="1"/>
    <col min="36" max="36" width="21.453125" style="32" bestFit="1" customWidth="1"/>
    <col min="37" max="37" width="20.6328125" style="32" bestFit="1" customWidth="1"/>
    <col min="38" max="38" width="26.90625" style="32" bestFit="1" customWidth="1"/>
    <col min="39" max="39" width="19.36328125" style="32" bestFit="1" customWidth="1"/>
    <col min="40" max="40" width="20" style="32" bestFit="1" customWidth="1"/>
    <col min="41" max="41" width="18" style="32" bestFit="1" customWidth="1"/>
    <col min="42" max="42" width="18.54296875" style="32" bestFit="1" customWidth="1"/>
    <col min="43" max="43" width="18" style="32" bestFit="1" customWidth="1"/>
    <col min="44" max="44" width="18.1796875" style="32" bestFit="1" customWidth="1"/>
    <col min="45" max="45" width="16.90625" style="32" bestFit="1" customWidth="1"/>
    <col min="46" max="46" width="18.453125" style="32" bestFit="1" customWidth="1"/>
    <col min="47" max="47" width="18.36328125" style="56" bestFit="1" customWidth="1"/>
    <col min="48" max="48" width="21.36328125" style="56" bestFit="1" customWidth="1"/>
    <col min="49" max="49" width="21.26953125" style="56" bestFit="1" customWidth="1"/>
    <col min="50" max="50" width="22.54296875" style="56" bestFit="1" customWidth="1"/>
    <col min="51" max="51" width="20" style="56" bestFit="1" customWidth="1"/>
    <col min="52" max="52" width="26.54296875" style="56" bestFit="1" customWidth="1"/>
    <col min="53" max="53" width="25" style="56" bestFit="1" customWidth="1"/>
    <col min="54" max="54" width="25.54296875" style="56" bestFit="1" customWidth="1"/>
    <col min="55" max="55" width="18.90625" style="56" bestFit="1" customWidth="1"/>
    <col min="56" max="56" width="18.6328125" style="56" bestFit="1" customWidth="1"/>
    <col min="57" max="57" width="31" style="56" bestFit="1" customWidth="1"/>
    <col min="58" max="58" width="31.54296875" style="56" bestFit="1" customWidth="1"/>
    <col min="59" max="59" width="29" style="56" bestFit="1" customWidth="1"/>
    <col min="60" max="60" width="23.6328125" style="56" bestFit="1" customWidth="1"/>
    <col min="61" max="61" width="19.54296875" style="32" bestFit="1" customWidth="1"/>
    <col min="62" max="62" width="19.453125" style="56" bestFit="1" customWidth="1"/>
    <col min="63" max="63" width="22.453125" style="56" bestFit="1" customWidth="1"/>
    <col min="64" max="64" width="21.6328125" style="56" bestFit="1" customWidth="1"/>
    <col min="65" max="65" width="23.7265625" style="56" bestFit="1" customWidth="1"/>
    <col min="66" max="66" width="21.08984375" style="56" bestFit="1" customWidth="1"/>
    <col min="67" max="67" width="16.26953125" style="32" bestFit="1" customWidth="1"/>
    <col min="68" max="68" width="16.90625" style="32" bestFit="1" customWidth="1"/>
    <col min="69" max="69" width="26.1796875" style="32" bestFit="1" customWidth="1"/>
    <col min="70" max="70" width="16.90625" bestFit="1" customWidth="1"/>
    <col min="71" max="71" width="26.1796875" bestFit="1" customWidth="1"/>
  </cols>
  <sheetData>
    <row r="1" spans="1:69" x14ac:dyDescent="0.35">
      <c r="A1" t="s">
        <v>120</v>
      </c>
      <c r="B1" s="32" t="s">
        <v>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2" t="s">
        <v>126</v>
      </c>
      <c r="I1" s="32" t="s">
        <v>127</v>
      </c>
      <c r="J1" s="32" t="s">
        <v>2</v>
      </c>
      <c r="K1" s="32" t="s">
        <v>128</v>
      </c>
      <c r="L1" s="32" t="s">
        <v>36</v>
      </c>
      <c r="M1" s="32" t="s">
        <v>129</v>
      </c>
      <c r="N1" s="32" t="s">
        <v>130</v>
      </c>
      <c r="O1" s="32" t="s">
        <v>4</v>
      </c>
      <c r="P1" s="32" t="s">
        <v>131</v>
      </c>
      <c r="Q1" s="32" t="s">
        <v>132</v>
      </c>
      <c r="R1" s="32" t="s">
        <v>133</v>
      </c>
      <c r="S1" s="32" t="s">
        <v>134</v>
      </c>
      <c r="T1" s="32" t="s">
        <v>135</v>
      </c>
      <c r="U1" s="32" t="s">
        <v>136</v>
      </c>
      <c r="V1" s="32" t="s">
        <v>137</v>
      </c>
      <c r="W1" s="32" t="s">
        <v>138</v>
      </c>
      <c r="X1" s="32" t="s">
        <v>139</v>
      </c>
      <c r="Y1" s="32" t="s">
        <v>140</v>
      </c>
      <c r="Z1" s="32" t="s">
        <v>141</v>
      </c>
      <c r="AA1" s="32" t="s">
        <v>142</v>
      </c>
      <c r="AB1" s="32" t="s">
        <v>5</v>
      </c>
      <c r="AC1" s="32" t="s">
        <v>6</v>
      </c>
      <c r="AD1" s="32" t="s">
        <v>7</v>
      </c>
      <c r="AE1" s="32" t="s">
        <v>8</v>
      </c>
      <c r="AF1" s="32" t="s">
        <v>9</v>
      </c>
      <c r="AG1" s="32" t="s">
        <v>10</v>
      </c>
      <c r="AH1" s="32" t="s">
        <v>143</v>
      </c>
      <c r="AI1" s="32" t="s">
        <v>11</v>
      </c>
      <c r="AJ1" s="32" t="s">
        <v>12</v>
      </c>
      <c r="AK1" s="32" t="s">
        <v>144</v>
      </c>
      <c r="AL1" s="32" t="s">
        <v>145</v>
      </c>
      <c r="AM1" s="32" t="s">
        <v>146</v>
      </c>
      <c r="AN1" s="32" t="s">
        <v>147</v>
      </c>
      <c r="AO1" s="32" t="s">
        <v>148</v>
      </c>
      <c r="AP1" s="32" t="s">
        <v>149</v>
      </c>
      <c r="AQ1" s="32" t="s">
        <v>150</v>
      </c>
      <c r="AR1" s="32" t="s">
        <v>151</v>
      </c>
      <c r="AS1" s="32" t="s">
        <v>152</v>
      </c>
      <c r="AT1" s="32" t="s">
        <v>153</v>
      </c>
      <c r="AU1" s="32" t="s">
        <v>154</v>
      </c>
      <c r="AV1" s="32" t="s">
        <v>155</v>
      </c>
      <c r="AW1" s="32" t="s">
        <v>156</v>
      </c>
      <c r="AX1" s="32" t="s">
        <v>157</v>
      </c>
      <c r="AY1" s="32" t="s">
        <v>158</v>
      </c>
      <c r="AZ1" s="32" t="s">
        <v>159</v>
      </c>
      <c r="BA1" s="32" t="s">
        <v>160</v>
      </c>
      <c r="BB1" s="32" t="s">
        <v>161</v>
      </c>
      <c r="BC1" s="32" t="s">
        <v>162</v>
      </c>
      <c r="BD1" s="32" t="s">
        <v>163</v>
      </c>
      <c r="BE1" s="32" t="s">
        <v>164</v>
      </c>
      <c r="BF1" s="32" t="s">
        <v>165</v>
      </c>
      <c r="BG1" s="32" t="s">
        <v>166</v>
      </c>
      <c r="BH1" s="32" t="s">
        <v>167</v>
      </c>
      <c r="BI1" s="32" t="s">
        <v>30</v>
      </c>
      <c r="BJ1" s="32" t="s">
        <v>168</v>
      </c>
      <c r="BK1" s="32" t="s">
        <v>169</v>
      </c>
      <c r="BL1" s="32" t="s">
        <v>170</v>
      </c>
      <c r="BM1" s="32" t="s">
        <v>171</v>
      </c>
      <c r="BN1" s="32" t="s">
        <v>172</v>
      </c>
      <c r="BO1" s="32" t="s">
        <v>173</v>
      </c>
      <c r="BP1" s="32" t="s">
        <v>174</v>
      </c>
      <c r="BQ1" s="32" t="s">
        <v>175</v>
      </c>
    </row>
    <row r="2" spans="1:69" x14ac:dyDescent="0.35">
      <c r="A2" t="s">
        <v>176</v>
      </c>
      <c r="B2" s="32">
        <v>1</v>
      </c>
      <c r="C2" s="32">
        <v>28</v>
      </c>
      <c r="D2" s="32" t="s">
        <v>177</v>
      </c>
      <c r="E2" s="32" t="s">
        <v>178</v>
      </c>
      <c r="F2" s="54">
        <v>46212</v>
      </c>
      <c r="G2" s="54">
        <v>46213</v>
      </c>
      <c r="H2" s="55">
        <v>0.41666666666666669</v>
      </c>
      <c r="I2" s="55">
        <v>0.33333333333333331</v>
      </c>
      <c r="J2" s="32" t="s">
        <v>53</v>
      </c>
      <c r="K2" s="32" t="s">
        <v>179</v>
      </c>
      <c r="L2" s="32">
        <v>1</v>
      </c>
      <c r="M2" s="32" t="s">
        <v>180</v>
      </c>
      <c r="N2" s="32" t="s">
        <v>181</v>
      </c>
      <c r="O2" s="32" t="s">
        <v>181</v>
      </c>
      <c r="P2" s="32" t="s">
        <v>182</v>
      </c>
      <c r="Q2" s="32" t="s">
        <v>84</v>
      </c>
      <c r="R2" s="32" t="s">
        <v>183</v>
      </c>
      <c r="S2" s="32" t="s">
        <v>184</v>
      </c>
      <c r="T2" s="32">
        <v>751600038530</v>
      </c>
      <c r="U2" s="32" t="s">
        <v>185</v>
      </c>
      <c r="V2" s="32" t="s">
        <v>186</v>
      </c>
      <c r="X2" s="32" t="s">
        <v>187</v>
      </c>
      <c r="Y2" s="32" t="s">
        <v>188</v>
      </c>
      <c r="Z2" s="32" t="s">
        <v>188</v>
      </c>
      <c r="AA2" s="32" t="s">
        <v>189</v>
      </c>
      <c r="AB2" s="32" t="s">
        <v>1844</v>
      </c>
      <c r="AC2" s="32" t="s">
        <v>56</v>
      </c>
      <c r="AD2" s="32" t="s">
        <v>190</v>
      </c>
      <c r="AE2" s="32">
        <v>20609553376</v>
      </c>
      <c r="AF2" s="32" t="s">
        <v>191</v>
      </c>
      <c r="AG2" s="32" t="s">
        <v>192</v>
      </c>
      <c r="AH2" s="32" t="s">
        <v>193</v>
      </c>
      <c r="AI2" s="32" t="s">
        <v>194</v>
      </c>
      <c r="AJ2" s="32" t="s">
        <v>195</v>
      </c>
      <c r="AK2" s="32" t="s">
        <v>1852</v>
      </c>
      <c r="AL2" s="32" t="s">
        <v>1840</v>
      </c>
      <c r="AO2" s="32" t="s">
        <v>1840</v>
      </c>
      <c r="AP2" s="32" t="s">
        <v>1840</v>
      </c>
      <c r="AQ2" s="32" t="s">
        <v>1840</v>
      </c>
      <c r="AR2" s="32" t="s">
        <v>1840</v>
      </c>
      <c r="AS2" s="32" t="s">
        <v>84</v>
      </c>
      <c r="AT2" s="32" t="s">
        <v>64</v>
      </c>
      <c r="AU2" s="56">
        <v>46212.541666666664</v>
      </c>
      <c r="AV2" s="56">
        <v>46212.547222222223</v>
      </c>
      <c r="AW2" s="56">
        <v>46212.59097222222</v>
      </c>
      <c r="AX2" s="56">
        <v>46212.621527777781</v>
      </c>
      <c r="AY2" s="56">
        <v>46212.650694444441</v>
      </c>
      <c r="AZ2" s="56">
        <v>46212.650694444441</v>
      </c>
      <c r="BA2" s="56">
        <v>46213.32708333333</v>
      </c>
      <c r="BB2" s="56">
        <v>46213.330555555556</v>
      </c>
      <c r="BC2" s="56">
        <v>46213.361111111109</v>
      </c>
      <c r="BD2" s="56">
        <v>46213.427083333336</v>
      </c>
      <c r="BE2" s="56">
        <v>46213.602777777778</v>
      </c>
      <c r="BF2" s="56">
        <v>46213.612500000003</v>
      </c>
      <c r="BG2" s="56">
        <v>46213.708333333336</v>
      </c>
      <c r="BH2" s="56">
        <v>46213.791666666664</v>
      </c>
      <c r="BI2" s="32" t="s">
        <v>64</v>
      </c>
      <c r="BJ2" s="56">
        <v>46214.5</v>
      </c>
      <c r="BK2" s="56">
        <v>46214.333333333336</v>
      </c>
      <c r="BL2" s="56">
        <v>46214.374305555553</v>
      </c>
      <c r="BM2" s="56">
        <v>46214.378472222219</v>
      </c>
      <c r="BN2" s="56">
        <v>46214.386111111111</v>
      </c>
    </row>
    <row r="3" spans="1:69" x14ac:dyDescent="0.35">
      <c r="A3" t="s">
        <v>176</v>
      </c>
      <c r="B3" s="32">
        <v>2</v>
      </c>
      <c r="C3" s="32">
        <v>28</v>
      </c>
      <c r="D3" s="32" t="s">
        <v>177</v>
      </c>
      <c r="E3" s="32" t="s">
        <v>178</v>
      </c>
      <c r="F3" s="54">
        <v>46214</v>
      </c>
      <c r="G3" s="54">
        <v>46215</v>
      </c>
      <c r="H3" s="55">
        <v>0.58333333333333337</v>
      </c>
      <c r="I3" s="55">
        <v>0.5</v>
      </c>
      <c r="J3" s="32" t="s">
        <v>53</v>
      </c>
      <c r="K3" s="32" t="s">
        <v>179</v>
      </c>
      <c r="L3" s="32">
        <v>1</v>
      </c>
      <c r="M3" s="32" t="s">
        <v>196</v>
      </c>
      <c r="P3" s="32" t="s">
        <v>182</v>
      </c>
      <c r="Q3" s="32" t="s">
        <v>84</v>
      </c>
      <c r="R3" s="32" t="s">
        <v>1853</v>
      </c>
      <c r="S3" s="32" t="s">
        <v>1854</v>
      </c>
      <c r="T3" s="32" t="s">
        <v>197</v>
      </c>
      <c r="U3" s="32" t="s">
        <v>198</v>
      </c>
      <c r="V3" s="32" t="s">
        <v>199</v>
      </c>
      <c r="X3" s="32" t="s">
        <v>187</v>
      </c>
      <c r="Y3" s="32" t="s">
        <v>188</v>
      </c>
      <c r="Z3" s="32" t="s">
        <v>188</v>
      </c>
      <c r="AA3" s="32" t="s">
        <v>189</v>
      </c>
      <c r="AB3" s="32" t="s">
        <v>1844</v>
      </c>
      <c r="AC3" s="32" t="s">
        <v>56</v>
      </c>
      <c r="AD3" s="32" t="s">
        <v>190</v>
      </c>
      <c r="AE3" s="32">
        <v>20609553376</v>
      </c>
      <c r="AF3" s="32" t="s">
        <v>200</v>
      </c>
      <c r="AG3" s="32" t="s">
        <v>201</v>
      </c>
      <c r="AH3" s="32" t="s">
        <v>193</v>
      </c>
      <c r="AI3" s="32" t="s">
        <v>1810</v>
      </c>
      <c r="AJ3" s="32" t="s">
        <v>202</v>
      </c>
      <c r="AK3" s="32" t="s">
        <v>1855</v>
      </c>
      <c r="AL3" s="32" t="s">
        <v>1840</v>
      </c>
      <c r="AO3" s="32" t="s">
        <v>1840</v>
      </c>
      <c r="AP3" s="32" t="s">
        <v>1840</v>
      </c>
      <c r="AQ3" s="32" t="s">
        <v>1840</v>
      </c>
      <c r="AR3" s="32" t="s">
        <v>1840</v>
      </c>
      <c r="AS3" s="32" t="s">
        <v>84</v>
      </c>
      <c r="AT3" s="32" t="s">
        <v>64</v>
      </c>
      <c r="AU3" s="56">
        <v>46214.541666666664</v>
      </c>
      <c r="AV3" s="56">
        <v>46214.59097222222</v>
      </c>
      <c r="AW3" s="56">
        <v>46214.613194444442</v>
      </c>
      <c r="AX3" s="56">
        <v>46214.635416666664</v>
      </c>
      <c r="AY3" s="56">
        <v>46214.688888888886</v>
      </c>
      <c r="AZ3" s="56">
        <v>46214.690972222219</v>
      </c>
      <c r="BA3" s="56">
        <v>46215.4375</v>
      </c>
      <c r="BB3" s="56">
        <v>46215.444444444445</v>
      </c>
      <c r="BC3" s="56">
        <v>46215.447916666664</v>
      </c>
      <c r="BD3" s="56">
        <v>46215.6</v>
      </c>
      <c r="BE3" s="56">
        <v>46215.719444444447</v>
      </c>
      <c r="BF3" s="56">
        <v>46215.726388888892</v>
      </c>
      <c r="BG3" s="56">
        <v>46215.775000000001</v>
      </c>
      <c r="BH3" s="56">
        <v>46215.78125</v>
      </c>
      <c r="BI3" s="32" t="s">
        <v>64</v>
      </c>
      <c r="BJ3" s="56">
        <v>46216.5</v>
      </c>
      <c r="BK3" s="56">
        <v>46216.291666666664</v>
      </c>
      <c r="BL3" s="56">
        <v>46216.327777777777</v>
      </c>
      <c r="BM3" s="56">
        <v>46216.331250000003</v>
      </c>
      <c r="BN3" s="56">
        <v>46216.336805555555</v>
      </c>
    </row>
    <row r="4" spans="1:69" x14ac:dyDescent="0.35">
      <c r="A4" t="s">
        <v>176</v>
      </c>
      <c r="B4" s="32">
        <v>3</v>
      </c>
      <c r="C4" s="32">
        <v>28</v>
      </c>
      <c r="D4" s="32" t="s">
        <v>177</v>
      </c>
      <c r="E4" s="32" t="s">
        <v>178</v>
      </c>
      <c r="F4" s="54">
        <v>46214</v>
      </c>
      <c r="G4" s="54">
        <v>46215</v>
      </c>
      <c r="H4" s="55">
        <v>0.58333333333333337</v>
      </c>
      <c r="I4" s="55">
        <v>0.5</v>
      </c>
      <c r="J4" s="32" t="s">
        <v>53</v>
      </c>
      <c r="K4" s="32" t="s">
        <v>179</v>
      </c>
      <c r="L4" s="32">
        <v>1</v>
      </c>
      <c r="M4" s="32" t="s">
        <v>203</v>
      </c>
      <c r="P4" s="32" t="s">
        <v>182</v>
      </c>
      <c r="Q4" s="32" t="s">
        <v>84</v>
      </c>
      <c r="R4" s="32" t="s">
        <v>1856</v>
      </c>
      <c r="S4" s="32" t="s">
        <v>1854</v>
      </c>
      <c r="T4" s="32" t="s">
        <v>204</v>
      </c>
      <c r="U4" s="32" t="s">
        <v>205</v>
      </c>
      <c r="V4" s="32" t="s">
        <v>206</v>
      </c>
      <c r="X4" s="32" t="s">
        <v>187</v>
      </c>
      <c r="Y4" s="32" t="s">
        <v>188</v>
      </c>
      <c r="Z4" s="32" t="s">
        <v>188</v>
      </c>
      <c r="AA4" s="32" t="s">
        <v>189</v>
      </c>
      <c r="AB4" s="32" t="s">
        <v>1844</v>
      </c>
      <c r="AC4" s="32" t="s">
        <v>56</v>
      </c>
      <c r="AD4" s="32" t="s">
        <v>190</v>
      </c>
      <c r="AE4" s="32">
        <v>20609553376</v>
      </c>
      <c r="AF4" s="32" t="s">
        <v>207</v>
      </c>
      <c r="AG4" s="32" t="s">
        <v>208</v>
      </c>
      <c r="AH4" s="32" t="s">
        <v>193</v>
      </c>
      <c r="AI4" s="32" t="s">
        <v>209</v>
      </c>
      <c r="AJ4" s="32" t="s">
        <v>210</v>
      </c>
      <c r="AK4" s="32" t="s">
        <v>1857</v>
      </c>
      <c r="AL4" s="32" t="s">
        <v>1840</v>
      </c>
      <c r="AO4" s="32" t="s">
        <v>1840</v>
      </c>
      <c r="AP4" s="32" t="s">
        <v>1840</v>
      </c>
      <c r="AQ4" s="32" t="s">
        <v>1840</v>
      </c>
      <c r="AR4" s="32" t="s">
        <v>1840</v>
      </c>
      <c r="AS4" s="32" t="s">
        <v>84</v>
      </c>
      <c r="AT4" s="32" t="s">
        <v>64</v>
      </c>
      <c r="AU4" s="56">
        <v>46214.541666666664</v>
      </c>
      <c r="AV4" s="56">
        <v>46214.618750000001</v>
      </c>
      <c r="AW4" s="56">
        <v>46214.686111111114</v>
      </c>
      <c r="AX4" s="56">
        <v>46214.729166666664</v>
      </c>
      <c r="AY4" s="56">
        <v>46214.793055555558</v>
      </c>
      <c r="AZ4" s="56">
        <v>46214.795138888891</v>
      </c>
      <c r="BA4" s="56">
        <v>46215.4375</v>
      </c>
      <c r="BB4" s="56">
        <v>46215.444444444445</v>
      </c>
      <c r="BC4" s="56">
        <v>46215.447916666664</v>
      </c>
      <c r="BD4" s="56">
        <v>46215.568055555559</v>
      </c>
      <c r="BE4" s="56">
        <v>46215.632638888892</v>
      </c>
      <c r="BF4" s="56">
        <v>46215.681250000001</v>
      </c>
      <c r="BG4" s="56">
        <v>46215.771527777775</v>
      </c>
      <c r="BH4" s="56">
        <v>46215.78125</v>
      </c>
      <c r="BI4" s="32" t="s">
        <v>64</v>
      </c>
      <c r="BJ4" s="56">
        <v>46216.5</v>
      </c>
      <c r="BK4" s="56">
        <v>46216.304861111108</v>
      </c>
      <c r="BL4" s="56">
        <v>46216.334722222222</v>
      </c>
      <c r="BM4" s="56">
        <v>46216.338194444441</v>
      </c>
      <c r="BN4" s="56">
        <v>46216.344444444447</v>
      </c>
    </row>
    <row r="5" spans="1:69" x14ac:dyDescent="0.35">
      <c r="A5" t="s">
        <v>176</v>
      </c>
      <c r="B5" s="32">
        <v>4</v>
      </c>
      <c r="C5" s="32">
        <v>28</v>
      </c>
      <c r="D5" s="32" t="s">
        <v>177</v>
      </c>
      <c r="E5" s="32" t="s">
        <v>178</v>
      </c>
      <c r="F5" s="54">
        <v>46215</v>
      </c>
      <c r="G5" s="54">
        <v>46216</v>
      </c>
      <c r="H5" s="55">
        <v>0.5</v>
      </c>
      <c r="I5" s="55">
        <v>0.41666666666666669</v>
      </c>
      <c r="J5" s="32" t="s">
        <v>53</v>
      </c>
      <c r="K5" s="32" t="s">
        <v>179</v>
      </c>
      <c r="L5" s="32">
        <v>1</v>
      </c>
      <c r="M5" s="32" t="s">
        <v>211</v>
      </c>
      <c r="P5" s="32" t="s">
        <v>182</v>
      </c>
      <c r="Q5" s="32" t="s">
        <v>84</v>
      </c>
      <c r="R5" s="32" t="s">
        <v>1853</v>
      </c>
      <c r="S5" s="32" t="s">
        <v>1854</v>
      </c>
      <c r="T5" s="32">
        <v>751600038416</v>
      </c>
      <c r="U5" s="32" t="s">
        <v>212</v>
      </c>
      <c r="V5" s="32" t="s">
        <v>213</v>
      </c>
      <c r="X5" s="32" t="s">
        <v>187</v>
      </c>
      <c r="Y5" s="32" t="s">
        <v>188</v>
      </c>
      <c r="Z5" s="32" t="s">
        <v>188</v>
      </c>
      <c r="AA5" s="32" t="s">
        <v>189</v>
      </c>
      <c r="AB5" s="32" t="s">
        <v>1844</v>
      </c>
      <c r="AC5" s="32" t="s">
        <v>56</v>
      </c>
      <c r="AD5" s="32" t="s">
        <v>190</v>
      </c>
      <c r="AE5" s="32">
        <v>20609553376</v>
      </c>
      <c r="AF5" s="32" t="s">
        <v>214</v>
      </c>
      <c r="AG5" s="32" t="s">
        <v>215</v>
      </c>
      <c r="AH5" s="32" t="s">
        <v>193</v>
      </c>
      <c r="AI5" s="32" t="s">
        <v>216</v>
      </c>
      <c r="AJ5" s="32" t="s">
        <v>217</v>
      </c>
      <c r="AK5" s="32" t="s">
        <v>1858</v>
      </c>
      <c r="AL5" s="32" t="s">
        <v>1840</v>
      </c>
      <c r="AO5" s="32" t="s">
        <v>1840</v>
      </c>
      <c r="AP5" s="32" t="s">
        <v>1840</v>
      </c>
      <c r="AQ5" s="32" t="s">
        <v>1840</v>
      </c>
      <c r="AR5" s="32" t="s">
        <v>1840</v>
      </c>
      <c r="AS5" s="32" t="s">
        <v>84</v>
      </c>
      <c r="AT5" s="32" t="s">
        <v>64</v>
      </c>
      <c r="AU5" s="56">
        <v>46215.583333333336</v>
      </c>
      <c r="AV5" s="56">
        <v>46215.570833333331</v>
      </c>
      <c r="AW5" s="56">
        <v>46215.686111111114</v>
      </c>
      <c r="AX5" s="56">
        <v>46215.71875</v>
      </c>
      <c r="AY5" s="56">
        <v>46215.777083333334</v>
      </c>
      <c r="AZ5" s="56">
        <v>46215.78402777778</v>
      </c>
      <c r="BA5" s="56">
        <v>46216.35833333333</v>
      </c>
      <c r="BB5" s="56">
        <v>46216.361805555556</v>
      </c>
      <c r="BC5" s="56">
        <v>46216.493750000001</v>
      </c>
      <c r="BD5" s="56">
        <v>46216.570833333331</v>
      </c>
      <c r="BE5" s="56">
        <v>46216.645833333336</v>
      </c>
      <c r="BF5" s="56">
        <v>46216.677083333336</v>
      </c>
      <c r="BG5" s="56">
        <v>46216.749305555553</v>
      </c>
      <c r="BH5" s="56">
        <v>46216.789583333331</v>
      </c>
      <c r="BI5" s="32" t="s">
        <v>64</v>
      </c>
      <c r="BJ5" s="56">
        <v>46217.333333333336</v>
      </c>
      <c r="BK5" s="56">
        <v>46217.272222222222</v>
      </c>
      <c r="BL5" s="56">
        <v>46217.324999999997</v>
      </c>
      <c r="BM5" s="56">
        <v>46217.328472222223</v>
      </c>
      <c r="BN5" s="56">
        <v>46217.336111111108</v>
      </c>
    </row>
    <row r="6" spans="1:69" x14ac:dyDescent="0.35">
      <c r="A6" t="s">
        <v>176</v>
      </c>
      <c r="B6" s="32">
        <v>5</v>
      </c>
      <c r="C6" s="32">
        <v>28</v>
      </c>
      <c r="D6" s="32" t="s">
        <v>177</v>
      </c>
      <c r="E6" s="32" t="s">
        <v>178</v>
      </c>
      <c r="F6" s="54">
        <v>46215</v>
      </c>
      <c r="G6" s="54">
        <v>46216</v>
      </c>
      <c r="H6" s="55">
        <v>0.45833333333333331</v>
      </c>
      <c r="I6" s="55">
        <v>0.375</v>
      </c>
      <c r="J6" s="32" t="s">
        <v>53</v>
      </c>
      <c r="K6" s="32" t="s">
        <v>179</v>
      </c>
      <c r="L6" s="32">
        <v>1</v>
      </c>
      <c r="M6" s="32" t="s">
        <v>218</v>
      </c>
      <c r="P6" s="32" t="s">
        <v>182</v>
      </c>
      <c r="Q6" s="32" t="s">
        <v>84</v>
      </c>
      <c r="R6" s="32" t="s">
        <v>183</v>
      </c>
      <c r="S6" s="32" t="s">
        <v>399</v>
      </c>
      <c r="T6" s="32">
        <v>6507260680</v>
      </c>
      <c r="U6" s="32" t="s">
        <v>219</v>
      </c>
      <c r="V6" s="32" t="s">
        <v>220</v>
      </c>
      <c r="W6" s="32" t="s">
        <v>221</v>
      </c>
      <c r="X6" s="32" t="s">
        <v>187</v>
      </c>
      <c r="Y6" s="32" t="s">
        <v>188</v>
      </c>
      <c r="Z6" s="32" t="s">
        <v>188</v>
      </c>
      <c r="AA6" s="32" t="s">
        <v>189</v>
      </c>
      <c r="AB6" s="32" t="s">
        <v>1844</v>
      </c>
      <c r="AC6" s="32" t="s">
        <v>56</v>
      </c>
      <c r="AD6" s="32" t="s">
        <v>190</v>
      </c>
      <c r="AE6" s="32">
        <v>20609553376</v>
      </c>
      <c r="AF6" s="32" t="s">
        <v>222</v>
      </c>
      <c r="AG6" s="32" t="s">
        <v>223</v>
      </c>
      <c r="AH6" s="32" t="s">
        <v>193</v>
      </c>
      <c r="AI6" s="32" t="s">
        <v>224</v>
      </c>
      <c r="AJ6" s="32" t="s">
        <v>225</v>
      </c>
      <c r="AK6" s="32" t="s">
        <v>1859</v>
      </c>
      <c r="AL6" s="32" t="s">
        <v>1840</v>
      </c>
      <c r="AO6" s="32" t="s">
        <v>1840</v>
      </c>
      <c r="AP6" s="32" t="s">
        <v>1840</v>
      </c>
      <c r="AQ6" s="32" t="s">
        <v>1840</v>
      </c>
      <c r="AR6" s="32" t="s">
        <v>1840</v>
      </c>
      <c r="AS6" s="32" t="s">
        <v>84</v>
      </c>
      <c r="AT6" s="32" t="s">
        <v>64</v>
      </c>
      <c r="AU6" s="56">
        <v>46215.583333333336</v>
      </c>
      <c r="AV6" s="56">
        <v>46215.602777777778</v>
      </c>
      <c r="AW6" s="56">
        <v>46215.612500000003</v>
      </c>
      <c r="AX6" s="56">
        <v>46215.625</v>
      </c>
      <c r="AY6" s="56">
        <v>46215.647916666669</v>
      </c>
      <c r="AZ6" s="56">
        <v>46215.654166666667</v>
      </c>
      <c r="BA6" s="56">
        <v>46216.440972222219</v>
      </c>
      <c r="BB6" s="56">
        <v>46216.447916666664</v>
      </c>
      <c r="BC6" s="56">
        <v>46216.459722222222</v>
      </c>
      <c r="BD6" s="56">
        <v>46216.503472222219</v>
      </c>
      <c r="BE6" s="56">
        <v>46216.541666666664</v>
      </c>
      <c r="BF6" s="56">
        <v>46216.56527777778</v>
      </c>
      <c r="BG6" s="56">
        <v>46216.589583333334</v>
      </c>
      <c r="BH6" s="56">
        <v>46216.665972222225</v>
      </c>
      <c r="BI6" s="32" t="s">
        <v>64</v>
      </c>
      <c r="BJ6" s="56">
        <v>46217.333333333336</v>
      </c>
      <c r="BK6" s="56">
        <v>46217.329861111109</v>
      </c>
      <c r="BL6" s="56">
        <v>46217.375694444447</v>
      </c>
      <c r="BM6" s="56">
        <v>46217.379166666666</v>
      </c>
      <c r="BN6" s="56">
        <v>46217.382638888892</v>
      </c>
    </row>
    <row r="7" spans="1:69" x14ac:dyDescent="0.35">
      <c r="A7" t="s">
        <v>176</v>
      </c>
      <c r="B7" s="32">
        <v>6</v>
      </c>
      <c r="C7" s="32">
        <v>28</v>
      </c>
      <c r="D7" s="32" t="s">
        <v>177</v>
      </c>
      <c r="E7" s="32" t="s">
        <v>178</v>
      </c>
      <c r="F7" s="54">
        <v>46215</v>
      </c>
      <c r="G7" s="54">
        <v>46216</v>
      </c>
      <c r="H7" s="55">
        <v>0.45833333333333331</v>
      </c>
      <c r="I7" s="55">
        <v>0.375</v>
      </c>
      <c r="J7" s="32" t="s">
        <v>53</v>
      </c>
      <c r="K7" s="32" t="s">
        <v>179</v>
      </c>
      <c r="L7" s="32">
        <v>1</v>
      </c>
      <c r="M7" s="32" t="s">
        <v>226</v>
      </c>
      <c r="P7" s="32" t="s">
        <v>182</v>
      </c>
      <c r="Q7" s="32" t="s">
        <v>84</v>
      </c>
      <c r="R7" s="32" t="s">
        <v>1856</v>
      </c>
      <c r="S7" s="32" t="s">
        <v>1854</v>
      </c>
      <c r="T7" s="32">
        <v>6507260600</v>
      </c>
      <c r="U7" s="32" t="s">
        <v>227</v>
      </c>
      <c r="V7" s="32" t="s">
        <v>228</v>
      </c>
      <c r="W7" s="32" t="s">
        <v>229</v>
      </c>
      <c r="X7" s="32" t="s">
        <v>187</v>
      </c>
      <c r="Y7" s="32" t="s">
        <v>188</v>
      </c>
      <c r="Z7" s="32" t="s">
        <v>188</v>
      </c>
      <c r="AA7" s="32" t="s">
        <v>189</v>
      </c>
      <c r="AB7" s="32" t="s">
        <v>1844</v>
      </c>
      <c r="AC7" s="32" t="s">
        <v>56</v>
      </c>
      <c r="AD7" s="32" t="s">
        <v>190</v>
      </c>
      <c r="AE7" s="32">
        <v>20609553376</v>
      </c>
      <c r="AF7" s="32" t="s">
        <v>230</v>
      </c>
      <c r="AG7" s="32" t="s">
        <v>231</v>
      </c>
      <c r="AH7" s="32" t="s">
        <v>193</v>
      </c>
      <c r="AI7" s="32" t="s">
        <v>1811</v>
      </c>
      <c r="AJ7" s="32" t="s">
        <v>232</v>
      </c>
      <c r="AK7" s="32" t="s">
        <v>1860</v>
      </c>
      <c r="AL7" s="32" t="s">
        <v>1840</v>
      </c>
      <c r="AO7" s="32" t="s">
        <v>1840</v>
      </c>
      <c r="AP7" s="32" t="s">
        <v>1840</v>
      </c>
      <c r="AQ7" s="32" t="s">
        <v>1840</v>
      </c>
      <c r="AR7" s="32" t="s">
        <v>1840</v>
      </c>
      <c r="AS7" s="32" t="s">
        <v>84</v>
      </c>
      <c r="AT7" s="32" t="s">
        <v>64</v>
      </c>
      <c r="AU7" s="56">
        <v>46215.583333333336</v>
      </c>
      <c r="AV7" s="56">
        <v>46215.602083333331</v>
      </c>
      <c r="AW7" s="56">
        <v>46215.607638888891</v>
      </c>
      <c r="AX7" s="56">
        <v>46215.645138888889</v>
      </c>
      <c r="AY7" s="56">
        <v>46215.645138888889</v>
      </c>
      <c r="AZ7" s="56">
        <v>46215.647222222222</v>
      </c>
      <c r="BA7" s="56">
        <v>46216.434027777781</v>
      </c>
      <c r="BB7" s="56">
        <v>46216.4375</v>
      </c>
      <c r="BC7" s="56">
        <v>46216.459722222222</v>
      </c>
      <c r="BD7" s="56">
        <v>46216.488194444442</v>
      </c>
      <c r="BE7" s="56">
        <v>46216.538888888892</v>
      </c>
      <c r="BF7" s="56">
        <v>46216.563888888886</v>
      </c>
      <c r="BG7" s="56">
        <v>46216.584722222222</v>
      </c>
      <c r="BH7" s="56">
        <v>46216.584722222222</v>
      </c>
      <c r="BI7" s="32" t="s">
        <v>64</v>
      </c>
      <c r="BJ7" s="56">
        <v>46217.333333333336</v>
      </c>
      <c r="BK7" s="56">
        <v>46217.303472222222</v>
      </c>
      <c r="BL7" s="56">
        <v>46217.36041666667</v>
      </c>
      <c r="BM7" s="56">
        <v>46217.363888888889</v>
      </c>
      <c r="BN7" s="56">
        <v>46217.375694444447</v>
      </c>
    </row>
    <row r="8" spans="1:69" x14ac:dyDescent="0.35">
      <c r="A8" t="s">
        <v>176</v>
      </c>
      <c r="B8" s="32">
        <v>7</v>
      </c>
      <c r="C8" s="32">
        <v>28</v>
      </c>
      <c r="D8" s="32" t="s">
        <v>177</v>
      </c>
      <c r="E8" s="32" t="s">
        <v>178</v>
      </c>
      <c r="F8" s="54">
        <v>46215</v>
      </c>
      <c r="G8" s="54">
        <v>46216</v>
      </c>
      <c r="H8" s="55">
        <v>0.5</v>
      </c>
      <c r="I8" s="55">
        <v>0.41666666666666669</v>
      </c>
      <c r="J8" s="32" t="s">
        <v>53</v>
      </c>
      <c r="K8" s="32" t="s">
        <v>179</v>
      </c>
      <c r="L8" s="32">
        <v>1</v>
      </c>
      <c r="M8" s="32" t="s">
        <v>233</v>
      </c>
      <c r="P8" s="32" t="s">
        <v>182</v>
      </c>
      <c r="Q8" s="32" t="s">
        <v>84</v>
      </c>
      <c r="R8" s="32" t="s">
        <v>1856</v>
      </c>
      <c r="S8" s="32" t="s">
        <v>1854</v>
      </c>
      <c r="T8" s="32">
        <v>751600038386</v>
      </c>
      <c r="U8" s="32" t="s">
        <v>234</v>
      </c>
      <c r="V8" s="32" t="s">
        <v>235</v>
      </c>
      <c r="X8" s="32" t="s">
        <v>187</v>
      </c>
      <c r="Y8" s="32" t="s">
        <v>188</v>
      </c>
      <c r="Z8" s="32" t="s">
        <v>188</v>
      </c>
      <c r="AA8" s="32" t="s">
        <v>189</v>
      </c>
      <c r="AB8" s="32" t="s">
        <v>1844</v>
      </c>
      <c r="AC8" s="32" t="s">
        <v>56</v>
      </c>
      <c r="AD8" s="32" t="s">
        <v>190</v>
      </c>
      <c r="AE8" s="32">
        <v>20609553376</v>
      </c>
      <c r="AF8" s="32" t="s">
        <v>236</v>
      </c>
      <c r="AG8" s="32" t="s">
        <v>237</v>
      </c>
      <c r="AH8" s="32" t="s">
        <v>193</v>
      </c>
      <c r="AI8" s="32" t="s">
        <v>1812</v>
      </c>
      <c r="AJ8" s="32" t="s">
        <v>238</v>
      </c>
      <c r="AK8" s="32" t="s">
        <v>1861</v>
      </c>
      <c r="AL8" s="32" t="s">
        <v>1840</v>
      </c>
      <c r="AO8" s="32" t="s">
        <v>1840</v>
      </c>
      <c r="AP8" s="32" t="s">
        <v>1840</v>
      </c>
      <c r="AQ8" s="32" t="s">
        <v>1840</v>
      </c>
      <c r="AR8" s="32" t="s">
        <v>1840</v>
      </c>
      <c r="AS8" s="32" t="s">
        <v>84</v>
      </c>
      <c r="AT8" s="32" t="s">
        <v>64</v>
      </c>
      <c r="AU8" s="56">
        <v>46215.583333333336</v>
      </c>
      <c r="AV8" s="56">
        <v>46215.697916666664</v>
      </c>
      <c r="AW8" s="56">
        <v>46215.763888888891</v>
      </c>
      <c r="AX8" s="56">
        <v>46215.833333333336</v>
      </c>
      <c r="AY8" s="56">
        <v>46215.887499999997</v>
      </c>
      <c r="AZ8" s="56">
        <v>46215.89166666667</v>
      </c>
      <c r="BA8" s="56">
        <v>46216.51458333333</v>
      </c>
      <c r="BB8" s="56">
        <v>46216.518055555556</v>
      </c>
      <c r="BC8" s="56">
        <v>46216.520138888889</v>
      </c>
      <c r="BD8" s="56">
        <v>46216.615972222222</v>
      </c>
      <c r="BE8" s="56">
        <v>46216.727083333331</v>
      </c>
      <c r="BF8" s="56">
        <v>46216.75</v>
      </c>
      <c r="BG8" s="56">
        <v>46216.774305555555</v>
      </c>
      <c r="BH8" s="56">
        <v>46216.796527777777</v>
      </c>
      <c r="BI8" s="32" t="s">
        <v>64</v>
      </c>
      <c r="BJ8" s="56">
        <v>46217.416666666664</v>
      </c>
      <c r="BK8" s="56">
        <v>46217.512499999997</v>
      </c>
      <c r="BL8" s="56">
        <v>46217.556944444441</v>
      </c>
      <c r="BM8" s="56">
        <v>46217.560416666667</v>
      </c>
      <c r="BN8" s="56">
        <v>46217.568055555559</v>
      </c>
    </row>
    <row r="9" spans="1:69" x14ac:dyDescent="0.35">
      <c r="A9" t="s">
        <v>176</v>
      </c>
      <c r="B9" s="32">
        <v>8</v>
      </c>
      <c r="C9" s="32">
        <v>29</v>
      </c>
      <c r="D9" s="32" t="s">
        <v>177</v>
      </c>
      <c r="E9" s="32" t="s">
        <v>178</v>
      </c>
      <c r="F9" s="54">
        <v>46218</v>
      </c>
      <c r="G9" s="54">
        <v>46219</v>
      </c>
      <c r="H9" s="55">
        <v>0.58333333333333337</v>
      </c>
      <c r="I9" s="55">
        <v>0.5</v>
      </c>
      <c r="J9" s="32" t="s">
        <v>53</v>
      </c>
      <c r="K9" s="32" t="s">
        <v>179</v>
      </c>
      <c r="L9" s="32">
        <v>1</v>
      </c>
      <c r="M9" s="32" t="s">
        <v>239</v>
      </c>
      <c r="P9" s="32" t="s">
        <v>182</v>
      </c>
      <c r="Q9" s="32" t="s">
        <v>83</v>
      </c>
      <c r="R9" s="32" t="s">
        <v>947</v>
      </c>
      <c r="S9" s="32" t="s">
        <v>399</v>
      </c>
      <c r="T9" s="32">
        <v>6508149830</v>
      </c>
      <c r="U9" s="32" t="s">
        <v>240</v>
      </c>
      <c r="V9" s="32" t="s">
        <v>241</v>
      </c>
      <c r="W9" s="32" t="s">
        <v>242</v>
      </c>
      <c r="X9" s="32" t="s">
        <v>187</v>
      </c>
      <c r="Y9" s="32" t="s">
        <v>188</v>
      </c>
      <c r="Z9" s="32" t="s">
        <v>188</v>
      </c>
      <c r="AA9" s="32" t="s">
        <v>189</v>
      </c>
      <c r="AB9" s="32" t="s">
        <v>1844</v>
      </c>
      <c r="AC9" s="32" t="s">
        <v>92</v>
      </c>
      <c r="AD9" s="32" t="s">
        <v>243</v>
      </c>
      <c r="AE9" s="32">
        <v>20610002669</v>
      </c>
      <c r="AF9" s="32" t="s">
        <v>244</v>
      </c>
      <c r="AG9" s="32" t="s">
        <v>245</v>
      </c>
      <c r="AH9" s="32" t="s">
        <v>193</v>
      </c>
      <c r="AI9" s="32" t="s">
        <v>246</v>
      </c>
      <c r="AJ9" s="32" t="s">
        <v>247</v>
      </c>
      <c r="AK9" s="32" t="s">
        <v>1862</v>
      </c>
      <c r="AL9" s="32" t="s">
        <v>1840</v>
      </c>
      <c r="AO9" s="32" t="s">
        <v>1840</v>
      </c>
      <c r="AP9" s="32" t="s">
        <v>1840</v>
      </c>
      <c r="AQ9" s="32" t="s">
        <v>1840</v>
      </c>
      <c r="AR9" s="32" t="s">
        <v>1840</v>
      </c>
      <c r="AS9" s="32" t="s">
        <v>83</v>
      </c>
      <c r="AT9" s="32" t="s">
        <v>248</v>
      </c>
      <c r="AU9" s="56">
        <v>46218.75</v>
      </c>
      <c r="AV9" s="56">
        <v>46218.886111111111</v>
      </c>
      <c r="AW9" s="56">
        <v>46218.911805555559</v>
      </c>
      <c r="AX9" s="56">
        <v>46218.916666666664</v>
      </c>
      <c r="AY9" s="56">
        <v>46218.976388888892</v>
      </c>
      <c r="AZ9" s="56">
        <v>46218.977777777778</v>
      </c>
      <c r="BA9" s="56">
        <v>46219.604166666664</v>
      </c>
      <c r="BB9" s="56">
        <v>46219.607638888891</v>
      </c>
      <c r="BC9" s="56">
        <v>46219.611111111109</v>
      </c>
      <c r="BD9" s="56">
        <v>46219.634027777778</v>
      </c>
      <c r="BE9" s="56">
        <v>46219.691666666666</v>
      </c>
      <c r="BF9" s="56">
        <v>46219.707638888889</v>
      </c>
      <c r="BG9" s="56">
        <v>46219.725694444445</v>
      </c>
      <c r="BH9" s="56">
        <v>46219.75</v>
      </c>
      <c r="BI9" s="32" t="s">
        <v>248</v>
      </c>
      <c r="BJ9" s="56">
        <v>46220</v>
      </c>
      <c r="BK9" s="56">
        <v>46220.415277777778</v>
      </c>
      <c r="BL9" s="56">
        <v>46220.422222222223</v>
      </c>
      <c r="BM9" s="56">
        <v>46220.427083333336</v>
      </c>
      <c r="BN9" s="56">
        <v>46220.442361111112</v>
      </c>
    </row>
    <row r="10" spans="1:69" x14ac:dyDescent="0.35">
      <c r="A10" t="s">
        <v>176</v>
      </c>
      <c r="B10" s="32">
        <v>9</v>
      </c>
      <c r="C10" s="32">
        <v>29</v>
      </c>
      <c r="D10" s="32" t="s">
        <v>177</v>
      </c>
      <c r="E10" s="32" t="s">
        <v>178</v>
      </c>
      <c r="F10" s="54">
        <v>46218</v>
      </c>
      <c r="G10" s="54">
        <v>46219</v>
      </c>
      <c r="H10" s="55">
        <v>0.58333333333333337</v>
      </c>
      <c r="I10" s="55">
        <v>0.5</v>
      </c>
      <c r="J10" s="32" t="s">
        <v>53</v>
      </c>
      <c r="K10" s="32" t="s">
        <v>179</v>
      </c>
      <c r="L10" s="32">
        <v>1</v>
      </c>
      <c r="M10" s="32" t="s">
        <v>249</v>
      </c>
      <c r="P10" s="32" t="s">
        <v>182</v>
      </c>
      <c r="Q10" s="32" t="s">
        <v>84</v>
      </c>
      <c r="R10" s="32" t="s">
        <v>1498</v>
      </c>
      <c r="S10" s="32" t="s">
        <v>1863</v>
      </c>
      <c r="T10" s="32">
        <v>274341519</v>
      </c>
      <c r="U10" s="32" t="s">
        <v>250</v>
      </c>
      <c r="W10" s="32" t="s">
        <v>251</v>
      </c>
      <c r="X10" s="32" t="s">
        <v>187</v>
      </c>
      <c r="Y10" s="32" t="s">
        <v>188</v>
      </c>
      <c r="Z10" s="32" t="s">
        <v>188</v>
      </c>
      <c r="AA10" s="32" t="s">
        <v>189</v>
      </c>
      <c r="AB10" s="32" t="s">
        <v>1844</v>
      </c>
      <c r="AC10" s="32" t="s">
        <v>92</v>
      </c>
      <c r="AD10" s="32" t="s">
        <v>252</v>
      </c>
      <c r="AE10" s="32">
        <v>20600489535</v>
      </c>
      <c r="AF10" s="32" t="s">
        <v>1813</v>
      </c>
      <c r="AG10" s="32" t="s">
        <v>1814</v>
      </c>
      <c r="AH10" s="32" t="s">
        <v>193</v>
      </c>
      <c r="AI10" s="32" t="s">
        <v>253</v>
      </c>
      <c r="AJ10" s="32" t="s">
        <v>254</v>
      </c>
      <c r="AK10" s="32" t="s">
        <v>1864</v>
      </c>
      <c r="AL10" s="32" t="s">
        <v>1840</v>
      </c>
      <c r="AO10" s="32" t="s">
        <v>1840</v>
      </c>
      <c r="AP10" s="32" t="s">
        <v>1840</v>
      </c>
      <c r="AQ10" s="32" t="s">
        <v>1840</v>
      </c>
      <c r="AR10" s="32" t="s">
        <v>1840</v>
      </c>
      <c r="AS10" s="32" t="s">
        <v>84</v>
      </c>
      <c r="AT10" s="32" t="s">
        <v>64</v>
      </c>
      <c r="AU10" s="56">
        <v>46218.791666666664</v>
      </c>
      <c r="AV10" s="56">
        <v>46218.765972222223</v>
      </c>
      <c r="AW10" s="56">
        <v>46218.8125</v>
      </c>
      <c r="AX10" s="56">
        <v>46218.819444444445</v>
      </c>
      <c r="AY10" s="56">
        <v>46218.830555555556</v>
      </c>
      <c r="AZ10" s="56">
        <v>46218.834027777775</v>
      </c>
      <c r="BA10" s="56">
        <v>46219.609722222223</v>
      </c>
      <c r="BB10" s="56">
        <v>46219.61041666667</v>
      </c>
      <c r="BC10" s="56">
        <v>46219.611111111109</v>
      </c>
      <c r="BD10" s="56">
        <v>46219.625</v>
      </c>
      <c r="BE10" s="56">
        <v>46219.675694444442</v>
      </c>
      <c r="BF10" s="56">
        <v>46219.6875</v>
      </c>
      <c r="BG10" s="56">
        <v>46219.7</v>
      </c>
      <c r="BH10" s="56">
        <v>46219.711805555555</v>
      </c>
      <c r="BI10" s="32" t="s">
        <v>64</v>
      </c>
      <c r="BJ10" s="56">
        <v>46220.583333333336</v>
      </c>
      <c r="BK10" s="56">
        <v>46220.541666666664</v>
      </c>
      <c r="BL10" s="56">
        <v>46220.548611111109</v>
      </c>
      <c r="BM10" s="56">
        <v>46220.556944444441</v>
      </c>
      <c r="BN10" s="56">
        <v>46220.591666666667</v>
      </c>
    </row>
    <row r="11" spans="1:69" x14ac:dyDescent="0.35">
      <c r="A11" t="s">
        <v>176</v>
      </c>
      <c r="B11" s="32">
        <v>10</v>
      </c>
      <c r="C11" s="32">
        <v>30</v>
      </c>
      <c r="D11" s="32" t="s">
        <v>177</v>
      </c>
      <c r="E11" s="32" t="s">
        <v>178</v>
      </c>
      <c r="F11" s="54">
        <v>46225</v>
      </c>
      <c r="G11" s="54">
        <v>46226</v>
      </c>
      <c r="H11" s="55">
        <v>0.625</v>
      </c>
      <c r="I11" s="55">
        <v>0.54166666666666663</v>
      </c>
      <c r="J11" s="32" t="s">
        <v>53</v>
      </c>
      <c r="K11" s="32" t="s">
        <v>179</v>
      </c>
      <c r="L11" s="32">
        <v>1</v>
      </c>
      <c r="M11" s="32" t="s">
        <v>255</v>
      </c>
      <c r="P11" s="32" t="s">
        <v>182</v>
      </c>
      <c r="Q11" s="32" t="s">
        <v>84</v>
      </c>
      <c r="R11" s="32" t="s">
        <v>947</v>
      </c>
      <c r="S11" s="32" t="s">
        <v>1865</v>
      </c>
      <c r="T11" s="32" t="s">
        <v>256</v>
      </c>
      <c r="U11" s="32" t="s">
        <v>257</v>
      </c>
      <c r="V11" s="32">
        <v>485064</v>
      </c>
      <c r="W11" s="32" t="s">
        <v>258</v>
      </c>
      <c r="X11" s="32" t="s">
        <v>187</v>
      </c>
      <c r="Y11" s="32" t="s">
        <v>188</v>
      </c>
      <c r="Z11" s="32" t="s">
        <v>188</v>
      </c>
      <c r="AA11" s="32" t="s">
        <v>189</v>
      </c>
      <c r="AB11" s="32" t="s">
        <v>1844</v>
      </c>
      <c r="AC11" s="32" t="s">
        <v>92</v>
      </c>
      <c r="AD11" s="32" t="s">
        <v>243</v>
      </c>
      <c r="AE11" s="32">
        <v>20610002669</v>
      </c>
      <c r="AF11" s="32" t="s">
        <v>259</v>
      </c>
      <c r="AG11" s="32" t="s">
        <v>260</v>
      </c>
      <c r="AH11" s="32" t="s">
        <v>193</v>
      </c>
      <c r="AI11" s="32" t="s">
        <v>246</v>
      </c>
      <c r="AJ11" s="32" t="s">
        <v>247</v>
      </c>
      <c r="AK11" s="32" t="s">
        <v>1862</v>
      </c>
      <c r="AL11" s="32" t="s">
        <v>1840</v>
      </c>
      <c r="AO11" s="32" t="s">
        <v>1840</v>
      </c>
      <c r="AP11" s="32" t="s">
        <v>1840</v>
      </c>
      <c r="AQ11" s="32" t="s">
        <v>1840</v>
      </c>
      <c r="AR11" s="32" t="s">
        <v>1840</v>
      </c>
      <c r="AS11" s="32" t="s">
        <v>84</v>
      </c>
      <c r="AT11" s="32" t="s">
        <v>261</v>
      </c>
      <c r="AU11" s="56">
        <v>46225.666666666664</v>
      </c>
      <c r="AV11" s="56">
        <v>46225.65625</v>
      </c>
      <c r="AW11" s="56">
        <v>46225.691666666666</v>
      </c>
      <c r="AX11" s="56">
        <v>46225.708333333336</v>
      </c>
      <c r="AY11" s="56">
        <v>46225.854166666664</v>
      </c>
      <c r="AZ11" s="56">
        <v>46225.857638888891</v>
      </c>
      <c r="BA11" s="56">
        <v>46226.515972222223</v>
      </c>
      <c r="BB11" s="56">
        <v>46226.519444444442</v>
      </c>
      <c r="BC11" s="56">
        <v>46226.552083333336</v>
      </c>
      <c r="BD11" s="56">
        <v>46226.648611111108</v>
      </c>
      <c r="BE11" s="56">
        <v>46226.70208333333</v>
      </c>
      <c r="BF11" s="56">
        <v>46226.726388888892</v>
      </c>
      <c r="BG11" s="56">
        <v>46226.738194444442</v>
      </c>
      <c r="BH11" s="56">
        <v>46226.748611111114</v>
      </c>
      <c r="BI11" s="32" t="s">
        <v>64</v>
      </c>
      <c r="BJ11" s="56">
        <v>46227.75</v>
      </c>
      <c r="BK11" s="56">
        <v>46227.695138888892</v>
      </c>
      <c r="BL11" s="56">
        <v>46227.720833333333</v>
      </c>
      <c r="BM11" s="56">
        <v>46227.726388888892</v>
      </c>
      <c r="BN11" s="56">
        <v>46227.743055555555</v>
      </c>
    </row>
    <row r="12" spans="1:69" x14ac:dyDescent="0.35">
      <c r="A12" t="s">
        <v>176</v>
      </c>
      <c r="B12" s="32">
        <v>11</v>
      </c>
      <c r="C12" s="32">
        <v>30</v>
      </c>
      <c r="D12" s="32" t="s">
        <v>177</v>
      </c>
      <c r="E12" s="32" t="s">
        <v>178</v>
      </c>
      <c r="F12" s="54">
        <v>46225</v>
      </c>
      <c r="G12" s="54">
        <v>46226</v>
      </c>
      <c r="H12" s="55">
        <v>0.58333333333333337</v>
      </c>
      <c r="I12" s="55">
        <v>0.5</v>
      </c>
      <c r="J12" s="32" t="s">
        <v>53</v>
      </c>
      <c r="K12" s="32" t="s">
        <v>179</v>
      </c>
      <c r="L12" s="32">
        <v>1</v>
      </c>
      <c r="M12" s="32" t="s">
        <v>262</v>
      </c>
      <c r="P12" s="32" t="s">
        <v>182</v>
      </c>
      <c r="Q12" s="32" t="s">
        <v>84</v>
      </c>
      <c r="R12" s="32" t="s">
        <v>947</v>
      </c>
      <c r="S12" s="32" t="s">
        <v>1865</v>
      </c>
      <c r="T12" s="32" t="s">
        <v>263</v>
      </c>
      <c r="U12" s="32" t="s">
        <v>264</v>
      </c>
      <c r="V12" s="32">
        <v>485010</v>
      </c>
      <c r="W12" s="32" t="s">
        <v>265</v>
      </c>
      <c r="X12" s="32" t="s">
        <v>187</v>
      </c>
      <c r="Y12" s="32" t="s">
        <v>188</v>
      </c>
      <c r="Z12" s="32" t="s">
        <v>188</v>
      </c>
      <c r="AA12" s="32" t="s">
        <v>189</v>
      </c>
      <c r="AB12" s="32" t="s">
        <v>1844</v>
      </c>
      <c r="AC12" s="32" t="s">
        <v>92</v>
      </c>
      <c r="AD12" s="32" t="s">
        <v>266</v>
      </c>
      <c r="AE12" s="32">
        <v>20609311780</v>
      </c>
      <c r="AF12" s="32" t="s">
        <v>1815</v>
      </c>
      <c r="AG12" s="32" t="s">
        <v>1816</v>
      </c>
      <c r="AH12" s="32" t="s">
        <v>193</v>
      </c>
      <c r="AI12" s="32" t="s">
        <v>1817</v>
      </c>
      <c r="AJ12" s="32" t="s">
        <v>267</v>
      </c>
      <c r="AK12" s="32" t="s">
        <v>1866</v>
      </c>
      <c r="AL12" s="32" t="s">
        <v>1840</v>
      </c>
      <c r="AO12" s="32" t="s">
        <v>1840</v>
      </c>
      <c r="AP12" s="32" t="s">
        <v>1840</v>
      </c>
      <c r="AQ12" s="32" t="s">
        <v>1840</v>
      </c>
      <c r="AR12" s="32" t="s">
        <v>1840</v>
      </c>
      <c r="AS12" s="32" t="s">
        <v>84</v>
      </c>
      <c r="AT12" s="32" t="s">
        <v>261</v>
      </c>
      <c r="AU12" s="56">
        <v>46225.666666666664</v>
      </c>
      <c r="AV12" s="56">
        <v>46225.645833333336</v>
      </c>
      <c r="AW12" s="56">
        <v>46225.666666666664</v>
      </c>
      <c r="AX12" s="56">
        <v>46225.695833333331</v>
      </c>
      <c r="AY12" s="56">
        <v>46225.745833333334</v>
      </c>
      <c r="AZ12" s="56">
        <v>46225.75</v>
      </c>
      <c r="BA12" s="56">
        <v>46226.54791666667</v>
      </c>
      <c r="BB12" s="56">
        <v>46226.551388888889</v>
      </c>
      <c r="BC12" s="56">
        <v>46226.576388888891</v>
      </c>
      <c r="BD12" s="56">
        <v>46226.667361111111</v>
      </c>
      <c r="BE12" s="56">
        <v>46226.713888888888</v>
      </c>
      <c r="BF12" s="56">
        <v>46226.731944444444</v>
      </c>
      <c r="BG12" s="56">
        <v>46226.750694444447</v>
      </c>
      <c r="BH12" s="56">
        <v>46226.768055555556</v>
      </c>
      <c r="BI12" s="32" t="s">
        <v>64</v>
      </c>
      <c r="BJ12" s="56">
        <v>46227.708333333336</v>
      </c>
      <c r="BK12" s="56">
        <v>46227.638888888891</v>
      </c>
      <c r="BL12" s="56">
        <v>46227.690972222219</v>
      </c>
      <c r="BM12" s="56">
        <v>46227.7</v>
      </c>
      <c r="BN12" s="56">
        <v>46230.709722222222</v>
      </c>
    </row>
    <row r="13" spans="1:69" x14ac:dyDescent="0.35">
      <c r="A13" t="s">
        <v>176</v>
      </c>
      <c r="B13" s="32">
        <v>12</v>
      </c>
      <c r="C13" s="32">
        <v>30</v>
      </c>
      <c r="D13" s="32" t="s">
        <v>177</v>
      </c>
      <c r="E13" s="32" t="s">
        <v>178</v>
      </c>
      <c r="F13" s="54">
        <v>46226</v>
      </c>
      <c r="G13" s="54">
        <v>46226</v>
      </c>
      <c r="H13" s="55">
        <v>0.66666666666666663</v>
      </c>
      <c r="I13" s="55">
        <v>0.58333333333333337</v>
      </c>
      <c r="J13" s="32" t="s">
        <v>53</v>
      </c>
      <c r="K13" s="32" t="s">
        <v>179</v>
      </c>
      <c r="L13" s="32">
        <v>1</v>
      </c>
      <c r="M13" s="32" t="s">
        <v>268</v>
      </c>
      <c r="P13" s="32" t="s">
        <v>182</v>
      </c>
      <c r="Q13" s="32" t="s">
        <v>83</v>
      </c>
      <c r="R13" s="32" t="s">
        <v>947</v>
      </c>
      <c r="S13" s="32" t="s">
        <v>399</v>
      </c>
      <c r="T13" s="32">
        <v>6508866520</v>
      </c>
      <c r="U13" s="32" t="s">
        <v>269</v>
      </c>
      <c r="V13" s="32">
        <v>23027</v>
      </c>
      <c r="W13" s="32">
        <v>32984747</v>
      </c>
      <c r="X13" s="32" t="s">
        <v>187</v>
      </c>
      <c r="Y13" s="32" t="s">
        <v>188</v>
      </c>
      <c r="Z13" s="32" t="s">
        <v>188</v>
      </c>
      <c r="AA13" s="32" t="s">
        <v>189</v>
      </c>
      <c r="AB13" s="32" t="s">
        <v>1844</v>
      </c>
      <c r="AC13" s="32" t="s">
        <v>56</v>
      </c>
      <c r="AD13" s="32" t="s">
        <v>190</v>
      </c>
      <c r="AE13" s="32">
        <v>20609553376</v>
      </c>
      <c r="AF13" s="32" t="s">
        <v>270</v>
      </c>
      <c r="AG13" s="32" t="s">
        <v>271</v>
      </c>
      <c r="AH13" s="32" t="s">
        <v>193</v>
      </c>
      <c r="AI13" s="32" t="s">
        <v>272</v>
      </c>
      <c r="AJ13" s="32" t="s">
        <v>273</v>
      </c>
      <c r="AK13" s="32" t="s">
        <v>1867</v>
      </c>
      <c r="AL13" s="32" t="s">
        <v>1840</v>
      </c>
      <c r="AO13" s="32" t="s">
        <v>1840</v>
      </c>
      <c r="AP13" s="32" t="s">
        <v>1840</v>
      </c>
      <c r="AQ13" s="32" t="s">
        <v>1840</v>
      </c>
      <c r="AR13" s="32" t="s">
        <v>1840</v>
      </c>
      <c r="AS13" s="32" t="s">
        <v>83</v>
      </c>
      <c r="AT13" s="32" t="s">
        <v>248</v>
      </c>
      <c r="AU13" s="56">
        <v>46226.041666666664</v>
      </c>
      <c r="AV13" s="56">
        <v>46226.027777777781</v>
      </c>
      <c r="AW13" s="56">
        <v>46226.033333333333</v>
      </c>
      <c r="AX13" s="56">
        <v>46226.048611111109</v>
      </c>
      <c r="AY13" s="56">
        <v>46226.09652777778</v>
      </c>
      <c r="AZ13" s="56">
        <v>46226.101388888892</v>
      </c>
      <c r="BA13" s="56">
        <v>46226.59097222222</v>
      </c>
      <c r="BB13" s="56">
        <v>46226.594444444447</v>
      </c>
      <c r="BC13" s="56">
        <v>46226.606944444444</v>
      </c>
      <c r="BD13" s="56">
        <v>46226.665972222225</v>
      </c>
      <c r="BE13" s="56">
        <v>46226.726388888892</v>
      </c>
      <c r="BF13" s="56">
        <v>46226.734027777777</v>
      </c>
      <c r="BG13" s="56">
        <v>46226.741666666669</v>
      </c>
      <c r="BH13" s="56">
        <v>46226.772222222222</v>
      </c>
      <c r="BI13" s="32" t="s">
        <v>248</v>
      </c>
      <c r="BJ13" s="56">
        <v>46227</v>
      </c>
      <c r="BK13" s="56">
        <v>46227.356944444444</v>
      </c>
      <c r="BL13" s="56">
        <v>46227.366666666669</v>
      </c>
      <c r="BM13" s="56">
        <v>46227.376388888886</v>
      </c>
      <c r="BN13" s="56">
        <v>46227.386111111111</v>
      </c>
    </row>
    <row r="14" spans="1:69" x14ac:dyDescent="0.35">
      <c r="A14" t="s">
        <v>176</v>
      </c>
      <c r="B14" s="32">
        <v>13</v>
      </c>
      <c r="C14" s="32">
        <v>30</v>
      </c>
      <c r="D14" s="32" t="s">
        <v>177</v>
      </c>
      <c r="E14" s="32" t="s">
        <v>178</v>
      </c>
      <c r="F14" s="54">
        <v>46226</v>
      </c>
      <c r="G14" s="54">
        <v>46226</v>
      </c>
      <c r="H14" s="55">
        <v>0.66666666666666663</v>
      </c>
      <c r="I14" s="55">
        <v>0.58333333333333337</v>
      </c>
      <c r="J14" s="32" t="s">
        <v>53</v>
      </c>
      <c r="K14" s="32" t="s">
        <v>179</v>
      </c>
      <c r="L14" s="32">
        <v>1</v>
      </c>
      <c r="M14" s="32" t="s">
        <v>274</v>
      </c>
      <c r="P14" s="32" t="s">
        <v>182</v>
      </c>
      <c r="Q14" s="32" t="s">
        <v>83</v>
      </c>
      <c r="R14" s="32" t="s">
        <v>947</v>
      </c>
      <c r="S14" s="32" t="s">
        <v>399</v>
      </c>
      <c r="T14" s="32">
        <v>6508866560</v>
      </c>
      <c r="U14" s="32" t="s">
        <v>275</v>
      </c>
      <c r="V14" s="32">
        <v>23028</v>
      </c>
      <c r="W14" s="32">
        <v>32984748</v>
      </c>
      <c r="X14" s="32" t="s">
        <v>187</v>
      </c>
      <c r="Y14" s="32" t="s">
        <v>188</v>
      </c>
      <c r="Z14" s="32" t="s">
        <v>188</v>
      </c>
      <c r="AA14" s="32" t="s">
        <v>189</v>
      </c>
      <c r="AB14" s="32" t="s">
        <v>1844</v>
      </c>
      <c r="AC14" s="32" t="s">
        <v>56</v>
      </c>
      <c r="AD14" s="32" t="s">
        <v>190</v>
      </c>
      <c r="AE14" s="32">
        <v>20609553376</v>
      </c>
      <c r="AF14" s="32" t="s">
        <v>191</v>
      </c>
      <c r="AG14" s="32" t="s">
        <v>192</v>
      </c>
      <c r="AH14" s="32" t="s">
        <v>193</v>
      </c>
      <c r="AI14" s="32" t="s">
        <v>194</v>
      </c>
      <c r="AJ14" s="32" t="s">
        <v>195</v>
      </c>
      <c r="AK14" s="32" t="s">
        <v>1852</v>
      </c>
      <c r="AL14" s="32" t="s">
        <v>1840</v>
      </c>
      <c r="AO14" s="32" t="s">
        <v>1840</v>
      </c>
      <c r="AP14" s="32" t="s">
        <v>1840</v>
      </c>
      <c r="AQ14" s="32" t="s">
        <v>1840</v>
      </c>
      <c r="AR14" s="32" t="s">
        <v>1840</v>
      </c>
      <c r="AS14" s="32" t="s">
        <v>83</v>
      </c>
      <c r="AT14" s="32" t="s">
        <v>248</v>
      </c>
      <c r="AU14" s="56">
        <v>46226.041666666664</v>
      </c>
      <c r="AV14" s="56">
        <v>46226.02847222222</v>
      </c>
      <c r="AW14" s="56">
        <v>46226.033333333333</v>
      </c>
      <c r="AX14" s="56">
        <v>46226.052083333336</v>
      </c>
      <c r="AY14" s="56">
        <v>46226.095833333333</v>
      </c>
      <c r="AZ14" s="56">
        <v>46226.097222222219</v>
      </c>
      <c r="BA14" s="56">
        <v>46226.59097222222</v>
      </c>
      <c r="BB14" s="56">
        <v>46226.595138888886</v>
      </c>
      <c r="BC14" s="56">
        <v>46226.614583333336</v>
      </c>
      <c r="BD14" s="56">
        <v>46226.643055555556</v>
      </c>
      <c r="BE14" s="56">
        <v>46226.677083333336</v>
      </c>
      <c r="BF14" s="56">
        <v>46226.688888888886</v>
      </c>
      <c r="BG14" s="56">
        <v>46226.6875</v>
      </c>
      <c r="BH14" s="56">
        <v>46226.741666666669</v>
      </c>
      <c r="BI14" s="32" t="s">
        <v>248</v>
      </c>
      <c r="BJ14" s="56">
        <v>46227</v>
      </c>
      <c r="BK14" s="56">
        <v>46227.367361111108</v>
      </c>
      <c r="BL14" s="56">
        <v>46227.382638888892</v>
      </c>
      <c r="BM14" s="56">
        <v>46227.386111111111</v>
      </c>
      <c r="BN14" s="56">
        <v>46227.390972222223</v>
      </c>
    </row>
    <row r="15" spans="1:69" x14ac:dyDescent="0.35">
      <c r="A15" t="s">
        <v>176</v>
      </c>
      <c r="B15" s="32">
        <v>14</v>
      </c>
      <c r="C15" s="32">
        <v>30</v>
      </c>
      <c r="D15" s="32" t="s">
        <v>177</v>
      </c>
      <c r="E15" s="32" t="s">
        <v>178</v>
      </c>
      <c r="F15" s="54">
        <v>46229</v>
      </c>
      <c r="G15" s="54">
        <v>46230</v>
      </c>
      <c r="H15" s="55">
        <v>0.58333333333333337</v>
      </c>
      <c r="I15" s="55">
        <v>0.5</v>
      </c>
      <c r="J15" s="32" t="s">
        <v>53</v>
      </c>
      <c r="K15" s="32" t="s">
        <v>179</v>
      </c>
      <c r="L15" s="32">
        <v>1</v>
      </c>
      <c r="M15" s="32" t="s">
        <v>276</v>
      </c>
      <c r="P15" s="32" t="s">
        <v>182</v>
      </c>
      <c r="Q15" s="32" t="s">
        <v>84</v>
      </c>
      <c r="R15" s="32" t="s">
        <v>1853</v>
      </c>
      <c r="S15" s="32" t="s">
        <v>1854</v>
      </c>
      <c r="T15" s="32">
        <v>751600040836</v>
      </c>
      <c r="U15" s="32" t="s">
        <v>277</v>
      </c>
      <c r="W15" s="32" t="s">
        <v>278</v>
      </c>
      <c r="X15" s="32" t="s">
        <v>187</v>
      </c>
      <c r="Y15" s="32" t="s">
        <v>188</v>
      </c>
      <c r="Z15" s="32" t="s">
        <v>188</v>
      </c>
      <c r="AA15" s="32" t="s">
        <v>189</v>
      </c>
      <c r="AB15" s="32" t="s">
        <v>1844</v>
      </c>
      <c r="AC15" s="32" t="s">
        <v>56</v>
      </c>
      <c r="AD15" s="32" t="s">
        <v>190</v>
      </c>
      <c r="AE15" s="32">
        <v>20609553376</v>
      </c>
      <c r="AF15" s="32" t="s">
        <v>279</v>
      </c>
      <c r="AG15" s="32" t="s">
        <v>280</v>
      </c>
      <c r="AH15" s="32" t="s">
        <v>193</v>
      </c>
      <c r="AI15" s="32" t="s">
        <v>281</v>
      </c>
      <c r="AJ15" s="32" t="s">
        <v>282</v>
      </c>
      <c r="AK15" s="32" t="s">
        <v>1868</v>
      </c>
      <c r="AL15" s="32" t="s">
        <v>1840</v>
      </c>
      <c r="AO15" s="32" t="s">
        <v>1840</v>
      </c>
      <c r="AP15" s="32" t="s">
        <v>1840</v>
      </c>
      <c r="AQ15" s="32" t="s">
        <v>1840</v>
      </c>
      <c r="AR15" s="32" t="s">
        <v>1840</v>
      </c>
      <c r="AS15" s="32" t="s">
        <v>84</v>
      </c>
      <c r="AT15" s="32" t="s">
        <v>64</v>
      </c>
      <c r="AU15" s="56">
        <v>46229.625</v>
      </c>
      <c r="AV15" s="56">
        <v>46229.636111111111</v>
      </c>
      <c r="AW15" s="56">
        <v>46229.655555555553</v>
      </c>
      <c r="AX15" s="56">
        <v>46229.676388888889</v>
      </c>
      <c r="AY15" s="56">
        <v>46229.714583333334</v>
      </c>
      <c r="AZ15" s="56">
        <v>46229.720833333333</v>
      </c>
      <c r="BA15" s="56">
        <v>46230.517361111109</v>
      </c>
      <c r="BB15" s="56">
        <v>46230.520833333336</v>
      </c>
      <c r="BC15" s="56">
        <v>46230.540277777778</v>
      </c>
      <c r="BD15" s="56">
        <v>46230.572916666664</v>
      </c>
      <c r="BE15" s="56">
        <v>46230.617361111108</v>
      </c>
      <c r="BF15" s="56">
        <v>46230.660416666666</v>
      </c>
      <c r="BG15" s="56">
        <v>46230.705555555556</v>
      </c>
      <c r="BH15" s="56">
        <v>46230.714583333334</v>
      </c>
      <c r="BI15" s="32" t="s">
        <v>64</v>
      </c>
      <c r="BJ15" s="56">
        <v>46231.5</v>
      </c>
      <c r="BK15" s="56">
        <v>46231.486111111109</v>
      </c>
      <c r="BL15" s="56">
        <v>46231.506944444445</v>
      </c>
      <c r="BM15" s="56">
        <v>46231.510416666664</v>
      </c>
      <c r="BN15" s="56">
        <v>46231.515277777777</v>
      </c>
    </row>
    <row r="16" spans="1:69" x14ac:dyDescent="0.35">
      <c r="A16" t="s">
        <v>176</v>
      </c>
      <c r="B16" s="32">
        <v>15</v>
      </c>
      <c r="C16" s="32">
        <v>30</v>
      </c>
      <c r="D16" s="32" t="s">
        <v>177</v>
      </c>
      <c r="E16" s="32" t="s">
        <v>178</v>
      </c>
      <c r="F16" s="54">
        <v>46229</v>
      </c>
      <c r="G16" s="54">
        <v>46230</v>
      </c>
      <c r="H16" s="55">
        <v>0.58333333333333337</v>
      </c>
      <c r="I16" s="55">
        <v>0.5</v>
      </c>
      <c r="J16" s="32" t="s">
        <v>53</v>
      </c>
      <c r="K16" s="32" t="s">
        <v>179</v>
      </c>
      <c r="L16" s="32">
        <v>1</v>
      </c>
      <c r="M16" s="32" t="s">
        <v>283</v>
      </c>
      <c r="P16" s="32" t="s">
        <v>182</v>
      </c>
      <c r="Q16" s="32" t="s">
        <v>84</v>
      </c>
      <c r="R16" s="32" t="s">
        <v>1853</v>
      </c>
      <c r="S16" s="32" t="s">
        <v>1854</v>
      </c>
      <c r="T16" s="32">
        <v>751600040844</v>
      </c>
      <c r="U16" s="32" t="s">
        <v>284</v>
      </c>
      <c r="W16" s="32" t="s">
        <v>278</v>
      </c>
      <c r="X16" s="32" t="s">
        <v>187</v>
      </c>
      <c r="Y16" s="32" t="s">
        <v>188</v>
      </c>
      <c r="Z16" s="32" t="s">
        <v>188</v>
      </c>
      <c r="AA16" s="32" t="s">
        <v>189</v>
      </c>
      <c r="AB16" s="32" t="s">
        <v>1844</v>
      </c>
      <c r="AC16" s="32" t="s">
        <v>92</v>
      </c>
      <c r="AD16" s="32" t="s">
        <v>243</v>
      </c>
      <c r="AE16" s="32">
        <v>20610002669</v>
      </c>
      <c r="AF16" s="32" t="s">
        <v>244</v>
      </c>
      <c r="AG16" s="32" t="s">
        <v>245</v>
      </c>
      <c r="AH16" s="32" t="s">
        <v>193</v>
      </c>
      <c r="AI16" s="32" t="s">
        <v>246</v>
      </c>
      <c r="AJ16" s="32" t="s">
        <v>247</v>
      </c>
      <c r="AK16" s="32" t="s">
        <v>1862</v>
      </c>
      <c r="AL16" s="32" t="s">
        <v>1840</v>
      </c>
      <c r="AO16" s="32" t="s">
        <v>1840</v>
      </c>
      <c r="AP16" s="32" t="s">
        <v>1840</v>
      </c>
      <c r="AQ16" s="32" t="s">
        <v>1840</v>
      </c>
      <c r="AR16" s="32" t="s">
        <v>1840</v>
      </c>
      <c r="AS16" s="32" t="s">
        <v>84</v>
      </c>
      <c r="AT16" s="32" t="s">
        <v>285</v>
      </c>
      <c r="AU16" s="56">
        <v>46229.625</v>
      </c>
      <c r="AV16" s="56">
        <v>46229.626388888886</v>
      </c>
      <c r="AW16" s="56">
        <v>46229.669444444444</v>
      </c>
      <c r="AX16" s="56">
        <v>46229.697916666664</v>
      </c>
      <c r="AY16" s="56">
        <v>46229.740972222222</v>
      </c>
      <c r="AZ16" s="56">
        <v>46229.749305555553</v>
      </c>
      <c r="BA16" s="56">
        <v>46230.438888888886</v>
      </c>
      <c r="BB16" s="56">
        <v>46230.442361111112</v>
      </c>
      <c r="BC16" s="56">
        <v>46230.46875</v>
      </c>
      <c r="BD16" s="56">
        <v>46230.634722222225</v>
      </c>
      <c r="BE16" s="56">
        <v>46230.684027777781</v>
      </c>
      <c r="BF16" s="56">
        <v>46230.70208333333</v>
      </c>
      <c r="BG16" s="56">
        <v>46230.744444444441</v>
      </c>
      <c r="BH16" s="56">
        <v>46230.786111111112</v>
      </c>
      <c r="BI16" s="32" t="s">
        <v>64</v>
      </c>
      <c r="BJ16" s="56">
        <v>46231.583333333336</v>
      </c>
      <c r="BK16" s="56">
        <v>46231.583333333336</v>
      </c>
      <c r="BL16" s="56">
        <v>46231.618055555555</v>
      </c>
      <c r="BM16" s="56">
        <v>46231.625</v>
      </c>
      <c r="BN16" s="56">
        <v>46231.636111111111</v>
      </c>
    </row>
    <row r="17" spans="1:69" x14ac:dyDescent="0.35">
      <c r="A17" t="s">
        <v>176</v>
      </c>
      <c r="B17" s="32">
        <v>16</v>
      </c>
      <c r="C17" s="32">
        <v>31</v>
      </c>
      <c r="D17" s="32" t="s">
        <v>177</v>
      </c>
      <c r="E17" s="32" t="s">
        <v>178</v>
      </c>
      <c r="F17" s="54">
        <v>46232</v>
      </c>
      <c r="G17" s="54">
        <v>46233</v>
      </c>
      <c r="H17" s="55">
        <v>0.58333333333333337</v>
      </c>
      <c r="I17" s="55">
        <v>0.5</v>
      </c>
      <c r="J17" s="32" t="s">
        <v>53</v>
      </c>
      <c r="K17" s="32" t="s">
        <v>179</v>
      </c>
      <c r="L17" s="32">
        <v>1</v>
      </c>
      <c r="M17" s="32" t="s">
        <v>286</v>
      </c>
      <c r="P17" s="32" t="s">
        <v>182</v>
      </c>
      <c r="Q17" s="32" t="s">
        <v>84</v>
      </c>
      <c r="R17" s="32" t="s">
        <v>947</v>
      </c>
      <c r="S17" s="32" t="s">
        <v>1865</v>
      </c>
      <c r="T17" s="32" t="s">
        <v>287</v>
      </c>
      <c r="U17" s="32" t="s">
        <v>288</v>
      </c>
      <c r="V17" s="32" t="s">
        <v>278</v>
      </c>
      <c r="X17" s="32" t="s">
        <v>187</v>
      </c>
      <c r="Y17" s="32" t="s">
        <v>188</v>
      </c>
      <c r="Z17" s="32" t="s">
        <v>188</v>
      </c>
      <c r="AA17" s="32" t="s">
        <v>189</v>
      </c>
      <c r="AB17" s="32" t="s">
        <v>1844</v>
      </c>
      <c r="AC17" s="32" t="s">
        <v>92</v>
      </c>
      <c r="AD17" s="32" t="s">
        <v>252</v>
      </c>
      <c r="AE17" s="32">
        <v>20600489535</v>
      </c>
      <c r="AF17" s="32" t="s">
        <v>289</v>
      </c>
      <c r="AG17" s="32" t="s">
        <v>290</v>
      </c>
      <c r="AH17" s="32" t="s">
        <v>193</v>
      </c>
      <c r="AI17" s="32" t="s">
        <v>253</v>
      </c>
      <c r="AJ17" s="32" t="s">
        <v>254</v>
      </c>
      <c r="AK17" s="32" t="s">
        <v>1864</v>
      </c>
      <c r="AL17" s="32" t="s">
        <v>1840</v>
      </c>
      <c r="AO17" s="32" t="s">
        <v>1840</v>
      </c>
      <c r="AP17" s="32" t="s">
        <v>1840</v>
      </c>
      <c r="AQ17" s="32" t="s">
        <v>1840</v>
      </c>
      <c r="AR17" s="32" t="s">
        <v>1840</v>
      </c>
      <c r="AS17" s="32" t="s">
        <v>84</v>
      </c>
      <c r="AT17" s="32" t="s">
        <v>261</v>
      </c>
      <c r="AU17" s="56">
        <v>46232.416666666664</v>
      </c>
      <c r="AV17" s="56">
        <v>46232.421527777777</v>
      </c>
      <c r="AW17" s="56">
        <v>46232.424305555556</v>
      </c>
      <c r="AX17" s="56">
        <v>46232.520833333336</v>
      </c>
      <c r="AY17" s="56">
        <v>46232.591666666667</v>
      </c>
      <c r="AZ17" s="56">
        <v>46232.597916666666</v>
      </c>
      <c r="BA17" s="56">
        <v>46233.368750000001</v>
      </c>
      <c r="BB17" s="56">
        <v>46233.37222222222</v>
      </c>
      <c r="BC17" s="56">
        <v>46233.400694444441</v>
      </c>
      <c r="BD17" s="56">
        <v>46233.513194444444</v>
      </c>
      <c r="BE17" s="56">
        <v>46233.629861111112</v>
      </c>
      <c r="BF17" s="56">
        <v>46233.644444444442</v>
      </c>
      <c r="BG17" s="56">
        <v>46233.65902777778</v>
      </c>
      <c r="BH17" s="56">
        <v>46233.703472222223</v>
      </c>
      <c r="BI17" s="32" t="s">
        <v>64</v>
      </c>
      <c r="BJ17" s="56">
        <v>46234.583333333336</v>
      </c>
      <c r="BK17" s="56">
        <v>46234.550694444442</v>
      </c>
      <c r="BL17" s="56">
        <v>46234.619444444441</v>
      </c>
      <c r="BM17" s="56">
        <v>46234.622916666667</v>
      </c>
      <c r="BN17" s="56">
        <v>46234.626388888886</v>
      </c>
    </row>
    <row r="18" spans="1:69" x14ac:dyDescent="0.35">
      <c r="A18" t="s">
        <v>176</v>
      </c>
      <c r="B18" s="32">
        <v>17</v>
      </c>
      <c r="C18" s="32">
        <v>31</v>
      </c>
      <c r="D18" s="32" t="s">
        <v>177</v>
      </c>
      <c r="E18" s="32" t="s">
        <v>178</v>
      </c>
      <c r="F18" s="54">
        <v>46232</v>
      </c>
      <c r="G18" s="54">
        <v>46233</v>
      </c>
      <c r="H18" s="55">
        <v>0.58333333333333337</v>
      </c>
      <c r="I18" s="55">
        <v>0.5</v>
      </c>
      <c r="J18" s="32" t="s">
        <v>53</v>
      </c>
      <c r="K18" s="32" t="s">
        <v>179</v>
      </c>
      <c r="L18" s="32">
        <v>1</v>
      </c>
      <c r="M18" s="32" t="s">
        <v>291</v>
      </c>
      <c r="P18" s="32" t="s">
        <v>182</v>
      </c>
      <c r="Q18" s="32" t="s">
        <v>84</v>
      </c>
      <c r="R18" s="32" t="s">
        <v>947</v>
      </c>
      <c r="S18" s="32" t="s">
        <v>1865</v>
      </c>
      <c r="T18" s="32" t="s">
        <v>292</v>
      </c>
      <c r="U18" s="32" t="s">
        <v>293</v>
      </c>
      <c r="V18" s="32" t="s">
        <v>278</v>
      </c>
      <c r="X18" s="32" t="s">
        <v>187</v>
      </c>
      <c r="Y18" s="32" t="s">
        <v>188</v>
      </c>
      <c r="Z18" s="32" t="s">
        <v>188</v>
      </c>
      <c r="AA18" s="32" t="s">
        <v>189</v>
      </c>
      <c r="AB18" s="32" t="s">
        <v>1844</v>
      </c>
      <c r="AC18" s="32" t="s">
        <v>56</v>
      </c>
      <c r="AD18" s="32" t="s">
        <v>190</v>
      </c>
      <c r="AE18" s="32">
        <v>20609553376</v>
      </c>
      <c r="AF18" s="32" t="s">
        <v>294</v>
      </c>
      <c r="AG18" s="32" t="s">
        <v>295</v>
      </c>
      <c r="AH18" s="32" t="s">
        <v>193</v>
      </c>
      <c r="AI18" s="32" t="s">
        <v>296</v>
      </c>
      <c r="AJ18" s="32" t="s">
        <v>297</v>
      </c>
      <c r="AK18" s="32" t="s">
        <v>1869</v>
      </c>
      <c r="AL18" s="32" t="s">
        <v>1840</v>
      </c>
      <c r="AO18" s="32" t="s">
        <v>1840</v>
      </c>
      <c r="AP18" s="32" t="s">
        <v>1840</v>
      </c>
      <c r="AQ18" s="32" t="s">
        <v>1840</v>
      </c>
      <c r="AR18" s="32" t="s">
        <v>1840</v>
      </c>
      <c r="AS18" s="32" t="s">
        <v>84</v>
      </c>
      <c r="AT18" s="32" t="s">
        <v>261</v>
      </c>
      <c r="AU18" s="56">
        <v>46232.416666666664</v>
      </c>
      <c r="AV18" s="56">
        <v>46232.407638888886</v>
      </c>
      <c r="AW18" s="56">
        <v>46232.421527777777</v>
      </c>
      <c r="AX18" s="56">
        <v>46232.513888888891</v>
      </c>
      <c r="AY18" s="56">
        <v>46232.585416666669</v>
      </c>
      <c r="AZ18" s="56">
        <v>46232.629861111112</v>
      </c>
      <c r="BA18" s="56">
        <v>46233.37777777778</v>
      </c>
      <c r="BB18" s="56">
        <v>46233.381249999999</v>
      </c>
      <c r="BC18" s="56">
        <v>46233.399305555555</v>
      </c>
      <c r="BD18" s="56">
        <v>46233.527777777781</v>
      </c>
      <c r="BE18" s="56">
        <v>46233.64166666667</v>
      </c>
      <c r="BF18" s="56">
        <v>46233.686111111114</v>
      </c>
      <c r="BG18" s="56">
        <v>46233.689583333333</v>
      </c>
      <c r="BH18" s="56">
        <v>46233.713194444441</v>
      </c>
      <c r="BI18" s="32" t="s">
        <v>64</v>
      </c>
      <c r="BJ18" s="56">
        <v>46234.125</v>
      </c>
      <c r="BK18" s="56">
        <v>46234.142361111109</v>
      </c>
      <c r="BL18" s="56">
        <v>46234.22152777778</v>
      </c>
      <c r="BM18" s="56">
        <v>46234.224999999999</v>
      </c>
      <c r="BN18" s="56">
        <v>46234.232638888891</v>
      </c>
    </row>
    <row r="19" spans="1:69" x14ac:dyDescent="0.35">
      <c r="A19" t="s">
        <v>176</v>
      </c>
      <c r="B19" s="32">
        <v>18</v>
      </c>
      <c r="C19" s="32">
        <v>31</v>
      </c>
      <c r="D19" s="32" t="s">
        <v>177</v>
      </c>
      <c r="E19" s="32" t="s">
        <v>178</v>
      </c>
      <c r="F19" s="54">
        <v>46235</v>
      </c>
      <c r="G19" s="54">
        <v>46236</v>
      </c>
      <c r="H19" s="55">
        <v>0.66666666666666663</v>
      </c>
      <c r="I19" s="55">
        <v>0.58333333333333337</v>
      </c>
      <c r="J19" s="32" t="s">
        <v>53</v>
      </c>
      <c r="K19" s="32" t="s">
        <v>179</v>
      </c>
      <c r="L19" s="32">
        <v>1</v>
      </c>
      <c r="M19" s="32" t="s">
        <v>298</v>
      </c>
      <c r="P19" s="32" t="s">
        <v>182</v>
      </c>
      <c r="Q19" s="32" t="s">
        <v>84</v>
      </c>
      <c r="R19" s="32" t="s">
        <v>947</v>
      </c>
      <c r="S19" s="32" t="s">
        <v>399</v>
      </c>
      <c r="T19" s="32">
        <v>6509981780</v>
      </c>
      <c r="U19" s="32" t="s">
        <v>299</v>
      </c>
      <c r="V19" s="32" t="s">
        <v>278</v>
      </c>
      <c r="X19" s="32" t="s">
        <v>187</v>
      </c>
      <c r="Y19" s="32" t="s">
        <v>188</v>
      </c>
      <c r="Z19" s="32" t="s">
        <v>188</v>
      </c>
      <c r="AA19" s="32" t="s">
        <v>189</v>
      </c>
      <c r="AB19" s="32" t="s">
        <v>1844</v>
      </c>
      <c r="AC19" s="32" t="s">
        <v>56</v>
      </c>
      <c r="AD19" s="32" t="s">
        <v>190</v>
      </c>
      <c r="AE19" s="32">
        <v>20609553376</v>
      </c>
      <c r="AF19" s="32" t="s">
        <v>300</v>
      </c>
      <c r="AG19" s="32" t="s">
        <v>301</v>
      </c>
      <c r="AH19" s="32" t="s">
        <v>193</v>
      </c>
      <c r="AI19" s="32" t="s">
        <v>302</v>
      </c>
      <c r="AJ19" s="32" t="s">
        <v>238</v>
      </c>
      <c r="AK19" s="32" t="s">
        <v>1861</v>
      </c>
      <c r="AL19" s="32" t="s">
        <v>1840</v>
      </c>
      <c r="AO19" s="32" t="s">
        <v>1840</v>
      </c>
      <c r="AP19" s="32" t="s">
        <v>1840</v>
      </c>
      <c r="AQ19" s="32" t="s">
        <v>1840</v>
      </c>
      <c r="AR19" s="32" t="s">
        <v>1840</v>
      </c>
      <c r="AS19" s="32" t="s">
        <v>84</v>
      </c>
      <c r="AT19" s="32" t="s">
        <v>303</v>
      </c>
      <c r="AU19" s="56">
        <v>46235.75</v>
      </c>
      <c r="AV19" s="56">
        <v>46235.708333333336</v>
      </c>
      <c r="AW19" s="56">
        <v>46235.71597222222</v>
      </c>
      <c r="AX19" s="56">
        <v>46235.729166666664</v>
      </c>
      <c r="AY19" s="56">
        <v>46235.754166666666</v>
      </c>
      <c r="AZ19" s="56">
        <v>46235.756249999999</v>
      </c>
      <c r="BA19" s="56">
        <v>46236.425000000003</v>
      </c>
      <c r="BB19" s="56">
        <v>46236.429166666669</v>
      </c>
      <c r="BC19" s="56">
        <v>46236.463888888888</v>
      </c>
      <c r="BD19" s="56">
        <v>46236.560416666667</v>
      </c>
      <c r="BE19" s="56">
        <v>46236.655555555553</v>
      </c>
      <c r="BF19" s="56">
        <v>46236.702777777777</v>
      </c>
      <c r="BG19" s="56">
        <v>46236.708333333336</v>
      </c>
      <c r="BH19" s="56">
        <v>46236.747916666667</v>
      </c>
      <c r="BI19" s="32" t="s">
        <v>248</v>
      </c>
      <c r="BJ19" s="56">
        <v>46237</v>
      </c>
      <c r="BK19" s="56">
        <v>46237.369444444441</v>
      </c>
      <c r="BL19" s="56">
        <v>46237.39166666667</v>
      </c>
      <c r="BM19" s="56">
        <v>46237.394444444442</v>
      </c>
      <c r="BN19" s="56">
        <v>46237.397916666669</v>
      </c>
    </row>
    <row r="20" spans="1:69" x14ac:dyDescent="0.35">
      <c r="A20" t="s">
        <v>176</v>
      </c>
      <c r="B20" s="32">
        <v>19</v>
      </c>
      <c r="C20" s="32">
        <v>31</v>
      </c>
      <c r="D20" s="32" t="s">
        <v>177</v>
      </c>
      <c r="E20" s="32" t="s">
        <v>178</v>
      </c>
      <c r="F20" s="54">
        <v>46235</v>
      </c>
      <c r="G20" s="54">
        <v>46236</v>
      </c>
      <c r="H20" s="55">
        <v>0.58333333333333337</v>
      </c>
      <c r="I20" s="55">
        <v>0.5</v>
      </c>
      <c r="J20" s="32" t="s">
        <v>53</v>
      </c>
      <c r="K20" s="32" t="s">
        <v>179</v>
      </c>
      <c r="L20" s="32">
        <v>1</v>
      </c>
      <c r="M20" s="32" t="s">
        <v>304</v>
      </c>
      <c r="P20" s="32" t="s">
        <v>182</v>
      </c>
      <c r="Q20" s="32" t="s">
        <v>83</v>
      </c>
      <c r="R20" s="32" t="s">
        <v>1853</v>
      </c>
      <c r="S20" s="32" t="s">
        <v>399</v>
      </c>
      <c r="T20" s="32">
        <v>6509439190</v>
      </c>
      <c r="U20" s="32" t="s">
        <v>305</v>
      </c>
      <c r="V20" s="32" t="s">
        <v>278</v>
      </c>
      <c r="X20" s="32" t="s">
        <v>187</v>
      </c>
      <c r="Y20" s="32" t="s">
        <v>188</v>
      </c>
      <c r="Z20" s="32" t="s">
        <v>188</v>
      </c>
      <c r="AA20" s="32" t="s">
        <v>189</v>
      </c>
      <c r="AB20" s="32" t="s">
        <v>1844</v>
      </c>
      <c r="AC20" s="32" t="s">
        <v>92</v>
      </c>
      <c r="AD20" s="32" t="s">
        <v>252</v>
      </c>
      <c r="AE20" s="32">
        <v>20600489535</v>
      </c>
      <c r="AF20" s="32" t="s">
        <v>306</v>
      </c>
      <c r="AG20" s="32" t="s">
        <v>1818</v>
      </c>
      <c r="AH20" s="32" t="s">
        <v>193</v>
      </c>
      <c r="AI20" s="32" t="s">
        <v>1819</v>
      </c>
      <c r="AJ20" s="32" t="s">
        <v>307</v>
      </c>
      <c r="AK20" s="32" t="s">
        <v>1870</v>
      </c>
      <c r="AL20" s="32" t="s">
        <v>1840</v>
      </c>
      <c r="AO20" s="32" t="s">
        <v>1840</v>
      </c>
      <c r="AP20" s="32" t="s">
        <v>1840</v>
      </c>
      <c r="AQ20" s="32" t="s">
        <v>1840</v>
      </c>
      <c r="AR20" s="32" t="s">
        <v>1840</v>
      </c>
      <c r="AS20" s="32" t="s">
        <v>83</v>
      </c>
      <c r="AT20" s="32" t="s">
        <v>248</v>
      </c>
      <c r="AU20" s="56">
        <v>46235.75</v>
      </c>
      <c r="AV20" s="56">
        <v>46235.748611111114</v>
      </c>
      <c r="AW20" s="56">
        <v>46235.769444444442</v>
      </c>
      <c r="AX20" s="56">
        <v>46235.833333333336</v>
      </c>
      <c r="AY20" s="56">
        <v>46235.854166666664</v>
      </c>
      <c r="AZ20" s="56">
        <v>46235.875</v>
      </c>
      <c r="BA20" s="56">
        <v>46236.554861111108</v>
      </c>
      <c r="BB20" s="56">
        <v>46236.559027777781</v>
      </c>
      <c r="BC20" s="56">
        <v>46236.589583333334</v>
      </c>
      <c r="BD20" s="56">
        <v>46236.60833333333</v>
      </c>
      <c r="BE20" s="56">
        <v>46236.656944444447</v>
      </c>
      <c r="BF20" s="56">
        <v>46236.672222222223</v>
      </c>
      <c r="BG20" s="56">
        <v>46236.690972222219</v>
      </c>
      <c r="BH20" s="56">
        <v>46236.714583333334</v>
      </c>
      <c r="BI20" s="32" t="s">
        <v>248</v>
      </c>
      <c r="BJ20" s="56">
        <v>46237</v>
      </c>
      <c r="BK20" s="56">
        <v>46237.445833333331</v>
      </c>
      <c r="BL20" s="56">
        <v>46237.454861111109</v>
      </c>
      <c r="BM20" s="56">
        <v>46237.465277777781</v>
      </c>
      <c r="BN20" s="56">
        <v>46237.472916666666</v>
      </c>
    </row>
    <row r="21" spans="1:69" x14ac:dyDescent="0.35">
      <c r="A21" t="s">
        <v>176</v>
      </c>
      <c r="B21" s="32">
        <v>20</v>
      </c>
      <c r="C21" s="32">
        <v>31</v>
      </c>
      <c r="D21" s="32" t="s">
        <v>177</v>
      </c>
      <c r="E21" s="32" t="s">
        <v>178</v>
      </c>
      <c r="F21" s="54">
        <v>46235</v>
      </c>
      <c r="G21" s="54">
        <v>46236</v>
      </c>
      <c r="H21" s="55">
        <v>0.66666666666666663</v>
      </c>
      <c r="I21" s="55">
        <v>0.58333333333333337</v>
      </c>
      <c r="J21" s="32" t="s">
        <v>53</v>
      </c>
      <c r="K21" s="32" t="s">
        <v>179</v>
      </c>
      <c r="L21" s="32">
        <v>1</v>
      </c>
      <c r="M21" s="32" t="s">
        <v>308</v>
      </c>
      <c r="P21" s="32" t="s">
        <v>182</v>
      </c>
      <c r="Q21" s="32" t="s">
        <v>84</v>
      </c>
      <c r="R21" s="32" t="s">
        <v>947</v>
      </c>
      <c r="S21" s="32" t="s">
        <v>399</v>
      </c>
      <c r="T21" s="32">
        <v>6509439110</v>
      </c>
      <c r="U21" s="32" t="s">
        <v>309</v>
      </c>
      <c r="V21" s="32" t="s">
        <v>278</v>
      </c>
      <c r="W21" s="32" t="s">
        <v>310</v>
      </c>
      <c r="X21" s="32" t="s">
        <v>187</v>
      </c>
      <c r="Y21" s="32" t="s">
        <v>188</v>
      </c>
      <c r="Z21" s="32" t="s">
        <v>188</v>
      </c>
      <c r="AA21" s="32" t="s">
        <v>189</v>
      </c>
      <c r="AB21" s="32" t="s">
        <v>1844</v>
      </c>
      <c r="AC21" s="32" t="s">
        <v>92</v>
      </c>
      <c r="AD21" s="32" t="s">
        <v>243</v>
      </c>
      <c r="AE21" s="32">
        <v>20610002669</v>
      </c>
      <c r="AF21" s="32" t="s">
        <v>244</v>
      </c>
      <c r="AG21" s="32" t="s">
        <v>245</v>
      </c>
      <c r="AH21" s="32" t="s">
        <v>193</v>
      </c>
      <c r="AI21" s="32" t="s">
        <v>246</v>
      </c>
      <c r="AJ21" s="32" t="s">
        <v>247</v>
      </c>
      <c r="AK21" s="32" t="s">
        <v>1862</v>
      </c>
      <c r="AL21" s="32" t="s">
        <v>1840</v>
      </c>
      <c r="AO21" s="32" t="s">
        <v>1840</v>
      </c>
      <c r="AP21" s="32" t="s">
        <v>1840</v>
      </c>
      <c r="AQ21" s="32" t="s">
        <v>1840</v>
      </c>
      <c r="AR21" s="32" t="s">
        <v>1840</v>
      </c>
      <c r="AS21" s="32" t="s">
        <v>84</v>
      </c>
      <c r="AT21" s="32" t="s">
        <v>303</v>
      </c>
      <c r="AU21" s="56">
        <v>46235.75</v>
      </c>
      <c r="AV21" s="56">
        <v>46235.749305555553</v>
      </c>
      <c r="AW21" s="56">
        <v>46235.769444444442</v>
      </c>
      <c r="AX21" s="56">
        <v>46235.836111111108</v>
      </c>
      <c r="AY21" s="56">
        <v>46235.856944444444</v>
      </c>
      <c r="AZ21" s="56">
        <v>46235.886805555558</v>
      </c>
      <c r="BA21" s="56">
        <v>46236.554861111108</v>
      </c>
      <c r="BB21" s="56">
        <v>46236.559027777781</v>
      </c>
      <c r="BC21" s="56">
        <v>46236.620833333334</v>
      </c>
      <c r="BD21" s="56">
        <v>46236.680555555555</v>
      </c>
      <c r="BE21" s="56">
        <v>46236.73541666667</v>
      </c>
      <c r="BF21" s="56">
        <v>46236.75277777778</v>
      </c>
      <c r="BG21" s="56">
        <v>46236.772916666669</v>
      </c>
      <c r="BH21" s="56">
        <v>46236.899305555555</v>
      </c>
      <c r="BI21" s="32" t="s">
        <v>248</v>
      </c>
      <c r="BJ21" s="56">
        <v>46237</v>
      </c>
      <c r="BK21" s="56">
        <v>46237.436111111114</v>
      </c>
      <c r="BL21" s="56">
        <v>46237.451388888891</v>
      </c>
      <c r="BM21" s="56">
        <v>46237.472222222219</v>
      </c>
      <c r="BN21" s="56">
        <v>46237.493055555555</v>
      </c>
    </row>
    <row r="22" spans="1:69" x14ac:dyDescent="0.35">
      <c r="A22" t="s">
        <v>176</v>
      </c>
      <c r="B22" s="32">
        <v>21</v>
      </c>
      <c r="C22" s="32">
        <v>32</v>
      </c>
      <c r="D22" s="32" t="s">
        <v>177</v>
      </c>
      <c r="E22" s="32" t="s">
        <v>178</v>
      </c>
      <c r="F22" s="54">
        <v>46241</v>
      </c>
      <c r="G22" s="54">
        <v>46242</v>
      </c>
      <c r="H22" s="55">
        <v>0.58333333333333337</v>
      </c>
      <c r="I22" s="55">
        <v>0.5</v>
      </c>
      <c r="J22" s="32" t="s">
        <v>53</v>
      </c>
      <c r="K22" s="32" t="s">
        <v>179</v>
      </c>
      <c r="L22" s="32">
        <v>1</v>
      </c>
      <c r="M22" s="32" t="s">
        <v>311</v>
      </c>
      <c r="P22" s="32" t="s">
        <v>182</v>
      </c>
      <c r="Q22" s="32" t="s">
        <v>84</v>
      </c>
      <c r="R22" s="32" t="s">
        <v>1853</v>
      </c>
      <c r="S22" s="32" t="s">
        <v>1854</v>
      </c>
      <c r="T22" s="32">
        <v>751600043258</v>
      </c>
      <c r="U22" s="32" t="s">
        <v>312</v>
      </c>
      <c r="X22" s="32" t="s">
        <v>187</v>
      </c>
      <c r="Y22" s="32" t="s">
        <v>188</v>
      </c>
      <c r="Z22" s="32" t="s">
        <v>188</v>
      </c>
      <c r="AA22" s="32" t="s">
        <v>189</v>
      </c>
      <c r="AB22" s="32" t="s">
        <v>1844</v>
      </c>
      <c r="AC22" s="32" t="s">
        <v>56</v>
      </c>
      <c r="AD22" s="32" t="s">
        <v>190</v>
      </c>
      <c r="AE22" s="32">
        <v>20609553376</v>
      </c>
      <c r="AF22" s="32" t="s">
        <v>313</v>
      </c>
      <c r="AG22" s="32" t="s">
        <v>314</v>
      </c>
      <c r="AH22" s="32" t="s">
        <v>193</v>
      </c>
      <c r="AI22" s="32" t="s">
        <v>315</v>
      </c>
      <c r="AJ22" s="32" t="s">
        <v>316</v>
      </c>
      <c r="AK22" s="32" t="s">
        <v>1871</v>
      </c>
      <c r="AL22" s="32" t="s">
        <v>1840</v>
      </c>
      <c r="AO22" s="32" t="s">
        <v>1840</v>
      </c>
      <c r="AP22" s="32" t="s">
        <v>1840</v>
      </c>
      <c r="AQ22" s="32" t="s">
        <v>1840</v>
      </c>
      <c r="AR22" s="32" t="s">
        <v>1840</v>
      </c>
      <c r="AS22" s="32" t="s">
        <v>84</v>
      </c>
      <c r="AT22" s="32" t="s">
        <v>285</v>
      </c>
      <c r="AU22" s="56">
        <v>46241.75</v>
      </c>
      <c r="AV22" s="56">
        <v>46241.768750000003</v>
      </c>
      <c r="AW22" s="56">
        <v>46242.284722222219</v>
      </c>
      <c r="AX22" s="56">
        <v>46242.3125</v>
      </c>
      <c r="AY22" s="56">
        <v>46242.40347222222</v>
      </c>
      <c r="AZ22" s="56">
        <v>46242.408333333333</v>
      </c>
      <c r="BA22" s="56">
        <v>46243.268750000003</v>
      </c>
      <c r="BB22" s="56">
        <v>46243.277777777781</v>
      </c>
      <c r="BC22" s="56">
        <v>46243.387499999997</v>
      </c>
      <c r="BD22" s="56">
        <v>46243.434027777781</v>
      </c>
      <c r="BE22" s="56">
        <v>46243.467361111114</v>
      </c>
      <c r="BF22" s="56">
        <v>46243.491666666669</v>
      </c>
      <c r="BG22" s="56">
        <v>46243.515972222223</v>
      </c>
      <c r="BH22" s="56">
        <v>46243.568055555559</v>
      </c>
      <c r="BI22" s="32" t="s">
        <v>64</v>
      </c>
      <c r="BJ22" s="56">
        <v>46244.291666666664</v>
      </c>
      <c r="BK22" s="56">
        <v>46244.186111111114</v>
      </c>
      <c r="BL22" s="56">
        <v>46244.234027777777</v>
      </c>
      <c r="BM22" s="56">
        <v>46244.246527777781</v>
      </c>
      <c r="BN22" s="56">
        <v>46244.263888888891</v>
      </c>
    </row>
    <row r="23" spans="1:69" x14ac:dyDescent="0.35">
      <c r="A23" t="s">
        <v>176</v>
      </c>
      <c r="B23" s="32">
        <v>22</v>
      </c>
      <c r="C23" s="32">
        <v>32</v>
      </c>
      <c r="D23" s="32" t="s">
        <v>177</v>
      </c>
      <c r="E23" s="32" t="s">
        <v>178</v>
      </c>
      <c r="F23" s="54">
        <v>46241</v>
      </c>
      <c r="G23" s="54">
        <v>46242</v>
      </c>
      <c r="H23" s="55">
        <v>0.66666666666666663</v>
      </c>
      <c r="I23" s="55">
        <v>0.58333333333333337</v>
      </c>
      <c r="J23" s="32" t="s">
        <v>53</v>
      </c>
      <c r="K23" s="32" t="s">
        <v>179</v>
      </c>
      <c r="L23" s="32">
        <v>1</v>
      </c>
      <c r="M23" s="32" t="s">
        <v>317</v>
      </c>
      <c r="P23" s="32" t="s">
        <v>182</v>
      </c>
      <c r="Q23" s="32" t="s">
        <v>84</v>
      </c>
      <c r="R23" s="32" t="s">
        <v>947</v>
      </c>
      <c r="S23" s="32" t="s">
        <v>399</v>
      </c>
      <c r="T23" s="32">
        <v>6461861150</v>
      </c>
      <c r="U23" s="32" t="s">
        <v>318</v>
      </c>
      <c r="W23" s="32">
        <v>32999394</v>
      </c>
      <c r="X23" s="32" t="s">
        <v>187</v>
      </c>
      <c r="Y23" s="32" t="s">
        <v>188</v>
      </c>
      <c r="Z23" s="32" t="s">
        <v>188</v>
      </c>
      <c r="AA23" s="32" t="s">
        <v>189</v>
      </c>
      <c r="AB23" s="32" t="s">
        <v>1844</v>
      </c>
      <c r="AC23" s="32" t="s">
        <v>56</v>
      </c>
      <c r="AD23" s="32" t="s">
        <v>190</v>
      </c>
      <c r="AE23" s="32">
        <v>20609553376</v>
      </c>
      <c r="AF23" s="32" t="s">
        <v>319</v>
      </c>
      <c r="AG23" s="32" t="s">
        <v>320</v>
      </c>
      <c r="AH23" s="32" t="s">
        <v>193</v>
      </c>
      <c r="AI23" s="32" t="s">
        <v>321</v>
      </c>
      <c r="AJ23" s="32" t="s">
        <v>322</v>
      </c>
      <c r="AK23" s="32" t="s">
        <v>1872</v>
      </c>
      <c r="AL23" s="32" t="s">
        <v>1840</v>
      </c>
      <c r="AO23" s="32" t="s">
        <v>1840</v>
      </c>
      <c r="AP23" s="32" t="s">
        <v>1840</v>
      </c>
      <c r="AQ23" s="32" t="s">
        <v>1840</v>
      </c>
      <c r="AR23" s="32" t="s">
        <v>1840</v>
      </c>
      <c r="AS23" s="32" t="s">
        <v>84</v>
      </c>
      <c r="AT23" s="32" t="s">
        <v>303</v>
      </c>
      <c r="AU23" s="56">
        <v>46241.75</v>
      </c>
      <c r="AV23" s="56">
        <v>46241.734722222223</v>
      </c>
      <c r="AW23" s="56">
        <v>46241.754861111112</v>
      </c>
      <c r="AX23" s="56">
        <v>46241.791666666664</v>
      </c>
      <c r="AY23" s="56">
        <v>46241.843055555553</v>
      </c>
      <c r="AZ23" s="56">
        <v>46242.018055555556</v>
      </c>
      <c r="BA23" s="56">
        <v>46242.67291666667</v>
      </c>
      <c r="BB23" s="56">
        <v>46242.677083333336</v>
      </c>
      <c r="BC23" s="56">
        <v>46242.688888888886</v>
      </c>
      <c r="BD23" s="56">
        <v>46242.706250000003</v>
      </c>
      <c r="BE23" s="56">
        <v>46242.746527777781</v>
      </c>
      <c r="BF23" s="56">
        <v>46242.760416666664</v>
      </c>
      <c r="BG23" s="56">
        <v>46242.77847222222</v>
      </c>
      <c r="BH23" s="56">
        <v>46242.824999999997</v>
      </c>
      <c r="BI23" s="32" t="s">
        <v>248</v>
      </c>
      <c r="BJ23" s="56">
        <v>46243.5</v>
      </c>
      <c r="BK23" s="56">
        <v>46243.511111111111</v>
      </c>
      <c r="BL23" s="56">
        <v>46243.521527777775</v>
      </c>
      <c r="BM23" s="56">
        <v>46243.53125</v>
      </c>
      <c r="BN23" s="56">
        <v>46243.541666666664</v>
      </c>
    </row>
    <row r="24" spans="1:69" x14ac:dyDescent="0.35">
      <c r="A24" t="s">
        <v>176</v>
      </c>
      <c r="B24" s="32">
        <v>23</v>
      </c>
      <c r="C24" s="32">
        <v>32</v>
      </c>
      <c r="D24" s="32" t="s">
        <v>177</v>
      </c>
      <c r="E24" s="32" t="s">
        <v>178</v>
      </c>
      <c r="F24" s="54">
        <v>46241</v>
      </c>
      <c r="G24" s="54">
        <v>46242</v>
      </c>
      <c r="H24" s="55">
        <v>0.58333333333333337</v>
      </c>
      <c r="I24" s="55">
        <v>0.5</v>
      </c>
      <c r="J24" s="32" t="s">
        <v>53</v>
      </c>
      <c r="K24" s="32" t="s">
        <v>179</v>
      </c>
      <c r="L24" s="32">
        <v>1</v>
      </c>
      <c r="M24" s="32" t="s">
        <v>323</v>
      </c>
      <c r="P24" s="32" t="s">
        <v>182</v>
      </c>
      <c r="Q24" s="32" t="s">
        <v>84</v>
      </c>
      <c r="R24" s="32" t="s">
        <v>947</v>
      </c>
      <c r="S24" s="32" t="s">
        <v>399</v>
      </c>
      <c r="T24" s="32">
        <v>6461861020</v>
      </c>
      <c r="U24" s="32" t="s">
        <v>324</v>
      </c>
      <c r="W24" s="32" t="s">
        <v>325</v>
      </c>
      <c r="X24" s="32" t="s">
        <v>187</v>
      </c>
      <c r="Y24" s="32" t="s">
        <v>188</v>
      </c>
      <c r="Z24" s="32" t="s">
        <v>188</v>
      </c>
      <c r="AA24" s="32" t="s">
        <v>189</v>
      </c>
      <c r="AB24" s="32" t="s">
        <v>1844</v>
      </c>
      <c r="AC24" s="32" t="s">
        <v>92</v>
      </c>
      <c r="AD24" s="32" t="s">
        <v>326</v>
      </c>
      <c r="AE24" s="32">
        <v>20609311780</v>
      </c>
      <c r="AF24" s="32" t="s">
        <v>327</v>
      </c>
      <c r="AG24" s="32" t="s">
        <v>328</v>
      </c>
      <c r="AH24" s="32" t="s">
        <v>193</v>
      </c>
      <c r="AI24" s="32" t="s">
        <v>329</v>
      </c>
      <c r="AJ24" s="32" t="s">
        <v>330</v>
      </c>
      <c r="AK24" s="32" t="s">
        <v>1873</v>
      </c>
      <c r="AL24" s="32" t="s">
        <v>1840</v>
      </c>
      <c r="AO24" s="32" t="s">
        <v>1840</v>
      </c>
      <c r="AP24" s="32" t="s">
        <v>1840</v>
      </c>
      <c r="AQ24" s="32" t="s">
        <v>1840</v>
      </c>
      <c r="AR24" s="32" t="s">
        <v>1840</v>
      </c>
      <c r="AS24" s="32" t="s">
        <v>84</v>
      </c>
      <c r="AT24" s="32" t="s">
        <v>303</v>
      </c>
      <c r="AU24" s="56">
        <v>46241.75</v>
      </c>
      <c r="AV24" s="56">
        <v>46241.763888888891</v>
      </c>
      <c r="AW24" s="56">
        <v>46241.989583333336</v>
      </c>
      <c r="AX24" s="56">
        <v>46242.003472222219</v>
      </c>
      <c r="AY24" s="56">
        <v>46242.024305555555</v>
      </c>
      <c r="AZ24" s="56">
        <v>46242.034722222219</v>
      </c>
      <c r="BA24" s="56">
        <v>46242.54583333333</v>
      </c>
      <c r="BB24" s="56">
        <v>46242.552083333336</v>
      </c>
      <c r="BC24" s="56">
        <v>46242.611111111109</v>
      </c>
      <c r="BD24" s="56">
        <v>46242.637499999997</v>
      </c>
      <c r="BE24" s="56">
        <v>46242.652777777781</v>
      </c>
      <c r="BF24" s="56">
        <v>46242.67083333333</v>
      </c>
      <c r="BG24" s="56">
        <v>46242.730555555558</v>
      </c>
      <c r="BH24" s="56">
        <v>46242.751388888886</v>
      </c>
      <c r="BI24" s="32" t="s">
        <v>248</v>
      </c>
      <c r="BJ24" s="56">
        <v>46243</v>
      </c>
      <c r="BK24" s="56">
        <v>46243.4375</v>
      </c>
      <c r="BL24" s="56">
        <v>46243.517361111109</v>
      </c>
      <c r="BM24" s="56">
        <v>46243.524305555555</v>
      </c>
      <c r="BN24" s="56">
        <v>46243.554166666669</v>
      </c>
    </row>
    <row r="25" spans="1:69" x14ac:dyDescent="0.35">
      <c r="A25" t="s">
        <v>176</v>
      </c>
      <c r="B25" s="32">
        <v>24</v>
      </c>
      <c r="C25" s="32">
        <v>32</v>
      </c>
      <c r="D25" s="32" t="s">
        <v>177</v>
      </c>
      <c r="E25" s="32" t="s">
        <v>178</v>
      </c>
      <c r="F25" s="54">
        <v>46242</v>
      </c>
      <c r="G25" s="54">
        <v>46243</v>
      </c>
      <c r="H25" s="55">
        <v>0.66666666666666663</v>
      </c>
      <c r="I25" s="55">
        <v>0.58333333333333337</v>
      </c>
      <c r="J25" s="32" t="s">
        <v>53</v>
      </c>
      <c r="K25" s="32" t="s">
        <v>179</v>
      </c>
      <c r="L25" s="32">
        <v>1</v>
      </c>
      <c r="M25" s="32" t="s">
        <v>331</v>
      </c>
      <c r="P25" s="32" t="s">
        <v>182</v>
      </c>
      <c r="Q25" s="32" t="s">
        <v>84</v>
      </c>
      <c r="R25" s="32" t="s">
        <v>1856</v>
      </c>
      <c r="S25" s="32" t="s">
        <v>1854</v>
      </c>
      <c r="T25" s="32">
        <v>751600043232</v>
      </c>
      <c r="U25" s="32" t="s">
        <v>332</v>
      </c>
      <c r="X25" s="32" t="s">
        <v>187</v>
      </c>
      <c r="Y25" s="32" t="s">
        <v>188</v>
      </c>
      <c r="Z25" s="32" t="s">
        <v>188</v>
      </c>
      <c r="AA25" s="32" t="s">
        <v>189</v>
      </c>
      <c r="AB25" s="32" t="s">
        <v>1844</v>
      </c>
      <c r="AC25" s="32" t="s">
        <v>56</v>
      </c>
      <c r="AD25" s="32" t="s">
        <v>190</v>
      </c>
      <c r="AE25" s="32">
        <v>20609553376</v>
      </c>
      <c r="AF25" s="32" t="s">
        <v>333</v>
      </c>
      <c r="AG25" s="32" t="s">
        <v>334</v>
      </c>
      <c r="AH25" s="32" t="s">
        <v>193</v>
      </c>
      <c r="AI25" s="32" t="s">
        <v>335</v>
      </c>
      <c r="AJ25" s="32" t="s">
        <v>336</v>
      </c>
      <c r="AK25" s="32" t="s">
        <v>1874</v>
      </c>
      <c r="AL25" s="32" t="s">
        <v>1840</v>
      </c>
      <c r="AO25" s="32" t="s">
        <v>1840</v>
      </c>
      <c r="AP25" s="32" t="s">
        <v>1840</v>
      </c>
      <c r="AQ25" s="32" t="s">
        <v>1840</v>
      </c>
      <c r="AR25" s="32" t="s">
        <v>1840</v>
      </c>
      <c r="AS25" s="32" t="s">
        <v>84</v>
      </c>
      <c r="AT25" s="32" t="s">
        <v>285</v>
      </c>
      <c r="AU25" s="56">
        <v>46242.75</v>
      </c>
      <c r="AV25" s="56">
        <v>46242.776388888888</v>
      </c>
      <c r="AW25" s="56">
        <v>46242.818055555559</v>
      </c>
      <c r="AX25" s="56">
        <v>46242.840277777781</v>
      </c>
      <c r="AY25" s="56">
        <v>46243.024305555555</v>
      </c>
      <c r="AZ25" s="56">
        <v>46243.025000000001</v>
      </c>
      <c r="BA25" s="56">
        <v>46243.671527777777</v>
      </c>
      <c r="BB25" s="56">
        <v>46243.677083333336</v>
      </c>
      <c r="BC25" s="56">
        <v>46243.75277777778</v>
      </c>
      <c r="BD25" s="56">
        <v>46243.756944444445</v>
      </c>
      <c r="BE25" s="56">
        <v>46243.765972222223</v>
      </c>
      <c r="BF25" s="56">
        <v>46243.807638888888</v>
      </c>
      <c r="BG25" s="56">
        <v>46243.856944444444</v>
      </c>
      <c r="BH25" s="56">
        <v>46243.881944444445</v>
      </c>
      <c r="BI25" s="32" t="s">
        <v>64</v>
      </c>
      <c r="BJ25" s="56">
        <v>46244.625</v>
      </c>
      <c r="BK25" s="56">
        <v>46244.588194444441</v>
      </c>
      <c r="BL25" s="56">
        <v>46244.672222222223</v>
      </c>
      <c r="BM25" s="56">
        <v>46244.6875</v>
      </c>
      <c r="BN25" s="56">
        <v>46244.70208333333</v>
      </c>
    </row>
    <row r="26" spans="1:69" x14ac:dyDescent="0.35">
      <c r="A26" t="s">
        <v>176</v>
      </c>
      <c r="B26" s="32">
        <v>25</v>
      </c>
      <c r="C26" s="32">
        <v>32</v>
      </c>
      <c r="D26" s="32" t="s">
        <v>177</v>
      </c>
      <c r="E26" s="32" t="s">
        <v>178</v>
      </c>
      <c r="F26" s="54">
        <v>46243</v>
      </c>
      <c r="G26" s="54">
        <v>46244</v>
      </c>
      <c r="H26" s="55">
        <v>0.58333333333333337</v>
      </c>
      <c r="I26" s="55">
        <v>0.5</v>
      </c>
      <c r="J26" s="32" t="s">
        <v>53</v>
      </c>
      <c r="K26" s="32" t="s">
        <v>179</v>
      </c>
      <c r="L26" s="32">
        <v>1</v>
      </c>
      <c r="M26" s="32" t="s">
        <v>337</v>
      </c>
      <c r="P26" s="32" t="s">
        <v>182</v>
      </c>
      <c r="Q26" s="32" t="s">
        <v>84</v>
      </c>
      <c r="R26" s="32" t="s">
        <v>947</v>
      </c>
      <c r="S26" s="32" t="s">
        <v>399</v>
      </c>
      <c r="T26" s="32">
        <v>6462050470</v>
      </c>
      <c r="U26" s="32" t="s">
        <v>338</v>
      </c>
      <c r="V26" s="32" t="s">
        <v>278</v>
      </c>
      <c r="X26" s="32" t="s">
        <v>187</v>
      </c>
      <c r="Y26" s="32" t="s">
        <v>188</v>
      </c>
      <c r="Z26" s="32" t="s">
        <v>188</v>
      </c>
      <c r="AA26" s="32" t="s">
        <v>189</v>
      </c>
      <c r="AB26" s="32" t="s">
        <v>1844</v>
      </c>
      <c r="AC26" s="32" t="s">
        <v>56</v>
      </c>
      <c r="AD26" s="32" t="s">
        <v>190</v>
      </c>
      <c r="AE26" s="32">
        <v>20609553376</v>
      </c>
      <c r="AF26" s="32" t="s">
        <v>339</v>
      </c>
      <c r="AG26" s="32" t="s">
        <v>340</v>
      </c>
      <c r="AH26" s="32" t="s">
        <v>193</v>
      </c>
      <c r="AI26" s="32" t="s">
        <v>341</v>
      </c>
      <c r="AJ26" s="32" t="s">
        <v>342</v>
      </c>
      <c r="AK26" s="32" t="s">
        <v>1875</v>
      </c>
      <c r="AL26" s="32" t="s">
        <v>1840</v>
      </c>
      <c r="AO26" s="32" t="s">
        <v>1840</v>
      </c>
      <c r="AP26" s="32" t="s">
        <v>1840</v>
      </c>
      <c r="AQ26" s="32" t="s">
        <v>1840</v>
      </c>
      <c r="AR26" s="32" t="s">
        <v>1840</v>
      </c>
      <c r="AS26" s="32" t="s">
        <v>84</v>
      </c>
      <c r="AT26" s="32" t="s">
        <v>303</v>
      </c>
      <c r="AU26" s="56">
        <v>46243.75</v>
      </c>
      <c r="AV26" s="56">
        <v>46243.79791666667</v>
      </c>
      <c r="AW26" s="56">
        <v>46243.806944444441</v>
      </c>
      <c r="AX26" s="56">
        <v>46243.822916666664</v>
      </c>
      <c r="AY26" s="56">
        <v>46243.839583333334</v>
      </c>
      <c r="AZ26" s="56">
        <v>46243.851388888892</v>
      </c>
      <c r="BA26" s="56">
        <v>46244.599305555559</v>
      </c>
      <c r="BB26" s="56">
        <v>46244.604166666664</v>
      </c>
      <c r="BC26" s="56">
        <v>46244.613194444442</v>
      </c>
      <c r="BD26" s="56">
        <v>46244.624305555553</v>
      </c>
      <c r="BE26" s="56">
        <v>46244.710416666669</v>
      </c>
      <c r="BF26" s="56">
        <v>46244.727777777778</v>
      </c>
      <c r="BG26" s="56">
        <v>46244.749305555553</v>
      </c>
      <c r="BH26" s="56">
        <v>46244.76458333333</v>
      </c>
      <c r="BI26" s="32" t="s">
        <v>248</v>
      </c>
      <c r="BJ26" s="56">
        <v>46245</v>
      </c>
      <c r="BK26" s="56">
        <v>46245.34097222222</v>
      </c>
      <c r="BL26" s="56">
        <v>46245.461805555555</v>
      </c>
      <c r="BM26" s="56">
        <v>46245.472222222219</v>
      </c>
      <c r="BN26" s="56">
        <v>46245.487500000003</v>
      </c>
    </row>
    <row r="27" spans="1:69" x14ac:dyDescent="0.35">
      <c r="A27" t="s">
        <v>176</v>
      </c>
      <c r="B27" s="32">
        <v>26</v>
      </c>
      <c r="C27" s="32">
        <v>33</v>
      </c>
      <c r="D27" s="32" t="s">
        <v>177</v>
      </c>
      <c r="E27" s="32" t="s">
        <v>178</v>
      </c>
      <c r="F27" s="54">
        <v>46246</v>
      </c>
      <c r="G27" s="54">
        <v>46247</v>
      </c>
      <c r="H27" s="55">
        <v>0.58333333333333337</v>
      </c>
      <c r="I27" s="55">
        <v>0.5</v>
      </c>
      <c r="J27" s="32" t="s">
        <v>53</v>
      </c>
      <c r="K27" s="32" t="s">
        <v>179</v>
      </c>
      <c r="L27" s="32">
        <v>1</v>
      </c>
      <c r="M27" s="32" t="s">
        <v>343</v>
      </c>
      <c r="P27" s="32" t="s">
        <v>182</v>
      </c>
      <c r="Q27" s="32" t="s">
        <v>83</v>
      </c>
      <c r="R27" s="32" t="s">
        <v>947</v>
      </c>
      <c r="S27" s="32" t="s">
        <v>399</v>
      </c>
      <c r="T27" s="32" t="s">
        <v>344</v>
      </c>
      <c r="U27" s="32" t="s">
        <v>345</v>
      </c>
      <c r="V27" s="32" t="s">
        <v>346</v>
      </c>
      <c r="X27" s="32" t="s">
        <v>187</v>
      </c>
      <c r="Y27" s="32" t="s">
        <v>188</v>
      </c>
      <c r="Z27" s="32" t="s">
        <v>188</v>
      </c>
      <c r="AA27" s="32" t="s">
        <v>189</v>
      </c>
      <c r="AB27" s="32" t="s">
        <v>1844</v>
      </c>
      <c r="AC27" s="32" t="s">
        <v>56</v>
      </c>
      <c r="AD27" s="32" t="s">
        <v>190</v>
      </c>
      <c r="AE27" s="32">
        <v>20609553376</v>
      </c>
      <c r="AF27" s="32" t="s">
        <v>347</v>
      </c>
      <c r="AG27" s="32" t="s">
        <v>348</v>
      </c>
      <c r="AH27" s="32" t="s">
        <v>193</v>
      </c>
      <c r="AI27" s="32" t="s">
        <v>349</v>
      </c>
      <c r="AJ27" s="32" t="s">
        <v>350</v>
      </c>
      <c r="AK27" s="32" t="s">
        <v>1876</v>
      </c>
      <c r="AL27" s="32" t="s">
        <v>1840</v>
      </c>
      <c r="AO27" s="32" t="s">
        <v>1840</v>
      </c>
      <c r="AP27" s="32" t="s">
        <v>1840</v>
      </c>
      <c r="AQ27" s="32" t="s">
        <v>1840</v>
      </c>
      <c r="AR27" s="32" t="s">
        <v>1840</v>
      </c>
      <c r="AS27" s="32" t="s">
        <v>83</v>
      </c>
      <c r="AT27" s="32" t="s">
        <v>248</v>
      </c>
      <c r="AU27" s="56">
        <v>46246.5</v>
      </c>
      <c r="AV27" s="56">
        <v>46246.9</v>
      </c>
      <c r="AW27" s="56">
        <v>46246.927083333336</v>
      </c>
      <c r="AX27" s="56">
        <v>46246.99722222222</v>
      </c>
      <c r="AY27" s="56">
        <v>46247.005555555559</v>
      </c>
      <c r="AZ27" s="56">
        <v>46247.010416666664</v>
      </c>
      <c r="BA27" s="56">
        <v>46247.490972222222</v>
      </c>
      <c r="BB27" s="56">
        <v>46247.49722222222</v>
      </c>
      <c r="BC27" s="56">
        <v>46247.505555555559</v>
      </c>
      <c r="BD27" s="56">
        <v>46247.541666666664</v>
      </c>
      <c r="BE27" s="56">
        <v>46247.6</v>
      </c>
      <c r="BF27" s="56">
        <v>46247.623611111114</v>
      </c>
      <c r="BG27" s="56">
        <v>46247.645833333336</v>
      </c>
      <c r="BH27" s="56">
        <v>46247.65902777778</v>
      </c>
      <c r="BI27" s="32" t="s">
        <v>248</v>
      </c>
      <c r="BJ27" s="56">
        <v>46248</v>
      </c>
      <c r="BK27" s="56">
        <v>46248.392361111109</v>
      </c>
      <c r="BL27" s="56">
        <v>46248.404861111114</v>
      </c>
      <c r="BM27" s="56">
        <v>46248.420138888891</v>
      </c>
      <c r="BN27" s="56">
        <v>46248.425000000003</v>
      </c>
    </row>
    <row r="28" spans="1:69" x14ac:dyDescent="0.35">
      <c r="A28" t="s">
        <v>176</v>
      </c>
      <c r="B28" s="32">
        <v>27</v>
      </c>
      <c r="C28" s="32">
        <v>33</v>
      </c>
      <c r="D28" s="32" t="s">
        <v>177</v>
      </c>
      <c r="E28" s="32" t="s">
        <v>178</v>
      </c>
      <c r="F28" s="54">
        <v>46246</v>
      </c>
      <c r="G28" s="54">
        <v>46247</v>
      </c>
      <c r="H28" s="55">
        <v>0.5</v>
      </c>
      <c r="I28" s="55">
        <v>0.41666666666666669</v>
      </c>
      <c r="J28" s="32" t="s">
        <v>53</v>
      </c>
      <c r="K28" s="32" t="s">
        <v>179</v>
      </c>
      <c r="L28" s="32">
        <v>1</v>
      </c>
      <c r="M28" s="32" t="s">
        <v>351</v>
      </c>
      <c r="P28" s="32" t="s">
        <v>182</v>
      </c>
      <c r="Q28" s="32" t="s">
        <v>83</v>
      </c>
      <c r="R28" s="32" t="s">
        <v>947</v>
      </c>
      <c r="S28" s="32" t="s">
        <v>399</v>
      </c>
      <c r="T28" s="32" t="s">
        <v>352</v>
      </c>
      <c r="U28" s="32" t="s">
        <v>353</v>
      </c>
      <c r="V28" s="32" t="s">
        <v>354</v>
      </c>
      <c r="X28" s="32" t="s">
        <v>187</v>
      </c>
      <c r="Y28" s="32" t="s">
        <v>188</v>
      </c>
      <c r="Z28" s="32" t="s">
        <v>188</v>
      </c>
      <c r="AA28" s="32" t="s">
        <v>189</v>
      </c>
      <c r="AB28" s="32" t="s">
        <v>1844</v>
      </c>
      <c r="AC28" s="32" t="s">
        <v>56</v>
      </c>
      <c r="AD28" s="32" t="s">
        <v>190</v>
      </c>
      <c r="AE28" s="32">
        <v>20609553376</v>
      </c>
      <c r="AF28" s="32" t="s">
        <v>355</v>
      </c>
      <c r="AG28" s="32" t="s">
        <v>356</v>
      </c>
      <c r="AH28" s="32" t="s">
        <v>193</v>
      </c>
      <c r="AI28" s="32" t="s">
        <v>357</v>
      </c>
      <c r="AJ28" s="32" t="s">
        <v>225</v>
      </c>
      <c r="AK28" s="32" t="s">
        <v>1859</v>
      </c>
      <c r="AL28" s="32" t="s">
        <v>1840</v>
      </c>
      <c r="AO28" s="32" t="s">
        <v>1840</v>
      </c>
      <c r="AP28" s="32" t="s">
        <v>1840</v>
      </c>
      <c r="AQ28" s="32" t="s">
        <v>1840</v>
      </c>
      <c r="AR28" s="32" t="s">
        <v>1840</v>
      </c>
      <c r="AS28" s="32" t="s">
        <v>83</v>
      </c>
      <c r="AT28" s="32" t="s">
        <v>248</v>
      </c>
      <c r="AU28" s="56">
        <v>46246.5</v>
      </c>
      <c r="AV28" s="56">
        <v>46246.834027777775</v>
      </c>
      <c r="AW28" s="56">
        <v>46246.84375</v>
      </c>
      <c r="AX28" s="56">
        <v>46246.857638888891</v>
      </c>
      <c r="AY28" s="56">
        <v>46246.872916666667</v>
      </c>
      <c r="AZ28" s="56">
        <v>46246.878472222219</v>
      </c>
      <c r="BA28" s="56">
        <v>46247.474999999999</v>
      </c>
      <c r="BB28" s="56">
        <v>46247.482638888891</v>
      </c>
      <c r="BC28" s="56">
        <v>46247.495833333334</v>
      </c>
      <c r="BD28" s="56">
        <v>46247.51458333333</v>
      </c>
      <c r="BE28" s="56">
        <v>46247.555555555555</v>
      </c>
      <c r="BF28" s="56">
        <v>46247.574305555558</v>
      </c>
      <c r="BG28" s="56">
        <v>46247.631944444445</v>
      </c>
      <c r="BH28" s="56">
        <v>46247.640277777777</v>
      </c>
      <c r="BI28" s="32" t="s">
        <v>248</v>
      </c>
      <c r="BJ28" s="56">
        <v>46248</v>
      </c>
      <c r="BK28" s="56">
        <v>46248.140277777777</v>
      </c>
      <c r="BL28" s="56">
        <v>46248.15902777778</v>
      </c>
      <c r="BM28" s="56">
        <v>46248.163194444445</v>
      </c>
      <c r="BN28" s="56">
        <v>46248.169444444444</v>
      </c>
    </row>
    <row r="29" spans="1:69" x14ac:dyDescent="0.35">
      <c r="A29" t="s">
        <v>176</v>
      </c>
      <c r="B29" s="32">
        <v>28</v>
      </c>
      <c r="C29" s="32">
        <v>33</v>
      </c>
      <c r="D29" s="32" t="s">
        <v>177</v>
      </c>
      <c r="E29" s="32" t="s">
        <v>178</v>
      </c>
      <c r="F29" s="54">
        <v>46249</v>
      </c>
      <c r="G29" s="54">
        <v>46250</v>
      </c>
      <c r="H29" s="55">
        <v>0.58333333333333337</v>
      </c>
      <c r="I29" s="55">
        <v>0.5</v>
      </c>
      <c r="J29" s="32" t="s">
        <v>53</v>
      </c>
      <c r="K29" s="32" t="s">
        <v>179</v>
      </c>
      <c r="L29" s="32">
        <v>1</v>
      </c>
      <c r="M29" s="32" t="s">
        <v>358</v>
      </c>
      <c r="P29" s="32" t="s">
        <v>182</v>
      </c>
      <c r="Q29" s="32" t="s">
        <v>84</v>
      </c>
      <c r="R29" s="32" t="s">
        <v>1853</v>
      </c>
      <c r="S29" s="32" t="s">
        <v>1854</v>
      </c>
      <c r="T29" s="32" t="s">
        <v>359</v>
      </c>
      <c r="U29" s="32" t="s">
        <v>360</v>
      </c>
      <c r="V29" s="32" t="s">
        <v>278</v>
      </c>
      <c r="X29" s="32" t="s">
        <v>187</v>
      </c>
      <c r="Y29" s="32" t="s">
        <v>188</v>
      </c>
      <c r="Z29" s="32" t="s">
        <v>188</v>
      </c>
      <c r="AA29" s="32" t="s">
        <v>189</v>
      </c>
      <c r="AB29" s="32" t="s">
        <v>1844</v>
      </c>
      <c r="AC29" s="32" t="s">
        <v>56</v>
      </c>
      <c r="AD29" s="32" t="s">
        <v>190</v>
      </c>
      <c r="AE29" s="32">
        <v>20609553376</v>
      </c>
      <c r="AF29" s="32" t="s">
        <v>361</v>
      </c>
      <c r="AG29" s="32" t="s">
        <v>362</v>
      </c>
      <c r="AH29" s="32" t="s">
        <v>193</v>
      </c>
      <c r="AI29" s="32" t="s">
        <v>363</v>
      </c>
      <c r="AJ29" s="32" t="s">
        <v>232</v>
      </c>
      <c r="AK29" s="32" t="s">
        <v>1860</v>
      </c>
      <c r="AL29" s="32" t="s">
        <v>1840</v>
      </c>
      <c r="AO29" s="32" t="s">
        <v>1840</v>
      </c>
      <c r="AP29" s="32" t="s">
        <v>1840</v>
      </c>
      <c r="AQ29" s="32" t="s">
        <v>1840</v>
      </c>
      <c r="AR29" s="32" t="s">
        <v>1840</v>
      </c>
      <c r="AS29" s="32" t="s">
        <v>84</v>
      </c>
      <c r="AT29" s="32" t="s">
        <v>364</v>
      </c>
      <c r="AU29" s="56">
        <v>46249.708333333336</v>
      </c>
      <c r="AV29" s="56">
        <v>46249.760416666664</v>
      </c>
      <c r="AW29" s="56">
        <v>46249.853472222225</v>
      </c>
      <c r="AX29" s="56">
        <v>46249.888888888891</v>
      </c>
      <c r="AY29" s="56">
        <v>46249.925000000003</v>
      </c>
      <c r="AZ29" s="56">
        <v>46249.93472222222</v>
      </c>
      <c r="BA29" s="56">
        <v>46250.588888888888</v>
      </c>
      <c r="BB29" s="56">
        <v>46250.595833333333</v>
      </c>
      <c r="BC29" s="56">
        <v>46250.61041666667</v>
      </c>
      <c r="BD29" s="56">
        <v>46250.652777777781</v>
      </c>
      <c r="BE29" s="56">
        <v>46250.657638888886</v>
      </c>
      <c r="BF29" s="56">
        <v>46250.703472222223</v>
      </c>
      <c r="BG29" s="56">
        <v>46250.75</v>
      </c>
      <c r="BH29" s="56">
        <v>46250.775000000001</v>
      </c>
      <c r="BI29" s="32" t="s">
        <v>64</v>
      </c>
      <c r="BJ29" s="56">
        <v>46251.583333333336</v>
      </c>
      <c r="BK29" s="56">
        <v>46251.661805555559</v>
      </c>
      <c r="BL29" s="56">
        <v>46251.728472222225</v>
      </c>
      <c r="BM29" s="56">
        <v>46251.732638888891</v>
      </c>
      <c r="BN29" s="56">
        <v>46251.738194444442</v>
      </c>
    </row>
    <row r="30" spans="1:69" x14ac:dyDescent="0.35">
      <c r="A30" t="s">
        <v>176</v>
      </c>
      <c r="B30" s="32">
        <v>29</v>
      </c>
      <c r="C30" s="32">
        <v>33</v>
      </c>
      <c r="D30" s="32" t="s">
        <v>177</v>
      </c>
      <c r="E30" s="32" t="s">
        <v>178</v>
      </c>
      <c r="F30" s="54">
        <v>46250</v>
      </c>
      <c r="G30" s="54">
        <v>46251</v>
      </c>
      <c r="H30" s="55">
        <v>0.58333333333333337</v>
      </c>
      <c r="I30" s="55">
        <v>0.5</v>
      </c>
      <c r="J30" s="32" t="s">
        <v>53</v>
      </c>
      <c r="K30" s="32" t="s">
        <v>179</v>
      </c>
      <c r="L30" s="32">
        <v>1</v>
      </c>
      <c r="M30" s="32" t="s">
        <v>365</v>
      </c>
      <c r="P30" s="32" t="s">
        <v>182</v>
      </c>
      <c r="Q30" s="32" t="s">
        <v>84</v>
      </c>
      <c r="R30" s="32" t="s">
        <v>1853</v>
      </c>
      <c r="S30" s="32" t="s">
        <v>1854</v>
      </c>
      <c r="T30" s="32" t="s">
        <v>366</v>
      </c>
      <c r="U30" s="32" t="s">
        <v>367</v>
      </c>
      <c r="V30" s="32" t="s">
        <v>278</v>
      </c>
      <c r="X30" s="32" t="s">
        <v>187</v>
      </c>
      <c r="Y30" s="32" t="s">
        <v>188</v>
      </c>
      <c r="Z30" s="32" t="s">
        <v>188</v>
      </c>
      <c r="AA30" s="32" t="s">
        <v>189</v>
      </c>
      <c r="AB30" s="32" t="s">
        <v>1844</v>
      </c>
      <c r="AC30" s="32" t="s">
        <v>92</v>
      </c>
      <c r="AD30" s="32" t="s">
        <v>252</v>
      </c>
      <c r="AE30" s="32">
        <v>20600489535</v>
      </c>
      <c r="AF30" s="32" t="s">
        <v>1813</v>
      </c>
      <c r="AG30" s="32" t="s">
        <v>1814</v>
      </c>
      <c r="AH30" s="32" t="s">
        <v>193</v>
      </c>
      <c r="AI30" s="32" t="s">
        <v>253</v>
      </c>
      <c r="AJ30" s="32" t="s">
        <v>254</v>
      </c>
      <c r="AK30" s="32" t="s">
        <v>1864</v>
      </c>
      <c r="AL30" s="32" t="s">
        <v>1840</v>
      </c>
      <c r="AO30" s="32" t="s">
        <v>1840</v>
      </c>
      <c r="AP30" s="32" t="s">
        <v>1840</v>
      </c>
      <c r="AQ30" s="32" t="s">
        <v>1840</v>
      </c>
      <c r="AR30" s="32" t="s">
        <v>1840</v>
      </c>
      <c r="AS30" s="32" t="s">
        <v>84</v>
      </c>
      <c r="AT30" s="32" t="s">
        <v>364</v>
      </c>
      <c r="AU30" s="56">
        <v>46250</v>
      </c>
      <c r="AV30" s="56">
        <v>46250.680555555555</v>
      </c>
      <c r="AW30" s="56">
        <v>46250.681944444441</v>
      </c>
      <c r="AX30" s="56">
        <v>46250.739583333336</v>
      </c>
      <c r="AY30" s="56">
        <v>46250.744444444441</v>
      </c>
      <c r="AZ30" s="56">
        <v>46250.75</v>
      </c>
      <c r="BA30" s="56">
        <v>46251.518055555556</v>
      </c>
      <c r="BB30" s="56">
        <v>46251.524305555555</v>
      </c>
      <c r="BC30" s="56">
        <v>46251.600694444445</v>
      </c>
      <c r="BD30" s="56">
        <v>46251.647222222222</v>
      </c>
      <c r="BE30" s="56">
        <v>46251.677083333336</v>
      </c>
      <c r="BF30" s="56">
        <v>46251.690972222219</v>
      </c>
      <c r="BG30" s="56">
        <v>46251.704861111109</v>
      </c>
      <c r="BH30" s="56">
        <v>46251.716666666667</v>
      </c>
      <c r="BI30" s="32" t="s">
        <v>64</v>
      </c>
      <c r="BJ30" s="56">
        <v>46252.541666666664</v>
      </c>
      <c r="BK30" s="56">
        <v>46252.518055555556</v>
      </c>
      <c r="BL30" s="56">
        <v>46252.598611111112</v>
      </c>
      <c r="BM30" s="56">
        <v>46252.602777777778</v>
      </c>
      <c r="BN30" s="56">
        <v>46252.605555555558</v>
      </c>
    </row>
    <row r="31" spans="1:69" x14ac:dyDescent="0.35">
      <c r="A31" t="s">
        <v>176</v>
      </c>
      <c r="B31" s="32">
        <v>1</v>
      </c>
      <c r="C31" s="32">
        <v>30</v>
      </c>
      <c r="D31" s="32" t="s">
        <v>368</v>
      </c>
      <c r="E31" s="32" t="s">
        <v>178</v>
      </c>
      <c r="F31" s="54">
        <v>46227</v>
      </c>
      <c r="G31" s="54">
        <v>46228</v>
      </c>
      <c r="H31" s="55">
        <v>0.41666666666666669</v>
      </c>
      <c r="I31" s="55">
        <v>0.33333333333333331</v>
      </c>
      <c r="J31" s="32" t="s">
        <v>369</v>
      </c>
      <c r="K31" s="32" t="s">
        <v>179</v>
      </c>
      <c r="L31" s="32">
        <v>1</v>
      </c>
      <c r="M31" s="32" t="s">
        <v>370</v>
      </c>
      <c r="N31" s="32" t="s">
        <v>181</v>
      </c>
      <c r="O31" s="32" t="s">
        <v>181</v>
      </c>
      <c r="P31" s="32" t="s">
        <v>182</v>
      </c>
      <c r="Q31" s="32" t="s">
        <v>371</v>
      </c>
      <c r="R31" s="32" t="s">
        <v>183</v>
      </c>
      <c r="S31" s="32" t="s">
        <v>184</v>
      </c>
      <c r="T31" s="32" t="s">
        <v>372</v>
      </c>
      <c r="U31" s="32" t="s">
        <v>373</v>
      </c>
      <c r="V31" s="32" t="s">
        <v>374</v>
      </c>
      <c r="W31" s="32" t="s">
        <v>375</v>
      </c>
      <c r="X31" s="32" t="s">
        <v>187</v>
      </c>
      <c r="Y31" s="32" t="s">
        <v>188</v>
      </c>
      <c r="Z31" s="32" t="s">
        <v>188</v>
      </c>
      <c r="AA31" s="32" t="s">
        <v>189</v>
      </c>
      <c r="AB31" s="32" t="s">
        <v>1845</v>
      </c>
      <c r="AC31" s="32" t="s">
        <v>56</v>
      </c>
      <c r="AD31" s="32" t="s">
        <v>376</v>
      </c>
      <c r="AE31" s="32">
        <v>20525373551</v>
      </c>
      <c r="AF31" s="32" t="s">
        <v>377</v>
      </c>
      <c r="AG31" s="32" t="s">
        <v>1820</v>
      </c>
      <c r="AH31" s="32" t="s">
        <v>193</v>
      </c>
      <c r="AI31" s="32" t="s">
        <v>378</v>
      </c>
      <c r="AJ31" s="32" t="s">
        <v>379</v>
      </c>
      <c r="AK31" s="32">
        <v>998231122</v>
      </c>
      <c r="AL31" s="32" t="s">
        <v>1840</v>
      </c>
      <c r="AM31" s="32" t="s">
        <v>278</v>
      </c>
      <c r="AN31" s="32" t="s">
        <v>278</v>
      </c>
      <c r="AO31" s="32" t="s">
        <v>1840</v>
      </c>
      <c r="AP31" s="32" t="s">
        <v>1840</v>
      </c>
      <c r="AQ31" s="32" t="s">
        <v>1840</v>
      </c>
      <c r="AR31" s="32" t="s">
        <v>1840</v>
      </c>
      <c r="AS31" s="32" t="s">
        <v>63</v>
      </c>
      <c r="AT31" s="32" t="s">
        <v>64</v>
      </c>
      <c r="AU31" s="56">
        <v>46227.666666666664</v>
      </c>
      <c r="AV31" s="56">
        <v>46227.661805555559</v>
      </c>
      <c r="AW31" s="56">
        <v>46227.692361111112</v>
      </c>
      <c r="AX31" s="56">
        <v>46227.695138888892</v>
      </c>
      <c r="AY31" s="56">
        <v>46227.769444444442</v>
      </c>
      <c r="AZ31" s="56">
        <v>46227.776388888888</v>
      </c>
      <c r="BA31" s="56">
        <v>46228.033333333333</v>
      </c>
      <c r="BB31" s="56">
        <v>46228.302777777775</v>
      </c>
      <c r="BC31" s="56">
        <v>46228.305555555555</v>
      </c>
      <c r="BD31" s="56">
        <v>46228.3125</v>
      </c>
      <c r="BE31" s="56">
        <v>46228.368055555555</v>
      </c>
      <c r="BG31" s="56">
        <v>46228.414583333331</v>
      </c>
      <c r="BH31" s="56">
        <v>46228.4375</v>
      </c>
      <c r="BI31" s="32" t="s">
        <v>65</v>
      </c>
      <c r="BJ31" s="56">
        <v>46228.708333333336</v>
      </c>
      <c r="BK31" s="56">
        <v>46228.628472222219</v>
      </c>
      <c r="BL31" s="56">
        <v>46228.630555555559</v>
      </c>
      <c r="BM31" s="56">
        <v>46228.630555555559</v>
      </c>
      <c r="BN31" s="56">
        <v>46228.637499999997</v>
      </c>
      <c r="BP31" s="32" t="s">
        <v>380</v>
      </c>
      <c r="BQ31" s="32">
        <v>46228.708333333336</v>
      </c>
    </row>
    <row r="32" spans="1:69" x14ac:dyDescent="0.35">
      <c r="A32" t="s">
        <v>176</v>
      </c>
      <c r="B32" s="32">
        <v>2</v>
      </c>
      <c r="C32" s="32">
        <v>31</v>
      </c>
      <c r="D32" s="32" t="s">
        <v>368</v>
      </c>
      <c r="E32" s="32" t="s">
        <v>178</v>
      </c>
      <c r="F32" s="54">
        <v>46233</v>
      </c>
      <c r="G32" s="54">
        <v>46234</v>
      </c>
      <c r="H32" s="55">
        <v>0.41666666666666669</v>
      </c>
      <c r="I32" s="55">
        <v>0.33333333333333331</v>
      </c>
      <c r="J32" s="32" t="s">
        <v>369</v>
      </c>
      <c r="K32" s="32" t="s">
        <v>179</v>
      </c>
      <c r="L32" s="32">
        <v>1</v>
      </c>
      <c r="M32" s="32" t="s">
        <v>381</v>
      </c>
      <c r="P32" s="32" t="s">
        <v>182</v>
      </c>
      <c r="Q32" s="32" t="s">
        <v>371</v>
      </c>
      <c r="R32" s="32" t="s">
        <v>382</v>
      </c>
      <c r="S32" s="32" t="s">
        <v>383</v>
      </c>
      <c r="T32" s="32" t="s">
        <v>384</v>
      </c>
      <c r="U32" s="32" t="s">
        <v>385</v>
      </c>
      <c r="V32" s="32" t="s">
        <v>386</v>
      </c>
      <c r="W32" s="32" t="s">
        <v>387</v>
      </c>
      <c r="X32" s="32" t="s">
        <v>188</v>
      </c>
      <c r="Y32" s="32" t="s">
        <v>188</v>
      </c>
      <c r="Z32" s="32" t="s">
        <v>188</v>
      </c>
      <c r="AA32" s="32" t="s">
        <v>189</v>
      </c>
      <c r="AB32" s="32" t="s">
        <v>1845</v>
      </c>
      <c r="AC32" s="32" t="s">
        <v>56</v>
      </c>
      <c r="AD32" s="32" t="s">
        <v>376</v>
      </c>
      <c r="AE32" s="32">
        <v>20525373551</v>
      </c>
      <c r="AF32" s="32" t="s">
        <v>377</v>
      </c>
      <c r="AG32" s="32" t="s">
        <v>1820</v>
      </c>
      <c r="AH32" s="32" t="s">
        <v>193</v>
      </c>
      <c r="AI32" s="32" t="s">
        <v>378</v>
      </c>
      <c r="AJ32" s="32" t="s">
        <v>379</v>
      </c>
      <c r="AK32" s="32">
        <v>998231122</v>
      </c>
      <c r="AL32" s="32" t="s">
        <v>1840</v>
      </c>
      <c r="AM32" s="32" t="s">
        <v>278</v>
      </c>
      <c r="AN32" s="32" t="s">
        <v>278</v>
      </c>
      <c r="AO32" s="32" t="s">
        <v>1840</v>
      </c>
      <c r="AP32" s="32" t="s">
        <v>1840</v>
      </c>
      <c r="AQ32" s="32" t="s">
        <v>1840</v>
      </c>
      <c r="AR32" s="32" t="s">
        <v>1840</v>
      </c>
      <c r="AS32" s="32" t="s">
        <v>63</v>
      </c>
      <c r="AT32" s="32" t="s">
        <v>388</v>
      </c>
      <c r="AU32" s="56">
        <v>46233.708333333336</v>
      </c>
      <c r="AV32" s="56">
        <v>46233.679166666669</v>
      </c>
      <c r="AW32" s="56">
        <v>46233.693055555559</v>
      </c>
      <c r="AX32" s="56">
        <v>46233.693055555559</v>
      </c>
      <c r="AY32" s="56">
        <v>46233.756944444445</v>
      </c>
      <c r="AZ32" s="56">
        <v>46233.774305555555</v>
      </c>
      <c r="BA32" s="56">
        <v>46233.965277777781</v>
      </c>
      <c r="BB32" s="56">
        <v>46234.333333333336</v>
      </c>
      <c r="BC32" s="56">
        <v>46234.345138888886</v>
      </c>
      <c r="BD32" s="56">
        <v>46234.366666666669</v>
      </c>
      <c r="BE32" s="56">
        <v>46234.618055555555</v>
      </c>
      <c r="BG32" s="56">
        <v>46234.663888888892</v>
      </c>
      <c r="BH32" s="56">
        <v>46234.679166666669</v>
      </c>
      <c r="BI32" s="32" t="s">
        <v>65</v>
      </c>
      <c r="BJ32" s="56">
        <v>46234.916666666664</v>
      </c>
      <c r="BK32" s="56">
        <v>46234.885416666664</v>
      </c>
      <c r="BL32" s="56">
        <v>46234.888888888891</v>
      </c>
      <c r="BM32" s="56">
        <v>46234.894444444442</v>
      </c>
      <c r="BN32" s="56">
        <v>46234.897222222222</v>
      </c>
      <c r="BP32" s="32" t="s">
        <v>380</v>
      </c>
      <c r="BQ32" s="32">
        <v>46234.916666666664</v>
      </c>
    </row>
    <row r="33" spans="1:69" x14ac:dyDescent="0.35">
      <c r="A33" t="s">
        <v>176</v>
      </c>
      <c r="B33" s="32">
        <v>3</v>
      </c>
      <c r="C33" s="32">
        <v>31</v>
      </c>
      <c r="D33" s="32" t="s">
        <v>368</v>
      </c>
      <c r="E33" s="32" t="s">
        <v>178</v>
      </c>
      <c r="F33" s="54">
        <v>46233</v>
      </c>
      <c r="G33" s="54">
        <v>46234</v>
      </c>
      <c r="H33" s="55">
        <v>0.41666666666666669</v>
      </c>
      <c r="I33" s="55">
        <v>0.33333333333333331</v>
      </c>
      <c r="J33" s="32" t="s">
        <v>369</v>
      </c>
      <c r="K33" s="32" t="s">
        <v>179</v>
      </c>
      <c r="L33" s="32">
        <v>1</v>
      </c>
      <c r="M33" s="32" t="s">
        <v>389</v>
      </c>
      <c r="P33" s="32" t="s">
        <v>182</v>
      </c>
      <c r="Q33" s="32" t="s">
        <v>371</v>
      </c>
      <c r="R33" s="32" t="s">
        <v>390</v>
      </c>
      <c r="S33" s="32" t="s">
        <v>383</v>
      </c>
      <c r="T33" s="32" t="s">
        <v>391</v>
      </c>
      <c r="U33" s="32" t="s">
        <v>392</v>
      </c>
      <c r="V33" s="32">
        <v>7286</v>
      </c>
      <c r="W33" s="32" t="s">
        <v>393</v>
      </c>
      <c r="X33" s="32" t="s">
        <v>188</v>
      </c>
      <c r="Y33" s="32" t="s">
        <v>188</v>
      </c>
      <c r="Z33" s="32" t="s">
        <v>188</v>
      </c>
      <c r="AA33" s="32" t="s">
        <v>189</v>
      </c>
      <c r="AB33" s="32" t="s">
        <v>1845</v>
      </c>
      <c r="AC33" s="32" t="s">
        <v>56</v>
      </c>
      <c r="AD33" s="32" t="s">
        <v>376</v>
      </c>
      <c r="AE33" s="32">
        <v>20525373551</v>
      </c>
      <c r="AF33" s="32" t="s">
        <v>394</v>
      </c>
      <c r="AG33" s="32" t="s">
        <v>1821</v>
      </c>
      <c r="AH33" s="32" t="s">
        <v>193</v>
      </c>
      <c r="AI33" s="32" t="s">
        <v>395</v>
      </c>
      <c r="AJ33" s="32" t="s">
        <v>396</v>
      </c>
      <c r="AK33" s="32">
        <v>970999799</v>
      </c>
      <c r="AL33" s="32" t="s">
        <v>1840</v>
      </c>
      <c r="AM33" s="32" t="s">
        <v>278</v>
      </c>
      <c r="AN33" s="32" t="s">
        <v>278</v>
      </c>
      <c r="AO33" s="32" t="s">
        <v>1840</v>
      </c>
      <c r="AP33" s="32" t="s">
        <v>1840</v>
      </c>
      <c r="AQ33" s="32" t="s">
        <v>1840</v>
      </c>
      <c r="AR33" s="32" t="s">
        <v>1840</v>
      </c>
      <c r="AS33" s="32" t="s">
        <v>63</v>
      </c>
      <c r="AT33" s="32" t="s">
        <v>388</v>
      </c>
      <c r="AU33" s="56">
        <v>46233.708333333336</v>
      </c>
      <c r="AV33" s="56">
        <v>46233.703472222223</v>
      </c>
      <c r="AW33" s="56">
        <v>46233.719444444447</v>
      </c>
      <c r="AX33" s="56">
        <v>46233.719444444447</v>
      </c>
      <c r="AY33" s="56">
        <v>46233.820833333331</v>
      </c>
      <c r="AZ33" s="56">
        <v>46233.827777777777</v>
      </c>
      <c r="BA33" s="56">
        <v>46234.293055555558</v>
      </c>
      <c r="BB33" s="56">
        <v>46234.333333333336</v>
      </c>
      <c r="BC33" s="56">
        <v>46234.351388888892</v>
      </c>
      <c r="BD33" s="56">
        <v>46234.375694444447</v>
      </c>
      <c r="BE33" s="56">
        <v>46234.486111111109</v>
      </c>
      <c r="BG33" s="56">
        <v>46234.506944444445</v>
      </c>
      <c r="BH33" s="56">
        <v>46234.521527777775</v>
      </c>
      <c r="BI33" s="32" t="s">
        <v>65</v>
      </c>
      <c r="BJ33" s="56">
        <v>46234.791666666664</v>
      </c>
      <c r="BK33" s="56">
        <v>46234.722222222219</v>
      </c>
      <c r="BL33" s="56">
        <v>46234.729166666664</v>
      </c>
      <c r="BM33" s="56">
        <v>46234.743750000001</v>
      </c>
      <c r="BN33" s="56">
        <v>46234.74722222222</v>
      </c>
      <c r="BP33" s="32" t="s">
        <v>380</v>
      </c>
      <c r="BQ33" s="32">
        <v>46234.791666666664</v>
      </c>
    </row>
    <row r="34" spans="1:69" x14ac:dyDescent="0.35">
      <c r="A34" t="s">
        <v>176</v>
      </c>
      <c r="B34" s="32">
        <v>4</v>
      </c>
      <c r="C34" s="32">
        <v>32</v>
      </c>
      <c r="D34" s="32" t="s">
        <v>368</v>
      </c>
      <c r="E34" s="32" t="s">
        <v>178</v>
      </c>
      <c r="F34" s="54">
        <v>46240</v>
      </c>
      <c r="G34" s="54">
        <v>46241</v>
      </c>
      <c r="H34" s="55">
        <v>0.41666666666666669</v>
      </c>
      <c r="I34" s="55">
        <v>0.33333333333333331</v>
      </c>
      <c r="J34" s="32" t="s">
        <v>369</v>
      </c>
      <c r="K34" s="32" t="s">
        <v>179</v>
      </c>
      <c r="L34" s="32">
        <v>1</v>
      </c>
      <c r="M34" s="32" t="s">
        <v>397</v>
      </c>
      <c r="P34" s="32" t="s">
        <v>182</v>
      </c>
      <c r="Q34" s="32" t="s">
        <v>371</v>
      </c>
      <c r="R34" s="32" t="s">
        <v>398</v>
      </c>
      <c r="S34" s="32" t="s">
        <v>399</v>
      </c>
      <c r="T34" s="32">
        <v>6462052060</v>
      </c>
      <c r="U34" s="32" t="s">
        <v>400</v>
      </c>
      <c r="V34" s="32">
        <v>1106548</v>
      </c>
      <c r="W34" s="32">
        <v>32978375</v>
      </c>
      <c r="X34" s="32" t="s">
        <v>187</v>
      </c>
      <c r="Y34" s="32" t="s">
        <v>188</v>
      </c>
      <c r="Z34" s="32" t="s">
        <v>188</v>
      </c>
      <c r="AA34" s="32" t="s">
        <v>189</v>
      </c>
      <c r="AB34" s="32" t="s">
        <v>1845</v>
      </c>
      <c r="AC34" s="32" t="s">
        <v>56</v>
      </c>
      <c r="AD34" s="32" t="s">
        <v>376</v>
      </c>
      <c r="AE34" s="32">
        <v>20525373551</v>
      </c>
      <c r="AF34" s="32" t="s">
        <v>401</v>
      </c>
      <c r="AG34" s="32" t="s">
        <v>402</v>
      </c>
      <c r="AH34" s="32" t="s">
        <v>193</v>
      </c>
      <c r="AI34" s="32" t="s">
        <v>403</v>
      </c>
      <c r="AJ34" s="32" t="s">
        <v>404</v>
      </c>
      <c r="AK34" s="32">
        <v>998255542</v>
      </c>
      <c r="AL34" s="32" t="s">
        <v>1840</v>
      </c>
      <c r="AM34" s="32" t="s">
        <v>278</v>
      </c>
      <c r="AN34" s="32" t="s">
        <v>278</v>
      </c>
      <c r="AO34" s="32" t="s">
        <v>1840</v>
      </c>
      <c r="AP34" s="32" t="s">
        <v>1840</v>
      </c>
      <c r="AQ34" s="32" t="s">
        <v>1840</v>
      </c>
      <c r="AR34" s="32" t="s">
        <v>1840</v>
      </c>
      <c r="AS34" s="32" t="s">
        <v>63</v>
      </c>
      <c r="AT34" s="32" t="s">
        <v>405</v>
      </c>
      <c r="AU34" s="56">
        <v>46240.375</v>
      </c>
      <c r="AV34" s="56">
        <v>46240.376388888886</v>
      </c>
      <c r="AW34" s="56">
        <v>46240.384722222225</v>
      </c>
      <c r="AX34" s="56">
        <v>46240.384722222225</v>
      </c>
      <c r="AY34" s="56">
        <v>46240.5</v>
      </c>
      <c r="AZ34" s="56">
        <v>46241.144444444442</v>
      </c>
      <c r="BA34" s="56">
        <v>46241.318055555559</v>
      </c>
      <c r="BB34" s="56">
        <v>46241.365277777775</v>
      </c>
      <c r="BC34" s="56">
        <v>46241.365277777775</v>
      </c>
      <c r="BD34" s="56">
        <v>46241.38958333333</v>
      </c>
      <c r="BE34" s="56">
        <v>46241.640277777777</v>
      </c>
      <c r="BG34" s="56">
        <v>46241.689583333333</v>
      </c>
      <c r="BH34" s="56">
        <v>46241.701388888891</v>
      </c>
      <c r="BI34" s="32" t="s">
        <v>65</v>
      </c>
      <c r="BJ34" s="56">
        <v>46241.958333333336</v>
      </c>
      <c r="BK34" s="56">
        <v>46241.893055555556</v>
      </c>
      <c r="BL34" s="56">
        <v>46241.912499999999</v>
      </c>
      <c r="BM34" s="56">
        <v>46241.916666666664</v>
      </c>
      <c r="BN34" s="56">
        <v>46241.920138888891</v>
      </c>
      <c r="BP34" s="32" t="s">
        <v>380</v>
      </c>
      <c r="BQ34" s="32">
        <v>46241.958333333336</v>
      </c>
    </row>
    <row r="35" spans="1:69" x14ac:dyDescent="0.35">
      <c r="A35" t="s">
        <v>176</v>
      </c>
      <c r="B35" s="32">
        <v>5</v>
      </c>
      <c r="C35" s="32">
        <v>32</v>
      </c>
      <c r="D35" s="32" t="s">
        <v>368</v>
      </c>
      <c r="E35" s="32" t="s">
        <v>178</v>
      </c>
      <c r="F35" s="54">
        <v>46240</v>
      </c>
      <c r="G35" s="54">
        <v>46241</v>
      </c>
      <c r="H35" s="55">
        <v>0.41666666666666669</v>
      </c>
      <c r="I35" s="55">
        <v>0.33333333333333331</v>
      </c>
      <c r="J35" s="32" t="s">
        <v>369</v>
      </c>
      <c r="K35" s="32" t="s">
        <v>179</v>
      </c>
      <c r="L35" s="32">
        <v>1</v>
      </c>
      <c r="M35" s="32" t="s">
        <v>406</v>
      </c>
      <c r="P35" s="32" t="s">
        <v>182</v>
      </c>
      <c r="Q35" s="32" t="s">
        <v>371</v>
      </c>
      <c r="R35" s="32" t="s">
        <v>382</v>
      </c>
      <c r="S35" s="32" t="s">
        <v>184</v>
      </c>
      <c r="T35" s="32" t="s">
        <v>407</v>
      </c>
      <c r="U35" s="32" t="s">
        <v>408</v>
      </c>
      <c r="V35" s="32">
        <v>7366</v>
      </c>
      <c r="W35" s="32" t="s">
        <v>409</v>
      </c>
      <c r="X35" s="32" t="s">
        <v>188</v>
      </c>
      <c r="Y35" s="32" t="s">
        <v>188</v>
      </c>
      <c r="Z35" s="32" t="s">
        <v>188</v>
      </c>
      <c r="AA35" s="32" t="s">
        <v>189</v>
      </c>
      <c r="AB35" s="32" t="s">
        <v>1845</v>
      </c>
      <c r="AC35" s="32" t="s">
        <v>56</v>
      </c>
      <c r="AD35" s="32" t="s">
        <v>376</v>
      </c>
      <c r="AE35" s="32">
        <v>20525373551</v>
      </c>
      <c r="AF35" s="32" t="s">
        <v>410</v>
      </c>
      <c r="AG35" s="32" t="s">
        <v>411</v>
      </c>
      <c r="AH35" s="32" t="s">
        <v>193</v>
      </c>
      <c r="AI35" s="32" t="s">
        <v>412</v>
      </c>
      <c r="AJ35" s="32" t="s">
        <v>413</v>
      </c>
      <c r="AK35" s="32">
        <v>998374895</v>
      </c>
      <c r="AL35" s="32" t="s">
        <v>1840</v>
      </c>
      <c r="AM35" s="32" t="s">
        <v>278</v>
      </c>
      <c r="AN35" s="32" t="s">
        <v>278</v>
      </c>
      <c r="AO35" s="32" t="s">
        <v>1840</v>
      </c>
      <c r="AP35" s="32" t="s">
        <v>1840</v>
      </c>
      <c r="AQ35" s="32" t="s">
        <v>1840</v>
      </c>
      <c r="AR35" s="32" t="s">
        <v>1840</v>
      </c>
      <c r="AS35" s="32" t="s">
        <v>63</v>
      </c>
      <c r="AT35" s="32" t="s">
        <v>388</v>
      </c>
      <c r="AU35" s="56">
        <v>46240.375</v>
      </c>
      <c r="AV35" s="56">
        <v>46240.366666666669</v>
      </c>
      <c r="AW35" s="56">
        <v>46240.385416666664</v>
      </c>
      <c r="AX35" s="56">
        <v>46240.393750000003</v>
      </c>
      <c r="AY35" s="56">
        <v>46240.436805555553</v>
      </c>
      <c r="AZ35" s="56">
        <v>46241.14166666667</v>
      </c>
      <c r="BA35" s="56">
        <v>46241.306250000001</v>
      </c>
      <c r="BB35" s="56">
        <v>46241.355555555558</v>
      </c>
      <c r="BC35" s="56">
        <v>46241.355555555558</v>
      </c>
      <c r="BD35" s="56">
        <v>46241.370833333334</v>
      </c>
      <c r="BE35" s="56">
        <v>46241.698611111111</v>
      </c>
      <c r="BG35" s="56">
        <v>46241.709722222222</v>
      </c>
      <c r="BH35" s="56">
        <v>46241.723611111112</v>
      </c>
      <c r="BI35" s="32" t="s">
        <v>65</v>
      </c>
      <c r="BJ35" s="56">
        <v>46241.958333333336</v>
      </c>
      <c r="BK35" s="56">
        <v>46241.913888888892</v>
      </c>
      <c r="BL35" s="56">
        <v>46241.915972222225</v>
      </c>
      <c r="BM35" s="56">
        <v>46241.922222222223</v>
      </c>
      <c r="BN35" s="56">
        <v>46241.929861111108</v>
      </c>
      <c r="BP35" s="32" t="s">
        <v>380</v>
      </c>
      <c r="BQ35" s="32">
        <v>46241.958333333336</v>
      </c>
    </row>
    <row r="36" spans="1:69" x14ac:dyDescent="0.35">
      <c r="A36" t="s">
        <v>176</v>
      </c>
      <c r="B36" s="32">
        <v>6</v>
      </c>
      <c r="C36" s="32">
        <v>32</v>
      </c>
      <c r="D36" s="32" t="s">
        <v>368</v>
      </c>
      <c r="E36" s="32" t="s">
        <v>178</v>
      </c>
      <c r="F36" s="54">
        <v>46243</v>
      </c>
      <c r="G36" s="54">
        <v>46244</v>
      </c>
      <c r="H36" s="55">
        <v>0.58333333333333337</v>
      </c>
      <c r="I36" s="55">
        <v>0.5</v>
      </c>
      <c r="J36" s="32" t="s">
        <v>369</v>
      </c>
      <c r="K36" s="32" t="s">
        <v>179</v>
      </c>
      <c r="L36" s="32">
        <v>1</v>
      </c>
      <c r="M36" s="32" t="s">
        <v>414</v>
      </c>
      <c r="P36" s="32" t="s">
        <v>182</v>
      </c>
      <c r="Q36" s="32" t="s">
        <v>371</v>
      </c>
      <c r="R36" s="32" t="s">
        <v>415</v>
      </c>
      <c r="S36" s="32" t="s">
        <v>184</v>
      </c>
      <c r="T36" s="32" t="s">
        <v>416</v>
      </c>
      <c r="U36" s="32" t="s">
        <v>417</v>
      </c>
      <c r="V36" s="32">
        <v>804109</v>
      </c>
      <c r="W36" s="32" t="s">
        <v>418</v>
      </c>
      <c r="X36" s="32" t="s">
        <v>187</v>
      </c>
      <c r="Y36" s="32" t="s">
        <v>188</v>
      </c>
      <c r="Z36" s="32" t="s">
        <v>188</v>
      </c>
      <c r="AA36" s="32" t="s">
        <v>189</v>
      </c>
      <c r="AB36" s="32" t="s">
        <v>1845</v>
      </c>
      <c r="AC36" s="32" t="s">
        <v>56</v>
      </c>
      <c r="AD36" s="32" t="s">
        <v>376</v>
      </c>
      <c r="AE36" s="32">
        <v>20525373551</v>
      </c>
      <c r="AF36" s="32" t="s">
        <v>419</v>
      </c>
      <c r="AG36" s="32" t="s">
        <v>420</v>
      </c>
      <c r="AH36" s="32" t="s">
        <v>193</v>
      </c>
      <c r="AI36" s="32" t="s">
        <v>421</v>
      </c>
      <c r="AJ36" s="32" t="s">
        <v>422</v>
      </c>
      <c r="AK36" s="32">
        <v>996830815</v>
      </c>
      <c r="AL36" s="32" t="s">
        <v>1840</v>
      </c>
      <c r="AM36" s="32" t="s">
        <v>278</v>
      </c>
      <c r="AN36" s="32" t="s">
        <v>278</v>
      </c>
      <c r="AO36" s="32" t="s">
        <v>1840</v>
      </c>
      <c r="AP36" s="32" t="s">
        <v>1840</v>
      </c>
      <c r="AQ36" s="32" t="s">
        <v>1840</v>
      </c>
      <c r="AR36" s="32" t="s">
        <v>1840</v>
      </c>
      <c r="AS36" s="32" t="s">
        <v>63</v>
      </c>
      <c r="AT36" s="32" t="s">
        <v>64</v>
      </c>
      <c r="AU36" s="56">
        <v>46243.833333333336</v>
      </c>
      <c r="AV36" s="56">
        <v>46243.840277777781</v>
      </c>
      <c r="AW36" s="56">
        <v>46243.901388888888</v>
      </c>
      <c r="AX36" s="56">
        <v>46243.915972222225</v>
      </c>
      <c r="AZ36" s="56">
        <v>46244.197222222225</v>
      </c>
      <c r="BA36" s="56">
        <v>46244.434027777781</v>
      </c>
      <c r="BB36" s="56">
        <v>46244.4375</v>
      </c>
      <c r="BC36" s="56">
        <v>46244.447222222225</v>
      </c>
      <c r="BD36" s="56">
        <v>46244.464583333334</v>
      </c>
      <c r="BE36" s="56">
        <v>46244.677083333336</v>
      </c>
      <c r="BG36" s="56">
        <v>46244.705555555556</v>
      </c>
      <c r="BH36" s="56">
        <v>46244.720833333333</v>
      </c>
      <c r="BI36" s="32" t="s">
        <v>65</v>
      </c>
      <c r="BJ36" s="56">
        <v>46245.041666666664</v>
      </c>
      <c r="BK36" s="56">
        <v>46244.979166666664</v>
      </c>
      <c r="BL36" s="56">
        <v>46244.986111111109</v>
      </c>
      <c r="BM36" s="56">
        <v>46244.989583333336</v>
      </c>
      <c r="BN36" s="56">
        <v>46244.994444444441</v>
      </c>
      <c r="BP36" s="32" t="s">
        <v>380</v>
      </c>
      <c r="BQ36" s="32">
        <v>46245.041666666664</v>
      </c>
    </row>
    <row r="37" spans="1:69" x14ac:dyDescent="0.35">
      <c r="A37" t="s">
        <v>176</v>
      </c>
      <c r="B37" s="32">
        <v>7</v>
      </c>
      <c r="C37" s="32">
        <v>32</v>
      </c>
      <c r="D37" s="32" t="s">
        <v>368</v>
      </c>
      <c r="E37" s="32" t="s">
        <v>178</v>
      </c>
      <c r="F37" s="54">
        <v>46244</v>
      </c>
      <c r="G37" s="54">
        <v>46245</v>
      </c>
      <c r="H37" s="55">
        <v>0.41666666666666669</v>
      </c>
      <c r="I37" s="55">
        <v>0.33333333333333331</v>
      </c>
      <c r="J37" s="32" t="s">
        <v>369</v>
      </c>
      <c r="K37" s="32" t="s">
        <v>179</v>
      </c>
      <c r="L37" s="32">
        <v>1</v>
      </c>
      <c r="M37" s="32" t="s">
        <v>423</v>
      </c>
      <c r="P37" s="32" t="s">
        <v>182</v>
      </c>
      <c r="Q37" s="32" t="s">
        <v>371</v>
      </c>
      <c r="R37" s="32" t="s">
        <v>183</v>
      </c>
      <c r="S37" s="32" t="s">
        <v>184</v>
      </c>
      <c r="T37" s="32" t="s">
        <v>424</v>
      </c>
      <c r="U37" s="32" t="s">
        <v>425</v>
      </c>
      <c r="V37" s="32" t="s">
        <v>426</v>
      </c>
      <c r="W37" s="32" t="s">
        <v>427</v>
      </c>
      <c r="X37" s="32" t="s">
        <v>187</v>
      </c>
      <c r="Y37" s="32" t="s">
        <v>188</v>
      </c>
      <c r="Z37" s="32" t="s">
        <v>188</v>
      </c>
      <c r="AA37" s="32" t="s">
        <v>189</v>
      </c>
      <c r="AB37" s="32" t="s">
        <v>1845</v>
      </c>
      <c r="AC37" s="32" t="s">
        <v>56</v>
      </c>
      <c r="AD37" s="32" t="s">
        <v>376</v>
      </c>
      <c r="AE37" s="32">
        <v>20525373551</v>
      </c>
      <c r="AF37" s="32" t="s">
        <v>377</v>
      </c>
      <c r="AG37" s="32" t="s">
        <v>1820</v>
      </c>
      <c r="AH37" s="32" t="s">
        <v>193</v>
      </c>
      <c r="AI37" s="32" t="s">
        <v>378</v>
      </c>
      <c r="AJ37" s="32" t="s">
        <v>379</v>
      </c>
      <c r="AK37" s="32">
        <v>998231122</v>
      </c>
      <c r="AL37" s="32" t="s">
        <v>1840</v>
      </c>
      <c r="AM37" s="32" t="s">
        <v>278</v>
      </c>
      <c r="AN37" s="32" t="s">
        <v>278</v>
      </c>
      <c r="AO37" s="32" t="s">
        <v>1840</v>
      </c>
      <c r="AP37" s="32" t="s">
        <v>1840</v>
      </c>
      <c r="AQ37" s="32" t="s">
        <v>1840</v>
      </c>
      <c r="AR37" s="32" t="s">
        <v>1840</v>
      </c>
      <c r="AS37" s="32" t="s">
        <v>63</v>
      </c>
      <c r="AT37" s="32" t="s">
        <v>64</v>
      </c>
      <c r="AU37" s="56">
        <v>46244.625</v>
      </c>
      <c r="AV37" s="56">
        <v>46244.614583333336</v>
      </c>
      <c r="AW37" s="56">
        <v>46244.661111111112</v>
      </c>
      <c r="AX37" s="56">
        <v>46244.67083333333</v>
      </c>
      <c r="AY37" s="56">
        <v>46244.736805555556</v>
      </c>
      <c r="AZ37" s="56">
        <v>46244.818055555559</v>
      </c>
      <c r="BA37" s="56">
        <v>46245.000694444447</v>
      </c>
      <c r="BB37" s="56">
        <v>46245.3</v>
      </c>
      <c r="BC37" s="56">
        <v>46245.304861111108</v>
      </c>
      <c r="BD37" s="56">
        <v>46245.31527777778</v>
      </c>
      <c r="BE37" s="56">
        <v>46245.416666666664</v>
      </c>
      <c r="BG37" s="56">
        <v>46245.486111111109</v>
      </c>
      <c r="BH37" s="56">
        <v>46245.504861111112</v>
      </c>
      <c r="BI37" s="32" t="s">
        <v>65</v>
      </c>
      <c r="BJ37" s="56">
        <v>46245.75</v>
      </c>
      <c r="BK37" s="56">
        <v>46245.727777777778</v>
      </c>
      <c r="BL37" s="56">
        <v>46245.730555555558</v>
      </c>
      <c r="BM37" s="56">
        <v>46245.734722222223</v>
      </c>
      <c r="BN37" s="56">
        <v>46245.745138888888</v>
      </c>
      <c r="BP37" s="32" t="s">
        <v>380</v>
      </c>
      <c r="BQ37" s="32">
        <v>46245.75</v>
      </c>
    </row>
    <row r="38" spans="1:69" x14ac:dyDescent="0.35">
      <c r="A38" t="s">
        <v>176</v>
      </c>
      <c r="B38" s="32">
        <v>8</v>
      </c>
      <c r="C38" s="32">
        <v>33</v>
      </c>
      <c r="D38" s="32" t="s">
        <v>368</v>
      </c>
      <c r="E38" s="32" t="s">
        <v>178</v>
      </c>
      <c r="F38" s="54">
        <v>46246</v>
      </c>
      <c r="G38" s="54">
        <v>46247</v>
      </c>
      <c r="H38" s="55">
        <v>0.58333333333333337</v>
      </c>
      <c r="I38" s="55">
        <v>0.5</v>
      </c>
      <c r="J38" s="32" t="s">
        <v>369</v>
      </c>
      <c r="K38" s="32" t="s">
        <v>179</v>
      </c>
      <c r="L38" s="32">
        <v>1</v>
      </c>
      <c r="M38" s="32" t="s">
        <v>428</v>
      </c>
      <c r="P38" s="32" t="s">
        <v>182</v>
      </c>
      <c r="Q38" s="32" t="s">
        <v>371</v>
      </c>
      <c r="R38" s="32" t="s">
        <v>382</v>
      </c>
      <c r="S38" s="32" t="s">
        <v>383</v>
      </c>
      <c r="T38" s="32" t="s">
        <v>429</v>
      </c>
      <c r="U38" s="32" t="s">
        <v>430</v>
      </c>
      <c r="V38" s="32">
        <v>7337</v>
      </c>
      <c r="W38" s="32" t="s">
        <v>431</v>
      </c>
      <c r="X38" s="32" t="s">
        <v>188</v>
      </c>
      <c r="Y38" s="32" t="s">
        <v>188</v>
      </c>
      <c r="Z38" s="32" t="s">
        <v>188</v>
      </c>
      <c r="AA38" s="32" t="s">
        <v>189</v>
      </c>
      <c r="AB38" s="32" t="s">
        <v>1845</v>
      </c>
      <c r="AC38" s="32" t="s">
        <v>56</v>
      </c>
      <c r="AD38" s="32" t="s">
        <v>376</v>
      </c>
      <c r="AE38" s="32">
        <v>20525373551</v>
      </c>
      <c r="AF38" s="32" t="s">
        <v>432</v>
      </c>
      <c r="AG38" s="32" t="s">
        <v>433</v>
      </c>
      <c r="AH38" s="32" t="s">
        <v>193</v>
      </c>
      <c r="AI38" s="32" t="s">
        <v>434</v>
      </c>
      <c r="AJ38" s="32" t="s">
        <v>435</v>
      </c>
      <c r="AK38" s="32">
        <v>934126470</v>
      </c>
      <c r="AL38" s="32" t="s">
        <v>1840</v>
      </c>
      <c r="AM38" s="32" t="s">
        <v>278</v>
      </c>
      <c r="AN38" s="32" t="s">
        <v>278</v>
      </c>
      <c r="AO38" s="32" t="s">
        <v>1840</v>
      </c>
      <c r="AP38" s="32" t="s">
        <v>1840</v>
      </c>
      <c r="AQ38" s="32" t="s">
        <v>1840</v>
      </c>
      <c r="AR38" s="32" t="s">
        <v>1840</v>
      </c>
      <c r="AS38" s="32" t="s">
        <v>63</v>
      </c>
      <c r="AT38" s="32" t="s">
        <v>388</v>
      </c>
      <c r="AU38" s="56">
        <v>46246.75</v>
      </c>
      <c r="AV38" s="56">
        <v>46246.738888888889</v>
      </c>
      <c r="AW38" s="56">
        <v>46246.773611111108</v>
      </c>
      <c r="AX38" s="56">
        <v>46246.789583333331</v>
      </c>
      <c r="AY38" s="56">
        <v>46246.824999999997</v>
      </c>
      <c r="AZ38" s="56">
        <v>46247.213194444441</v>
      </c>
      <c r="BA38" s="56">
        <v>46247.46597222222</v>
      </c>
      <c r="BB38" s="56">
        <v>46247.467361111114</v>
      </c>
      <c r="BC38" s="56">
        <v>46247.47152777778</v>
      </c>
      <c r="BD38" s="56">
        <v>46247.513888888891</v>
      </c>
      <c r="BE38" s="56">
        <v>46247.626388888886</v>
      </c>
      <c r="BG38" s="56">
        <v>46247.65902777778</v>
      </c>
      <c r="BH38" s="56">
        <v>46247.668055555558</v>
      </c>
      <c r="BI38" s="32" t="s">
        <v>65</v>
      </c>
      <c r="BJ38" s="56">
        <v>46248</v>
      </c>
      <c r="BK38" s="56">
        <v>46247.972916666666</v>
      </c>
      <c r="BL38" s="56">
        <v>46247.972916666666</v>
      </c>
      <c r="BM38" s="56">
        <v>46247.979166666664</v>
      </c>
      <c r="BN38" s="56">
        <v>46247.980555555558</v>
      </c>
      <c r="BP38" s="32" t="s">
        <v>380</v>
      </c>
      <c r="BQ38" s="32">
        <v>46248</v>
      </c>
    </row>
    <row r="39" spans="1:69" x14ac:dyDescent="0.35">
      <c r="A39" t="s">
        <v>176</v>
      </c>
      <c r="B39" s="32">
        <v>9</v>
      </c>
      <c r="C39" s="32">
        <v>33</v>
      </c>
      <c r="D39" s="32" t="s">
        <v>368</v>
      </c>
      <c r="E39" s="32" t="s">
        <v>178</v>
      </c>
      <c r="F39" s="54">
        <v>46247</v>
      </c>
      <c r="G39" s="54">
        <v>46248</v>
      </c>
      <c r="H39" s="55">
        <v>0.41666666666666669</v>
      </c>
      <c r="I39" s="55">
        <v>0.33333333333333331</v>
      </c>
      <c r="J39" s="32" t="s">
        <v>369</v>
      </c>
      <c r="K39" s="32" t="s">
        <v>179</v>
      </c>
      <c r="L39" s="32">
        <v>1</v>
      </c>
      <c r="M39" s="32" t="s">
        <v>436</v>
      </c>
      <c r="P39" s="32" t="s">
        <v>182</v>
      </c>
      <c r="Q39" s="32" t="s">
        <v>371</v>
      </c>
      <c r="R39" s="32" t="s">
        <v>398</v>
      </c>
      <c r="S39" s="32" t="s">
        <v>399</v>
      </c>
      <c r="T39" s="32">
        <v>6462786990</v>
      </c>
      <c r="U39" s="32" t="s">
        <v>437</v>
      </c>
      <c r="V39" s="32">
        <v>1111179</v>
      </c>
      <c r="W39" s="32">
        <v>32978493</v>
      </c>
      <c r="X39" s="32" t="s">
        <v>187</v>
      </c>
      <c r="Y39" s="32" t="s">
        <v>188</v>
      </c>
      <c r="Z39" s="32" t="s">
        <v>188</v>
      </c>
      <c r="AA39" s="32" t="s">
        <v>189</v>
      </c>
      <c r="AB39" s="32" t="s">
        <v>1845</v>
      </c>
      <c r="AC39" s="32" t="s">
        <v>56</v>
      </c>
      <c r="AD39" s="32" t="s">
        <v>376</v>
      </c>
      <c r="AE39" s="32">
        <v>20525373551</v>
      </c>
      <c r="AF39" s="32" t="s">
        <v>377</v>
      </c>
      <c r="AG39" s="32" t="s">
        <v>1820</v>
      </c>
      <c r="AH39" s="32" t="s">
        <v>193</v>
      </c>
      <c r="AI39" s="32" t="s">
        <v>378</v>
      </c>
      <c r="AJ39" s="32" t="s">
        <v>379</v>
      </c>
      <c r="AK39" s="32">
        <v>998231122</v>
      </c>
      <c r="AL39" s="32" t="s">
        <v>1840</v>
      </c>
      <c r="AM39" s="32" t="s">
        <v>278</v>
      </c>
      <c r="AN39" s="32" t="s">
        <v>278</v>
      </c>
      <c r="AO39" s="32" t="s">
        <v>1840</v>
      </c>
      <c r="AP39" s="32" t="s">
        <v>1840</v>
      </c>
      <c r="AQ39" s="32" t="s">
        <v>1840</v>
      </c>
      <c r="AR39" s="32" t="s">
        <v>1840</v>
      </c>
      <c r="AS39" s="32" t="s">
        <v>63</v>
      </c>
      <c r="AT39" s="32" t="s">
        <v>405</v>
      </c>
      <c r="AU39" s="56">
        <v>46247.666666666664</v>
      </c>
      <c r="AV39" s="56">
        <v>46247.668749999997</v>
      </c>
      <c r="AW39" s="56">
        <v>46247.677777777775</v>
      </c>
      <c r="AX39" s="56">
        <v>46247.720138888886</v>
      </c>
      <c r="AY39" s="56">
        <v>46247.776388888888</v>
      </c>
      <c r="AZ39" s="56">
        <v>46247.788194444445</v>
      </c>
      <c r="BA39" s="56">
        <v>46248.333333333336</v>
      </c>
      <c r="BB39" s="56">
        <v>46247.98333333333</v>
      </c>
      <c r="BC39" s="56">
        <v>46248.293055555558</v>
      </c>
      <c r="BD39" s="56">
        <v>46248.327777777777</v>
      </c>
      <c r="BE39" s="56">
        <v>46248.427083333336</v>
      </c>
      <c r="BG39" s="56">
        <v>46248.474999999999</v>
      </c>
      <c r="BH39" s="56">
        <v>46248.484722222223</v>
      </c>
      <c r="BI39" s="32" t="s">
        <v>65</v>
      </c>
      <c r="BJ39" s="56">
        <v>46248.75</v>
      </c>
      <c r="BK39" s="56">
        <v>46248.699305555558</v>
      </c>
      <c r="BL39" s="56">
        <v>46248.7</v>
      </c>
      <c r="BM39" s="56">
        <v>46248.703472222223</v>
      </c>
      <c r="BN39" s="56">
        <v>46248.715277777781</v>
      </c>
      <c r="BP39" s="32" t="s">
        <v>380</v>
      </c>
      <c r="BQ39" s="32">
        <v>46248.75</v>
      </c>
    </row>
    <row r="40" spans="1:69" x14ac:dyDescent="0.35">
      <c r="A40" t="s">
        <v>176</v>
      </c>
      <c r="B40" s="32">
        <v>10</v>
      </c>
      <c r="C40" s="32">
        <v>33</v>
      </c>
      <c r="D40" s="32" t="s">
        <v>368</v>
      </c>
      <c r="E40" s="32" t="s">
        <v>178</v>
      </c>
      <c r="F40" s="54">
        <v>46250</v>
      </c>
      <c r="G40" s="54">
        <v>46251</v>
      </c>
      <c r="H40" s="55">
        <v>0.41666666666666669</v>
      </c>
      <c r="I40" s="55">
        <v>0.33333333333333331</v>
      </c>
      <c r="J40" s="32" t="s">
        <v>369</v>
      </c>
      <c r="K40" s="32" t="s">
        <v>179</v>
      </c>
      <c r="L40" s="32">
        <v>1</v>
      </c>
      <c r="M40" s="32" t="s">
        <v>438</v>
      </c>
      <c r="P40" s="32" t="s">
        <v>182</v>
      </c>
      <c r="Q40" s="32" t="s">
        <v>371</v>
      </c>
      <c r="R40" s="32" t="s">
        <v>439</v>
      </c>
      <c r="S40" s="32" t="s">
        <v>631</v>
      </c>
      <c r="T40" s="32" t="s">
        <v>440</v>
      </c>
      <c r="U40" s="32" t="s">
        <v>441</v>
      </c>
      <c r="V40" s="32">
        <v>806949</v>
      </c>
      <c r="W40" s="32" t="s">
        <v>442</v>
      </c>
      <c r="X40" s="32" t="s">
        <v>187</v>
      </c>
      <c r="Y40" s="32" t="s">
        <v>188</v>
      </c>
      <c r="Z40" s="32" t="s">
        <v>188</v>
      </c>
      <c r="AA40" s="32" t="s">
        <v>189</v>
      </c>
      <c r="AB40" s="32" t="s">
        <v>1845</v>
      </c>
      <c r="AC40" s="32" t="s">
        <v>56</v>
      </c>
      <c r="AD40" s="32" t="s">
        <v>376</v>
      </c>
      <c r="AE40" s="32">
        <v>20525373551</v>
      </c>
      <c r="AF40" s="32" t="s">
        <v>443</v>
      </c>
      <c r="AG40" s="32" t="s">
        <v>444</v>
      </c>
      <c r="AH40" s="32" t="s">
        <v>193</v>
      </c>
      <c r="AI40" s="32" t="s">
        <v>445</v>
      </c>
      <c r="AJ40" s="32" t="s">
        <v>446</v>
      </c>
      <c r="AK40" s="32">
        <v>998230850</v>
      </c>
      <c r="AL40" s="32" t="s">
        <v>1840</v>
      </c>
      <c r="AM40" s="32" t="s">
        <v>278</v>
      </c>
      <c r="AN40" s="32" t="s">
        <v>278</v>
      </c>
      <c r="AO40" s="32" t="s">
        <v>1840</v>
      </c>
      <c r="AP40" s="32" t="s">
        <v>1840</v>
      </c>
      <c r="AQ40" s="32" t="s">
        <v>1840</v>
      </c>
      <c r="AR40" s="32" t="s">
        <v>1840</v>
      </c>
      <c r="AS40" s="32" t="s">
        <v>63</v>
      </c>
      <c r="AT40" s="32" t="s">
        <v>64</v>
      </c>
      <c r="AU40" s="56">
        <v>46250.916666666664</v>
      </c>
      <c r="AV40" s="56">
        <v>46250.928472222222</v>
      </c>
      <c r="AW40" s="56">
        <v>46250.978472222225</v>
      </c>
      <c r="AX40" s="56">
        <v>46250.986111111109</v>
      </c>
      <c r="AY40" s="56">
        <v>46251.031944444447</v>
      </c>
      <c r="AZ40" s="56">
        <v>46251.129861111112</v>
      </c>
      <c r="BA40" s="56">
        <v>46251.333333333336</v>
      </c>
      <c r="BB40" s="56">
        <v>46251.333333333336</v>
      </c>
      <c r="BC40" s="56">
        <v>46251.359027777777</v>
      </c>
      <c r="BD40" s="56">
        <v>46251.364583333336</v>
      </c>
      <c r="BE40" s="56">
        <v>46251.566666666666</v>
      </c>
      <c r="BG40" s="56">
        <v>46251.591666666667</v>
      </c>
      <c r="BH40" s="56">
        <v>46251.638888888891</v>
      </c>
      <c r="BI40" s="32" t="s">
        <v>65</v>
      </c>
      <c r="BJ40" s="56">
        <v>46251.916666666664</v>
      </c>
      <c r="BK40" s="56">
        <v>46251.857638888891</v>
      </c>
      <c r="BL40" s="56">
        <v>46251.85833333333</v>
      </c>
      <c r="BM40" s="56">
        <v>46251.867361111108</v>
      </c>
      <c r="BN40" s="56">
        <v>46251.871527777781</v>
      </c>
      <c r="BP40" s="32" t="s">
        <v>380</v>
      </c>
      <c r="BQ40" s="32">
        <v>46251.916666666664</v>
      </c>
    </row>
    <row r="41" spans="1:69" x14ac:dyDescent="0.35">
      <c r="A41" t="s">
        <v>176</v>
      </c>
      <c r="B41" s="32">
        <v>11</v>
      </c>
      <c r="C41" s="32">
        <v>33</v>
      </c>
      <c r="D41" s="32" t="s">
        <v>368</v>
      </c>
      <c r="E41" s="32" t="s">
        <v>178</v>
      </c>
      <c r="F41" s="54">
        <v>46250</v>
      </c>
      <c r="G41" s="54">
        <v>46251</v>
      </c>
      <c r="H41" s="55">
        <v>0.41666666666666669</v>
      </c>
      <c r="I41" s="55">
        <v>0.33333333333333331</v>
      </c>
      <c r="J41" s="32" t="s">
        <v>369</v>
      </c>
      <c r="K41" s="32" t="s">
        <v>179</v>
      </c>
      <c r="L41" s="32">
        <v>1</v>
      </c>
      <c r="M41" s="32" t="s">
        <v>447</v>
      </c>
      <c r="P41" s="32" t="s">
        <v>182</v>
      </c>
      <c r="Q41" s="32" t="s">
        <v>371</v>
      </c>
      <c r="R41" s="32" t="s">
        <v>183</v>
      </c>
      <c r="S41" s="32" t="s">
        <v>184</v>
      </c>
      <c r="T41" s="32" t="s">
        <v>448</v>
      </c>
      <c r="U41" s="32" t="s">
        <v>449</v>
      </c>
      <c r="V41" s="32">
        <v>806711</v>
      </c>
      <c r="W41" s="32" t="s">
        <v>450</v>
      </c>
      <c r="X41" s="32" t="s">
        <v>187</v>
      </c>
      <c r="Y41" s="32" t="s">
        <v>188</v>
      </c>
      <c r="Z41" s="32" t="s">
        <v>188</v>
      </c>
      <c r="AA41" s="32" t="s">
        <v>189</v>
      </c>
      <c r="AB41" s="32" t="s">
        <v>1845</v>
      </c>
      <c r="AC41" s="32" t="s">
        <v>56</v>
      </c>
      <c r="AD41" s="32" t="s">
        <v>376</v>
      </c>
      <c r="AE41" s="32">
        <v>20525373551</v>
      </c>
      <c r="AF41" s="32" t="s">
        <v>401</v>
      </c>
      <c r="AG41" s="32" t="s">
        <v>402</v>
      </c>
      <c r="AH41" s="32" t="s">
        <v>193</v>
      </c>
      <c r="AI41" s="32" t="s">
        <v>403</v>
      </c>
      <c r="AJ41" s="32" t="s">
        <v>404</v>
      </c>
      <c r="AK41" s="32">
        <v>998255542</v>
      </c>
      <c r="AL41" s="32" t="s">
        <v>1840</v>
      </c>
      <c r="AM41" s="32" t="s">
        <v>278</v>
      </c>
      <c r="AN41" s="32" t="s">
        <v>278</v>
      </c>
      <c r="AO41" s="32" t="s">
        <v>1840</v>
      </c>
      <c r="AP41" s="32" t="s">
        <v>1840</v>
      </c>
      <c r="AQ41" s="32" t="s">
        <v>1840</v>
      </c>
      <c r="AR41" s="32" t="s">
        <v>1840</v>
      </c>
      <c r="AS41" s="32" t="s">
        <v>63</v>
      </c>
      <c r="AT41" s="32" t="s">
        <v>64</v>
      </c>
      <c r="AU41" s="56">
        <v>46250.333333333336</v>
      </c>
      <c r="AV41" s="56">
        <v>46250.34097222222</v>
      </c>
      <c r="AW41" s="56">
        <v>46250.347916666666</v>
      </c>
      <c r="AX41" s="56">
        <v>46250.354166666664</v>
      </c>
      <c r="AY41" s="56">
        <v>46250.395833333336</v>
      </c>
      <c r="AZ41" s="56">
        <v>46250.832638888889</v>
      </c>
      <c r="BA41" s="56">
        <v>46251.333333333336</v>
      </c>
      <c r="BB41" s="56">
        <v>46251.00277777778</v>
      </c>
      <c r="BC41" s="56">
        <v>46251.291666666664</v>
      </c>
      <c r="BD41" s="56">
        <v>46251.331944444442</v>
      </c>
      <c r="BE41" s="56">
        <v>46251.55</v>
      </c>
      <c r="BG41" s="56">
        <v>46251.597222222219</v>
      </c>
      <c r="BH41" s="56">
        <v>46251.643750000003</v>
      </c>
      <c r="BI41" s="32" t="s">
        <v>65</v>
      </c>
      <c r="BJ41" s="56">
        <v>46251.875</v>
      </c>
      <c r="BK41" s="56">
        <v>46251.851388888892</v>
      </c>
      <c r="BL41" s="56">
        <v>46251.857638888891</v>
      </c>
      <c r="BM41" s="56">
        <v>46251.859027777777</v>
      </c>
      <c r="BN41" s="56">
        <v>46251.870138888888</v>
      </c>
      <c r="BP41" s="32" t="s">
        <v>380</v>
      </c>
      <c r="BQ41" s="32">
        <v>46251.875</v>
      </c>
    </row>
    <row r="42" spans="1:69" x14ac:dyDescent="0.35">
      <c r="A42" t="s">
        <v>176</v>
      </c>
      <c r="B42" s="32">
        <v>12</v>
      </c>
      <c r="C42" s="32">
        <v>33</v>
      </c>
      <c r="D42" s="32" t="s">
        <v>368</v>
      </c>
      <c r="E42" s="32" t="s">
        <v>178</v>
      </c>
      <c r="F42" s="54">
        <v>46251</v>
      </c>
      <c r="G42" s="54">
        <v>46252</v>
      </c>
      <c r="H42" s="55">
        <v>0.41666666666666669</v>
      </c>
      <c r="I42" s="55">
        <v>0.33333333333333331</v>
      </c>
      <c r="J42" s="32" t="s">
        <v>369</v>
      </c>
      <c r="K42" s="32" t="s">
        <v>179</v>
      </c>
      <c r="L42" s="32">
        <v>1</v>
      </c>
      <c r="M42" s="32" t="s">
        <v>451</v>
      </c>
      <c r="P42" s="32" t="s">
        <v>182</v>
      </c>
      <c r="Q42" s="32" t="s">
        <v>371</v>
      </c>
      <c r="R42" s="32" t="s">
        <v>183</v>
      </c>
      <c r="S42" s="32" t="s">
        <v>184</v>
      </c>
      <c r="T42" s="32" t="s">
        <v>452</v>
      </c>
      <c r="U42" s="32" t="s">
        <v>453</v>
      </c>
      <c r="V42" s="32">
        <v>807254</v>
      </c>
      <c r="W42" s="32" t="s">
        <v>454</v>
      </c>
      <c r="X42" s="32" t="s">
        <v>187</v>
      </c>
      <c r="Y42" s="32" t="s">
        <v>188</v>
      </c>
      <c r="Z42" s="32" t="s">
        <v>188</v>
      </c>
      <c r="AA42" s="32" t="s">
        <v>189</v>
      </c>
      <c r="AB42" s="32" t="s">
        <v>1845</v>
      </c>
      <c r="AC42" s="32" t="s">
        <v>56</v>
      </c>
      <c r="AD42" s="32" t="s">
        <v>376</v>
      </c>
      <c r="AE42" s="32">
        <v>20525373551</v>
      </c>
      <c r="AF42" s="32" t="s">
        <v>455</v>
      </c>
      <c r="AG42" s="32" t="s">
        <v>456</v>
      </c>
      <c r="AH42" s="32" t="s">
        <v>193</v>
      </c>
      <c r="AI42" s="32" t="s">
        <v>457</v>
      </c>
      <c r="AJ42" s="32" t="s">
        <v>458</v>
      </c>
      <c r="AK42" s="32">
        <v>961580382</v>
      </c>
      <c r="AL42" s="32" t="s">
        <v>1840</v>
      </c>
      <c r="AM42" s="32" t="s">
        <v>278</v>
      </c>
      <c r="AN42" s="32" t="s">
        <v>278</v>
      </c>
      <c r="AO42" s="32" t="s">
        <v>1840</v>
      </c>
      <c r="AP42" s="32" t="s">
        <v>1840</v>
      </c>
      <c r="AQ42" s="32" t="s">
        <v>1840</v>
      </c>
      <c r="AR42" s="32" t="s">
        <v>1840</v>
      </c>
      <c r="AS42" s="32" t="s">
        <v>63</v>
      </c>
      <c r="AT42" s="32" t="s">
        <v>63</v>
      </c>
      <c r="AU42" s="56">
        <v>46251.708333333336</v>
      </c>
      <c r="AV42" s="56">
        <v>46251.68472222222</v>
      </c>
      <c r="AW42" s="56">
        <v>46251.70208333333</v>
      </c>
      <c r="AX42" s="56">
        <v>46251.706250000003</v>
      </c>
      <c r="AY42" s="56">
        <v>46251.772222222222</v>
      </c>
      <c r="AZ42" s="56">
        <v>46251.818055555559</v>
      </c>
      <c r="BA42" s="56">
        <v>46252.333333333336</v>
      </c>
      <c r="BB42" s="56">
        <v>46252.006249999999</v>
      </c>
      <c r="BC42" s="56">
        <v>46252.319444444445</v>
      </c>
      <c r="BD42" s="56">
        <v>46252.32708333333</v>
      </c>
      <c r="BE42" s="56">
        <v>46252.356249999997</v>
      </c>
      <c r="BG42" s="56">
        <v>46252.479166666664</v>
      </c>
      <c r="BH42" s="56">
        <v>46252.507638888892</v>
      </c>
      <c r="BI42" s="32" t="s">
        <v>65</v>
      </c>
      <c r="BJ42" s="56">
        <v>46252.791666666664</v>
      </c>
      <c r="BK42" s="56">
        <v>46252.738888888889</v>
      </c>
      <c r="BL42" s="56">
        <v>46252.740277777775</v>
      </c>
      <c r="BM42" s="56">
        <v>46252.743055555555</v>
      </c>
      <c r="BN42" s="56">
        <v>46252.753472222219</v>
      </c>
      <c r="BP42" s="32" t="s">
        <v>380</v>
      </c>
      <c r="BQ42" s="32">
        <v>46252.791666666664</v>
      </c>
    </row>
    <row r="43" spans="1:69" x14ac:dyDescent="0.35">
      <c r="A43" t="s">
        <v>176</v>
      </c>
      <c r="B43" s="32">
        <v>13</v>
      </c>
      <c r="C43" s="32">
        <v>34</v>
      </c>
      <c r="D43" s="32" t="s">
        <v>368</v>
      </c>
      <c r="E43" s="32" t="s">
        <v>178</v>
      </c>
      <c r="F43" s="54">
        <v>46252</v>
      </c>
      <c r="G43" s="54">
        <v>46253</v>
      </c>
      <c r="H43" s="55">
        <v>0.41666666666666669</v>
      </c>
      <c r="I43" s="55">
        <v>0.33333333333333331</v>
      </c>
      <c r="J43" s="32" t="s">
        <v>369</v>
      </c>
      <c r="K43" s="32" t="s">
        <v>179</v>
      </c>
      <c r="L43" s="32">
        <v>1</v>
      </c>
      <c r="M43" s="32" t="s">
        <v>459</v>
      </c>
      <c r="P43" s="32" t="s">
        <v>182</v>
      </c>
      <c r="Q43" s="32" t="s">
        <v>371</v>
      </c>
      <c r="R43" s="32" t="s">
        <v>183</v>
      </c>
      <c r="S43" s="32" t="s">
        <v>460</v>
      </c>
      <c r="T43" s="32" t="s">
        <v>461</v>
      </c>
      <c r="U43" s="32" t="s">
        <v>462</v>
      </c>
      <c r="V43" s="32">
        <v>7538</v>
      </c>
      <c r="W43" s="32" t="s">
        <v>463</v>
      </c>
      <c r="X43" s="32" t="s">
        <v>187</v>
      </c>
      <c r="Y43" s="32" t="s">
        <v>188</v>
      </c>
      <c r="Z43" s="32" t="s">
        <v>188</v>
      </c>
      <c r="AA43" s="32" t="s">
        <v>189</v>
      </c>
      <c r="AB43" s="32" t="s">
        <v>1845</v>
      </c>
      <c r="AC43" s="32" t="s">
        <v>56</v>
      </c>
      <c r="AD43" s="32" t="s">
        <v>376</v>
      </c>
      <c r="AE43" s="32">
        <v>20525373551</v>
      </c>
      <c r="AF43" s="32" t="s">
        <v>464</v>
      </c>
      <c r="AG43" s="32" t="s">
        <v>465</v>
      </c>
      <c r="AH43" s="32" t="s">
        <v>193</v>
      </c>
      <c r="AI43" s="32" t="s">
        <v>466</v>
      </c>
      <c r="AJ43" s="32" t="s">
        <v>1822</v>
      </c>
      <c r="AK43" s="32">
        <v>945247441</v>
      </c>
      <c r="AL43" s="32" t="s">
        <v>1840</v>
      </c>
      <c r="AM43" s="32" t="s">
        <v>278</v>
      </c>
      <c r="AN43" s="32" t="s">
        <v>278</v>
      </c>
      <c r="AO43" s="32" t="s">
        <v>1840</v>
      </c>
      <c r="AP43" s="32" t="s">
        <v>1840</v>
      </c>
      <c r="AQ43" s="32" t="s">
        <v>1840</v>
      </c>
      <c r="AR43" s="32" t="s">
        <v>1840</v>
      </c>
      <c r="AS43" s="32" t="s">
        <v>63</v>
      </c>
      <c r="AT43" s="32" t="s">
        <v>388</v>
      </c>
      <c r="AU43" s="56">
        <v>46252.708333333336</v>
      </c>
      <c r="AV43" s="56">
        <v>46252.694444444445</v>
      </c>
      <c r="AW43" s="56">
        <v>46252.722916666666</v>
      </c>
      <c r="AX43" s="56">
        <v>46252.737500000003</v>
      </c>
      <c r="AY43" s="56">
        <v>46252.795138888891</v>
      </c>
      <c r="AZ43" s="56">
        <v>46253.097222222219</v>
      </c>
      <c r="BA43" s="56">
        <v>46253.333333333336</v>
      </c>
      <c r="BB43" s="56">
        <v>46253.298611111109</v>
      </c>
      <c r="BC43" s="56">
        <v>46253.368750000001</v>
      </c>
      <c r="BD43" s="56">
        <v>46253.378472222219</v>
      </c>
      <c r="BE43" s="56">
        <v>46253.652777777781</v>
      </c>
      <c r="BG43" s="56">
        <v>46253.720833333333</v>
      </c>
      <c r="BH43" s="56">
        <v>46253.736111111109</v>
      </c>
      <c r="BI43" s="32" t="s">
        <v>65</v>
      </c>
      <c r="BJ43" s="56">
        <v>46254.041666666664</v>
      </c>
      <c r="BK43" s="56">
        <v>46254.003472222219</v>
      </c>
      <c r="BL43" s="56">
        <v>46254.01458333333</v>
      </c>
      <c r="BM43" s="56">
        <v>46254.025694444441</v>
      </c>
      <c r="BN43" s="56">
        <v>46254.03125</v>
      </c>
      <c r="BP43" s="32" t="s">
        <v>380</v>
      </c>
      <c r="BQ43" s="32">
        <v>46254.041666666664</v>
      </c>
    </row>
    <row r="44" spans="1:69" x14ac:dyDescent="0.35">
      <c r="A44" t="s">
        <v>176</v>
      </c>
      <c r="B44" s="32">
        <v>14</v>
      </c>
      <c r="C44" s="32">
        <v>34</v>
      </c>
      <c r="D44" s="32" t="s">
        <v>368</v>
      </c>
      <c r="E44" s="32" t="s">
        <v>178</v>
      </c>
      <c r="F44" s="54">
        <v>46252</v>
      </c>
      <c r="G44" s="54">
        <v>46253</v>
      </c>
      <c r="H44" s="55">
        <v>0.41666666666666669</v>
      </c>
      <c r="I44" s="55">
        <v>0.33333333333333331</v>
      </c>
      <c r="J44" s="32" t="s">
        <v>369</v>
      </c>
      <c r="K44" s="32" t="s">
        <v>179</v>
      </c>
      <c r="L44" s="32">
        <v>1</v>
      </c>
      <c r="M44" s="32" t="s">
        <v>467</v>
      </c>
      <c r="P44" s="32" t="s">
        <v>182</v>
      </c>
      <c r="Q44" s="32" t="s">
        <v>371</v>
      </c>
      <c r="R44" s="32" t="s">
        <v>183</v>
      </c>
      <c r="S44" s="32" t="s">
        <v>460</v>
      </c>
      <c r="T44" s="32" t="s">
        <v>468</v>
      </c>
      <c r="U44" s="32" t="s">
        <v>469</v>
      </c>
      <c r="V44" s="32">
        <v>7534</v>
      </c>
      <c r="W44" s="32" t="s">
        <v>470</v>
      </c>
      <c r="X44" s="32" t="s">
        <v>187</v>
      </c>
      <c r="Y44" s="32" t="s">
        <v>188</v>
      </c>
      <c r="Z44" s="32" t="s">
        <v>188</v>
      </c>
      <c r="AA44" s="32" t="s">
        <v>189</v>
      </c>
      <c r="AB44" s="32" t="s">
        <v>1845</v>
      </c>
      <c r="AC44" s="32" t="s">
        <v>56</v>
      </c>
      <c r="AD44" s="32" t="s">
        <v>376</v>
      </c>
      <c r="AE44" s="32">
        <v>20525373551</v>
      </c>
      <c r="AF44" s="32" t="s">
        <v>471</v>
      </c>
      <c r="AG44" s="32" t="s">
        <v>444</v>
      </c>
      <c r="AH44" s="32" t="s">
        <v>193</v>
      </c>
      <c r="AI44" s="32" t="s">
        <v>445</v>
      </c>
      <c r="AJ44" s="32" t="s">
        <v>446</v>
      </c>
      <c r="AK44" s="32">
        <v>998230850</v>
      </c>
      <c r="AL44" s="32" t="s">
        <v>1840</v>
      </c>
      <c r="AM44" s="32" t="s">
        <v>278</v>
      </c>
      <c r="AN44" s="32" t="s">
        <v>278</v>
      </c>
      <c r="AO44" s="32" t="s">
        <v>1840</v>
      </c>
      <c r="AP44" s="32" t="s">
        <v>1840</v>
      </c>
      <c r="AQ44" s="32" t="s">
        <v>1840</v>
      </c>
      <c r="AR44" s="32" t="s">
        <v>1840</v>
      </c>
      <c r="AS44" s="32" t="s">
        <v>63</v>
      </c>
      <c r="AT44" s="32" t="s">
        <v>388</v>
      </c>
      <c r="AU44" s="56">
        <v>46252.666666666664</v>
      </c>
      <c r="AV44" s="56">
        <v>46252.681250000001</v>
      </c>
      <c r="AW44" s="56">
        <v>46252.681250000001</v>
      </c>
      <c r="AX44" s="56">
        <v>46252.689583333333</v>
      </c>
      <c r="AY44" s="56">
        <v>46252.751388888886</v>
      </c>
      <c r="AZ44" s="56">
        <v>46253.12777777778</v>
      </c>
      <c r="BA44" s="56">
        <v>46253.333333333336</v>
      </c>
      <c r="BB44" s="56">
        <v>46253.329861111109</v>
      </c>
      <c r="BC44" s="56">
        <v>46253.375</v>
      </c>
      <c r="BD44" s="56">
        <v>46253.388888888891</v>
      </c>
      <c r="BE44" s="56">
        <v>46253.645833333336</v>
      </c>
      <c r="BG44" s="56">
        <v>46253.681944444441</v>
      </c>
      <c r="BH44" s="56">
        <v>46253.716666666667</v>
      </c>
      <c r="BI44" s="32" t="s">
        <v>65</v>
      </c>
      <c r="BJ44" s="56">
        <v>46253.958333333336</v>
      </c>
      <c r="BK44" s="56">
        <v>46253.95</v>
      </c>
      <c r="BL44" s="56">
        <v>46253.953472222223</v>
      </c>
      <c r="BM44" s="56">
        <v>46253.962500000001</v>
      </c>
      <c r="BN44" s="56">
        <v>46253.977777777778</v>
      </c>
      <c r="BP44" s="32" t="s">
        <v>380</v>
      </c>
      <c r="BQ44" s="32">
        <v>46253.958333333336</v>
      </c>
    </row>
    <row r="45" spans="1:69" x14ac:dyDescent="0.35">
      <c r="A45" t="s">
        <v>176</v>
      </c>
      <c r="B45" s="32">
        <v>15</v>
      </c>
      <c r="C45" s="32">
        <v>34</v>
      </c>
      <c r="D45" s="32" t="s">
        <v>368</v>
      </c>
      <c r="E45" s="32" t="s">
        <v>178</v>
      </c>
      <c r="F45" s="54">
        <v>46253</v>
      </c>
      <c r="G45" s="54">
        <v>46254</v>
      </c>
      <c r="H45" s="55">
        <v>0.58333333333333337</v>
      </c>
      <c r="I45" s="55">
        <v>0.5</v>
      </c>
      <c r="J45" s="32" t="s">
        <v>369</v>
      </c>
      <c r="K45" s="32" t="s">
        <v>179</v>
      </c>
      <c r="L45" s="32">
        <v>1</v>
      </c>
      <c r="M45" s="32" t="s">
        <v>472</v>
      </c>
      <c r="P45" s="32" t="s">
        <v>182</v>
      </c>
      <c r="Q45" s="32" t="s">
        <v>371</v>
      </c>
      <c r="R45" s="32" t="s">
        <v>382</v>
      </c>
      <c r="S45" s="32" t="s">
        <v>383</v>
      </c>
      <c r="T45" s="32" t="s">
        <v>473</v>
      </c>
      <c r="U45" s="32" t="s">
        <v>474</v>
      </c>
      <c r="V45" s="32">
        <v>7571</v>
      </c>
      <c r="W45" s="32" t="s">
        <v>475</v>
      </c>
      <c r="X45" s="32" t="s">
        <v>188</v>
      </c>
      <c r="Y45" s="32" t="s">
        <v>188</v>
      </c>
      <c r="Z45" s="32" t="s">
        <v>188</v>
      </c>
      <c r="AA45" s="32" t="s">
        <v>189</v>
      </c>
      <c r="AB45" s="32" t="s">
        <v>1845</v>
      </c>
      <c r="AC45" s="32" t="s">
        <v>56</v>
      </c>
      <c r="AD45" s="32" t="s">
        <v>376</v>
      </c>
      <c r="AE45" s="32">
        <v>20525373551</v>
      </c>
      <c r="AF45" s="32" t="s">
        <v>410</v>
      </c>
      <c r="AG45" s="32" t="s">
        <v>411</v>
      </c>
      <c r="AH45" s="32" t="s">
        <v>193</v>
      </c>
      <c r="AI45" s="32" t="s">
        <v>412</v>
      </c>
      <c r="AJ45" s="32" t="s">
        <v>413</v>
      </c>
      <c r="AK45" s="32">
        <v>998374895</v>
      </c>
      <c r="AL45" s="32" t="s">
        <v>1840</v>
      </c>
      <c r="AM45" s="32" t="s">
        <v>278</v>
      </c>
      <c r="AN45" s="32" t="s">
        <v>278</v>
      </c>
      <c r="AO45" s="32" t="s">
        <v>1840</v>
      </c>
      <c r="AP45" s="32" t="s">
        <v>1840</v>
      </c>
      <c r="AQ45" s="32" t="s">
        <v>1840</v>
      </c>
      <c r="AR45" s="32" t="s">
        <v>1840</v>
      </c>
      <c r="AS45" s="32" t="s">
        <v>63</v>
      </c>
      <c r="AT45" s="32" t="s">
        <v>388</v>
      </c>
      <c r="AU45" s="56">
        <v>46253.666666666664</v>
      </c>
      <c r="AV45" s="56">
        <v>46253.675000000003</v>
      </c>
      <c r="AW45" s="56">
        <v>46253.705555555556</v>
      </c>
      <c r="AX45" s="56">
        <v>46253.727777777778</v>
      </c>
      <c r="AY45" s="56">
        <v>46253.772916666669</v>
      </c>
      <c r="AZ45" s="56">
        <v>46254.313194444447</v>
      </c>
      <c r="BA45" s="56">
        <v>46254.486111111109</v>
      </c>
      <c r="BB45" s="56">
        <v>46254.489583333336</v>
      </c>
      <c r="BC45" s="56">
        <v>46254.49722222222</v>
      </c>
      <c r="BD45" s="56">
        <v>46254.49722222222</v>
      </c>
      <c r="BE45" s="56">
        <v>46254.652777777781</v>
      </c>
      <c r="BG45" s="56">
        <v>46254.746527777781</v>
      </c>
      <c r="BH45" s="56">
        <v>46254.779166666667</v>
      </c>
      <c r="BI45" s="32" t="s">
        <v>65</v>
      </c>
      <c r="BJ45" s="56">
        <v>46254.958333333336</v>
      </c>
      <c r="BK45" s="56">
        <v>46254.972222222219</v>
      </c>
      <c r="BL45" s="56">
        <v>46254.975694444445</v>
      </c>
      <c r="BM45" s="56">
        <v>46254.982638888891</v>
      </c>
      <c r="BN45" s="56">
        <v>46254.986111111109</v>
      </c>
      <c r="BP45" s="32" t="s">
        <v>380</v>
      </c>
      <c r="BQ45" s="32">
        <v>46254.958333333336</v>
      </c>
    </row>
    <row r="46" spans="1:69" x14ac:dyDescent="0.35">
      <c r="A46" t="s">
        <v>176</v>
      </c>
      <c r="B46" s="32">
        <v>16</v>
      </c>
      <c r="C46" s="32">
        <v>34</v>
      </c>
      <c r="D46" s="32" t="s">
        <v>368</v>
      </c>
      <c r="E46" s="32" t="s">
        <v>178</v>
      </c>
      <c r="F46" s="54">
        <v>46254</v>
      </c>
      <c r="G46" s="54">
        <v>46255</v>
      </c>
      <c r="H46" s="55">
        <v>0.41666666666666669</v>
      </c>
      <c r="I46" s="55">
        <v>0.33333333333333331</v>
      </c>
      <c r="J46" s="32" t="s">
        <v>369</v>
      </c>
      <c r="K46" s="32" t="s">
        <v>179</v>
      </c>
      <c r="L46" s="32">
        <v>1</v>
      </c>
      <c r="M46" s="32" t="s">
        <v>476</v>
      </c>
      <c r="P46" s="32" t="s">
        <v>182</v>
      </c>
      <c r="Q46" s="32" t="s">
        <v>371</v>
      </c>
      <c r="R46" s="32" t="s">
        <v>382</v>
      </c>
      <c r="S46" s="32" t="s">
        <v>383</v>
      </c>
      <c r="T46" s="32" t="s">
        <v>477</v>
      </c>
      <c r="U46" s="32" t="s">
        <v>478</v>
      </c>
      <c r="V46" s="32">
        <v>7604</v>
      </c>
      <c r="W46" s="32" t="s">
        <v>479</v>
      </c>
      <c r="X46" s="32" t="s">
        <v>188</v>
      </c>
      <c r="Y46" s="32" t="s">
        <v>188</v>
      </c>
      <c r="Z46" s="32" t="s">
        <v>188</v>
      </c>
      <c r="AA46" s="32" t="s">
        <v>189</v>
      </c>
      <c r="AB46" s="32" t="s">
        <v>1845</v>
      </c>
      <c r="AC46" s="32" t="s">
        <v>56</v>
      </c>
      <c r="AD46" s="32" t="s">
        <v>376</v>
      </c>
      <c r="AE46" s="32">
        <v>20525373551</v>
      </c>
      <c r="AF46" s="32" t="s">
        <v>471</v>
      </c>
      <c r="AG46" s="32" t="s">
        <v>444</v>
      </c>
      <c r="AH46" s="32" t="s">
        <v>193</v>
      </c>
      <c r="AI46" s="32" t="s">
        <v>445</v>
      </c>
      <c r="AJ46" s="32" t="s">
        <v>446</v>
      </c>
      <c r="AK46" s="32">
        <v>998230850</v>
      </c>
      <c r="AL46" s="32" t="s">
        <v>1840</v>
      </c>
      <c r="AM46" s="32" t="s">
        <v>278</v>
      </c>
      <c r="AN46" s="32" t="s">
        <v>278</v>
      </c>
      <c r="AO46" s="32" t="s">
        <v>1840</v>
      </c>
      <c r="AP46" s="32" t="s">
        <v>1840</v>
      </c>
      <c r="AQ46" s="32" t="s">
        <v>1840</v>
      </c>
      <c r="AR46" s="32" t="s">
        <v>1840</v>
      </c>
      <c r="AS46" s="32" t="s">
        <v>63</v>
      </c>
      <c r="AT46" s="32" t="s">
        <v>388</v>
      </c>
      <c r="AU46" s="56">
        <v>46254.666666666664</v>
      </c>
      <c r="AV46" s="56">
        <v>46254.664583333331</v>
      </c>
      <c r="AW46" s="56">
        <v>46254.686805555553</v>
      </c>
      <c r="AX46" s="56">
        <v>46254.698611111111</v>
      </c>
      <c r="AY46" s="56">
        <v>46254.783333333333</v>
      </c>
      <c r="AZ46" s="56">
        <v>46255.138194444444</v>
      </c>
      <c r="BA46" s="56">
        <v>46255.326388888891</v>
      </c>
      <c r="BB46" s="56">
        <v>46255.329861111109</v>
      </c>
      <c r="BC46" s="56">
        <v>46255.336805555555</v>
      </c>
      <c r="BD46" s="56">
        <v>46255.447916666664</v>
      </c>
      <c r="BE46" s="56">
        <v>46255.447916666664</v>
      </c>
      <c r="BG46" s="56">
        <v>46255.474999999999</v>
      </c>
      <c r="BH46" s="56">
        <v>46255.48333333333</v>
      </c>
      <c r="BI46" s="32" t="s">
        <v>65</v>
      </c>
      <c r="BJ46" s="56">
        <v>46255.75</v>
      </c>
      <c r="BK46" s="56">
        <v>46255.727777777778</v>
      </c>
      <c r="BL46" s="56">
        <v>46255.727777777778</v>
      </c>
      <c r="BM46" s="56">
        <v>46255.73333333333</v>
      </c>
      <c r="BN46" s="56">
        <v>46255.737500000003</v>
      </c>
      <c r="BP46" s="32" t="s">
        <v>380</v>
      </c>
      <c r="BQ46" s="32">
        <v>46255.75</v>
      </c>
    </row>
    <row r="47" spans="1:69" x14ac:dyDescent="0.35">
      <c r="A47" t="s">
        <v>176</v>
      </c>
      <c r="B47" s="32">
        <v>17</v>
      </c>
      <c r="C47" s="32">
        <v>34</v>
      </c>
      <c r="D47" s="32" t="s">
        <v>368</v>
      </c>
      <c r="E47" s="32" t="s">
        <v>178</v>
      </c>
      <c r="F47" s="54">
        <v>46257</v>
      </c>
      <c r="G47" s="54">
        <v>46258</v>
      </c>
      <c r="H47" s="55">
        <v>0.41666666666666669</v>
      </c>
      <c r="I47" s="55">
        <v>0.33333333333333331</v>
      </c>
      <c r="J47" s="32" t="s">
        <v>369</v>
      </c>
      <c r="K47" s="32" t="s">
        <v>179</v>
      </c>
      <c r="L47" s="32">
        <v>1</v>
      </c>
      <c r="M47" s="32" t="s">
        <v>1846</v>
      </c>
      <c r="P47" s="32" t="s">
        <v>182</v>
      </c>
      <c r="Q47" s="32" t="s">
        <v>371</v>
      </c>
      <c r="R47" s="32" t="s">
        <v>439</v>
      </c>
      <c r="S47" s="32" t="s">
        <v>631</v>
      </c>
      <c r="T47" s="32" t="s">
        <v>1847</v>
      </c>
      <c r="U47" s="32" t="s">
        <v>1877</v>
      </c>
      <c r="V47" s="32">
        <v>809477</v>
      </c>
      <c r="W47" s="32" t="s">
        <v>1878</v>
      </c>
      <c r="X47" s="32" t="s">
        <v>187</v>
      </c>
      <c r="Y47" s="32" t="s">
        <v>188</v>
      </c>
      <c r="Z47" s="32" t="s">
        <v>188</v>
      </c>
      <c r="AA47" s="32" t="s">
        <v>189</v>
      </c>
      <c r="AB47" s="32" t="s">
        <v>1845</v>
      </c>
      <c r="AC47" s="32" t="s">
        <v>56</v>
      </c>
      <c r="AD47" s="32" t="s">
        <v>376</v>
      </c>
      <c r="AE47" s="32">
        <v>20525373551</v>
      </c>
      <c r="AF47" s="32" t="s">
        <v>377</v>
      </c>
      <c r="AG47" s="32" t="s">
        <v>1820</v>
      </c>
      <c r="AH47" s="32" t="s">
        <v>193</v>
      </c>
      <c r="AI47" s="32" t="s">
        <v>378</v>
      </c>
      <c r="AJ47" s="32" t="s">
        <v>379</v>
      </c>
      <c r="AK47" s="32">
        <v>998231122</v>
      </c>
      <c r="AL47" s="32" t="s">
        <v>1840</v>
      </c>
      <c r="AM47" s="32" t="s">
        <v>278</v>
      </c>
      <c r="AN47" s="32" t="s">
        <v>278</v>
      </c>
      <c r="AO47" s="32" t="s">
        <v>1840</v>
      </c>
      <c r="AP47" s="32" t="s">
        <v>1840</v>
      </c>
      <c r="AQ47" s="32" t="s">
        <v>1840</v>
      </c>
      <c r="AR47" s="32" t="s">
        <v>1840</v>
      </c>
      <c r="AS47" s="32" t="s">
        <v>63</v>
      </c>
      <c r="AT47" s="32" t="s">
        <v>64</v>
      </c>
      <c r="AU47" s="56">
        <v>46257.833333333336</v>
      </c>
      <c r="AV47" s="56">
        <v>46257.800694444442</v>
      </c>
      <c r="AW47" s="56">
        <v>46257.856944444444</v>
      </c>
      <c r="AX47" s="56">
        <v>46257.861111111109</v>
      </c>
      <c r="AY47" s="56">
        <v>46257.931250000001</v>
      </c>
      <c r="AZ47" s="56">
        <v>46257.931250000001</v>
      </c>
      <c r="BA47" s="56">
        <v>46258.1</v>
      </c>
      <c r="BB47" s="56">
        <v>46258.348611111112</v>
      </c>
      <c r="BC47" s="56">
        <v>46258.348611111112</v>
      </c>
      <c r="BD47" s="56">
        <v>46258.350694444445</v>
      </c>
      <c r="BE47" s="56">
        <v>46258.479861111111</v>
      </c>
      <c r="BG47" s="56">
        <v>46258.529861111114</v>
      </c>
      <c r="BH47" s="56">
        <v>46258.569444444445</v>
      </c>
      <c r="BI47" s="32" t="s">
        <v>65</v>
      </c>
      <c r="BJ47" s="56">
        <v>46258.791666666664</v>
      </c>
      <c r="BK47" s="56">
        <v>46258.765972222223</v>
      </c>
      <c r="BL47" s="56">
        <v>46258.765972222223</v>
      </c>
      <c r="BM47" s="56">
        <v>46258.768750000003</v>
      </c>
      <c r="BN47" s="56">
        <v>46258.774305555555</v>
      </c>
      <c r="BP47" s="32" t="s">
        <v>380</v>
      </c>
      <c r="BQ47" s="32">
        <v>46258.791666666664</v>
      </c>
    </row>
    <row r="48" spans="1:69" x14ac:dyDescent="0.35">
      <c r="A48" t="s">
        <v>176</v>
      </c>
      <c r="B48" s="32">
        <v>18</v>
      </c>
      <c r="C48" s="32">
        <v>34</v>
      </c>
      <c r="D48" s="32" t="s">
        <v>368</v>
      </c>
      <c r="E48" s="32" t="s">
        <v>178</v>
      </c>
      <c r="F48" s="54">
        <v>46257</v>
      </c>
      <c r="G48" s="54">
        <v>46258</v>
      </c>
      <c r="H48" s="55">
        <v>0.41666666666666669</v>
      </c>
      <c r="I48" s="55">
        <v>0.33333333333333331</v>
      </c>
      <c r="J48" s="32" t="s">
        <v>369</v>
      </c>
      <c r="K48" s="32" t="s">
        <v>179</v>
      </c>
      <c r="L48" s="32">
        <v>1</v>
      </c>
      <c r="M48" s="32" t="s">
        <v>1848</v>
      </c>
      <c r="P48" s="32" t="s">
        <v>182</v>
      </c>
      <c r="Q48" s="32" t="s">
        <v>371</v>
      </c>
      <c r="R48" s="32" t="s">
        <v>439</v>
      </c>
      <c r="S48" s="32" t="s">
        <v>631</v>
      </c>
      <c r="T48" s="32" t="s">
        <v>1849</v>
      </c>
      <c r="U48" s="32" t="s">
        <v>1879</v>
      </c>
      <c r="V48" s="32">
        <v>809473</v>
      </c>
      <c r="W48" s="32" t="s">
        <v>1880</v>
      </c>
      <c r="X48" s="32" t="s">
        <v>187</v>
      </c>
      <c r="Y48" s="32" t="s">
        <v>188</v>
      </c>
      <c r="Z48" s="32" t="s">
        <v>188</v>
      </c>
      <c r="AA48" s="32" t="s">
        <v>189</v>
      </c>
      <c r="AB48" s="32" t="s">
        <v>1845</v>
      </c>
      <c r="AC48" s="32" t="s">
        <v>56</v>
      </c>
      <c r="AD48" s="32" t="s">
        <v>376</v>
      </c>
      <c r="AE48" s="32">
        <v>20525373551</v>
      </c>
      <c r="AF48" s="32" t="s">
        <v>1881</v>
      </c>
      <c r="AG48" s="32" t="s">
        <v>1882</v>
      </c>
      <c r="AH48" s="32" t="s">
        <v>193</v>
      </c>
      <c r="AI48" s="32" t="s">
        <v>1883</v>
      </c>
      <c r="AJ48" s="32" t="s">
        <v>1884</v>
      </c>
      <c r="AK48" s="32">
        <v>958976357</v>
      </c>
      <c r="AL48" s="32" t="s">
        <v>1840</v>
      </c>
      <c r="AM48" s="32" t="s">
        <v>278</v>
      </c>
      <c r="AN48" s="32" t="s">
        <v>278</v>
      </c>
      <c r="AO48" s="32" t="s">
        <v>1840</v>
      </c>
      <c r="AP48" s="32" t="s">
        <v>1840</v>
      </c>
      <c r="AQ48" s="32" t="s">
        <v>1840</v>
      </c>
      <c r="AR48" s="32" t="s">
        <v>1840</v>
      </c>
      <c r="AS48" s="32" t="s">
        <v>63</v>
      </c>
      <c r="AT48" s="32" t="s">
        <v>64</v>
      </c>
      <c r="AU48" s="56">
        <v>46257.833333333336</v>
      </c>
      <c r="AV48" s="56">
        <v>46257.813194444447</v>
      </c>
      <c r="AW48" s="56">
        <v>46257.870833333334</v>
      </c>
      <c r="AX48" s="56">
        <v>46257.874305555553</v>
      </c>
      <c r="AY48" s="56">
        <v>46257.911805555559</v>
      </c>
      <c r="AZ48" s="56">
        <v>46258.099305555559</v>
      </c>
      <c r="BA48" s="56">
        <v>46258.285416666666</v>
      </c>
      <c r="BB48" s="56">
        <v>46258.34097222222</v>
      </c>
      <c r="BC48" s="56">
        <v>46258.34097222222</v>
      </c>
      <c r="BD48" s="56">
        <v>46258.343055555553</v>
      </c>
      <c r="BE48" s="56">
        <v>46258.429861111108</v>
      </c>
      <c r="BG48" s="56">
        <v>46258.660416666666</v>
      </c>
      <c r="BH48" s="56">
        <v>46258.696527777778</v>
      </c>
      <c r="BI48" s="32" t="s">
        <v>65</v>
      </c>
      <c r="BJ48" s="56">
        <v>46259</v>
      </c>
      <c r="BK48" s="56">
        <v>46258.965277777781</v>
      </c>
      <c r="BL48" s="56">
        <v>46258.966666666667</v>
      </c>
      <c r="BM48" s="56">
        <v>46258.970833333333</v>
      </c>
      <c r="BN48" s="56">
        <v>46258.980555555558</v>
      </c>
      <c r="BP48" s="32" t="s">
        <v>380</v>
      </c>
      <c r="BQ48" s="32">
        <v>46259</v>
      </c>
    </row>
    <row r="49" spans="1:69" x14ac:dyDescent="0.35">
      <c r="A49" t="s">
        <v>176</v>
      </c>
      <c r="B49" s="32">
        <v>19</v>
      </c>
      <c r="C49" s="32">
        <v>34</v>
      </c>
      <c r="D49" s="32" t="s">
        <v>368</v>
      </c>
      <c r="E49" s="32" t="s">
        <v>178</v>
      </c>
      <c r="F49" s="54">
        <v>46257</v>
      </c>
      <c r="G49" s="54">
        <v>46258</v>
      </c>
      <c r="H49" s="55">
        <v>0.5</v>
      </c>
      <c r="I49" s="55">
        <v>0.41666666666666669</v>
      </c>
      <c r="J49" s="32" t="s">
        <v>369</v>
      </c>
      <c r="K49" s="32" t="s">
        <v>179</v>
      </c>
      <c r="L49" s="32">
        <v>1</v>
      </c>
      <c r="M49" s="32" t="s">
        <v>1850</v>
      </c>
      <c r="P49" s="32" t="s">
        <v>182</v>
      </c>
      <c r="Q49" s="32" t="s">
        <v>371</v>
      </c>
      <c r="R49" s="32" t="s">
        <v>439</v>
      </c>
      <c r="S49" s="32" t="s">
        <v>631</v>
      </c>
      <c r="T49" s="32" t="s">
        <v>1851</v>
      </c>
      <c r="U49" s="32" t="s">
        <v>1885</v>
      </c>
      <c r="V49" s="32">
        <v>809499</v>
      </c>
      <c r="W49" s="32" t="s">
        <v>1886</v>
      </c>
      <c r="X49" s="32" t="s">
        <v>187</v>
      </c>
      <c r="Y49" s="32" t="s">
        <v>188</v>
      </c>
      <c r="Z49" s="32" t="s">
        <v>188</v>
      </c>
      <c r="AA49" s="32" t="s">
        <v>189</v>
      </c>
      <c r="AB49" s="32" t="s">
        <v>1845</v>
      </c>
      <c r="AC49" s="32" t="s">
        <v>56</v>
      </c>
      <c r="AD49" s="32" t="s">
        <v>376</v>
      </c>
      <c r="AE49" s="32">
        <v>20525373551</v>
      </c>
      <c r="AF49" s="32" t="s">
        <v>471</v>
      </c>
      <c r="AG49" s="32" t="s">
        <v>444</v>
      </c>
      <c r="AH49" s="32" t="s">
        <v>193</v>
      </c>
      <c r="AI49" s="32" t="s">
        <v>445</v>
      </c>
      <c r="AJ49" s="32" t="s">
        <v>446</v>
      </c>
      <c r="AK49" s="32">
        <v>998230850</v>
      </c>
      <c r="AL49" s="32" t="s">
        <v>1840</v>
      </c>
      <c r="AM49" s="32" t="s">
        <v>278</v>
      </c>
      <c r="AN49" s="32" t="s">
        <v>278</v>
      </c>
      <c r="AO49" s="32" t="s">
        <v>1840</v>
      </c>
      <c r="AP49" s="32" t="s">
        <v>1840</v>
      </c>
      <c r="AQ49" s="32" t="s">
        <v>1840</v>
      </c>
      <c r="AR49" s="32" t="s">
        <v>1840</v>
      </c>
      <c r="AS49" s="32" t="s">
        <v>63</v>
      </c>
      <c r="AT49" s="32" t="s">
        <v>64</v>
      </c>
      <c r="AU49" s="56">
        <v>46257.833333333336</v>
      </c>
      <c r="AV49" s="56">
        <v>46257.84375</v>
      </c>
      <c r="AW49" s="56">
        <v>46257.867361111108</v>
      </c>
      <c r="AX49" s="56">
        <v>46257.873611111114</v>
      </c>
      <c r="AY49" s="56">
        <v>46257.944444444445</v>
      </c>
      <c r="AZ49" s="56">
        <v>46258.136805555558</v>
      </c>
      <c r="BA49" s="56">
        <v>46258.285416666666</v>
      </c>
      <c r="BB49" s="56">
        <v>46258.361111111109</v>
      </c>
      <c r="BC49" s="56">
        <v>46258.375</v>
      </c>
      <c r="BD49" s="56">
        <v>46258.381944444445</v>
      </c>
      <c r="BE49" s="56">
        <v>46258.599305555559</v>
      </c>
      <c r="BG49" s="56">
        <v>46258.637499999997</v>
      </c>
      <c r="BH49" s="56">
        <v>46258.677777777775</v>
      </c>
      <c r="BI49" s="32" t="s">
        <v>65</v>
      </c>
      <c r="BJ49" s="56">
        <v>46258.916666666664</v>
      </c>
      <c r="BK49" s="56">
        <v>46258.902083333334</v>
      </c>
      <c r="BL49" s="56">
        <v>46258.90347222222</v>
      </c>
      <c r="BM49" s="56">
        <v>46258.920138888891</v>
      </c>
      <c r="BN49" s="56">
        <v>46258.924305555556</v>
      </c>
      <c r="BP49" s="32" t="s">
        <v>380</v>
      </c>
      <c r="BQ49" s="32">
        <v>46258.916666666664</v>
      </c>
    </row>
    <row r="50" spans="1:69" x14ac:dyDescent="0.35">
      <c r="A50" t="s">
        <v>176</v>
      </c>
      <c r="B50" s="32">
        <v>20</v>
      </c>
      <c r="C50" s="32">
        <v>34</v>
      </c>
      <c r="D50" s="32" t="s">
        <v>368</v>
      </c>
      <c r="E50" s="32" t="s">
        <v>178</v>
      </c>
      <c r="F50" s="54">
        <v>46258</v>
      </c>
      <c r="G50" s="54">
        <v>46259</v>
      </c>
      <c r="H50" s="55">
        <v>0.41666666666666669</v>
      </c>
      <c r="I50" s="55">
        <v>0.33333333333333331</v>
      </c>
      <c r="J50" s="32" t="s">
        <v>369</v>
      </c>
      <c r="K50" s="32" t="s">
        <v>179</v>
      </c>
      <c r="L50" s="32">
        <v>1</v>
      </c>
      <c r="M50" s="32" t="s">
        <v>1887</v>
      </c>
      <c r="P50" s="32" t="s">
        <v>182</v>
      </c>
      <c r="Q50" s="32" t="s">
        <v>371</v>
      </c>
      <c r="R50" s="32" t="s">
        <v>183</v>
      </c>
      <c r="S50" s="32" t="s">
        <v>184</v>
      </c>
      <c r="T50" s="32" t="s">
        <v>1888</v>
      </c>
      <c r="U50" s="32" t="s">
        <v>1889</v>
      </c>
      <c r="V50" s="32">
        <v>809700</v>
      </c>
      <c r="W50" s="32" t="s">
        <v>1890</v>
      </c>
      <c r="X50" s="32" t="s">
        <v>187</v>
      </c>
      <c r="Y50" s="32" t="s">
        <v>188</v>
      </c>
      <c r="Z50" s="32" t="s">
        <v>188</v>
      </c>
      <c r="AA50" s="32" t="s">
        <v>189</v>
      </c>
      <c r="AB50" s="32" t="s">
        <v>1845</v>
      </c>
      <c r="AC50" s="32" t="s">
        <v>56</v>
      </c>
      <c r="AD50" s="32" t="s">
        <v>376</v>
      </c>
      <c r="AE50" s="32">
        <v>20525373551</v>
      </c>
      <c r="AF50" s="32" t="s">
        <v>394</v>
      </c>
      <c r="AG50" s="32" t="s">
        <v>1821</v>
      </c>
      <c r="AH50" s="32" t="s">
        <v>193</v>
      </c>
      <c r="AI50" s="32" t="s">
        <v>395</v>
      </c>
      <c r="AJ50" s="32" t="s">
        <v>396</v>
      </c>
      <c r="AK50" s="32">
        <v>929327939</v>
      </c>
      <c r="AL50" s="32" t="s">
        <v>1840</v>
      </c>
      <c r="AM50" s="32" t="s">
        <v>278</v>
      </c>
      <c r="AN50" s="32" t="s">
        <v>278</v>
      </c>
      <c r="AO50" s="32" t="s">
        <v>1840</v>
      </c>
      <c r="AP50" s="32" t="s">
        <v>1840</v>
      </c>
      <c r="AQ50" s="32" t="s">
        <v>1840</v>
      </c>
      <c r="AR50" s="32" t="s">
        <v>1840</v>
      </c>
      <c r="AS50" s="32" t="s">
        <v>63</v>
      </c>
      <c r="AT50" s="32" t="s">
        <v>64</v>
      </c>
      <c r="AU50" s="56">
        <v>46258.583333333336</v>
      </c>
      <c r="AV50" s="56">
        <v>46258.572222222225</v>
      </c>
      <c r="AW50" s="56">
        <v>46258.628472222219</v>
      </c>
      <c r="AX50" s="56">
        <v>46258.640972222223</v>
      </c>
      <c r="AY50" s="56">
        <v>46258.695138888892</v>
      </c>
      <c r="AZ50" s="56">
        <v>46258.708333333336</v>
      </c>
      <c r="BA50" s="56">
        <v>46258.902777777781</v>
      </c>
      <c r="BB50" s="56">
        <v>46259.404166666667</v>
      </c>
      <c r="BC50" s="56">
        <v>46259.406944444447</v>
      </c>
      <c r="BD50" s="56">
        <v>46259.412499999999</v>
      </c>
      <c r="BE50" s="56">
        <v>46259.520833333336</v>
      </c>
      <c r="BG50" s="56">
        <v>46259.547222222223</v>
      </c>
      <c r="BH50" s="56">
        <v>46259.579861111109</v>
      </c>
      <c r="BI50" s="32" t="s">
        <v>65</v>
      </c>
      <c r="BQ50" s="32">
        <v>46259.833333333336</v>
      </c>
    </row>
    <row r="51" spans="1:69" x14ac:dyDescent="0.35">
      <c r="A51" t="s">
        <v>176</v>
      </c>
      <c r="B51" s="32">
        <v>21</v>
      </c>
      <c r="C51" s="32">
        <v>35</v>
      </c>
      <c r="D51" s="32" t="s">
        <v>368</v>
      </c>
      <c r="E51" s="32" t="s">
        <v>178</v>
      </c>
      <c r="F51" s="54">
        <v>46259</v>
      </c>
      <c r="G51" s="54">
        <v>46260</v>
      </c>
      <c r="H51" s="55">
        <v>0.41666666666666669</v>
      </c>
      <c r="I51" s="55">
        <v>0.33333333333333331</v>
      </c>
      <c r="J51" s="32" t="s">
        <v>369</v>
      </c>
      <c r="K51" s="32" t="s">
        <v>179</v>
      </c>
      <c r="L51" s="32">
        <v>1</v>
      </c>
      <c r="M51" s="32" t="s">
        <v>1891</v>
      </c>
      <c r="P51" s="32" t="s">
        <v>182</v>
      </c>
      <c r="Q51" s="32" t="s">
        <v>371</v>
      </c>
      <c r="R51" s="32" t="s">
        <v>183</v>
      </c>
      <c r="S51" s="32" t="s">
        <v>460</v>
      </c>
      <c r="T51" s="32" t="s">
        <v>1892</v>
      </c>
      <c r="X51" s="32" t="s">
        <v>187</v>
      </c>
      <c r="Y51" s="32" t="s">
        <v>188</v>
      </c>
      <c r="Z51" s="32" t="s">
        <v>1893</v>
      </c>
      <c r="AA51" s="32" t="s">
        <v>189</v>
      </c>
      <c r="AB51" s="32" t="s">
        <v>1845</v>
      </c>
      <c r="AC51" s="32" t="s">
        <v>56</v>
      </c>
      <c r="AD51" s="32" t="s">
        <v>376</v>
      </c>
      <c r="AE51" s="32">
        <v>20525373551</v>
      </c>
      <c r="AF51" s="32" t="s">
        <v>377</v>
      </c>
      <c r="AG51" s="32" t="s">
        <v>1820</v>
      </c>
      <c r="AH51" s="32" t="s">
        <v>193</v>
      </c>
      <c r="AI51" s="32" t="s">
        <v>378</v>
      </c>
      <c r="AJ51" s="32" t="s">
        <v>379</v>
      </c>
      <c r="AK51" s="32">
        <v>998231122</v>
      </c>
      <c r="AL51" s="32" t="s">
        <v>1840</v>
      </c>
      <c r="AM51" s="32" t="s">
        <v>278</v>
      </c>
      <c r="AN51" s="32" t="s">
        <v>278</v>
      </c>
      <c r="AO51" s="32" t="s">
        <v>1840</v>
      </c>
      <c r="AP51" s="32" t="s">
        <v>1840</v>
      </c>
      <c r="AQ51" s="32" t="s">
        <v>1840</v>
      </c>
      <c r="AR51" s="32" t="s">
        <v>1840</v>
      </c>
      <c r="AS51" s="32" t="s">
        <v>63</v>
      </c>
      <c r="AT51" s="32" t="s">
        <v>388</v>
      </c>
      <c r="AU51" s="56">
        <v>46259.75</v>
      </c>
      <c r="AV51" s="56">
        <v>46259.73541666667</v>
      </c>
    </row>
    <row r="52" spans="1:69" x14ac:dyDescent="0.35">
      <c r="A52" t="s">
        <v>176</v>
      </c>
      <c r="B52" s="32">
        <v>1</v>
      </c>
      <c r="C52" s="32">
        <v>29</v>
      </c>
      <c r="D52" s="32" t="s">
        <v>177</v>
      </c>
      <c r="E52" s="32" t="s">
        <v>178</v>
      </c>
      <c r="G52" s="54">
        <v>46221</v>
      </c>
      <c r="H52" s="55"/>
      <c r="I52" s="55">
        <v>0.5</v>
      </c>
      <c r="J52" s="32" t="s">
        <v>53</v>
      </c>
      <c r="K52" s="32" t="s">
        <v>179</v>
      </c>
      <c r="L52" s="32">
        <v>1</v>
      </c>
      <c r="M52" s="32" t="s">
        <v>480</v>
      </c>
      <c r="P52" s="32" t="s">
        <v>182</v>
      </c>
      <c r="Q52" s="32" t="s">
        <v>371</v>
      </c>
      <c r="R52" s="32" t="s">
        <v>183</v>
      </c>
      <c r="S52" s="32" t="s">
        <v>184</v>
      </c>
      <c r="T52" s="32" t="s">
        <v>481</v>
      </c>
      <c r="U52" s="32" t="s">
        <v>482</v>
      </c>
      <c r="V52" s="32" t="s">
        <v>483</v>
      </c>
      <c r="W52" s="32" t="s">
        <v>484</v>
      </c>
      <c r="X52" s="32" t="s">
        <v>187</v>
      </c>
      <c r="AA52" s="32" t="s">
        <v>189</v>
      </c>
      <c r="AB52" s="32" t="s">
        <v>485</v>
      </c>
      <c r="AC52" s="32" t="s">
        <v>56</v>
      </c>
      <c r="AD52" s="32" t="s">
        <v>486</v>
      </c>
      <c r="AE52" s="32">
        <v>20544424751</v>
      </c>
      <c r="AF52" s="32" t="s">
        <v>487</v>
      </c>
      <c r="AG52" s="32" t="s">
        <v>488</v>
      </c>
      <c r="AH52" s="32" t="s">
        <v>193</v>
      </c>
      <c r="AI52" s="32" t="s">
        <v>489</v>
      </c>
      <c r="AJ52" s="32" t="s">
        <v>490</v>
      </c>
      <c r="AK52" s="32">
        <v>934270711</v>
      </c>
      <c r="AL52" s="32" t="s">
        <v>491</v>
      </c>
      <c r="AM52" s="32" t="s">
        <v>491</v>
      </c>
      <c r="AN52" s="32" t="s">
        <v>491</v>
      </c>
      <c r="AO52" s="32" t="s">
        <v>491</v>
      </c>
      <c r="AP52" s="32" t="s">
        <v>491</v>
      </c>
      <c r="AQ52" s="32" t="s">
        <v>491</v>
      </c>
      <c r="AR52" s="32" t="s">
        <v>491</v>
      </c>
      <c r="AS52" s="32" t="s">
        <v>63</v>
      </c>
      <c r="AT52" s="32" t="s">
        <v>64</v>
      </c>
      <c r="AU52" s="56">
        <v>46221.5</v>
      </c>
      <c r="AV52" s="56">
        <v>46221.477777777778</v>
      </c>
      <c r="AW52" s="56">
        <v>46221.502083333333</v>
      </c>
      <c r="AX52" s="56">
        <v>46221.513888888891</v>
      </c>
      <c r="AY52" s="56">
        <v>46221.576388888891</v>
      </c>
      <c r="AZ52" s="56">
        <v>46221.589583333334</v>
      </c>
      <c r="BA52" s="56">
        <v>46222.411805555559</v>
      </c>
      <c r="BB52" s="56">
        <v>46222.413194444445</v>
      </c>
      <c r="BC52" s="56">
        <v>46222.416666666664</v>
      </c>
      <c r="BD52" s="56">
        <v>46222.392361111109</v>
      </c>
      <c r="BE52" s="56">
        <v>46222.831250000003</v>
      </c>
      <c r="BG52" s="56">
        <v>46222.854166666664</v>
      </c>
      <c r="BH52" s="56">
        <v>46222.868055555555</v>
      </c>
      <c r="BI52" s="32" t="s">
        <v>65</v>
      </c>
      <c r="BJ52" s="56">
        <v>46223.708333333336</v>
      </c>
      <c r="BK52" s="56">
        <v>46223.648611111108</v>
      </c>
      <c r="BL52" s="56">
        <v>46223.65625</v>
      </c>
      <c r="BM52" s="56">
        <v>46223.658333333333</v>
      </c>
      <c r="BN52" s="56">
        <v>46223.661805555559</v>
      </c>
    </row>
    <row r="53" spans="1:69" x14ac:dyDescent="0.35">
      <c r="A53" t="s">
        <v>176</v>
      </c>
      <c r="B53" s="32">
        <v>2</v>
      </c>
      <c r="C53" s="32">
        <v>29</v>
      </c>
      <c r="D53" s="32" t="s">
        <v>177</v>
      </c>
      <c r="E53" s="32" t="s">
        <v>178</v>
      </c>
      <c r="G53" s="54">
        <v>46221</v>
      </c>
      <c r="H53" s="55"/>
      <c r="I53" s="55">
        <v>0.5</v>
      </c>
      <c r="J53" s="32" t="s">
        <v>53</v>
      </c>
      <c r="K53" s="32" t="s">
        <v>179</v>
      </c>
      <c r="L53" s="32">
        <v>1</v>
      </c>
      <c r="M53" s="32" t="s">
        <v>492</v>
      </c>
      <c r="P53" s="32" t="s">
        <v>182</v>
      </c>
      <c r="Q53" s="32" t="s">
        <v>371</v>
      </c>
      <c r="R53" s="32" t="s">
        <v>183</v>
      </c>
      <c r="S53" s="32" t="s">
        <v>184</v>
      </c>
      <c r="T53" s="32" t="s">
        <v>493</v>
      </c>
      <c r="U53" s="32" t="s">
        <v>494</v>
      </c>
      <c r="V53" s="32" t="s">
        <v>495</v>
      </c>
      <c r="W53" s="32" t="s">
        <v>496</v>
      </c>
      <c r="X53" s="32" t="s">
        <v>187</v>
      </c>
      <c r="AA53" s="32" t="s">
        <v>189</v>
      </c>
      <c r="AB53" s="32" t="s">
        <v>485</v>
      </c>
      <c r="AC53" s="32" t="s">
        <v>56</v>
      </c>
      <c r="AD53" s="32" t="s">
        <v>486</v>
      </c>
      <c r="AE53" s="32">
        <v>20544424751</v>
      </c>
      <c r="AF53" s="32" t="s">
        <v>1823</v>
      </c>
      <c r="AG53" s="32" t="s">
        <v>497</v>
      </c>
      <c r="AH53" s="32" t="s">
        <v>193</v>
      </c>
      <c r="AI53" s="32" t="s">
        <v>498</v>
      </c>
      <c r="AJ53" s="32" t="s">
        <v>499</v>
      </c>
      <c r="AK53" s="32">
        <v>946500525</v>
      </c>
      <c r="AL53" s="32" t="s">
        <v>491</v>
      </c>
      <c r="AM53" s="32" t="s">
        <v>491</v>
      </c>
      <c r="AN53" s="32" t="s">
        <v>491</v>
      </c>
      <c r="AO53" s="32" t="s">
        <v>491</v>
      </c>
      <c r="AP53" s="32" t="s">
        <v>491</v>
      </c>
      <c r="AQ53" s="32" t="s">
        <v>491</v>
      </c>
      <c r="AR53" s="32" t="s">
        <v>491</v>
      </c>
      <c r="AS53" s="32" t="s">
        <v>63</v>
      </c>
      <c r="AT53" s="32" t="s">
        <v>64</v>
      </c>
      <c r="AU53" s="56">
        <v>46221.5</v>
      </c>
      <c r="AV53" s="56">
        <v>46221.48333333333</v>
      </c>
      <c r="AW53" s="56">
        <v>46221.488194444442</v>
      </c>
      <c r="AX53" s="56">
        <v>46221.495138888888</v>
      </c>
      <c r="AY53" s="56">
        <v>46221.571527777778</v>
      </c>
      <c r="AZ53" s="56">
        <v>46221.589583333334</v>
      </c>
      <c r="BA53" s="56">
        <v>46222.42083333333</v>
      </c>
      <c r="BB53" s="56">
        <v>46222.422222222223</v>
      </c>
      <c r="BC53" s="56">
        <v>46222.423611111109</v>
      </c>
      <c r="BD53" s="56">
        <v>46222.392361111109</v>
      </c>
      <c r="BE53" s="56">
        <v>46222.831250000003</v>
      </c>
      <c r="BG53" s="56">
        <v>46222.861111111109</v>
      </c>
      <c r="BH53" s="56">
        <v>46222.890277777777</v>
      </c>
      <c r="BI53" s="32" t="s">
        <v>65</v>
      </c>
      <c r="BJ53" s="56">
        <v>46223.708333333336</v>
      </c>
      <c r="BK53" s="56">
        <v>46223.646527777775</v>
      </c>
      <c r="BL53" s="56">
        <v>46223.654166666667</v>
      </c>
      <c r="BM53" s="56">
        <v>46223.655555555553</v>
      </c>
      <c r="BN53" s="56">
        <v>46223.663194444445</v>
      </c>
    </row>
    <row r="54" spans="1:69" x14ac:dyDescent="0.35">
      <c r="A54" t="s">
        <v>176</v>
      </c>
      <c r="B54" s="32">
        <v>3</v>
      </c>
      <c r="C54" s="32">
        <v>29</v>
      </c>
      <c r="D54" s="32" t="s">
        <v>177</v>
      </c>
      <c r="E54" s="32" t="s">
        <v>178</v>
      </c>
      <c r="G54" s="54">
        <v>46222</v>
      </c>
      <c r="H54" s="55"/>
      <c r="I54" s="55">
        <v>0.5</v>
      </c>
      <c r="J54" s="32" t="s">
        <v>53</v>
      </c>
      <c r="K54" s="32" t="s">
        <v>179</v>
      </c>
      <c r="L54" s="32">
        <v>1</v>
      </c>
      <c r="M54" s="32" t="s">
        <v>500</v>
      </c>
      <c r="P54" s="32" t="s">
        <v>182</v>
      </c>
      <c r="Q54" s="32" t="s">
        <v>371</v>
      </c>
      <c r="R54" s="32" t="s">
        <v>183</v>
      </c>
      <c r="S54" s="32" t="s">
        <v>184</v>
      </c>
      <c r="T54" s="32" t="s">
        <v>501</v>
      </c>
      <c r="U54" s="32" t="s">
        <v>502</v>
      </c>
      <c r="V54" s="32" t="s">
        <v>503</v>
      </c>
      <c r="W54" s="32" t="s">
        <v>504</v>
      </c>
      <c r="X54" s="32" t="s">
        <v>187</v>
      </c>
      <c r="AA54" s="32" t="s">
        <v>189</v>
      </c>
      <c r="AB54" s="32" t="s">
        <v>485</v>
      </c>
      <c r="AC54" s="32" t="s">
        <v>56</v>
      </c>
      <c r="AD54" s="32" t="s">
        <v>486</v>
      </c>
      <c r="AE54" s="32">
        <v>20544424751</v>
      </c>
      <c r="AF54" s="32" t="s">
        <v>1824</v>
      </c>
      <c r="AG54" s="32" t="s">
        <v>505</v>
      </c>
      <c r="AH54" s="32" t="s">
        <v>193</v>
      </c>
      <c r="AI54" s="32" t="s">
        <v>506</v>
      </c>
      <c r="AJ54" s="32" t="s">
        <v>507</v>
      </c>
      <c r="AK54" s="32">
        <v>904556157</v>
      </c>
      <c r="AL54" s="32" t="s">
        <v>491</v>
      </c>
      <c r="AM54" s="32" t="s">
        <v>491</v>
      </c>
      <c r="AN54" s="32" t="s">
        <v>491</v>
      </c>
      <c r="AO54" s="32" t="s">
        <v>491</v>
      </c>
      <c r="AP54" s="32" t="s">
        <v>491</v>
      </c>
      <c r="AQ54" s="32" t="s">
        <v>491</v>
      </c>
      <c r="AR54" s="32" t="s">
        <v>491</v>
      </c>
      <c r="AS54" s="32" t="s">
        <v>63</v>
      </c>
      <c r="AT54" s="32" t="s">
        <v>64</v>
      </c>
      <c r="AU54" s="56">
        <v>46222.666666666664</v>
      </c>
      <c r="AV54" s="56">
        <v>46222.673611111109</v>
      </c>
      <c r="AW54" s="56">
        <v>46222.695138888892</v>
      </c>
      <c r="AX54" s="56">
        <v>46222.697916666664</v>
      </c>
      <c r="AY54" s="56">
        <v>46222.833333333336</v>
      </c>
      <c r="AZ54" s="56">
        <v>46222.854166666664</v>
      </c>
      <c r="BA54" s="56">
        <v>46223.504166666666</v>
      </c>
      <c r="BB54" s="56">
        <v>46223.513888888891</v>
      </c>
      <c r="BC54" s="56">
        <v>46223.51666666667</v>
      </c>
      <c r="BD54" s="56">
        <v>46223.5</v>
      </c>
      <c r="BE54" s="56">
        <v>46223.59097222222</v>
      </c>
      <c r="BG54" s="56">
        <v>46223.636805555558</v>
      </c>
      <c r="BH54" s="56">
        <v>46223.686111111114</v>
      </c>
      <c r="BI54" s="32" t="s">
        <v>65</v>
      </c>
      <c r="BJ54" s="56">
        <v>46224.458333333336</v>
      </c>
      <c r="BK54" s="56">
        <v>46224.422222222223</v>
      </c>
      <c r="BL54" s="56">
        <v>46224.425694444442</v>
      </c>
      <c r="BM54" s="56">
        <v>46224.427083333336</v>
      </c>
      <c r="BN54" s="56">
        <v>46224.433333333334</v>
      </c>
    </row>
    <row r="55" spans="1:69" x14ac:dyDescent="0.35">
      <c r="A55" t="s">
        <v>176</v>
      </c>
      <c r="B55" s="32">
        <v>4</v>
      </c>
      <c r="C55" s="32">
        <v>30</v>
      </c>
      <c r="D55" s="32" t="s">
        <v>177</v>
      </c>
      <c r="E55" s="32" t="s">
        <v>178</v>
      </c>
      <c r="G55" s="54">
        <v>46227</v>
      </c>
      <c r="H55" s="55"/>
      <c r="I55" s="55">
        <v>0.5</v>
      </c>
      <c r="J55" s="32" t="s">
        <v>53</v>
      </c>
      <c r="K55" s="32" t="s">
        <v>179</v>
      </c>
      <c r="L55" s="32">
        <v>1</v>
      </c>
      <c r="M55" s="32" t="s">
        <v>508</v>
      </c>
      <c r="P55" s="32" t="s">
        <v>182</v>
      </c>
      <c r="Q55" s="32" t="s">
        <v>371</v>
      </c>
      <c r="R55" s="32" t="s">
        <v>183</v>
      </c>
      <c r="S55" s="32" t="s">
        <v>184</v>
      </c>
      <c r="T55" s="32" t="s">
        <v>509</v>
      </c>
      <c r="U55" s="32" t="s">
        <v>510</v>
      </c>
      <c r="V55" s="32" t="s">
        <v>511</v>
      </c>
      <c r="W55" s="32" t="s">
        <v>512</v>
      </c>
      <c r="X55" s="32" t="s">
        <v>187</v>
      </c>
      <c r="AA55" s="32" t="s">
        <v>189</v>
      </c>
      <c r="AB55" s="32" t="s">
        <v>485</v>
      </c>
      <c r="AC55" s="32" t="s">
        <v>92</v>
      </c>
      <c r="AD55" s="32" t="s">
        <v>513</v>
      </c>
      <c r="AE55" s="32">
        <v>20525799027</v>
      </c>
      <c r="AF55" s="32" t="s">
        <v>514</v>
      </c>
      <c r="AG55" s="32" t="s">
        <v>515</v>
      </c>
      <c r="AH55" s="32" t="s">
        <v>193</v>
      </c>
      <c r="AI55" s="32" t="s">
        <v>1825</v>
      </c>
      <c r="AJ55" s="32" t="s">
        <v>516</v>
      </c>
      <c r="AK55" s="32">
        <v>921570545</v>
      </c>
      <c r="AL55" s="32" t="s">
        <v>491</v>
      </c>
      <c r="AM55" s="32" t="s">
        <v>491</v>
      </c>
      <c r="AN55" s="32" t="s">
        <v>491</v>
      </c>
      <c r="AO55" s="32" t="s">
        <v>491</v>
      </c>
      <c r="AP55" s="32" t="s">
        <v>491</v>
      </c>
      <c r="AQ55" s="32" t="s">
        <v>491</v>
      </c>
      <c r="AR55" s="32" t="s">
        <v>491</v>
      </c>
      <c r="AS55" s="32" t="s">
        <v>63</v>
      </c>
      <c r="AT55" s="32" t="s">
        <v>64</v>
      </c>
      <c r="AU55" s="56">
        <v>46227.625</v>
      </c>
      <c r="AV55" s="56">
        <v>46227.508333333331</v>
      </c>
      <c r="AW55" s="56">
        <v>46227.645138888889</v>
      </c>
      <c r="AX55" s="56">
        <v>46227.654166666667</v>
      </c>
      <c r="AY55" s="56">
        <v>46227.654166666667</v>
      </c>
      <c r="AZ55" s="56">
        <v>46227.763888888891</v>
      </c>
      <c r="BA55" s="56">
        <v>46228.520833333336</v>
      </c>
      <c r="BB55" s="56">
        <v>46228.534722222219</v>
      </c>
      <c r="BC55" s="56">
        <v>46228.5625</v>
      </c>
      <c r="BD55" s="56">
        <v>46228.541666666664</v>
      </c>
      <c r="BE55" s="56">
        <v>46228.586805555555</v>
      </c>
      <c r="BG55" s="56">
        <v>46228.680555555555</v>
      </c>
      <c r="BH55" s="56">
        <v>46228.707638888889</v>
      </c>
      <c r="BI55" s="32" t="s">
        <v>65</v>
      </c>
      <c r="BJ55" s="56">
        <v>46229.5</v>
      </c>
      <c r="BK55" s="56">
        <v>46229.444444444445</v>
      </c>
      <c r="BL55" s="56">
        <v>46229.445833333331</v>
      </c>
      <c r="BM55" s="56">
        <v>46229.447916666664</v>
      </c>
      <c r="BN55" s="56">
        <v>46229.451388888891</v>
      </c>
    </row>
    <row r="56" spans="1:69" x14ac:dyDescent="0.35">
      <c r="A56" t="s">
        <v>176</v>
      </c>
      <c r="B56" s="32">
        <v>5</v>
      </c>
      <c r="C56" s="32">
        <v>30</v>
      </c>
      <c r="D56" s="32" t="s">
        <v>177</v>
      </c>
      <c r="E56" s="32" t="s">
        <v>178</v>
      </c>
      <c r="G56" s="54">
        <v>46227</v>
      </c>
      <c r="H56" s="55"/>
      <c r="I56" s="55">
        <v>0.33333333333333331</v>
      </c>
      <c r="J56" s="32" t="s">
        <v>53</v>
      </c>
      <c r="K56" s="32" t="s">
        <v>179</v>
      </c>
      <c r="L56" s="32">
        <v>1</v>
      </c>
      <c r="M56" s="32" t="s">
        <v>517</v>
      </c>
      <c r="P56" s="32" t="s">
        <v>182</v>
      </c>
      <c r="Q56" s="32" t="s">
        <v>371</v>
      </c>
      <c r="R56" s="32" t="s">
        <v>183</v>
      </c>
      <c r="S56" s="32" t="s">
        <v>184</v>
      </c>
      <c r="T56" s="32" t="s">
        <v>518</v>
      </c>
      <c r="U56" s="32" t="s">
        <v>519</v>
      </c>
      <c r="V56" s="32" t="s">
        <v>520</v>
      </c>
      <c r="W56" s="32" t="s">
        <v>521</v>
      </c>
      <c r="X56" s="32" t="s">
        <v>187</v>
      </c>
      <c r="AA56" s="32" t="s">
        <v>189</v>
      </c>
      <c r="AB56" s="32" t="s">
        <v>485</v>
      </c>
      <c r="AC56" s="32" t="s">
        <v>56</v>
      </c>
      <c r="AD56" s="32" t="s">
        <v>486</v>
      </c>
      <c r="AE56" s="32">
        <v>20544424751</v>
      </c>
      <c r="AF56" s="32" t="s">
        <v>1824</v>
      </c>
      <c r="AG56" s="32" t="s">
        <v>505</v>
      </c>
      <c r="AH56" s="32" t="s">
        <v>193</v>
      </c>
      <c r="AI56" s="32" t="s">
        <v>506</v>
      </c>
      <c r="AJ56" s="32" t="s">
        <v>507</v>
      </c>
      <c r="AK56" s="32">
        <v>904556157</v>
      </c>
      <c r="AL56" s="32" t="s">
        <v>491</v>
      </c>
      <c r="AM56" s="32" t="s">
        <v>491</v>
      </c>
      <c r="AN56" s="32" t="s">
        <v>491</v>
      </c>
      <c r="AO56" s="32" t="s">
        <v>491</v>
      </c>
      <c r="AP56" s="32" t="s">
        <v>491</v>
      </c>
      <c r="AQ56" s="32" t="s">
        <v>491</v>
      </c>
      <c r="AR56" s="32" t="s">
        <v>491</v>
      </c>
      <c r="AS56" s="32" t="s">
        <v>63</v>
      </c>
      <c r="AT56" s="32" t="s">
        <v>64</v>
      </c>
      <c r="AU56" s="56">
        <v>46227.5</v>
      </c>
      <c r="AV56" s="56">
        <v>46227.62777777778</v>
      </c>
      <c r="AW56" s="56">
        <v>46227.647222222222</v>
      </c>
      <c r="AX56" s="56">
        <v>46227.652777777781</v>
      </c>
      <c r="AY56" s="56">
        <v>46227.686111111114</v>
      </c>
      <c r="AZ56" s="56">
        <v>46227.724305555559</v>
      </c>
      <c r="BA56" s="56">
        <v>46228.395833333336</v>
      </c>
      <c r="BB56" s="56">
        <v>46228.412499999999</v>
      </c>
      <c r="BC56" s="56">
        <v>46229.423611111109</v>
      </c>
      <c r="BD56" s="56">
        <v>46229.388888888891</v>
      </c>
      <c r="BE56" s="56">
        <v>46228.584722222222</v>
      </c>
      <c r="BG56" s="56">
        <v>46228.686111111114</v>
      </c>
      <c r="BH56" s="56">
        <v>46228.720138888886</v>
      </c>
      <c r="BI56" s="32" t="s">
        <v>65</v>
      </c>
      <c r="BJ56" s="56">
        <v>46229.5</v>
      </c>
      <c r="BK56" s="56">
        <v>46229.505555555559</v>
      </c>
      <c r="BL56" s="56">
        <v>46229.506944444445</v>
      </c>
      <c r="BM56" s="56">
        <v>46229.510416666664</v>
      </c>
      <c r="BN56" s="56">
        <v>46229.513888888891</v>
      </c>
    </row>
    <row r="57" spans="1:69" x14ac:dyDescent="0.35">
      <c r="A57" t="s">
        <v>176</v>
      </c>
      <c r="B57" s="32">
        <v>6</v>
      </c>
      <c r="C57" s="32">
        <v>30</v>
      </c>
      <c r="D57" s="32" t="s">
        <v>177</v>
      </c>
      <c r="E57" s="32" t="s">
        <v>178</v>
      </c>
      <c r="G57" s="54">
        <v>46228</v>
      </c>
      <c r="H57" s="55"/>
      <c r="I57" s="55">
        <v>0.66666666666666663</v>
      </c>
      <c r="J57" s="32" t="s">
        <v>53</v>
      </c>
      <c r="K57" s="32" t="s">
        <v>179</v>
      </c>
      <c r="L57" s="32">
        <v>1</v>
      </c>
      <c r="M57" s="32" t="s">
        <v>522</v>
      </c>
      <c r="P57" s="32" t="s">
        <v>182</v>
      </c>
      <c r="Q57" s="32" t="s">
        <v>371</v>
      </c>
      <c r="R57" s="32" t="s">
        <v>183</v>
      </c>
      <c r="S57" s="32" t="s">
        <v>184</v>
      </c>
      <c r="T57" s="32" t="s">
        <v>523</v>
      </c>
      <c r="U57" s="32" t="s">
        <v>524</v>
      </c>
      <c r="V57" s="32" t="s">
        <v>525</v>
      </c>
      <c r="W57" s="32" t="s">
        <v>526</v>
      </c>
      <c r="X57" s="32" t="s">
        <v>187</v>
      </c>
      <c r="AA57" s="32" t="s">
        <v>189</v>
      </c>
      <c r="AB57" s="32" t="s">
        <v>485</v>
      </c>
      <c r="AC57" s="32" t="s">
        <v>56</v>
      </c>
      <c r="AD57" s="32" t="s">
        <v>486</v>
      </c>
      <c r="AE57" s="32">
        <v>20544424751</v>
      </c>
      <c r="AF57" s="32" t="s">
        <v>527</v>
      </c>
      <c r="AG57" s="32" t="s">
        <v>528</v>
      </c>
      <c r="AH57" s="32" t="s">
        <v>193</v>
      </c>
      <c r="AI57" s="32" t="s">
        <v>529</v>
      </c>
      <c r="AJ57" s="32" t="s">
        <v>530</v>
      </c>
      <c r="AK57" s="32">
        <v>914472332</v>
      </c>
      <c r="AL57" s="32" t="s">
        <v>491</v>
      </c>
      <c r="AM57" s="32" t="s">
        <v>491</v>
      </c>
      <c r="AN57" s="32" t="s">
        <v>491</v>
      </c>
      <c r="AO57" s="32" t="s">
        <v>491</v>
      </c>
      <c r="AP57" s="32" t="s">
        <v>491</v>
      </c>
      <c r="AQ57" s="32" t="s">
        <v>491</v>
      </c>
      <c r="AR57" s="32" t="s">
        <v>491</v>
      </c>
      <c r="AS57" s="32" t="s">
        <v>63</v>
      </c>
      <c r="AT57" s="32" t="s">
        <v>64</v>
      </c>
      <c r="AU57" s="56">
        <v>46228.5</v>
      </c>
      <c r="AV57" s="56">
        <v>46228.479166666664</v>
      </c>
      <c r="AW57" s="56">
        <v>46228.494444444441</v>
      </c>
      <c r="AX57" s="56">
        <v>46228.49722222222</v>
      </c>
      <c r="AY57" s="56">
        <v>46228.606249999997</v>
      </c>
      <c r="AZ57" s="56">
        <v>46229.670138888891</v>
      </c>
      <c r="BA57" s="56">
        <v>46229.643055555556</v>
      </c>
      <c r="BB57" s="56">
        <v>46229.662499999999</v>
      </c>
      <c r="BC57" s="56">
        <v>46230.291666666664</v>
      </c>
      <c r="BD57" s="56">
        <v>46230.270833333336</v>
      </c>
      <c r="BE57" s="56">
        <v>46230.667361111111</v>
      </c>
      <c r="BG57" s="56">
        <v>46230.688194444447</v>
      </c>
      <c r="BH57" s="56">
        <v>46230.811111111114</v>
      </c>
      <c r="BI57" s="32" t="s">
        <v>65</v>
      </c>
      <c r="BJ57" s="56">
        <v>46231.583333333336</v>
      </c>
      <c r="BK57" s="56">
        <v>46231.564583333333</v>
      </c>
      <c r="BL57" s="56">
        <v>46231.565972222219</v>
      </c>
      <c r="BM57" s="56">
        <v>46231.569444444445</v>
      </c>
      <c r="BN57" s="56">
        <v>46231.570833333331</v>
      </c>
    </row>
    <row r="58" spans="1:69" x14ac:dyDescent="0.35">
      <c r="A58" t="s">
        <v>176</v>
      </c>
      <c r="B58" s="32">
        <v>7</v>
      </c>
      <c r="C58" s="32">
        <v>30</v>
      </c>
      <c r="D58" s="32" t="s">
        <v>177</v>
      </c>
      <c r="E58" s="32" t="s">
        <v>178</v>
      </c>
      <c r="G58" s="54">
        <v>46228</v>
      </c>
      <c r="H58" s="55"/>
      <c r="I58" s="55">
        <v>0.66666666666666663</v>
      </c>
      <c r="J58" s="32" t="s">
        <v>53</v>
      </c>
      <c r="K58" s="32" t="s">
        <v>179</v>
      </c>
      <c r="L58" s="32">
        <v>1</v>
      </c>
      <c r="M58" s="32" t="s">
        <v>522</v>
      </c>
      <c r="P58" s="32" t="s">
        <v>182</v>
      </c>
      <c r="Q58" s="32" t="s">
        <v>371</v>
      </c>
      <c r="R58" s="32" t="s">
        <v>183</v>
      </c>
      <c r="S58" s="32" t="s">
        <v>184</v>
      </c>
      <c r="T58" s="32" t="s">
        <v>523</v>
      </c>
      <c r="U58" s="32" t="s">
        <v>524</v>
      </c>
      <c r="V58" s="32" t="s">
        <v>525</v>
      </c>
      <c r="W58" s="32" t="s">
        <v>526</v>
      </c>
      <c r="X58" s="32" t="s">
        <v>187</v>
      </c>
      <c r="AA58" s="32" t="s">
        <v>189</v>
      </c>
      <c r="AB58" s="32" t="s">
        <v>485</v>
      </c>
      <c r="AC58" s="32" t="s">
        <v>56</v>
      </c>
      <c r="AD58" s="32" t="s">
        <v>486</v>
      </c>
      <c r="AE58" s="32">
        <v>20544424751</v>
      </c>
      <c r="AF58" s="32" t="s">
        <v>527</v>
      </c>
      <c r="AG58" s="32" t="s">
        <v>528</v>
      </c>
      <c r="AH58" s="32" t="s">
        <v>193</v>
      </c>
      <c r="AI58" s="32" t="s">
        <v>529</v>
      </c>
      <c r="AJ58" s="32" t="s">
        <v>530</v>
      </c>
      <c r="AK58" s="32">
        <v>914472332</v>
      </c>
      <c r="AL58" s="32" t="s">
        <v>491</v>
      </c>
      <c r="AM58" s="32" t="s">
        <v>491</v>
      </c>
      <c r="AN58" s="32" t="s">
        <v>491</v>
      </c>
      <c r="AO58" s="32" t="s">
        <v>491</v>
      </c>
      <c r="AP58" s="32" t="s">
        <v>491</v>
      </c>
      <c r="AQ58" s="32" t="s">
        <v>491</v>
      </c>
      <c r="AR58" s="32" t="s">
        <v>491</v>
      </c>
      <c r="AS58" s="32" t="s">
        <v>63</v>
      </c>
      <c r="AT58" s="32" t="s">
        <v>64</v>
      </c>
      <c r="AU58" s="56">
        <v>46228.5</v>
      </c>
      <c r="AV58" s="56">
        <v>46228.479166666664</v>
      </c>
      <c r="AW58" s="56">
        <v>46228.494444444441</v>
      </c>
      <c r="AX58" s="56">
        <v>46228.49722222222</v>
      </c>
      <c r="AY58" s="56">
        <v>46228.606249999997</v>
      </c>
      <c r="AZ58" s="56">
        <v>46229.670138888891</v>
      </c>
      <c r="BA58" s="56">
        <v>46229.643055555556</v>
      </c>
      <c r="BB58" s="56">
        <v>46229.662499999999</v>
      </c>
      <c r="BC58" s="56">
        <v>46230.291666666664</v>
      </c>
      <c r="BD58" s="56">
        <v>46230.270833333336</v>
      </c>
      <c r="BE58" s="56">
        <v>46230.667361111111</v>
      </c>
      <c r="BG58" s="56">
        <v>46230.688194444447</v>
      </c>
      <c r="BH58" s="56">
        <v>46230.811111111114</v>
      </c>
      <c r="BI58" s="32" t="s">
        <v>65</v>
      </c>
      <c r="BJ58" s="56">
        <v>46231.583333333336</v>
      </c>
      <c r="BK58" s="56">
        <v>46231.564583333333</v>
      </c>
      <c r="BL58" s="56">
        <v>46231.565972222219</v>
      </c>
      <c r="BM58" s="56">
        <v>46231.569444444445</v>
      </c>
      <c r="BN58" s="56">
        <v>46231.570833333331</v>
      </c>
    </row>
    <row r="59" spans="1:69" x14ac:dyDescent="0.35">
      <c r="A59" t="s">
        <v>176</v>
      </c>
      <c r="B59" s="32">
        <v>8</v>
      </c>
      <c r="C59" s="32">
        <v>30</v>
      </c>
      <c r="D59" s="32" t="s">
        <v>177</v>
      </c>
      <c r="E59" s="32" t="s">
        <v>178</v>
      </c>
      <c r="G59" s="54">
        <v>46228</v>
      </c>
      <c r="H59" s="55"/>
      <c r="I59" s="55">
        <v>0.33333333333333331</v>
      </c>
      <c r="J59" s="32" t="s">
        <v>53</v>
      </c>
      <c r="K59" s="32" t="s">
        <v>179</v>
      </c>
      <c r="L59" s="32">
        <v>1</v>
      </c>
      <c r="M59" s="32" t="s">
        <v>531</v>
      </c>
      <c r="P59" s="32" t="s">
        <v>182</v>
      </c>
      <c r="Q59" s="32" t="s">
        <v>371</v>
      </c>
      <c r="R59" s="32" t="s">
        <v>183</v>
      </c>
      <c r="S59" s="32" t="s">
        <v>184</v>
      </c>
      <c r="T59" s="32" t="s">
        <v>532</v>
      </c>
      <c r="U59" s="32" t="s">
        <v>533</v>
      </c>
      <c r="V59" s="32" t="s">
        <v>534</v>
      </c>
      <c r="W59" s="32" t="s">
        <v>535</v>
      </c>
      <c r="X59" s="32" t="s">
        <v>187</v>
      </c>
      <c r="AA59" s="32" t="s">
        <v>189</v>
      </c>
      <c r="AB59" s="32" t="s">
        <v>485</v>
      </c>
      <c r="AC59" s="32" t="s">
        <v>56</v>
      </c>
      <c r="AD59" s="32" t="s">
        <v>486</v>
      </c>
      <c r="AE59" s="32">
        <v>20544424751</v>
      </c>
      <c r="AF59" s="32" t="s">
        <v>487</v>
      </c>
      <c r="AG59" s="32" t="s">
        <v>488</v>
      </c>
      <c r="AH59" s="32" t="s">
        <v>193</v>
      </c>
      <c r="AI59" s="32" t="s">
        <v>489</v>
      </c>
      <c r="AJ59" s="32" t="s">
        <v>490</v>
      </c>
      <c r="AK59" s="32">
        <v>934270711</v>
      </c>
      <c r="AL59" s="32" t="s">
        <v>491</v>
      </c>
      <c r="AM59" s="32" t="s">
        <v>491</v>
      </c>
      <c r="AN59" s="32" t="s">
        <v>491</v>
      </c>
      <c r="AO59" s="32" t="s">
        <v>491</v>
      </c>
      <c r="AP59" s="32" t="s">
        <v>491</v>
      </c>
      <c r="AQ59" s="32" t="s">
        <v>491</v>
      </c>
      <c r="AR59" s="32" t="s">
        <v>491</v>
      </c>
      <c r="AS59" s="32" t="s">
        <v>63</v>
      </c>
      <c r="AT59" s="32" t="s">
        <v>64</v>
      </c>
      <c r="AU59" s="56">
        <v>46228.5</v>
      </c>
      <c r="AV59" s="56">
        <v>46228.48333333333</v>
      </c>
      <c r="AW59" s="56">
        <v>46228.504166666666</v>
      </c>
      <c r="AX59" s="56">
        <v>46228.510416666664</v>
      </c>
      <c r="AY59" s="56">
        <v>46228.618750000001</v>
      </c>
      <c r="AZ59" s="56">
        <v>46229.543055555558</v>
      </c>
      <c r="BA59" s="56">
        <v>46230.3125</v>
      </c>
      <c r="BB59" s="56">
        <v>46230.328472222223</v>
      </c>
      <c r="BC59" s="56">
        <v>46230.352083333331</v>
      </c>
      <c r="BD59" s="56">
        <v>46230.333333333336</v>
      </c>
      <c r="BE59" s="56">
        <v>46230.570833333331</v>
      </c>
      <c r="BG59" s="56">
        <v>46230.588888888888</v>
      </c>
      <c r="BH59" s="56">
        <v>46230.710416666669</v>
      </c>
      <c r="BI59" s="32" t="s">
        <v>65</v>
      </c>
      <c r="BJ59" s="56">
        <v>46231.458333333336</v>
      </c>
      <c r="BK59" s="56">
        <v>46231.416666666664</v>
      </c>
      <c r="BL59" s="56">
        <v>46231.425000000003</v>
      </c>
      <c r="BM59" s="56">
        <v>46231.428472222222</v>
      </c>
      <c r="BN59" s="56">
        <v>46231.436111111114</v>
      </c>
    </row>
    <row r="60" spans="1:69" x14ac:dyDescent="0.35">
      <c r="A60" t="s">
        <v>176</v>
      </c>
      <c r="B60" s="32">
        <v>9</v>
      </c>
      <c r="C60" s="32">
        <v>31</v>
      </c>
      <c r="D60" s="32" t="s">
        <v>177</v>
      </c>
      <c r="E60" s="32" t="s">
        <v>178</v>
      </c>
      <c r="G60" s="54">
        <v>46232</v>
      </c>
      <c r="H60" s="55"/>
      <c r="I60" s="55">
        <v>0.58333333333333337</v>
      </c>
      <c r="J60" s="32" t="s">
        <v>53</v>
      </c>
      <c r="K60" s="32" t="s">
        <v>179</v>
      </c>
      <c r="L60" s="32">
        <v>1</v>
      </c>
      <c r="M60" s="32" t="s">
        <v>536</v>
      </c>
      <c r="P60" s="32" t="s">
        <v>182</v>
      </c>
      <c r="Q60" s="32" t="s">
        <v>371</v>
      </c>
      <c r="R60" s="32" t="s">
        <v>382</v>
      </c>
      <c r="S60" s="32" t="s">
        <v>184</v>
      </c>
      <c r="T60" s="32" t="s">
        <v>537</v>
      </c>
      <c r="U60" s="32" t="s">
        <v>538</v>
      </c>
      <c r="V60" s="32" t="s">
        <v>539</v>
      </c>
      <c r="W60" s="32" t="s">
        <v>540</v>
      </c>
      <c r="X60" s="32" t="s">
        <v>188</v>
      </c>
      <c r="AA60" s="32" t="s">
        <v>189</v>
      </c>
      <c r="AB60" s="32" t="s">
        <v>485</v>
      </c>
      <c r="AC60" s="32" t="s">
        <v>56</v>
      </c>
      <c r="AD60" s="32" t="s">
        <v>486</v>
      </c>
      <c r="AE60" s="32">
        <v>20544424751</v>
      </c>
      <c r="AF60" s="32" t="s">
        <v>541</v>
      </c>
      <c r="AG60" s="32" t="s">
        <v>542</v>
      </c>
      <c r="AH60" s="32" t="s">
        <v>193</v>
      </c>
      <c r="AI60" s="32" t="s">
        <v>543</v>
      </c>
      <c r="AJ60" s="32" t="s">
        <v>544</v>
      </c>
      <c r="AK60" s="32">
        <v>986078320</v>
      </c>
      <c r="AL60" s="32" t="s">
        <v>491</v>
      </c>
      <c r="AM60" s="32" t="s">
        <v>491</v>
      </c>
      <c r="AN60" s="32" t="s">
        <v>491</v>
      </c>
      <c r="AO60" s="32" t="s">
        <v>491</v>
      </c>
      <c r="AP60" s="32" t="s">
        <v>491</v>
      </c>
      <c r="AQ60" s="32" t="s">
        <v>491</v>
      </c>
      <c r="AR60" s="32" t="s">
        <v>491</v>
      </c>
      <c r="AS60" s="32" t="s">
        <v>63</v>
      </c>
      <c r="AT60" s="32" t="s">
        <v>388</v>
      </c>
      <c r="AU60" s="56">
        <v>46232.680555555555</v>
      </c>
      <c r="AV60" s="56">
        <v>46232.683333333334</v>
      </c>
      <c r="AW60" s="56">
        <v>46232.695833333331</v>
      </c>
      <c r="AX60" s="56">
        <v>46232.697222222225</v>
      </c>
      <c r="AY60" s="56">
        <v>46232.754861111112</v>
      </c>
      <c r="AZ60" s="56">
        <v>46232.769444444442</v>
      </c>
      <c r="BA60" s="56">
        <v>46233.493055555555</v>
      </c>
      <c r="BB60" s="56">
        <v>46233.513194444444</v>
      </c>
      <c r="BC60" s="56">
        <v>46233.536111111112</v>
      </c>
      <c r="BD60" s="56">
        <v>46233.522222222222</v>
      </c>
      <c r="BE60" s="56">
        <v>46233.612500000003</v>
      </c>
      <c r="BG60" s="56">
        <v>46233.625694444447</v>
      </c>
      <c r="BH60" s="56">
        <v>46233.643750000003</v>
      </c>
      <c r="BI60" s="32" t="s">
        <v>65</v>
      </c>
      <c r="BJ60" s="56">
        <v>46234.416666666664</v>
      </c>
      <c r="BK60" s="56">
        <v>46234.430555555555</v>
      </c>
      <c r="BL60" s="56">
        <v>46234.4375</v>
      </c>
      <c r="BM60" s="56">
        <v>46234.440972222219</v>
      </c>
      <c r="BN60" s="56">
        <v>46234.447916666664</v>
      </c>
    </row>
    <row r="61" spans="1:69" x14ac:dyDescent="0.35">
      <c r="A61" t="s">
        <v>176</v>
      </c>
      <c r="B61" s="32">
        <v>10</v>
      </c>
      <c r="C61" s="32">
        <v>31</v>
      </c>
      <c r="D61" s="32" t="s">
        <v>177</v>
      </c>
      <c r="E61" s="32" t="s">
        <v>178</v>
      </c>
      <c r="G61" s="54">
        <v>46233</v>
      </c>
      <c r="H61" s="55"/>
      <c r="I61" s="55">
        <v>0.33333333333333331</v>
      </c>
      <c r="J61" s="32" t="s">
        <v>53</v>
      </c>
      <c r="K61" s="32" t="s">
        <v>179</v>
      </c>
      <c r="L61" s="32">
        <v>1</v>
      </c>
      <c r="M61" s="32" t="s">
        <v>545</v>
      </c>
      <c r="P61" s="32" t="s">
        <v>182</v>
      </c>
      <c r="Q61" s="32" t="s">
        <v>371</v>
      </c>
      <c r="R61" s="32" t="s">
        <v>382</v>
      </c>
      <c r="S61" s="32" t="s">
        <v>184</v>
      </c>
      <c r="T61" s="32" t="s">
        <v>546</v>
      </c>
      <c r="U61" s="32" t="s">
        <v>547</v>
      </c>
      <c r="V61" s="32" t="s">
        <v>548</v>
      </c>
      <c r="W61" s="32" t="s">
        <v>549</v>
      </c>
      <c r="X61" s="32" t="s">
        <v>188</v>
      </c>
      <c r="AA61" s="32" t="s">
        <v>189</v>
      </c>
      <c r="AB61" s="32" t="s">
        <v>485</v>
      </c>
      <c r="AC61" s="32" t="s">
        <v>56</v>
      </c>
      <c r="AD61" s="32" t="s">
        <v>486</v>
      </c>
      <c r="AE61" s="32">
        <v>20544424751</v>
      </c>
      <c r="AF61" s="32" t="s">
        <v>527</v>
      </c>
      <c r="AG61" s="32" t="s">
        <v>528</v>
      </c>
      <c r="AH61" s="32" t="s">
        <v>193</v>
      </c>
      <c r="AI61" s="32" t="s">
        <v>529</v>
      </c>
      <c r="AJ61" s="32" t="s">
        <v>530</v>
      </c>
      <c r="AK61" s="32">
        <v>914472332</v>
      </c>
      <c r="AL61" s="32" t="s">
        <v>491</v>
      </c>
      <c r="AM61" s="32" t="s">
        <v>491</v>
      </c>
      <c r="AN61" s="32" t="s">
        <v>491</v>
      </c>
      <c r="AO61" s="32" t="s">
        <v>491</v>
      </c>
      <c r="AP61" s="32" t="s">
        <v>491</v>
      </c>
      <c r="AQ61" s="32" t="s">
        <v>491</v>
      </c>
      <c r="AR61" s="32" t="s">
        <v>491</v>
      </c>
      <c r="AS61" s="32" t="s">
        <v>63</v>
      </c>
      <c r="AT61" s="32" t="s">
        <v>388</v>
      </c>
      <c r="AU61" s="56">
        <v>46233.458333333336</v>
      </c>
      <c r="AV61" s="56">
        <v>46233.478472222225</v>
      </c>
      <c r="AW61" s="56">
        <v>46233.494444444441</v>
      </c>
      <c r="AX61" s="56">
        <v>46233.503472222219</v>
      </c>
      <c r="AY61" s="56">
        <v>46233.548611111109</v>
      </c>
      <c r="AZ61" s="56">
        <v>46233.593055555553</v>
      </c>
      <c r="BA61" s="56">
        <v>46234.335416666669</v>
      </c>
      <c r="BB61" s="56">
        <v>46234.354166666664</v>
      </c>
      <c r="BC61" s="56">
        <v>46234.366666666669</v>
      </c>
      <c r="BD61" s="56">
        <v>46234.333333333336</v>
      </c>
      <c r="BE61" s="56">
        <v>46234.538888888892</v>
      </c>
      <c r="BG61" s="56">
        <v>46234.580555555556</v>
      </c>
      <c r="BH61" s="56">
        <v>46234.605555555558</v>
      </c>
      <c r="BI61" s="32" t="s">
        <v>65</v>
      </c>
      <c r="BJ61" s="56">
        <v>46235.458333333336</v>
      </c>
      <c r="BK61" s="56">
        <v>46235.386805555558</v>
      </c>
      <c r="BL61" s="56">
        <v>46235.390972222223</v>
      </c>
      <c r="BM61" s="56">
        <v>46235.397222222222</v>
      </c>
      <c r="BN61" s="56">
        <v>46235.40625</v>
      </c>
    </row>
    <row r="62" spans="1:69" x14ac:dyDescent="0.35">
      <c r="A62" t="s">
        <v>176</v>
      </c>
      <c r="B62" s="32">
        <v>11</v>
      </c>
      <c r="C62" s="32">
        <v>31</v>
      </c>
      <c r="D62" s="32" t="s">
        <v>177</v>
      </c>
      <c r="E62" s="32" t="s">
        <v>178</v>
      </c>
      <c r="G62" s="54">
        <v>46235</v>
      </c>
      <c r="H62" s="55"/>
      <c r="I62" s="55">
        <v>0.58333333333333337</v>
      </c>
      <c r="J62" s="32" t="s">
        <v>53</v>
      </c>
      <c r="K62" s="32" t="s">
        <v>179</v>
      </c>
      <c r="L62" s="32">
        <v>1</v>
      </c>
      <c r="M62" s="32" t="s">
        <v>550</v>
      </c>
      <c r="P62" s="32" t="s">
        <v>182</v>
      </c>
      <c r="Q62" s="32" t="s">
        <v>371</v>
      </c>
      <c r="R62" s="32" t="s">
        <v>415</v>
      </c>
      <c r="S62" s="32" t="s">
        <v>184</v>
      </c>
      <c r="T62" s="32" t="s">
        <v>551</v>
      </c>
      <c r="U62" s="32" t="s">
        <v>552</v>
      </c>
      <c r="V62" s="32" t="s">
        <v>553</v>
      </c>
      <c r="W62" s="32" t="s">
        <v>554</v>
      </c>
      <c r="X62" s="32" t="s">
        <v>187</v>
      </c>
      <c r="AA62" s="32" t="s">
        <v>189</v>
      </c>
      <c r="AB62" s="32" t="s">
        <v>485</v>
      </c>
      <c r="AC62" s="32" t="s">
        <v>56</v>
      </c>
      <c r="AD62" s="32" t="s">
        <v>486</v>
      </c>
      <c r="AE62" s="32">
        <v>20544424751</v>
      </c>
      <c r="AF62" s="32" t="s">
        <v>487</v>
      </c>
      <c r="AG62" s="32" t="s">
        <v>488</v>
      </c>
      <c r="AH62" s="32" t="s">
        <v>193</v>
      </c>
      <c r="AI62" s="32" t="s">
        <v>489</v>
      </c>
      <c r="AJ62" s="32" t="s">
        <v>490</v>
      </c>
      <c r="AK62" s="32">
        <v>934270711</v>
      </c>
      <c r="AL62" s="32" t="s">
        <v>491</v>
      </c>
      <c r="AM62" s="32" t="s">
        <v>491</v>
      </c>
      <c r="AN62" s="32" t="s">
        <v>491</v>
      </c>
      <c r="AO62" s="32" t="s">
        <v>491</v>
      </c>
      <c r="AP62" s="32" t="s">
        <v>491</v>
      </c>
      <c r="AQ62" s="32" t="s">
        <v>491</v>
      </c>
      <c r="AR62" s="32" t="s">
        <v>491</v>
      </c>
      <c r="AS62" s="32" t="s">
        <v>63</v>
      </c>
      <c r="AT62" s="32" t="s">
        <v>64</v>
      </c>
      <c r="AU62" s="56">
        <v>46235.5</v>
      </c>
      <c r="AV62" s="56">
        <v>46235.478472222225</v>
      </c>
      <c r="AW62" s="56">
        <v>46235.498611111114</v>
      </c>
      <c r="AX62" s="56">
        <v>46235.51666666667</v>
      </c>
      <c r="AY62" s="56">
        <v>46235.532638888886</v>
      </c>
      <c r="AZ62" s="56">
        <v>46235.75</v>
      </c>
      <c r="BA62" s="56">
        <v>46236.553472222222</v>
      </c>
      <c r="BB62" s="56">
        <v>46236.5625</v>
      </c>
      <c r="BC62" s="56">
        <v>46236.579861111109</v>
      </c>
      <c r="BD62" s="56">
        <v>46236.541666666664</v>
      </c>
      <c r="BE62" s="56">
        <v>46236.785416666666</v>
      </c>
      <c r="BG62" s="56">
        <v>46236.821527777778</v>
      </c>
      <c r="BH62" s="56">
        <v>46236.914583333331</v>
      </c>
      <c r="BI62" s="32" t="s">
        <v>65</v>
      </c>
      <c r="BJ62" s="56">
        <v>46237.791666666664</v>
      </c>
      <c r="BK62" s="56">
        <v>46237.75</v>
      </c>
      <c r="BL62" s="56">
        <v>46237.752083333333</v>
      </c>
      <c r="BM62" s="56">
        <v>46237.760416666664</v>
      </c>
      <c r="BN62" s="56">
        <v>46237.774305555555</v>
      </c>
    </row>
    <row r="63" spans="1:69" x14ac:dyDescent="0.35">
      <c r="A63" t="s">
        <v>176</v>
      </c>
      <c r="B63" s="32">
        <v>12</v>
      </c>
      <c r="C63" s="32">
        <v>31</v>
      </c>
      <c r="D63" s="32" t="s">
        <v>177</v>
      </c>
      <c r="E63" s="32" t="s">
        <v>178</v>
      </c>
      <c r="G63" s="54">
        <v>46235</v>
      </c>
      <c r="H63" s="55"/>
      <c r="I63" s="55">
        <v>0.58333333333333337</v>
      </c>
      <c r="J63" s="32" t="s">
        <v>53</v>
      </c>
      <c r="K63" s="32" t="s">
        <v>179</v>
      </c>
      <c r="L63" s="32">
        <v>1</v>
      </c>
      <c r="M63" s="32" t="s">
        <v>555</v>
      </c>
      <c r="P63" s="32" t="s">
        <v>182</v>
      </c>
      <c r="Q63" s="32" t="s">
        <v>371</v>
      </c>
      <c r="R63" s="32" t="s">
        <v>556</v>
      </c>
      <c r="S63" s="32" t="s">
        <v>557</v>
      </c>
      <c r="T63" s="32" t="s">
        <v>558</v>
      </c>
      <c r="U63" s="32" t="s">
        <v>559</v>
      </c>
      <c r="V63" s="32" t="s">
        <v>560</v>
      </c>
      <c r="W63" s="32" t="s">
        <v>561</v>
      </c>
      <c r="X63" s="32" t="s">
        <v>187</v>
      </c>
      <c r="AA63" s="32" t="s">
        <v>189</v>
      </c>
      <c r="AB63" s="32" t="s">
        <v>485</v>
      </c>
      <c r="AC63" s="32" t="s">
        <v>56</v>
      </c>
      <c r="AD63" s="32" t="s">
        <v>486</v>
      </c>
      <c r="AE63" s="32">
        <v>20544424751</v>
      </c>
      <c r="AF63" s="32" t="s">
        <v>1824</v>
      </c>
      <c r="AG63" s="32" t="s">
        <v>505</v>
      </c>
      <c r="AH63" s="32" t="s">
        <v>193</v>
      </c>
      <c r="AI63" s="32" t="s">
        <v>506</v>
      </c>
      <c r="AJ63" s="32" t="s">
        <v>507</v>
      </c>
      <c r="AK63" s="32">
        <v>904556157</v>
      </c>
      <c r="AL63" s="32" t="s">
        <v>491</v>
      </c>
      <c r="AM63" s="32" t="s">
        <v>491</v>
      </c>
      <c r="AN63" s="32" t="s">
        <v>491</v>
      </c>
      <c r="AO63" s="32" t="s">
        <v>491</v>
      </c>
      <c r="AP63" s="32" t="s">
        <v>491</v>
      </c>
      <c r="AQ63" s="32" t="s">
        <v>491</v>
      </c>
      <c r="AR63" s="32" t="s">
        <v>491</v>
      </c>
      <c r="AS63" s="32" t="s">
        <v>63</v>
      </c>
      <c r="AT63" s="32" t="s">
        <v>64</v>
      </c>
      <c r="AU63" s="56">
        <v>46235.5</v>
      </c>
      <c r="AV63" s="56">
        <v>46235.46875</v>
      </c>
      <c r="AW63" s="56">
        <v>46235.600694444445</v>
      </c>
      <c r="AX63" s="56">
        <v>46235.628472222219</v>
      </c>
      <c r="AY63" s="56">
        <v>46235.714583333334</v>
      </c>
      <c r="AZ63" s="56">
        <v>46235.736111111109</v>
      </c>
      <c r="BA63" s="56">
        <v>46236.555555555555</v>
      </c>
      <c r="BB63" s="56">
        <v>46236.607638888891</v>
      </c>
      <c r="BC63" s="56">
        <v>46236.620833333334</v>
      </c>
      <c r="BD63" s="56">
        <v>46236.583333333336</v>
      </c>
      <c r="BE63" s="56">
        <v>46236.70416666667</v>
      </c>
      <c r="BG63" s="56">
        <v>46236.820833333331</v>
      </c>
      <c r="BH63" s="56">
        <v>46236.914583333331</v>
      </c>
      <c r="BI63" s="32" t="s">
        <v>65</v>
      </c>
      <c r="BJ63" s="56">
        <v>46237.791666666664</v>
      </c>
      <c r="BK63" s="56">
        <v>46237.755555555559</v>
      </c>
      <c r="BL63" s="56">
        <v>46237.757638888892</v>
      </c>
      <c r="BM63" s="56">
        <v>46237.765972222223</v>
      </c>
      <c r="BN63" s="56">
        <v>46237.775694444441</v>
      </c>
    </row>
    <row r="64" spans="1:69" x14ac:dyDescent="0.35">
      <c r="A64" t="s">
        <v>176</v>
      </c>
      <c r="B64" s="32">
        <v>13</v>
      </c>
      <c r="C64" s="32">
        <v>31</v>
      </c>
      <c r="D64" s="32" t="s">
        <v>177</v>
      </c>
      <c r="E64" s="32" t="s">
        <v>178</v>
      </c>
      <c r="G64" s="54">
        <v>46235</v>
      </c>
      <c r="H64" s="55"/>
      <c r="I64" s="55">
        <v>0.58333333333333337</v>
      </c>
      <c r="J64" s="32" t="s">
        <v>53</v>
      </c>
      <c r="K64" s="32" t="s">
        <v>179</v>
      </c>
      <c r="L64" s="32">
        <v>1</v>
      </c>
      <c r="M64" s="32" t="s">
        <v>562</v>
      </c>
      <c r="P64" s="32" t="s">
        <v>182</v>
      </c>
      <c r="Q64" s="32" t="s">
        <v>371</v>
      </c>
      <c r="R64" s="32" t="s">
        <v>556</v>
      </c>
      <c r="S64" s="32" t="s">
        <v>557</v>
      </c>
      <c r="T64" s="32" t="s">
        <v>563</v>
      </c>
      <c r="U64" s="32" t="s">
        <v>564</v>
      </c>
      <c r="V64" s="32" t="s">
        <v>565</v>
      </c>
      <c r="W64" s="32" t="s">
        <v>566</v>
      </c>
      <c r="X64" s="32" t="s">
        <v>187</v>
      </c>
      <c r="AA64" s="32" t="s">
        <v>189</v>
      </c>
      <c r="AB64" s="32" t="s">
        <v>485</v>
      </c>
      <c r="AC64" s="32" t="s">
        <v>56</v>
      </c>
      <c r="AD64" s="32" t="s">
        <v>486</v>
      </c>
      <c r="AE64" s="32">
        <v>20544424751</v>
      </c>
      <c r="AF64" s="32" t="s">
        <v>527</v>
      </c>
      <c r="AG64" s="32" t="s">
        <v>528</v>
      </c>
      <c r="AH64" s="32" t="s">
        <v>193</v>
      </c>
      <c r="AI64" s="32" t="s">
        <v>529</v>
      </c>
      <c r="AJ64" s="32" t="s">
        <v>530</v>
      </c>
      <c r="AK64" s="32">
        <v>914472332</v>
      </c>
      <c r="AL64" s="32" t="s">
        <v>491</v>
      </c>
      <c r="AM64" s="32" t="s">
        <v>491</v>
      </c>
      <c r="AN64" s="32" t="s">
        <v>491</v>
      </c>
      <c r="AO64" s="32" t="s">
        <v>491</v>
      </c>
      <c r="AP64" s="32" t="s">
        <v>491</v>
      </c>
      <c r="AQ64" s="32" t="s">
        <v>491</v>
      </c>
      <c r="AR64" s="32" t="s">
        <v>491</v>
      </c>
      <c r="AS64" s="32" t="s">
        <v>63</v>
      </c>
      <c r="AT64" s="32" t="s">
        <v>64</v>
      </c>
      <c r="AU64" s="56">
        <v>46235.5</v>
      </c>
      <c r="AV64" s="56">
        <v>46235.513888888891</v>
      </c>
      <c r="AW64" s="56">
        <v>46235.602083333331</v>
      </c>
      <c r="AX64" s="56">
        <v>46235.640277777777</v>
      </c>
      <c r="AY64" s="56">
        <v>46235.647916666669</v>
      </c>
      <c r="AZ64" s="56">
        <v>46235.739583333336</v>
      </c>
      <c r="BA64" s="56">
        <v>46236.555555555555</v>
      </c>
      <c r="BB64" s="56">
        <v>46236.604166666664</v>
      </c>
      <c r="BC64" s="56">
        <v>46236.657638888886</v>
      </c>
      <c r="BD64" s="56">
        <v>46236.625</v>
      </c>
      <c r="BE64" s="56">
        <v>46236.754166666666</v>
      </c>
      <c r="BG64" s="56">
        <v>46236.784722222219</v>
      </c>
      <c r="BH64" s="56">
        <v>46236.914583333331</v>
      </c>
      <c r="BI64" s="32" t="s">
        <v>65</v>
      </c>
      <c r="BJ64" s="56">
        <v>46237.791666666664</v>
      </c>
      <c r="BK64" s="56">
        <v>46237.755555555559</v>
      </c>
      <c r="BL64" s="56">
        <v>46237.758333333331</v>
      </c>
      <c r="BM64" s="56">
        <v>46237.763888888891</v>
      </c>
      <c r="BN64" s="56">
        <v>46237.775000000001</v>
      </c>
    </row>
    <row r="65" spans="1:66" x14ac:dyDescent="0.35">
      <c r="A65" t="s">
        <v>176</v>
      </c>
      <c r="B65" s="32">
        <v>14</v>
      </c>
      <c r="C65" s="32">
        <v>31</v>
      </c>
      <c r="D65" s="32" t="s">
        <v>177</v>
      </c>
      <c r="E65" s="32" t="s">
        <v>178</v>
      </c>
      <c r="G65" s="54">
        <v>46235</v>
      </c>
      <c r="H65" s="55"/>
      <c r="I65" s="55">
        <v>0.66666666666666663</v>
      </c>
      <c r="J65" s="32" t="s">
        <v>53</v>
      </c>
      <c r="K65" s="32" t="s">
        <v>179</v>
      </c>
      <c r="L65" s="32">
        <v>1</v>
      </c>
      <c r="M65" s="32" t="s">
        <v>567</v>
      </c>
      <c r="P65" s="32" t="s">
        <v>182</v>
      </c>
      <c r="Q65" s="32" t="s">
        <v>371</v>
      </c>
      <c r="R65" s="32" t="s">
        <v>415</v>
      </c>
      <c r="S65" s="32" t="s">
        <v>184</v>
      </c>
      <c r="T65" s="32" t="s">
        <v>568</v>
      </c>
      <c r="U65" s="32" t="s">
        <v>569</v>
      </c>
      <c r="V65" s="32" t="s">
        <v>570</v>
      </c>
      <c r="W65" s="32" t="s">
        <v>571</v>
      </c>
      <c r="X65" s="32" t="s">
        <v>187</v>
      </c>
      <c r="AA65" s="32" t="s">
        <v>189</v>
      </c>
      <c r="AB65" s="32" t="s">
        <v>485</v>
      </c>
      <c r="AC65" s="32" t="s">
        <v>56</v>
      </c>
      <c r="AD65" s="32" t="s">
        <v>486</v>
      </c>
      <c r="AE65" s="32">
        <v>20544424751</v>
      </c>
      <c r="AF65" s="32" t="s">
        <v>541</v>
      </c>
      <c r="AG65" s="32" t="s">
        <v>542</v>
      </c>
      <c r="AH65" s="32" t="s">
        <v>193</v>
      </c>
      <c r="AI65" s="32" t="s">
        <v>543</v>
      </c>
      <c r="AJ65" s="32" t="s">
        <v>544</v>
      </c>
      <c r="AK65" s="32">
        <v>986078320</v>
      </c>
      <c r="AL65" s="32" t="s">
        <v>491</v>
      </c>
      <c r="AM65" s="32" t="s">
        <v>491</v>
      </c>
      <c r="AN65" s="32" t="s">
        <v>491</v>
      </c>
      <c r="AO65" s="32" t="s">
        <v>491</v>
      </c>
      <c r="AP65" s="32" t="s">
        <v>491</v>
      </c>
      <c r="AQ65" s="32" t="s">
        <v>491</v>
      </c>
      <c r="AR65" s="32" t="s">
        <v>491</v>
      </c>
      <c r="AS65" s="32" t="s">
        <v>63</v>
      </c>
      <c r="AT65" s="32" t="s">
        <v>64</v>
      </c>
      <c r="AU65" s="56">
        <v>46235.708333333336</v>
      </c>
      <c r="AV65" s="56">
        <v>46235.70416666667</v>
      </c>
      <c r="AW65" s="56">
        <v>46235.715277777781</v>
      </c>
      <c r="AX65" s="56">
        <v>46235.71875</v>
      </c>
      <c r="AY65" s="56">
        <v>46235.767361111109</v>
      </c>
      <c r="AZ65" s="56">
        <v>46235.78402777778</v>
      </c>
      <c r="BA65" s="56">
        <v>46236.554166666669</v>
      </c>
      <c r="BB65" s="56">
        <v>46236.620138888888</v>
      </c>
      <c r="BC65" s="56">
        <v>46236.611111111109</v>
      </c>
      <c r="BD65" s="56">
        <v>46236.583333333336</v>
      </c>
      <c r="BE65" s="56">
        <v>46236.763888888891</v>
      </c>
      <c r="BG65" s="56">
        <v>46236.792361111111</v>
      </c>
      <c r="BH65" s="56">
        <v>46236.914583333331</v>
      </c>
      <c r="BI65" s="32" t="s">
        <v>65</v>
      </c>
      <c r="BJ65" s="56">
        <v>46237.791666666664</v>
      </c>
      <c r="BK65" s="56">
        <v>46237.754861111112</v>
      </c>
      <c r="BL65" s="56">
        <v>46237.757638888892</v>
      </c>
      <c r="BM65" s="56">
        <v>46237.765972222223</v>
      </c>
      <c r="BN65" s="56">
        <v>46237.775000000001</v>
      </c>
    </row>
    <row r="66" spans="1:66" x14ac:dyDescent="0.35">
      <c r="A66" t="s">
        <v>176</v>
      </c>
      <c r="B66" s="32">
        <v>15</v>
      </c>
      <c r="C66" s="32">
        <v>31</v>
      </c>
      <c r="D66" s="32" t="s">
        <v>177</v>
      </c>
      <c r="E66" s="32" t="s">
        <v>178</v>
      </c>
      <c r="G66" s="54">
        <v>46236</v>
      </c>
      <c r="H66" s="55"/>
      <c r="I66" s="55">
        <v>0.58333333333333337</v>
      </c>
      <c r="J66" s="32" t="s">
        <v>53</v>
      </c>
      <c r="K66" s="32" t="s">
        <v>179</v>
      </c>
      <c r="L66" s="32">
        <v>0.5</v>
      </c>
      <c r="M66" s="32" t="s">
        <v>572</v>
      </c>
      <c r="P66" s="32" t="s">
        <v>182</v>
      </c>
      <c r="Q66" s="32" t="s">
        <v>371</v>
      </c>
      <c r="R66" s="32" t="s">
        <v>183</v>
      </c>
      <c r="S66" s="32" t="s">
        <v>184</v>
      </c>
      <c r="T66" s="32" t="s">
        <v>573</v>
      </c>
      <c r="U66" s="32" t="s">
        <v>574</v>
      </c>
      <c r="V66" s="32" t="s">
        <v>575</v>
      </c>
      <c r="W66" s="32" t="s">
        <v>576</v>
      </c>
      <c r="X66" s="32" t="s">
        <v>187</v>
      </c>
      <c r="AA66" s="32" t="s">
        <v>189</v>
      </c>
      <c r="AB66" s="32" t="s">
        <v>485</v>
      </c>
      <c r="AC66" s="32" t="s">
        <v>56</v>
      </c>
      <c r="AD66" s="32" t="s">
        <v>486</v>
      </c>
      <c r="AE66" s="32">
        <v>20544424751</v>
      </c>
      <c r="AF66" s="32" t="s">
        <v>1823</v>
      </c>
      <c r="AG66" s="32" t="s">
        <v>497</v>
      </c>
      <c r="AH66" s="32" t="s">
        <v>193</v>
      </c>
      <c r="AI66" s="32" t="s">
        <v>498</v>
      </c>
      <c r="AJ66" s="32" t="s">
        <v>499</v>
      </c>
      <c r="AK66" s="32">
        <v>946500525</v>
      </c>
      <c r="AL66" s="32" t="s">
        <v>491</v>
      </c>
      <c r="AM66" s="32" t="s">
        <v>491</v>
      </c>
      <c r="AN66" s="32" t="s">
        <v>491</v>
      </c>
      <c r="AO66" s="32" t="s">
        <v>491</v>
      </c>
      <c r="AP66" s="32" t="s">
        <v>491</v>
      </c>
      <c r="AQ66" s="32" t="s">
        <v>491</v>
      </c>
      <c r="AR66" s="32" t="s">
        <v>491</v>
      </c>
      <c r="AS66" s="32" t="s">
        <v>63</v>
      </c>
      <c r="AT66" s="32" t="s">
        <v>64</v>
      </c>
      <c r="AU66" s="56">
        <v>46236.416666666664</v>
      </c>
      <c r="AV66" s="56">
        <v>46236.423611111109</v>
      </c>
      <c r="AW66" s="56">
        <v>46236.444444444445</v>
      </c>
      <c r="AX66" s="56">
        <v>46236.493055555555</v>
      </c>
      <c r="AY66" s="56">
        <v>46236.500694444447</v>
      </c>
      <c r="AZ66" s="56">
        <v>46236.576388888891</v>
      </c>
      <c r="BA66" s="56">
        <v>46237.461805555555</v>
      </c>
      <c r="BB66" s="56">
        <v>46237.487500000003</v>
      </c>
      <c r="BC66" s="56">
        <v>46237.565972222219</v>
      </c>
      <c r="BD66" s="56">
        <v>46237.541666666664</v>
      </c>
      <c r="BE66" s="56">
        <v>46237.724305555559</v>
      </c>
      <c r="BG66" s="56">
        <v>46237.752083333333</v>
      </c>
      <c r="BH66" s="56">
        <v>46237.779861111114</v>
      </c>
      <c r="BI66" s="32" t="s">
        <v>65</v>
      </c>
      <c r="BJ66" s="56">
        <v>46238.583333333336</v>
      </c>
      <c r="BK66" s="56">
        <v>46238.550694444442</v>
      </c>
      <c r="BL66" s="56">
        <v>46238.560416666667</v>
      </c>
      <c r="BM66" s="56">
        <v>46238.570138888892</v>
      </c>
      <c r="BN66" s="56">
        <v>46238.572222222225</v>
      </c>
    </row>
    <row r="67" spans="1:66" x14ac:dyDescent="0.35">
      <c r="A67" t="s">
        <v>176</v>
      </c>
      <c r="B67" s="32">
        <v>16</v>
      </c>
      <c r="C67" s="32">
        <v>31</v>
      </c>
      <c r="D67" s="32" t="s">
        <v>177</v>
      </c>
      <c r="E67" s="32" t="s">
        <v>178</v>
      </c>
      <c r="G67" s="54">
        <v>46236</v>
      </c>
      <c r="H67" s="55"/>
      <c r="I67" s="55">
        <v>0.58333333333333337</v>
      </c>
      <c r="J67" s="32" t="s">
        <v>53</v>
      </c>
      <c r="K67" s="32" t="s">
        <v>179</v>
      </c>
      <c r="L67" s="32">
        <v>0.5</v>
      </c>
      <c r="M67" s="32" t="s">
        <v>572</v>
      </c>
      <c r="P67" s="32" t="s">
        <v>182</v>
      </c>
      <c r="Q67" s="32" t="s">
        <v>371</v>
      </c>
      <c r="R67" s="32" t="s">
        <v>183</v>
      </c>
      <c r="S67" s="32" t="s">
        <v>184</v>
      </c>
      <c r="T67" s="32" t="s">
        <v>573</v>
      </c>
      <c r="U67" s="32" t="s">
        <v>574</v>
      </c>
      <c r="V67" s="32" t="s">
        <v>575</v>
      </c>
      <c r="W67" s="32" t="s">
        <v>576</v>
      </c>
      <c r="X67" s="32" t="s">
        <v>187</v>
      </c>
      <c r="AA67" s="32" t="s">
        <v>189</v>
      </c>
      <c r="AB67" s="32" t="s">
        <v>485</v>
      </c>
      <c r="AC67" s="32" t="s">
        <v>56</v>
      </c>
      <c r="AD67" s="32" t="s">
        <v>486</v>
      </c>
      <c r="AE67" s="32">
        <v>20544424751</v>
      </c>
      <c r="AF67" s="32" t="s">
        <v>1823</v>
      </c>
      <c r="AG67" s="32" t="s">
        <v>497</v>
      </c>
      <c r="AH67" s="32" t="s">
        <v>193</v>
      </c>
      <c r="AI67" s="32" t="s">
        <v>498</v>
      </c>
      <c r="AJ67" s="32" t="s">
        <v>499</v>
      </c>
      <c r="AK67" s="32">
        <v>946500525</v>
      </c>
      <c r="AL67" s="32" t="s">
        <v>491</v>
      </c>
      <c r="AM67" s="32" t="s">
        <v>491</v>
      </c>
      <c r="AN67" s="32" t="s">
        <v>491</v>
      </c>
      <c r="AO67" s="32" t="s">
        <v>491</v>
      </c>
      <c r="AP67" s="32" t="s">
        <v>491</v>
      </c>
      <c r="AQ67" s="32" t="s">
        <v>491</v>
      </c>
      <c r="AR67" s="32" t="s">
        <v>491</v>
      </c>
      <c r="AS67" s="32" t="s">
        <v>63</v>
      </c>
      <c r="AT67" s="32" t="s">
        <v>64</v>
      </c>
      <c r="AU67" s="56">
        <v>46236.416666666664</v>
      </c>
      <c r="AV67" s="56">
        <v>46236.423611111109</v>
      </c>
      <c r="AW67" s="56">
        <v>46236.444444444445</v>
      </c>
      <c r="AX67" s="56">
        <v>46236.493055555555</v>
      </c>
      <c r="AY67" s="56">
        <v>46236.500694444447</v>
      </c>
      <c r="AZ67" s="56">
        <v>46236.576388888891</v>
      </c>
      <c r="BA67" s="56">
        <v>46237.461805555555</v>
      </c>
      <c r="BB67" s="56">
        <v>46237.487500000003</v>
      </c>
      <c r="BC67" s="56">
        <v>46237.565972222219</v>
      </c>
      <c r="BD67" s="56">
        <v>46237.541666666664</v>
      </c>
      <c r="BE67" s="56">
        <v>46237.724305555559</v>
      </c>
      <c r="BG67" s="56">
        <v>46237.752083333333</v>
      </c>
      <c r="BH67" s="56">
        <v>46237.779861111114</v>
      </c>
      <c r="BI67" s="32" t="s">
        <v>65</v>
      </c>
      <c r="BJ67" s="56">
        <v>46238.583333333336</v>
      </c>
      <c r="BK67" s="56">
        <v>46238.550694444442</v>
      </c>
      <c r="BL67" s="56">
        <v>46238.560416666667</v>
      </c>
      <c r="BM67" s="56">
        <v>46238.570138888892</v>
      </c>
      <c r="BN67" s="56">
        <v>46238.572222222225</v>
      </c>
    </row>
    <row r="68" spans="1:66" x14ac:dyDescent="0.35">
      <c r="A68" t="s">
        <v>176</v>
      </c>
      <c r="B68" s="32">
        <v>17</v>
      </c>
      <c r="C68" s="32">
        <v>31</v>
      </c>
      <c r="D68" s="32" t="s">
        <v>177</v>
      </c>
      <c r="E68" s="32" t="s">
        <v>178</v>
      </c>
      <c r="G68" s="54">
        <v>46236</v>
      </c>
      <c r="H68" s="55"/>
      <c r="I68" s="55">
        <v>0.58333333333333337</v>
      </c>
      <c r="J68" s="32" t="s">
        <v>53</v>
      </c>
      <c r="K68" s="32" t="s">
        <v>179</v>
      </c>
      <c r="L68" s="32">
        <v>1</v>
      </c>
      <c r="M68" s="32" t="s">
        <v>577</v>
      </c>
      <c r="P68" s="32" t="s">
        <v>182</v>
      </c>
      <c r="Q68" s="32" t="s">
        <v>371</v>
      </c>
      <c r="R68" s="32" t="s">
        <v>183</v>
      </c>
      <c r="S68" s="32" t="s">
        <v>184</v>
      </c>
      <c r="T68" s="32" t="s">
        <v>578</v>
      </c>
      <c r="U68" s="32" t="s">
        <v>579</v>
      </c>
      <c r="V68" s="32" t="s">
        <v>580</v>
      </c>
      <c r="W68" s="32" t="s">
        <v>581</v>
      </c>
      <c r="X68" s="32" t="s">
        <v>187</v>
      </c>
      <c r="AA68" s="32" t="s">
        <v>189</v>
      </c>
      <c r="AB68" s="32" t="s">
        <v>485</v>
      </c>
      <c r="AC68" s="32" t="s">
        <v>56</v>
      </c>
      <c r="AD68" s="32" t="s">
        <v>486</v>
      </c>
      <c r="AE68" s="32">
        <v>20544424751</v>
      </c>
      <c r="AF68" s="32" t="s">
        <v>582</v>
      </c>
      <c r="AG68" s="32" t="s">
        <v>583</v>
      </c>
      <c r="AH68" s="32" t="s">
        <v>193</v>
      </c>
      <c r="AI68" s="32" t="s">
        <v>584</v>
      </c>
      <c r="AJ68" s="32" t="s">
        <v>1826</v>
      </c>
      <c r="AK68" s="32">
        <v>952268872</v>
      </c>
      <c r="AL68" s="32" t="s">
        <v>491</v>
      </c>
      <c r="AM68" s="32" t="s">
        <v>491</v>
      </c>
      <c r="AN68" s="32" t="s">
        <v>491</v>
      </c>
      <c r="AO68" s="32" t="s">
        <v>491</v>
      </c>
      <c r="AP68" s="32" t="s">
        <v>491</v>
      </c>
      <c r="AQ68" s="32" t="s">
        <v>491</v>
      </c>
      <c r="AR68" s="32" t="s">
        <v>491</v>
      </c>
      <c r="AS68" s="32" t="s">
        <v>63</v>
      </c>
      <c r="AT68" s="32" t="s">
        <v>64</v>
      </c>
      <c r="AU68" s="56">
        <v>46236.5</v>
      </c>
      <c r="AV68" s="56">
        <v>46236.444444444445</v>
      </c>
      <c r="AW68" s="56">
        <v>46236.513888888891</v>
      </c>
      <c r="AX68" s="56">
        <v>46236.518055555556</v>
      </c>
      <c r="AY68" s="56">
        <v>46236.601388888892</v>
      </c>
      <c r="AZ68" s="56">
        <v>46236.604861111111</v>
      </c>
      <c r="BA68" s="56">
        <v>46237.498611111114</v>
      </c>
      <c r="BB68" s="56">
        <v>46237.52847222222</v>
      </c>
      <c r="BC68" s="56">
        <v>46237.567361111112</v>
      </c>
      <c r="BD68" s="56">
        <v>46237.541666666664</v>
      </c>
      <c r="BE68" s="56">
        <v>46237.731249999997</v>
      </c>
      <c r="BG68" s="56">
        <v>46237.793749999997</v>
      </c>
      <c r="BH68" s="56">
        <v>46237.813888888886</v>
      </c>
      <c r="BI68" s="32" t="s">
        <v>65</v>
      </c>
      <c r="BJ68" s="56">
        <v>46238.625</v>
      </c>
      <c r="BK68" s="56">
        <v>46238.555555555555</v>
      </c>
      <c r="BL68" s="56">
        <v>46238.563194444447</v>
      </c>
      <c r="BM68" s="56">
        <v>46238.572222222225</v>
      </c>
      <c r="BN68" s="56">
        <v>46238.575694444444</v>
      </c>
    </row>
    <row r="69" spans="1:66" x14ac:dyDescent="0.35">
      <c r="A69" t="s">
        <v>176</v>
      </c>
      <c r="B69" s="32">
        <v>18</v>
      </c>
      <c r="C69" s="32">
        <v>31</v>
      </c>
      <c r="D69" s="32" t="s">
        <v>177</v>
      </c>
      <c r="E69" s="32" t="s">
        <v>178</v>
      </c>
      <c r="G69" s="54">
        <v>46236</v>
      </c>
      <c r="H69" s="55"/>
      <c r="I69" s="55">
        <v>0.58333333333333337</v>
      </c>
      <c r="J69" s="32" t="s">
        <v>53</v>
      </c>
      <c r="K69" s="32" t="s">
        <v>179</v>
      </c>
      <c r="L69" s="32">
        <v>1</v>
      </c>
      <c r="M69" s="32" t="s">
        <v>585</v>
      </c>
      <c r="P69" s="32" t="s">
        <v>182</v>
      </c>
      <c r="Q69" s="32" t="s">
        <v>371</v>
      </c>
      <c r="R69" s="32" t="s">
        <v>183</v>
      </c>
      <c r="S69" s="32" t="s">
        <v>184</v>
      </c>
      <c r="T69" s="32" t="s">
        <v>586</v>
      </c>
      <c r="U69" s="32" t="s">
        <v>587</v>
      </c>
      <c r="V69" s="32" t="s">
        <v>588</v>
      </c>
      <c r="W69" s="32" t="s">
        <v>589</v>
      </c>
      <c r="X69" s="32" t="s">
        <v>187</v>
      </c>
      <c r="AA69" s="32" t="s">
        <v>189</v>
      </c>
      <c r="AB69" s="32" t="s">
        <v>485</v>
      </c>
      <c r="AC69" s="32" t="s">
        <v>92</v>
      </c>
      <c r="AD69" s="32" t="s">
        <v>590</v>
      </c>
      <c r="AE69" s="32">
        <v>20481610495</v>
      </c>
      <c r="AF69" s="32" t="s">
        <v>591</v>
      </c>
      <c r="AG69" s="32" t="s">
        <v>592</v>
      </c>
      <c r="AH69" s="32" t="s">
        <v>193</v>
      </c>
      <c r="AI69" s="32" t="s">
        <v>593</v>
      </c>
      <c r="AJ69" s="32" t="s">
        <v>594</v>
      </c>
      <c r="AK69" s="32">
        <v>970458084</v>
      </c>
      <c r="AL69" s="32" t="s">
        <v>491</v>
      </c>
      <c r="AM69" s="32" t="s">
        <v>491</v>
      </c>
      <c r="AN69" s="32" t="s">
        <v>491</v>
      </c>
      <c r="AO69" s="32" t="s">
        <v>491</v>
      </c>
      <c r="AP69" s="32" t="s">
        <v>491</v>
      </c>
      <c r="AQ69" s="32" t="s">
        <v>491</v>
      </c>
      <c r="AR69" s="32" t="s">
        <v>491</v>
      </c>
      <c r="AS69" s="32" t="s">
        <v>63</v>
      </c>
      <c r="AT69" s="32" t="s">
        <v>64</v>
      </c>
      <c r="AU69" s="56">
        <v>46236.416666666664</v>
      </c>
      <c r="AV69" s="56">
        <v>46236.418055555558</v>
      </c>
      <c r="AW69" s="56">
        <v>46236.513888888891</v>
      </c>
      <c r="AX69" s="56">
        <v>46236.5625</v>
      </c>
      <c r="AY69" s="56">
        <v>46236.490277777775</v>
      </c>
      <c r="AZ69" s="56">
        <v>46236.806944444441</v>
      </c>
      <c r="BA69" s="56">
        <v>46237.493055555555</v>
      </c>
      <c r="BB69" s="56">
        <v>46237.572916666664</v>
      </c>
      <c r="BC69" s="56">
        <v>46237.568749999999</v>
      </c>
      <c r="BD69" s="56">
        <v>46237.541666666664</v>
      </c>
      <c r="BE69" s="56">
        <v>46237.584722222222</v>
      </c>
      <c r="BG69" s="56">
        <v>46237.652083333334</v>
      </c>
      <c r="BH69" s="56">
        <v>46237.821527777778</v>
      </c>
      <c r="BI69" s="32" t="s">
        <v>65</v>
      </c>
      <c r="BJ69" s="56">
        <v>46238.458333333336</v>
      </c>
      <c r="BK69" s="56">
        <v>46238.474999999999</v>
      </c>
      <c r="BL69" s="56">
        <v>46238.479861111111</v>
      </c>
      <c r="BM69" s="56">
        <v>46238.484027777777</v>
      </c>
      <c r="BN69" s="56">
        <v>46238.492361111108</v>
      </c>
    </row>
    <row r="70" spans="1:66" x14ac:dyDescent="0.35">
      <c r="A70" t="s">
        <v>176</v>
      </c>
      <c r="B70" s="32">
        <v>19</v>
      </c>
      <c r="C70" s="32">
        <v>32</v>
      </c>
      <c r="D70" s="32" t="s">
        <v>177</v>
      </c>
      <c r="E70" s="32" t="s">
        <v>178</v>
      </c>
      <c r="G70" s="54">
        <v>46240</v>
      </c>
      <c r="H70" s="55"/>
      <c r="I70" s="55">
        <v>0.33333333333333331</v>
      </c>
      <c r="J70" s="32" t="s">
        <v>53</v>
      </c>
      <c r="K70" s="32" t="s">
        <v>179</v>
      </c>
      <c r="L70" s="32">
        <v>1</v>
      </c>
      <c r="M70" s="32" t="s">
        <v>595</v>
      </c>
      <c r="P70" s="32" t="s">
        <v>182</v>
      </c>
      <c r="Q70" s="32" t="s">
        <v>371</v>
      </c>
      <c r="R70" s="32" t="s">
        <v>382</v>
      </c>
      <c r="S70" s="32" t="s">
        <v>383</v>
      </c>
      <c r="T70" s="32" t="s">
        <v>596</v>
      </c>
      <c r="U70" s="32" t="s">
        <v>597</v>
      </c>
      <c r="V70" s="32" t="s">
        <v>598</v>
      </c>
      <c r="W70" s="32" t="s">
        <v>599</v>
      </c>
      <c r="X70" s="32" t="s">
        <v>188</v>
      </c>
      <c r="AA70" s="32" t="s">
        <v>189</v>
      </c>
      <c r="AB70" s="32" t="s">
        <v>485</v>
      </c>
      <c r="AC70" s="32" t="s">
        <v>56</v>
      </c>
      <c r="AD70" s="32" t="s">
        <v>486</v>
      </c>
      <c r="AE70" s="32">
        <v>20544424751</v>
      </c>
      <c r="AF70" s="32" t="s">
        <v>541</v>
      </c>
      <c r="AG70" s="32" t="s">
        <v>542</v>
      </c>
      <c r="AH70" s="32" t="s">
        <v>193</v>
      </c>
      <c r="AI70" s="32" t="s">
        <v>543</v>
      </c>
      <c r="AJ70" s="32" t="s">
        <v>544</v>
      </c>
      <c r="AK70" s="32">
        <v>986078320</v>
      </c>
      <c r="AL70" s="32" t="s">
        <v>491</v>
      </c>
      <c r="AM70" s="32" t="s">
        <v>491</v>
      </c>
      <c r="AN70" s="32" t="s">
        <v>491</v>
      </c>
      <c r="AO70" s="32" t="s">
        <v>491</v>
      </c>
      <c r="AP70" s="32" t="s">
        <v>491</v>
      </c>
      <c r="AQ70" s="32" t="s">
        <v>491</v>
      </c>
      <c r="AR70" s="32" t="s">
        <v>491</v>
      </c>
      <c r="AS70" s="32" t="s">
        <v>63</v>
      </c>
      <c r="AT70" s="32" t="s">
        <v>388</v>
      </c>
      <c r="AU70" s="56">
        <v>46240.416666666664</v>
      </c>
      <c r="AV70" s="56">
        <v>46240.393750000003</v>
      </c>
      <c r="AW70" s="56">
        <v>46240.404861111114</v>
      </c>
      <c r="AX70" s="56">
        <v>46240.409722222219</v>
      </c>
      <c r="AY70" s="56">
        <v>46240.503472222219</v>
      </c>
      <c r="AZ70" s="56">
        <v>46240.642361111109</v>
      </c>
      <c r="BA70" s="56">
        <v>46241.328472222223</v>
      </c>
      <c r="BB70" s="56">
        <v>46241.339583333334</v>
      </c>
      <c r="BC70" s="56">
        <v>46241.357638888891</v>
      </c>
      <c r="BD70" s="56">
        <v>46241.333333333336</v>
      </c>
      <c r="BE70" s="56">
        <v>46241.488888888889</v>
      </c>
      <c r="BG70" s="56">
        <v>46241.522916666669</v>
      </c>
      <c r="BH70" s="56">
        <v>46241.534722222219</v>
      </c>
      <c r="BI70" s="32" t="s">
        <v>65</v>
      </c>
      <c r="BJ70" s="56">
        <v>46242.333333333336</v>
      </c>
      <c r="BK70" s="56">
        <v>46242.363194444442</v>
      </c>
      <c r="BL70" s="56">
        <v>46242.365972222222</v>
      </c>
      <c r="BM70" s="56">
        <v>46242.368055555555</v>
      </c>
      <c r="BN70" s="56">
        <v>46242.37777777778</v>
      </c>
    </row>
    <row r="71" spans="1:66" x14ac:dyDescent="0.35">
      <c r="A71" t="s">
        <v>176</v>
      </c>
      <c r="B71" s="32">
        <v>20</v>
      </c>
      <c r="C71" s="32">
        <v>32</v>
      </c>
      <c r="D71" s="32" t="s">
        <v>177</v>
      </c>
      <c r="E71" s="32" t="s">
        <v>178</v>
      </c>
      <c r="G71" s="54">
        <v>46240</v>
      </c>
      <c r="H71" s="55"/>
      <c r="I71" s="55">
        <v>0.41666666666666669</v>
      </c>
      <c r="J71" s="32" t="s">
        <v>53</v>
      </c>
      <c r="K71" s="32" t="s">
        <v>179</v>
      </c>
      <c r="L71" s="32">
        <v>1</v>
      </c>
      <c r="M71" s="32" t="s">
        <v>600</v>
      </c>
      <c r="P71" s="32" t="s">
        <v>182</v>
      </c>
      <c r="Q71" s="32" t="s">
        <v>371</v>
      </c>
      <c r="R71" s="32" t="s">
        <v>382</v>
      </c>
      <c r="S71" s="32" t="s">
        <v>383</v>
      </c>
      <c r="T71" s="32" t="s">
        <v>601</v>
      </c>
      <c r="U71" s="32" t="s">
        <v>602</v>
      </c>
      <c r="V71" s="32" t="s">
        <v>603</v>
      </c>
      <c r="W71" s="32" t="s">
        <v>604</v>
      </c>
      <c r="X71" s="32" t="s">
        <v>188</v>
      </c>
      <c r="AA71" s="32" t="s">
        <v>189</v>
      </c>
      <c r="AB71" s="32" t="s">
        <v>485</v>
      </c>
      <c r="AC71" s="32" t="s">
        <v>56</v>
      </c>
      <c r="AD71" s="32" t="s">
        <v>486</v>
      </c>
      <c r="AE71" s="32">
        <v>20544424751</v>
      </c>
      <c r="AF71" s="32" t="s">
        <v>487</v>
      </c>
      <c r="AG71" s="32" t="s">
        <v>488</v>
      </c>
      <c r="AH71" s="32" t="s">
        <v>193</v>
      </c>
      <c r="AI71" s="32" t="s">
        <v>489</v>
      </c>
      <c r="AJ71" s="32" t="s">
        <v>490</v>
      </c>
      <c r="AK71" s="32">
        <v>934270711</v>
      </c>
      <c r="AL71" s="32" t="s">
        <v>491</v>
      </c>
      <c r="AM71" s="32" t="s">
        <v>491</v>
      </c>
      <c r="AN71" s="32" t="s">
        <v>491</v>
      </c>
      <c r="AO71" s="32" t="s">
        <v>491</v>
      </c>
      <c r="AP71" s="32" t="s">
        <v>491</v>
      </c>
      <c r="AQ71" s="32" t="s">
        <v>491</v>
      </c>
      <c r="AR71" s="32" t="s">
        <v>491</v>
      </c>
      <c r="AS71" s="32" t="s">
        <v>63</v>
      </c>
      <c r="AT71" s="32" t="s">
        <v>388</v>
      </c>
      <c r="AU71" s="56">
        <v>46240.416666666664</v>
      </c>
      <c r="AV71" s="56">
        <v>46240.393750000003</v>
      </c>
      <c r="AW71" s="56">
        <v>46240.405555555553</v>
      </c>
      <c r="AX71" s="56">
        <v>46240.411111111112</v>
      </c>
      <c r="AY71" s="56">
        <v>46240.51458333333</v>
      </c>
      <c r="AZ71" s="56">
        <v>46240.642361111109</v>
      </c>
      <c r="BA71" s="56">
        <v>46241.337500000001</v>
      </c>
      <c r="BB71" s="56">
        <v>46241.352777777778</v>
      </c>
      <c r="BC71" s="56">
        <v>46241.373611111114</v>
      </c>
      <c r="BD71" s="56">
        <v>46241.354166666664</v>
      </c>
      <c r="BE71" s="56">
        <v>46241.459027777775</v>
      </c>
      <c r="BG71" s="56">
        <v>46241.524305555555</v>
      </c>
      <c r="BH71" s="56">
        <v>46241.534722222219</v>
      </c>
      <c r="BI71" s="32" t="s">
        <v>65</v>
      </c>
      <c r="BJ71" s="56">
        <v>46242.375</v>
      </c>
      <c r="BK71" s="56">
        <v>46242.364583333336</v>
      </c>
      <c r="BL71" s="56">
        <v>46242.366666666669</v>
      </c>
      <c r="BM71" s="56">
        <v>46242.369444444441</v>
      </c>
      <c r="BN71" s="56">
        <v>46242.378472222219</v>
      </c>
    </row>
    <row r="72" spans="1:66" x14ac:dyDescent="0.35">
      <c r="A72" t="s">
        <v>176</v>
      </c>
      <c r="B72" s="32">
        <v>21</v>
      </c>
      <c r="C72" s="32">
        <v>32</v>
      </c>
      <c r="D72" s="32" t="s">
        <v>177</v>
      </c>
      <c r="E72" s="32" t="s">
        <v>178</v>
      </c>
      <c r="G72" s="54">
        <v>46241</v>
      </c>
      <c r="H72" s="55"/>
      <c r="I72" s="55">
        <v>0.41666666666666669</v>
      </c>
      <c r="J72" s="32" t="s">
        <v>53</v>
      </c>
      <c r="K72" s="32" t="s">
        <v>179</v>
      </c>
      <c r="L72" s="32">
        <v>1</v>
      </c>
      <c r="M72" s="32" t="s">
        <v>605</v>
      </c>
      <c r="P72" s="32" t="s">
        <v>182</v>
      </c>
      <c r="Q72" s="32" t="s">
        <v>371</v>
      </c>
      <c r="R72" s="32" t="s">
        <v>183</v>
      </c>
      <c r="S72" s="32" t="s">
        <v>184</v>
      </c>
      <c r="T72" s="32" t="s">
        <v>606</v>
      </c>
      <c r="U72" s="32" t="s">
        <v>607</v>
      </c>
      <c r="V72" s="32" t="s">
        <v>608</v>
      </c>
      <c r="W72" s="32" t="s">
        <v>609</v>
      </c>
      <c r="X72" s="32" t="s">
        <v>187</v>
      </c>
      <c r="AA72" s="32" t="s">
        <v>189</v>
      </c>
      <c r="AB72" s="32" t="s">
        <v>485</v>
      </c>
      <c r="AC72" s="32" t="s">
        <v>56</v>
      </c>
      <c r="AD72" s="32" t="s">
        <v>486</v>
      </c>
      <c r="AE72" s="32">
        <v>20544424751</v>
      </c>
      <c r="AF72" s="32" t="s">
        <v>1823</v>
      </c>
      <c r="AG72" s="32" t="s">
        <v>497</v>
      </c>
      <c r="AH72" s="32" t="s">
        <v>193</v>
      </c>
      <c r="AI72" s="32" t="s">
        <v>498</v>
      </c>
      <c r="AJ72" s="32" t="s">
        <v>499</v>
      </c>
      <c r="AK72" s="32">
        <v>946500525</v>
      </c>
      <c r="AL72" s="32" t="s">
        <v>491</v>
      </c>
      <c r="AM72" s="32" t="s">
        <v>491</v>
      </c>
      <c r="AN72" s="32" t="s">
        <v>491</v>
      </c>
      <c r="AO72" s="32" t="s">
        <v>491</v>
      </c>
      <c r="AP72" s="32" t="s">
        <v>491</v>
      </c>
      <c r="AQ72" s="32" t="s">
        <v>491</v>
      </c>
      <c r="AR72" s="32" t="s">
        <v>491</v>
      </c>
      <c r="AS72" s="32" t="s">
        <v>63</v>
      </c>
      <c r="AT72" s="32" t="s">
        <v>64</v>
      </c>
      <c r="AU72" s="56">
        <v>46241.625</v>
      </c>
      <c r="AV72" s="56">
        <v>46241.60833333333</v>
      </c>
      <c r="AW72" s="56">
        <v>46241.638194444444</v>
      </c>
      <c r="AX72" s="56">
        <v>46241.646527777775</v>
      </c>
      <c r="AY72" s="56">
        <v>46241.69027777778</v>
      </c>
      <c r="AZ72" s="56">
        <v>46241.709027777775</v>
      </c>
      <c r="BA72" s="56">
        <v>46242.474999999999</v>
      </c>
      <c r="BB72" s="56">
        <v>46242.479166666664</v>
      </c>
      <c r="BC72" s="56">
        <v>46242.484027777777</v>
      </c>
      <c r="BD72" s="56">
        <v>46242.458333333336</v>
      </c>
      <c r="BE72" s="56">
        <v>46242.838194444441</v>
      </c>
      <c r="BG72" s="56">
        <v>46242.875</v>
      </c>
      <c r="BH72" s="56">
        <v>46242.938194444447</v>
      </c>
      <c r="BI72" s="32" t="s">
        <v>65</v>
      </c>
      <c r="BJ72" s="56">
        <v>46243.708333333336</v>
      </c>
      <c r="BK72" s="56">
        <v>46243.666666666664</v>
      </c>
      <c r="BL72" s="56">
        <v>46243.668055555558</v>
      </c>
      <c r="BM72" s="56">
        <v>46243.673611111109</v>
      </c>
      <c r="BN72" s="56">
        <v>46243.680555555555</v>
      </c>
    </row>
    <row r="73" spans="1:66" x14ac:dyDescent="0.35">
      <c r="A73" t="s">
        <v>176</v>
      </c>
      <c r="B73" s="32">
        <v>22</v>
      </c>
      <c r="C73" s="32">
        <v>32</v>
      </c>
      <c r="D73" s="32" t="s">
        <v>177</v>
      </c>
      <c r="E73" s="32" t="s">
        <v>178</v>
      </c>
      <c r="G73" s="54">
        <v>46241</v>
      </c>
      <c r="H73" s="55"/>
      <c r="I73" s="55">
        <v>0.41666666666666669</v>
      </c>
      <c r="J73" s="32" t="s">
        <v>53</v>
      </c>
      <c r="K73" s="32" t="s">
        <v>179</v>
      </c>
      <c r="L73" s="32">
        <v>1</v>
      </c>
      <c r="M73" s="32" t="s">
        <v>610</v>
      </c>
      <c r="P73" s="32" t="s">
        <v>182</v>
      </c>
      <c r="Q73" s="32" t="s">
        <v>371</v>
      </c>
      <c r="R73" s="32" t="s">
        <v>183</v>
      </c>
      <c r="S73" s="32" t="s">
        <v>184</v>
      </c>
      <c r="T73" s="32" t="s">
        <v>611</v>
      </c>
      <c r="U73" s="32" t="s">
        <v>612</v>
      </c>
      <c r="V73" s="32" t="s">
        <v>613</v>
      </c>
      <c r="W73" s="32" t="s">
        <v>614</v>
      </c>
      <c r="X73" s="32" t="s">
        <v>187</v>
      </c>
      <c r="AA73" s="32" t="s">
        <v>189</v>
      </c>
      <c r="AB73" s="32" t="s">
        <v>485</v>
      </c>
      <c r="AC73" s="32" t="s">
        <v>56</v>
      </c>
      <c r="AD73" s="32" t="s">
        <v>486</v>
      </c>
      <c r="AE73" s="32">
        <v>20544424751</v>
      </c>
      <c r="AF73" s="32" t="s">
        <v>1824</v>
      </c>
      <c r="AG73" s="32" t="s">
        <v>505</v>
      </c>
      <c r="AH73" s="32" t="s">
        <v>193</v>
      </c>
      <c r="AI73" s="32" t="s">
        <v>506</v>
      </c>
      <c r="AJ73" s="32" t="s">
        <v>507</v>
      </c>
      <c r="AK73" s="32">
        <v>904556157</v>
      </c>
      <c r="AL73" s="32" t="s">
        <v>491</v>
      </c>
      <c r="AM73" s="32" t="s">
        <v>491</v>
      </c>
      <c r="AN73" s="32" t="s">
        <v>491</v>
      </c>
      <c r="AO73" s="32" t="s">
        <v>491</v>
      </c>
      <c r="AP73" s="32" t="s">
        <v>491</v>
      </c>
      <c r="AQ73" s="32" t="s">
        <v>491</v>
      </c>
      <c r="AR73" s="32" t="s">
        <v>491</v>
      </c>
      <c r="AS73" s="32" t="s">
        <v>63</v>
      </c>
      <c r="AT73" s="32" t="s">
        <v>64</v>
      </c>
      <c r="AU73" s="56">
        <v>46241.625</v>
      </c>
      <c r="AV73" s="56">
        <v>46241.611111111109</v>
      </c>
      <c r="AW73" s="56">
        <v>46241.638888888891</v>
      </c>
      <c r="AX73" s="56">
        <v>46241.662499999999</v>
      </c>
      <c r="AY73" s="56">
        <v>46241.743750000001</v>
      </c>
      <c r="AZ73" s="56">
        <v>46241.765972222223</v>
      </c>
      <c r="BA73" s="56">
        <v>46242.531944444447</v>
      </c>
      <c r="BB73" s="56">
        <v>46242.55972222222</v>
      </c>
      <c r="BC73" s="56">
        <v>46242.584027777775</v>
      </c>
      <c r="BD73" s="56">
        <v>46242.563194444447</v>
      </c>
      <c r="BE73" s="56">
        <v>46242.853472222225</v>
      </c>
      <c r="BG73" s="56">
        <v>46242.881249999999</v>
      </c>
      <c r="BH73" s="56">
        <v>46242.930555555555</v>
      </c>
      <c r="BI73" s="32" t="s">
        <v>65</v>
      </c>
      <c r="BJ73" s="56">
        <v>46243.708333333336</v>
      </c>
      <c r="BK73" s="56">
        <v>46243.664583333331</v>
      </c>
      <c r="BL73" s="56">
        <v>46243.666666666664</v>
      </c>
      <c r="BM73" s="56">
        <v>46243.672222222223</v>
      </c>
      <c r="BN73" s="56">
        <v>46243.679166666669</v>
      </c>
    </row>
    <row r="74" spans="1:66" x14ac:dyDescent="0.35">
      <c r="A74" t="s">
        <v>176</v>
      </c>
      <c r="B74" s="32">
        <v>23</v>
      </c>
      <c r="C74" s="32">
        <v>32</v>
      </c>
      <c r="D74" s="32" t="s">
        <v>177</v>
      </c>
      <c r="E74" s="32" t="s">
        <v>178</v>
      </c>
      <c r="G74" s="54">
        <v>46241</v>
      </c>
      <c r="H74" s="55"/>
      <c r="I74" s="55">
        <v>0.5</v>
      </c>
      <c r="J74" s="32" t="s">
        <v>53</v>
      </c>
      <c r="K74" s="32" t="s">
        <v>179</v>
      </c>
      <c r="L74" s="32">
        <v>1</v>
      </c>
      <c r="M74" s="32" t="s">
        <v>615</v>
      </c>
      <c r="P74" s="32" t="s">
        <v>182</v>
      </c>
      <c r="Q74" s="32" t="s">
        <v>371</v>
      </c>
      <c r="R74" s="32" t="s">
        <v>183</v>
      </c>
      <c r="S74" s="32" t="s">
        <v>184</v>
      </c>
      <c r="T74" s="32" t="s">
        <v>616</v>
      </c>
      <c r="U74" s="32" t="s">
        <v>617</v>
      </c>
      <c r="V74" s="32" t="s">
        <v>618</v>
      </c>
      <c r="W74" s="32" t="s">
        <v>619</v>
      </c>
      <c r="X74" s="32" t="s">
        <v>187</v>
      </c>
      <c r="AA74" s="32" t="s">
        <v>189</v>
      </c>
      <c r="AB74" s="32" t="s">
        <v>485</v>
      </c>
      <c r="AC74" s="32" t="s">
        <v>56</v>
      </c>
      <c r="AD74" s="32" t="s">
        <v>486</v>
      </c>
      <c r="AE74" s="32">
        <v>20544424751</v>
      </c>
      <c r="AF74" s="32" t="s">
        <v>527</v>
      </c>
      <c r="AG74" s="32" t="s">
        <v>528</v>
      </c>
      <c r="AH74" s="32" t="s">
        <v>193</v>
      </c>
      <c r="AI74" s="32" t="s">
        <v>529</v>
      </c>
      <c r="AJ74" s="32" t="s">
        <v>530</v>
      </c>
      <c r="AK74" s="32">
        <v>914472332</v>
      </c>
      <c r="AL74" s="32" t="s">
        <v>491</v>
      </c>
      <c r="AM74" s="32" t="s">
        <v>491</v>
      </c>
      <c r="AN74" s="32" t="s">
        <v>491</v>
      </c>
      <c r="AO74" s="32" t="s">
        <v>491</v>
      </c>
      <c r="AP74" s="32" t="s">
        <v>491</v>
      </c>
      <c r="AQ74" s="32" t="s">
        <v>491</v>
      </c>
      <c r="AR74" s="32" t="s">
        <v>491</v>
      </c>
      <c r="AS74" s="32" t="s">
        <v>63</v>
      </c>
      <c r="AT74" s="32" t="s">
        <v>64</v>
      </c>
      <c r="AU74" s="56">
        <v>46241.625</v>
      </c>
      <c r="AV74" s="56">
        <v>46241.611111111109</v>
      </c>
      <c r="AW74" s="56">
        <v>46241.636111111111</v>
      </c>
      <c r="AX74" s="56">
        <v>46241.637499999997</v>
      </c>
      <c r="AY74" s="56">
        <v>46241.743750000001</v>
      </c>
      <c r="AZ74" s="56">
        <v>46241.765972222223</v>
      </c>
      <c r="BA74" s="56">
        <v>46242.531944444447</v>
      </c>
      <c r="BB74" s="56">
        <v>46242.563888888886</v>
      </c>
      <c r="BC74" s="56">
        <v>46242.623611111114</v>
      </c>
      <c r="BD74" s="56">
        <v>46242.609722222223</v>
      </c>
      <c r="BE74" s="56">
        <v>46242.852777777778</v>
      </c>
      <c r="BG74" s="56">
        <v>46242.880555555559</v>
      </c>
      <c r="BH74" s="56">
        <v>46242.930555555555</v>
      </c>
      <c r="BI74" s="32" t="s">
        <v>65</v>
      </c>
      <c r="BJ74" s="56">
        <v>46243.708333333336</v>
      </c>
      <c r="BK74" s="56">
        <v>46243.659722222219</v>
      </c>
      <c r="BL74" s="56">
        <v>46243.664583333331</v>
      </c>
      <c r="BM74" s="56">
        <v>46243.67083333333</v>
      </c>
      <c r="BN74" s="56">
        <v>46243.677083333336</v>
      </c>
    </row>
    <row r="75" spans="1:66" x14ac:dyDescent="0.35">
      <c r="A75" t="s">
        <v>176</v>
      </c>
      <c r="B75" s="32">
        <v>24</v>
      </c>
      <c r="C75" s="32">
        <v>32</v>
      </c>
      <c r="D75" s="32" t="s">
        <v>177</v>
      </c>
      <c r="E75" s="32" t="s">
        <v>178</v>
      </c>
      <c r="G75" s="54">
        <v>46243</v>
      </c>
      <c r="H75" s="55"/>
      <c r="I75" s="55">
        <v>0.41666666666666669</v>
      </c>
      <c r="J75" s="32" t="s">
        <v>53</v>
      </c>
      <c r="K75" s="32" t="s">
        <v>179</v>
      </c>
      <c r="L75" s="32">
        <v>1</v>
      </c>
      <c r="M75" s="32" t="s">
        <v>620</v>
      </c>
      <c r="P75" s="32" t="s">
        <v>182</v>
      </c>
      <c r="Q75" s="32" t="s">
        <v>371</v>
      </c>
      <c r="R75" s="32" t="s">
        <v>415</v>
      </c>
      <c r="S75" s="32" t="s">
        <v>184</v>
      </c>
      <c r="T75" s="32" t="s">
        <v>621</v>
      </c>
      <c r="U75" s="32" t="s">
        <v>622</v>
      </c>
      <c r="V75" s="32" t="s">
        <v>623</v>
      </c>
      <c r="W75" s="32" t="s">
        <v>624</v>
      </c>
      <c r="X75" s="32" t="s">
        <v>187</v>
      </c>
      <c r="AA75" s="32" t="s">
        <v>189</v>
      </c>
      <c r="AB75" s="32" t="s">
        <v>485</v>
      </c>
      <c r="AC75" s="32" t="s">
        <v>56</v>
      </c>
      <c r="AD75" s="32" t="s">
        <v>486</v>
      </c>
      <c r="AE75" s="32">
        <v>20544424751</v>
      </c>
      <c r="AF75" s="32" t="s">
        <v>1823</v>
      </c>
      <c r="AG75" s="32" t="s">
        <v>497</v>
      </c>
      <c r="AH75" s="32" t="s">
        <v>193</v>
      </c>
      <c r="AI75" s="32" t="s">
        <v>498</v>
      </c>
      <c r="AJ75" s="32" t="s">
        <v>499</v>
      </c>
      <c r="AK75" s="32">
        <v>946500525</v>
      </c>
      <c r="AL75" s="32" t="s">
        <v>491</v>
      </c>
      <c r="AM75" s="32" t="s">
        <v>491</v>
      </c>
      <c r="AN75" s="32" t="s">
        <v>491</v>
      </c>
      <c r="AO75" s="32" t="s">
        <v>491</v>
      </c>
      <c r="AP75" s="32" t="s">
        <v>491</v>
      </c>
      <c r="AQ75" s="32" t="s">
        <v>491</v>
      </c>
      <c r="AR75" s="32" t="s">
        <v>491</v>
      </c>
      <c r="AS75" s="32" t="s">
        <v>63</v>
      </c>
      <c r="AT75" s="32" t="s">
        <v>64</v>
      </c>
      <c r="AU75" s="56">
        <v>46243.708333333336</v>
      </c>
      <c r="AV75" s="56">
        <v>46243.717361111114</v>
      </c>
      <c r="AW75" s="56">
        <v>46243.759722222225</v>
      </c>
      <c r="AX75" s="56">
        <v>46243.768750000003</v>
      </c>
      <c r="AY75" s="56">
        <v>46243.880555555559</v>
      </c>
      <c r="AZ75" s="56">
        <v>46243.902777777781</v>
      </c>
      <c r="BA75" s="56">
        <v>46244.706250000003</v>
      </c>
      <c r="BB75" s="56">
        <v>46244.743055555555</v>
      </c>
      <c r="BC75" s="56">
        <v>46244.753472222219</v>
      </c>
      <c r="BD75" s="56">
        <v>46244.732638888891</v>
      </c>
      <c r="BE75" s="56">
        <v>46244.791666666664</v>
      </c>
      <c r="BG75" s="56">
        <v>46244.819444444445</v>
      </c>
      <c r="BH75" s="56">
        <v>46244.841666666667</v>
      </c>
      <c r="BI75" s="32" t="s">
        <v>65</v>
      </c>
      <c r="BJ75" s="56">
        <v>46245.708333333336</v>
      </c>
      <c r="BK75" s="56">
        <v>46245.671527777777</v>
      </c>
      <c r="BL75" s="56">
        <v>46245.673611111109</v>
      </c>
      <c r="BM75" s="56">
        <v>46245.680555555555</v>
      </c>
      <c r="BN75" s="56">
        <v>46245.708333333336</v>
      </c>
    </row>
    <row r="76" spans="1:66" x14ac:dyDescent="0.35">
      <c r="A76" t="s">
        <v>176</v>
      </c>
      <c r="B76" s="32">
        <v>25</v>
      </c>
      <c r="C76" s="32">
        <v>32</v>
      </c>
      <c r="D76" s="32" t="s">
        <v>177</v>
      </c>
      <c r="E76" s="32" t="s">
        <v>178</v>
      </c>
      <c r="G76" s="54">
        <v>46243</v>
      </c>
      <c r="H76" s="55"/>
      <c r="I76" s="55">
        <v>0.5</v>
      </c>
      <c r="J76" s="32" t="s">
        <v>53</v>
      </c>
      <c r="K76" s="32" t="s">
        <v>179</v>
      </c>
      <c r="L76" s="32">
        <v>1</v>
      </c>
      <c r="M76" s="32" t="s">
        <v>625</v>
      </c>
      <c r="P76" s="32" t="s">
        <v>182</v>
      </c>
      <c r="Q76" s="32" t="s">
        <v>371</v>
      </c>
      <c r="R76" s="32" t="s">
        <v>415</v>
      </c>
      <c r="S76" s="32" t="s">
        <v>184</v>
      </c>
      <c r="T76" s="32" t="s">
        <v>626</v>
      </c>
      <c r="U76" s="32" t="s">
        <v>627</v>
      </c>
      <c r="V76" s="32" t="s">
        <v>628</v>
      </c>
      <c r="W76" s="32" t="s">
        <v>629</v>
      </c>
      <c r="X76" s="32" t="s">
        <v>187</v>
      </c>
      <c r="AA76" s="32" t="s">
        <v>189</v>
      </c>
      <c r="AB76" s="32" t="s">
        <v>485</v>
      </c>
      <c r="AC76" s="32" t="s">
        <v>56</v>
      </c>
      <c r="AD76" s="32" t="s">
        <v>486</v>
      </c>
      <c r="AE76" s="32">
        <v>20544424751</v>
      </c>
      <c r="AF76" s="32" t="s">
        <v>1824</v>
      </c>
      <c r="AG76" s="32" t="s">
        <v>505</v>
      </c>
      <c r="AH76" s="32" t="s">
        <v>193</v>
      </c>
      <c r="AI76" s="32" t="s">
        <v>506</v>
      </c>
      <c r="AJ76" s="32" t="s">
        <v>507</v>
      </c>
      <c r="AK76" s="32">
        <v>904556157</v>
      </c>
      <c r="AL76" s="32" t="s">
        <v>491</v>
      </c>
      <c r="AM76" s="32" t="s">
        <v>491</v>
      </c>
      <c r="AN76" s="32" t="s">
        <v>491</v>
      </c>
      <c r="AO76" s="32" t="s">
        <v>491</v>
      </c>
      <c r="AP76" s="32" t="s">
        <v>491</v>
      </c>
      <c r="AQ76" s="32" t="s">
        <v>491</v>
      </c>
      <c r="AR76" s="32" t="s">
        <v>491</v>
      </c>
      <c r="AS76" s="32" t="s">
        <v>63</v>
      </c>
      <c r="AT76" s="32" t="s">
        <v>64</v>
      </c>
      <c r="AU76" s="56">
        <v>46243.833333333336</v>
      </c>
      <c r="AV76" s="56">
        <v>46243.822916666664</v>
      </c>
      <c r="AW76" s="56">
        <v>46243.909722222219</v>
      </c>
      <c r="AX76" s="56">
        <v>46243.910416666666</v>
      </c>
      <c r="AY76" s="56">
        <v>46243.961805555555</v>
      </c>
      <c r="AZ76" s="56">
        <v>46243.981944444444</v>
      </c>
      <c r="BA76" s="56">
        <v>46244.706944444442</v>
      </c>
      <c r="BB76" s="56">
        <v>46244.728472222225</v>
      </c>
      <c r="BC76" s="56">
        <v>46244.737500000003</v>
      </c>
      <c r="BD76" s="56">
        <v>46244.708333333336</v>
      </c>
      <c r="BE76" s="56">
        <v>46244.78125</v>
      </c>
      <c r="BG76" s="56">
        <v>46244.822916666664</v>
      </c>
      <c r="BH76" s="56">
        <v>46244.835416666669</v>
      </c>
      <c r="BI76" s="32" t="s">
        <v>65</v>
      </c>
      <c r="BJ76" s="56">
        <v>46245.666666666664</v>
      </c>
      <c r="BK76" s="56">
        <v>46245.659722222219</v>
      </c>
      <c r="BL76" s="56">
        <v>46245.662499999999</v>
      </c>
      <c r="BM76" s="56">
        <v>46245.669444444444</v>
      </c>
      <c r="BN76" s="56">
        <v>46245.677083333336</v>
      </c>
    </row>
    <row r="77" spans="1:66" x14ac:dyDescent="0.35">
      <c r="A77" t="s">
        <v>176</v>
      </c>
      <c r="B77" s="32">
        <v>26</v>
      </c>
      <c r="C77" s="32">
        <v>32</v>
      </c>
      <c r="D77" s="32" t="s">
        <v>177</v>
      </c>
      <c r="E77" s="32" t="s">
        <v>178</v>
      </c>
      <c r="G77" s="54">
        <v>46243</v>
      </c>
      <c r="H77" s="55"/>
      <c r="I77" s="55">
        <v>0.33333333333333331</v>
      </c>
      <c r="J77" s="32" t="s">
        <v>53</v>
      </c>
      <c r="K77" s="32" t="s">
        <v>179</v>
      </c>
      <c r="L77" s="32">
        <v>1</v>
      </c>
      <c r="M77" s="32" t="s">
        <v>630</v>
      </c>
      <c r="P77" s="32" t="s">
        <v>182</v>
      </c>
      <c r="Q77" s="32" t="s">
        <v>371</v>
      </c>
      <c r="R77" s="32" t="s">
        <v>556</v>
      </c>
      <c r="S77" s="32" t="s">
        <v>631</v>
      </c>
      <c r="T77" s="32" t="s">
        <v>632</v>
      </c>
      <c r="U77" s="32" t="s">
        <v>633</v>
      </c>
      <c r="V77" s="32" t="s">
        <v>634</v>
      </c>
      <c r="W77" s="32" t="s">
        <v>635</v>
      </c>
      <c r="X77" s="32" t="s">
        <v>187</v>
      </c>
      <c r="AA77" s="32" t="s">
        <v>189</v>
      </c>
      <c r="AB77" s="32" t="s">
        <v>485</v>
      </c>
      <c r="AC77" s="32" t="s">
        <v>56</v>
      </c>
      <c r="AD77" s="32" t="s">
        <v>486</v>
      </c>
      <c r="AE77" s="32">
        <v>20544424751</v>
      </c>
      <c r="AF77" s="32" t="s">
        <v>582</v>
      </c>
      <c r="AG77" s="32" t="s">
        <v>583</v>
      </c>
      <c r="AH77" s="32" t="s">
        <v>193</v>
      </c>
      <c r="AI77" s="32" t="s">
        <v>584</v>
      </c>
      <c r="AJ77" s="32" t="s">
        <v>1826</v>
      </c>
      <c r="AK77" s="32">
        <v>952268872</v>
      </c>
      <c r="AL77" s="32" t="s">
        <v>491</v>
      </c>
      <c r="AM77" s="32" t="s">
        <v>491</v>
      </c>
      <c r="AN77" s="32" t="s">
        <v>491</v>
      </c>
      <c r="AO77" s="32" t="s">
        <v>491</v>
      </c>
      <c r="AP77" s="32" t="s">
        <v>491</v>
      </c>
      <c r="AQ77" s="32" t="s">
        <v>491</v>
      </c>
      <c r="AR77" s="32" t="s">
        <v>491</v>
      </c>
      <c r="AS77" s="32" t="s">
        <v>63</v>
      </c>
      <c r="AT77" s="32" t="s">
        <v>64</v>
      </c>
      <c r="AU77" s="56">
        <v>46243.416666666664</v>
      </c>
      <c r="AV77" s="56">
        <v>46243.418749999997</v>
      </c>
      <c r="AW77" s="56">
        <v>46243.433333333334</v>
      </c>
      <c r="AX77" s="56">
        <v>46243.465277777781</v>
      </c>
      <c r="AY77" s="56">
        <v>46243.498611111114</v>
      </c>
      <c r="AZ77" s="56">
        <v>46243.501388888886</v>
      </c>
      <c r="BA77" s="56">
        <v>46244.311111111114</v>
      </c>
      <c r="BB77" s="56">
        <v>46244.338194444441</v>
      </c>
      <c r="BC77" s="56">
        <v>46244.347222222219</v>
      </c>
      <c r="BD77" s="56">
        <v>46244.319444444445</v>
      </c>
      <c r="BE77" s="56">
        <v>46244.427083333336</v>
      </c>
      <c r="BG77" s="56">
        <v>46244.5</v>
      </c>
      <c r="BH77" s="56">
        <v>46244.534722222219</v>
      </c>
      <c r="BI77" s="32" t="s">
        <v>65</v>
      </c>
      <c r="BJ77" s="56">
        <v>46245.416666666664</v>
      </c>
      <c r="BK77" s="56">
        <v>46245.373611111114</v>
      </c>
      <c r="BL77" s="56">
        <v>46245.376388888886</v>
      </c>
      <c r="BM77" s="56">
        <v>46245.384027777778</v>
      </c>
      <c r="BN77" s="56">
        <v>46245.388888888891</v>
      </c>
    </row>
    <row r="78" spans="1:66" x14ac:dyDescent="0.35">
      <c r="A78" t="s">
        <v>176</v>
      </c>
      <c r="B78" s="32">
        <v>27</v>
      </c>
      <c r="C78" s="32">
        <v>32</v>
      </c>
      <c r="D78" s="32" t="s">
        <v>177</v>
      </c>
      <c r="E78" s="32" t="s">
        <v>178</v>
      </c>
      <c r="G78" s="54">
        <v>46243</v>
      </c>
      <c r="H78" s="55"/>
      <c r="I78" s="55">
        <v>0.33333333333333331</v>
      </c>
      <c r="J78" s="32" t="s">
        <v>53</v>
      </c>
      <c r="K78" s="32" t="s">
        <v>179</v>
      </c>
      <c r="L78" s="32">
        <v>1</v>
      </c>
      <c r="M78" s="32" t="s">
        <v>636</v>
      </c>
      <c r="P78" s="32" t="s">
        <v>182</v>
      </c>
      <c r="Q78" s="32" t="s">
        <v>371</v>
      </c>
      <c r="R78" s="32" t="s">
        <v>556</v>
      </c>
      <c r="S78" s="32" t="s">
        <v>631</v>
      </c>
      <c r="T78" s="32" t="s">
        <v>637</v>
      </c>
      <c r="U78" s="32" t="s">
        <v>638</v>
      </c>
      <c r="V78" s="32" t="s">
        <v>639</v>
      </c>
      <c r="W78" s="32" t="s">
        <v>640</v>
      </c>
      <c r="X78" s="32" t="s">
        <v>187</v>
      </c>
      <c r="AA78" s="32" t="s">
        <v>189</v>
      </c>
      <c r="AB78" s="32" t="s">
        <v>485</v>
      </c>
      <c r="AC78" s="32" t="s">
        <v>56</v>
      </c>
      <c r="AD78" s="32" t="s">
        <v>486</v>
      </c>
      <c r="AE78" s="32">
        <v>20544424751</v>
      </c>
      <c r="AF78" s="32" t="s">
        <v>541</v>
      </c>
      <c r="AG78" s="32" t="s">
        <v>542</v>
      </c>
      <c r="AH78" s="32" t="s">
        <v>193</v>
      </c>
      <c r="AI78" s="32" t="s">
        <v>543</v>
      </c>
      <c r="AJ78" s="32" t="s">
        <v>544</v>
      </c>
      <c r="AK78" s="32">
        <v>986078320</v>
      </c>
      <c r="AL78" s="32" t="s">
        <v>491</v>
      </c>
      <c r="AM78" s="32" t="s">
        <v>491</v>
      </c>
      <c r="AN78" s="32" t="s">
        <v>491</v>
      </c>
      <c r="AO78" s="32" t="s">
        <v>491</v>
      </c>
      <c r="AP78" s="32" t="s">
        <v>491</v>
      </c>
      <c r="AQ78" s="32" t="s">
        <v>491</v>
      </c>
      <c r="AR78" s="32" t="s">
        <v>491</v>
      </c>
      <c r="AS78" s="32" t="s">
        <v>63</v>
      </c>
      <c r="AT78" s="32" t="s">
        <v>64</v>
      </c>
      <c r="AU78" s="56">
        <v>46243.416666666664</v>
      </c>
      <c r="AV78" s="56">
        <v>46243.413194444445</v>
      </c>
      <c r="AW78" s="56">
        <v>46243.431944444441</v>
      </c>
      <c r="AX78" s="56">
        <v>46243.451388888891</v>
      </c>
      <c r="AY78" s="56">
        <v>46243.493750000001</v>
      </c>
      <c r="AZ78" s="56">
        <v>46243.501388888886</v>
      </c>
      <c r="BA78" s="56">
        <v>46244.306944444441</v>
      </c>
      <c r="BB78" s="56">
        <v>46244.326388888891</v>
      </c>
      <c r="BC78" s="56">
        <v>46244.386111111111</v>
      </c>
      <c r="BD78" s="56">
        <v>46244.354166666664</v>
      </c>
      <c r="BE78" s="56">
        <v>46244.479166666664</v>
      </c>
      <c r="BG78" s="56">
        <v>46244.54791666667</v>
      </c>
      <c r="BH78" s="56">
        <v>46244.548611111109</v>
      </c>
      <c r="BI78" s="32" t="s">
        <v>65</v>
      </c>
      <c r="BJ78" s="56">
        <v>46245.416666666664</v>
      </c>
      <c r="BK78" s="56">
        <v>46245.385416666664</v>
      </c>
      <c r="BL78" s="56">
        <v>46245.388888888891</v>
      </c>
      <c r="BM78" s="56">
        <v>46245.394444444442</v>
      </c>
      <c r="BN78" s="56">
        <v>46245.40625</v>
      </c>
    </row>
    <row r="79" spans="1:66" x14ac:dyDescent="0.35">
      <c r="A79" t="s">
        <v>176</v>
      </c>
      <c r="B79" s="32">
        <v>28</v>
      </c>
      <c r="C79" s="32">
        <v>33</v>
      </c>
      <c r="D79" s="32" t="s">
        <v>177</v>
      </c>
      <c r="E79" s="32" t="s">
        <v>178</v>
      </c>
      <c r="G79" s="54">
        <v>46246</v>
      </c>
      <c r="H79" s="55"/>
      <c r="I79" s="55">
        <v>0.54166666666666663</v>
      </c>
      <c r="J79" s="32" t="s">
        <v>53</v>
      </c>
      <c r="K79" s="32" t="s">
        <v>179</v>
      </c>
      <c r="L79" s="32">
        <v>1</v>
      </c>
      <c r="M79" s="32" t="s">
        <v>641</v>
      </c>
      <c r="P79" s="32" t="s">
        <v>182</v>
      </c>
      <c r="Q79" s="32" t="s">
        <v>371</v>
      </c>
      <c r="R79" s="32" t="s">
        <v>382</v>
      </c>
      <c r="S79" s="32" t="s">
        <v>383</v>
      </c>
      <c r="T79" s="32" t="s">
        <v>642</v>
      </c>
      <c r="U79" s="32" t="s">
        <v>643</v>
      </c>
      <c r="V79" s="32" t="s">
        <v>644</v>
      </c>
      <c r="W79" s="32" t="s">
        <v>645</v>
      </c>
      <c r="X79" s="32" t="s">
        <v>188</v>
      </c>
      <c r="AA79" s="32" t="s">
        <v>189</v>
      </c>
      <c r="AB79" s="32" t="s">
        <v>485</v>
      </c>
      <c r="AC79" s="32" t="s">
        <v>56</v>
      </c>
      <c r="AD79" s="32" t="s">
        <v>486</v>
      </c>
      <c r="AE79" s="32">
        <v>20544424751</v>
      </c>
      <c r="AF79" s="32" t="s">
        <v>1824</v>
      </c>
      <c r="AG79" s="32" t="s">
        <v>505</v>
      </c>
      <c r="AH79" s="32" t="s">
        <v>193</v>
      </c>
      <c r="AI79" s="32" t="s">
        <v>506</v>
      </c>
      <c r="AJ79" s="32" t="s">
        <v>507</v>
      </c>
      <c r="AK79" s="32">
        <v>904556157</v>
      </c>
      <c r="AL79" s="32" t="s">
        <v>491</v>
      </c>
      <c r="AM79" s="32" t="s">
        <v>491</v>
      </c>
      <c r="AN79" s="32" t="s">
        <v>491</v>
      </c>
      <c r="AO79" s="32" t="s">
        <v>491</v>
      </c>
      <c r="AP79" s="32" t="s">
        <v>491</v>
      </c>
      <c r="AQ79" s="32" t="s">
        <v>491</v>
      </c>
      <c r="AR79" s="32" t="s">
        <v>491</v>
      </c>
      <c r="AS79" s="32" t="s">
        <v>63</v>
      </c>
      <c r="AT79" s="32" t="s">
        <v>388</v>
      </c>
      <c r="AU79" s="56">
        <v>46246.666666666664</v>
      </c>
      <c r="AV79" s="56">
        <v>46246.688194444447</v>
      </c>
      <c r="AW79" s="56">
        <v>46246.731249999997</v>
      </c>
      <c r="AX79" s="56">
        <v>46246.736111111109</v>
      </c>
      <c r="AY79" s="56">
        <v>46246.783333333333</v>
      </c>
      <c r="AZ79" s="56">
        <v>46246.813888888886</v>
      </c>
      <c r="BA79" s="56">
        <v>46247.545138888891</v>
      </c>
      <c r="BB79" s="56">
        <v>46247.54791666667</v>
      </c>
      <c r="BC79" s="56">
        <v>46247.591666666667</v>
      </c>
      <c r="BD79" s="56">
        <v>46247.598611111112</v>
      </c>
      <c r="BE79" s="56">
        <v>46247.62777777778</v>
      </c>
      <c r="BG79" s="56">
        <v>46247.658333333333</v>
      </c>
      <c r="BH79" s="56">
        <v>46247.670138888891</v>
      </c>
      <c r="BI79" s="32" t="s">
        <v>65</v>
      </c>
      <c r="BJ79" s="56">
        <v>46248.5</v>
      </c>
      <c r="BK79" s="56">
        <v>46248.464583333334</v>
      </c>
      <c r="BL79" s="56">
        <v>46248.46875</v>
      </c>
      <c r="BM79" s="56">
        <v>46248.470833333333</v>
      </c>
      <c r="BN79" s="56">
        <v>46248.478472222225</v>
      </c>
    </row>
    <row r="80" spans="1:66" x14ac:dyDescent="0.35">
      <c r="A80" t="s">
        <v>176</v>
      </c>
      <c r="B80" s="32">
        <v>29</v>
      </c>
      <c r="C80" s="32">
        <v>33</v>
      </c>
      <c r="D80" s="32" t="s">
        <v>177</v>
      </c>
      <c r="E80" s="32" t="s">
        <v>178</v>
      </c>
      <c r="G80" s="54">
        <v>46248</v>
      </c>
      <c r="H80" s="55"/>
      <c r="I80" s="55">
        <v>0.58333333333333337</v>
      </c>
      <c r="J80" s="32" t="s">
        <v>53</v>
      </c>
      <c r="K80" s="32" t="s">
        <v>179</v>
      </c>
      <c r="L80" s="32">
        <v>1</v>
      </c>
      <c r="M80" s="32" t="s">
        <v>646</v>
      </c>
      <c r="P80" s="32" t="s">
        <v>182</v>
      </c>
      <c r="Q80" s="32" t="s">
        <v>371</v>
      </c>
      <c r="R80" s="32" t="s">
        <v>183</v>
      </c>
      <c r="S80" s="32" t="s">
        <v>184</v>
      </c>
      <c r="T80" s="32" t="s">
        <v>647</v>
      </c>
      <c r="U80" s="32" t="s">
        <v>648</v>
      </c>
      <c r="V80" s="32">
        <v>806082</v>
      </c>
      <c r="W80" s="32" t="s">
        <v>649</v>
      </c>
      <c r="X80" s="32" t="s">
        <v>187</v>
      </c>
      <c r="AA80" s="32" t="s">
        <v>189</v>
      </c>
      <c r="AB80" s="32" t="s">
        <v>485</v>
      </c>
      <c r="AC80" s="32" t="s">
        <v>56</v>
      </c>
      <c r="AD80" s="32" t="s">
        <v>486</v>
      </c>
      <c r="AE80" s="32">
        <v>20544424751</v>
      </c>
      <c r="AF80" s="32" t="s">
        <v>541</v>
      </c>
      <c r="AG80" s="32" t="s">
        <v>542</v>
      </c>
      <c r="AH80" s="32" t="s">
        <v>193</v>
      </c>
      <c r="AI80" s="32" t="s">
        <v>543</v>
      </c>
      <c r="AJ80" s="32" t="s">
        <v>544</v>
      </c>
      <c r="AK80" s="32">
        <v>986078320</v>
      </c>
      <c r="AL80" s="32" t="s">
        <v>491</v>
      </c>
      <c r="AM80" s="32" t="s">
        <v>491</v>
      </c>
      <c r="AN80" s="32" t="s">
        <v>491</v>
      </c>
      <c r="AO80" s="32" t="s">
        <v>491</v>
      </c>
      <c r="AP80" s="32" t="s">
        <v>491</v>
      </c>
      <c r="AQ80" s="32" t="s">
        <v>491</v>
      </c>
      <c r="AR80" s="32" t="s">
        <v>491</v>
      </c>
      <c r="AS80" s="32" t="s">
        <v>63</v>
      </c>
      <c r="AT80" s="32" t="s">
        <v>64</v>
      </c>
      <c r="AU80" s="56">
        <v>46248.625</v>
      </c>
      <c r="AV80" s="56">
        <v>46244.631944444445</v>
      </c>
      <c r="AW80" s="56">
        <v>46248.634027777778</v>
      </c>
      <c r="AX80" s="56">
        <v>46248.671527777777</v>
      </c>
      <c r="AY80" s="56">
        <v>46248.808333333334</v>
      </c>
      <c r="AZ80" s="56">
        <v>46248.824999999997</v>
      </c>
      <c r="BA80" s="56">
        <v>46249.519444444442</v>
      </c>
      <c r="BB80" s="56">
        <v>46249.527777777781</v>
      </c>
      <c r="BC80" s="56">
        <v>46249.547222222223</v>
      </c>
      <c r="BD80" s="56">
        <v>46249.607638888891</v>
      </c>
      <c r="BE80" s="56">
        <v>46249.668749999997</v>
      </c>
      <c r="BG80" s="56">
        <v>46249.691666666666</v>
      </c>
      <c r="BH80" s="56">
        <v>46249.709722222222</v>
      </c>
      <c r="BI80" s="32" t="s">
        <v>65</v>
      </c>
      <c r="BJ80" s="56">
        <v>46250.5</v>
      </c>
      <c r="BK80" s="56">
        <v>46250.45208333333</v>
      </c>
      <c r="BL80" s="56">
        <v>46250.456250000003</v>
      </c>
      <c r="BM80" s="56">
        <v>46250.458333333336</v>
      </c>
      <c r="BN80" s="56">
        <v>46250.463194444441</v>
      </c>
    </row>
    <row r="81" spans="1:66" x14ac:dyDescent="0.35">
      <c r="A81" t="s">
        <v>176</v>
      </c>
      <c r="B81" s="32">
        <v>30</v>
      </c>
      <c r="C81" s="32">
        <v>33</v>
      </c>
      <c r="D81" s="32" t="s">
        <v>177</v>
      </c>
      <c r="E81" s="32" t="s">
        <v>178</v>
      </c>
      <c r="G81" s="54">
        <v>46249</v>
      </c>
      <c r="H81" s="55"/>
      <c r="I81" s="55">
        <v>0.58333333333333337</v>
      </c>
      <c r="J81" s="32" t="s">
        <v>53</v>
      </c>
      <c r="K81" s="32" t="s">
        <v>179</v>
      </c>
      <c r="L81" s="32">
        <v>1</v>
      </c>
      <c r="M81" s="32" t="s">
        <v>650</v>
      </c>
      <c r="P81" s="32" t="s">
        <v>182</v>
      </c>
      <c r="Q81" s="32" t="s">
        <v>371</v>
      </c>
      <c r="R81" s="32" t="s">
        <v>556</v>
      </c>
      <c r="S81" s="32" t="s">
        <v>631</v>
      </c>
      <c r="T81" s="32" t="s">
        <v>651</v>
      </c>
      <c r="U81" s="32" t="s">
        <v>652</v>
      </c>
      <c r="V81" s="32">
        <v>806551</v>
      </c>
      <c r="W81" s="32" t="s">
        <v>653</v>
      </c>
      <c r="X81" s="32" t="s">
        <v>187</v>
      </c>
      <c r="AA81" s="32" t="s">
        <v>189</v>
      </c>
      <c r="AB81" s="32" t="s">
        <v>485</v>
      </c>
      <c r="AC81" s="32" t="s">
        <v>56</v>
      </c>
      <c r="AD81" s="32" t="s">
        <v>486</v>
      </c>
      <c r="AE81" s="32">
        <v>20544424751</v>
      </c>
      <c r="AF81" s="32" t="s">
        <v>487</v>
      </c>
      <c r="AG81" s="32" t="s">
        <v>488</v>
      </c>
      <c r="AH81" s="32" t="s">
        <v>193</v>
      </c>
      <c r="AI81" s="32" t="s">
        <v>489</v>
      </c>
      <c r="AJ81" s="32" t="s">
        <v>490</v>
      </c>
      <c r="AK81" s="32">
        <v>934270711</v>
      </c>
      <c r="AL81" s="32" t="s">
        <v>491</v>
      </c>
      <c r="AM81" s="32" t="s">
        <v>491</v>
      </c>
      <c r="AN81" s="32" t="s">
        <v>491</v>
      </c>
      <c r="AO81" s="32" t="s">
        <v>491</v>
      </c>
      <c r="AP81" s="32" t="s">
        <v>491</v>
      </c>
      <c r="AQ81" s="32" t="s">
        <v>491</v>
      </c>
      <c r="AR81" s="32" t="s">
        <v>491</v>
      </c>
      <c r="AS81" s="32" t="s">
        <v>63</v>
      </c>
      <c r="AT81" s="32" t="s">
        <v>64</v>
      </c>
      <c r="AU81" s="56">
        <v>46249.625</v>
      </c>
      <c r="AV81" s="56">
        <v>46249.613888888889</v>
      </c>
      <c r="AW81" s="56">
        <v>46249.673611111109</v>
      </c>
      <c r="AX81" s="56">
        <v>46249.677777777775</v>
      </c>
      <c r="AY81" s="56">
        <v>46249.776388888888</v>
      </c>
      <c r="AZ81" s="56">
        <v>46249.802083333336</v>
      </c>
      <c r="BA81" s="56">
        <v>46250.579861111109</v>
      </c>
      <c r="BB81" s="56">
        <v>46250.593055555553</v>
      </c>
      <c r="BC81" s="56">
        <v>46250.583333333336</v>
      </c>
      <c r="BD81" s="56">
        <v>46250.604166666664</v>
      </c>
      <c r="BE81" s="56">
        <v>46250.655555555553</v>
      </c>
      <c r="BG81" s="56">
        <v>46250.694444444445</v>
      </c>
      <c r="BH81" s="56">
        <v>46250.755555555559</v>
      </c>
      <c r="BI81" s="32" t="s">
        <v>65</v>
      </c>
      <c r="BJ81" s="56">
        <v>46251.625</v>
      </c>
      <c r="BK81" s="56">
        <v>46251.615972222222</v>
      </c>
      <c r="BL81" s="56">
        <v>46251.619444444441</v>
      </c>
      <c r="BM81" s="56">
        <v>46251.626388888886</v>
      </c>
      <c r="BN81" s="56">
        <v>46251.626388888886</v>
      </c>
    </row>
    <row r="82" spans="1:66" x14ac:dyDescent="0.35">
      <c r="A82" t="s">
        <v>176</v>
      </c>
      <c r="B82" s="32">
        <v>31</v>
      </c>
      <c r="C82" s="32">
        <v>33</v>
      </c>
      <c r="D82" s="32" t="s">
        <v>177</v>
      </c>
      <c r="E82" s="32" t="s">
        <v>178</v>
      </c>
      <c r="G82" s="54">
        <v>46249</v>
      </c>
      <c r="H82" s="55"/>
      <c r="I82" s="55">
        <v>0.58333333333333337</v>
      </c>
      <c r="J82" s="32" t="s">
        <v>53</v>
      </c>
      <c r="K82" s="32" t="s">
        <v>179</v>
      </c>
      <c r="L82" s="32">
        <v>1</v>
      </c>
      <c r="M82" s="32" t="s">
        <v>654</v>
      </c>
      <c r="P82" s="32" t="s">
        <v>182</v>
      </c>
      <c r="Q82" s="32" t="s">
        <v>371</v>
      </c>
      <c r="R82" s="32" t="s">
        <v>556</v>
      </c>
      <c r="S82" s="32" t="s">
        <v>631</v>
      </c>
      <c r="T82" s="32" t="s">
        <v>655</v>
      </c>
      <c r="U82" s="32" t="s">
        <v>656</v>
      </c>
      <c r="V82" s="32">
        <v>806510</v>
      </c>
      <c r="W82" s="32" t="s">
        <v>657</v>
      </c>
      <c r="X82" s="32" t="s">
        <v>187</v>
      </c>
      <c r="AA82" s="32" t="s">
        <v>189</v>
      </c>
      <c r="AB82" s="32" t="s">
        <v>485</v>
      </c>
      <c r="AC82" s="32" t="s">
        <v>56</v>
      </c>
      <c r="AD82" s="32" t="s">
        <v>486</v>
      </c>
      <c r="AE82" s="32">
        <v>20544424751</v>
      </c>
      <c r="AF82" s="32" t="s">
        <v>527</v>
      </c>
      <c r="AG82" s="32" t="s">
        <v>528</v>
      </c>
      <c r="AH82" s="32" t="s">
        <v>193</v>
      </c>
      <c r="AI82" s="32" t="s">
        <v>529</v>
      </c>
      <c r="AJ82" s="32" t="s">
        <v>530</v>
      </c>
      <c r="AK82" s="32">
        <v>914472332</v>
      </c>
      <c r="AL82" s="32" t="s">
        <v>491</v>
      </c>
      <c r="AM82" s="32" t="s">
        <v>491</v>
      </c>
      <c r="AN82" s="32" t="s">
        <v>491</v>
      </c>
      <c r="AO82" s="32" t="s">
        <v>491</v>
      </c>
      <c r="AP82" s="32" t="s">
        <v>491</v>
      </c>
      <c r="AQ82" s="32" t="s">
        <v>491</v>
      </c>
      <c r="AR82" s="32" t="s">
        <v>491</v>
      </c>
      <c r="AS82" s="32" t="s">
        <v>63</v>
      </c>
      <c r="AT82" s="32" t="s">
        <v>64</v>
      </c>
      <c r="AU82" s="56">
        <v>46249.625</v>
      </c>
      <c r="AV82" s="56">
        <v>46249.640277777777</v>
      </c>
      <c r="AW82" s="56">
        <v>46249.697916666664</v>
      </c>
      <c r="AX82" s="56">
        <v>46249.700694444444</v>
      </c>
      <c r="AY82" s="56">
        <v>46249.791666666664</v>
      </c>
      <c r="AZ82" s="56">
        <v>46249.805555555555</v>
      </c>
      <c r="BA82" s="56">
        <v>46250.580555555556</v>
      </c>
      <c r="BB82" s="56">
        <v>46250.593055555553</v>
      </c>
      <c r="BC82" s="56">
        <v>46250.590277777781</v>
      </c>
      <c r="BD82" s="56">
        <v>46250.611111111109</v>
      </c>
      <c r="BE82" s="56">
        <v>46250.713194444441</v>
      </c>
      <c r="BG82" s="56">
        <v>46250.724999999999</v>
      </c>
      <c r="BH82" s="56">
        <v>46250.785416666666</v>
      </c>
      <c r="BI82" s="32" t="s">
        <v>65</v>
      </c>
      <c r="BJ82" s="56">
        <v>46251.625</v>
      </c>
      <c r="BK82" s="56">
        <v>46251.609722222223</v>
      </c>
      <c r="BL82" s="56">
        <v>46251.612500000003</v>
      </c>
      <c r="BM82" s="56">
        <v>46251.622916666667</v>
      </c>
      <c r="BN82" s="56">
        <v>46251.622916666667</v>
      </c>
    </row>
    <row r="83" spans="1:66" x14ac:dyDescent="0.35">
      <c r="A83" t="s">
        <v>176</v>
      </c>
      <c r="B83" s="32">
        <v>32</v>
      </c>
      <c r="C83" s="32">
        <v>33</v>
      </c>
      <c r="D83" s="32" t="s">
        <v>177</v>
      </c>
      <c r="E83" s="32" t="s">
        <v>178</v>
      </c>
      <c r="G83" s="54">
        <v>46250</v>
      </c>
      <c r="H83" s="55"/>
      <c r="I83" s="55">
        <v>0.58333333333333337</v>
      </c>
      <c r="J83" s="32" t="s">
        <v>53</v>
      </c>
      <c r="K83" s="32" t="s">
        <v>179</v>
      </c>
      <c r="L83" s="32">
        <v>1</v>
      </c>
      <c r="M83" s="32" t="s">
        <v>658</v>
      </c>
      <c r="P83" s="32" t="s">
        <v>182</v>
      </c>
      <c r="Q83" s="32" t="s">
        <v>371</v>
      </c>
      <c r="R83" s="32" t="s">
        <v>183</v>
      </c>
      <c r="S83" s="32" t="s">
        <v>184</v>
      </c>
      <c r="T83" s="32" t="s">
        <v>659</v>
      </c>
      <c r="U83" s="32" t="s">
        <v>660</v>
      </c>
      <c r="V83" s="32">
        <v>806848</v>
      </c>
      <c r="W83" s="32" t="s">
        <v>661</v>
      </c>
      <c r="X83" s="32" t="s">
        <v>187</v>
      </c>
      <c r="AA83" s="32" t="s">
        <v>189</v>
      </c>
      <c r="AB83" s="32" t="s">
        <v>485</v>
      </c>
      <c r="AC83" s="32" t="s">
        <v>56</v>
      </c>
      <c r="AD83" s="32" t="s">
        <v>486</v>
      </c>
      <c r="AE83" s="32">
        <v>20544424751</v>
      </c>
      <c r="AF83" s="32" t="s">
        <v>541</v>
      </c>
      <c r="AG83" s="32" t="s">
        <v>542</v>
      </c>
      <c r="AH83" s="32" t="s">
        <v>193</v>
      </c>
      <c r="AI83" s="32" t="s">
        <v>543</v>
      </c>
      <c r="AJ83" s="32" t="s">
        <v>544</v>
      </c>
      <c r="AK83" s="32">
        <v>986078320</v>
      </c>
      <c r="AL83" s="32" t="s">
        <v>491</v>
      </c>
      <c r="AM83" s="32" t="s">
        <v>491</v>
      </c>
      <c r="AN83" s="32" t="s">
        <v>491</v>
      </c>
      <c r="AO83" s="32" t="s">
        <v>491</v>
      </c>
      <c r="AP83" s="32" t="s">
        <v>491</v>
      </c>
      <c r="AQ83" s="32" t="s">
        <v>491</v>
      </c>
      <c r="AR83" s="32" t="s">
        <v>491</v>
      </c>
      <c r="AS83" s="32" t="s">
        <v>63</v>
      </c>
      <c r="AT83" s="32" t="s">
        <v>64</v>
      </c>
      <c r="AU83" s="56">
        <v>46250.666666666664</v>
      </c>
      <c r="AV83" s="56">
        <v>46250.689583333333</v>
      </c>
      <c r="AW83" s="56">
        <v>46250.694444444445</v>
      </c>
      <c r="AX83" s="56">
        <v>46250.705555555556</v>
      </c>
      <c r="AY83" s="56">
        <v>46250.820138888892</v>
      </c>
      <c r="AZ83" s="56">
        <v>46250.845138888886</v>
      </c>
      <c r="BA83" s="56">
        <v>46251.603472222225</v>
      </c>
      <c r="BB83" s="56">
        <v>46251.693749999999</v>
      </c>
      <c r="BC83" s="56">
        <v>46251.621527777781</v>
      </c>
      <c r="BD83" s="56">
        <v>46251.607638888891</v>
      </c>
      <c r="BE83" s="56">
        <v>46251.583333333336</v>
      </c>
      <c r="BG83" s="56">
        <v>46251.568055555559</v>
      </c>
      <c r="BH83" s="56">
        <v>46251.603472222225</v>
      </c>
      <c r="BI83" s="32" t="s">
        <v>65</v>
      </c>
      <c r="BJ83" s="56">
        <v>46252.541666666664</v>
      </c>
      <c r="BK83" s="56">
        <v>46252.529166666667</v>
      </c>
      <c r="BL83" s="56">
        <v>46252.534722222219</v>
      </c>
      <c r="BM83" s="56">
        <v>46252.536805555559</v>
      </c>
      <c r="BN83" s="56">
        <v>46252.539583333331</v>
      </c>
    </row>
    <row r="84" spans="1:66" x14ac:dyDescent="0.35">
      <c r="A84" t="s">
        <v>176</v>
      </c>
      <c r="B84" s="32">
        <v>33</v>
      </c>
      <c r="C84" s="32">
        <v>34</v>
      </c>
      <c r="D84" s="32" t="s">
        <v>177</v>
      </c>
      <c r="E84" s="32" t="s">
        <v>178</v>
      </c>
      <c r="G84" s="54">
        <v>46253</v>
      </c>
      <c r="H84" s="55"/>
      <c r="I84" s="55">
        <v>0.58333333333333337</v>
      </c>
      <c r="J84" s="32" t="s">
        <v>53</v>
      </c>
      <c r="K84" s="32" t="s">
        <v>179</v>
      </c>
      <c r="L84" s="32">
        <v>1</v>
      </c>
      <c r="M84" s="32" t="s">
        <v>662</v>
      </c>
      <c r="P84" s="32" t="s">
        <v>182</v>
      </c>
      <c r="Q84" s="32" t="s">
        <v>371</v>
      </c>
      <c r="R84" s="32" t="s">
        <v>382</v>
      </c>
      <c r="S84" s="32" t="s">
        <v>383</v>
      </c>
      <c r="T84" s="32" t="s">
        <v>663</v>
      </c>
      <c r="U84" s="32" t="s">
        <v>1894</v>
      </c>
      <c r="V84" s="32" t="s">
        <v>1895</v>
      </c>
      <c r="W84" s="32" t="s">
        <v>1896</v>
      </c>
      <c r="X84" s="32" t="s">
        <v>188</v>
      </c>
      <c r="AA84" s="32" t="s">
        <v>189</v>
      </c>
      <c r="AB84" s="32" t="s">
        <v>485</v>
      </c>
      <c r="AC84" s="32" t="s">
        <v>56</v>
      </c>
      <c r="AD84" s="32" t="s">
        <v>486</v>
      </c>
      <c r="AE84" s="32">
        <v>20544424751</v>
      </c>
      <c r="AF84" s="32" t="s">
        <v>527</v>
      </c>
      <c r="AG84" s="32" t="s">
        <v>528</v>
      </c>
      <c r="AH84" s="32" t="s">
        <v>193</v>
      </c>
      <c r="AI84" s="32" t="s">
        <v>529</v>
      </c>
      <c r="AJ84" s="32" t="s">
        <v>530</v>
      </c>
      <c r="AK84" s="32">
        <v>914472332</v>
      </c>
      <c r="AL84" s="32" t="s">
        <v>491</v>
      </c>
      <c r="AM84" s="32" t="s">
        <v>491</v>
      </c>
      <c r="AN84" s="32" t="s">
        <v>491</v>
      </c>
      <c r="AO84" s="32" t="s">
        <v>491</v>
      </c>
      <c r="AP84" s="32" t="s">
        <v>491</v>
      </c>
      <c r="AQ84" s="32" t="s">
        <v>491</v>
      </c>
      <c r="AR84" s="32" t="s">
        <v>491</v>
      </c>
      <c r="AS84" s="32" t="s">
        <v>63</v>
      </c>
      <c r="AT84" s="32" t="s">
        <v>388</v>
      </c>
      <c r="AU84" s="56">
        <v>46253.666666666664</v>
      </c>
      <c r="AV84" s="56">
        <v>46253.659722222219</v>
      </c>
      <c r="AW84" s="56">
        <v>46253.706250000003</v>
      </c>
      <c r="AX84" s="56">
        <v>46253.725694444445</v>
      </c>
      <c r="AY84" s="56">
        <v>46253.763888888891</v>
      </c>
      <c r="AZ84" s="56">
        <v>46254.656944444447</v>
      </c>
      <c r="BA84" s="56">
        <v>46255.10833333333</v>
      </c>
      <c r="BB84" s="56">
        <v>46255.125</v>
      </c>
      <c r="BC84" s="56">
        <v>46255.131944444445</v>
      </c>
      <c r="BD84" s="56">
        <v>46255.135416666664</v>
      </c>
      <c r="BE84" s="56">
        <v>46255.140972222223</v>
      </c>
      <c r="BG84" s="56">
        <v>46255.165972222225</v>
      </c>
      <c r="BH84" s="56">
        <v>46255.181944444441</v>
      </c>
      <c r="BI84" s="32" t="s">
        <v>65</v>
      </c>
      <c r="BJ84" s="56">
        <v>46255.916666666664</v>
      </c>
      <c r="BK84" s="56">
        <v>46255.888888888891</v>
      </c>
      <c r="BL84" s="56">
        <v>46255.895138888889</v>
      </c>
      <c r="BM84" s="56">
        <v>46255.899305555555</v>
      </c>
      <c r="BN84" s="56">
        <v>46255.904166666667</v>
      </c>
    </row>
    <row r="85" spans="1:66" x14ac:dyDescent="0.35">
      <c r="A85" t="s">
        <v>176</v>
      </c>
      <c r="B85" s="32">
        <v>34</v>
      </c>
      <c r="C85" s="32">
        <v>34</v>
      </c>
      <c r="D85" s="32" t="s">
        <v>177</v>
      </c>
      <c r="E85" s="32" t="s">
        <v>178</v>
      </c>
      <c r="G85" s="54">
        <v>46257</v>
      </c>
      <c r="H85" s="55"/>
      <c r="I85" s="55">
        <v>0.58333333333333337</v>
      </c>
      <c r="J85" s="32" t="s">
        <v>53</v>
      </c>
      <c r="K85" s="32" t="s">
        <v>179</v>
      </c>
      <c r="L85" s="32">
        <v>1</v>
      </c>
      <c r="M85" s="32" t="s">
        <v>1897</v>
      </c>
      <c r="P85" s="32" t="s">
        <v>182</v>
      </c>
      <c r="Q85" s="32" t="s">
        <v>371</v>
      </c>
      <c r="R85" s="32" t="s">
        <v>415</v>
      </c>
      <c r="S85" s="32" t="s">
        <v>184</v>
      </c>
      <c r="T85" s="32" t="s">
        <v>1898</v>
      </c>
      <c r="U85" s="32" t="s">
        <v>1899</v>
      </c>
      <c r="V85" s="32">
        <v>809396</v>
      </c>
      <c r="W85" s="32" t="s">
        <v>1900</v>
      </c>
      <c r="X85" s="32" t="s">
        <v>187</v>
      </c>
      <c r="AA85" s="32" t="s">
        <v>189</v>
      </c>
      <c r="AB85" s="32" t="s">
        <v>485</v>
      </c>
      <c r="AC85" s="32" t="s">
        <v>56</v>
      </c>
      <c r="AD85" s="32" t="s">
        <v>486</v>
      </c>
      <c r="AE85" s="32">
        <v>20544424751</v>
      </c>
      <c r="AF85" s="32" t="s">
        <v>487</v>
      </c>
      <c r="AG85" s="32" t="s">
        <v>488</v>
      </c>
      <c r="AH85" s="32" t="s">
        <v>193</v>
      </c>
      <c r="AI85" s="32" t="s">
        <v>489</v>
      </c>
      <c r="AJ85" s="32" t="s">
        <v>490</v>
      </c>
      <c r="AK85" s="32">
        <v>934270711</v>
      </c>
      <c r="AL85" s="32" t="s">
        <v>491</v>
      </c>
      <c r="AM85" s="32" t="s">
        <v>491</v>
      </c>
      <c r="AN85" s="32" t="s">
        <v>491</v>
      </c>
      <c r="AO85" s="32" t="s">
        <v>491</v>
      </c>
      <c r="AP85" s="32" t="s">
        <v>491</v>
      </c>
      <c r="AQ85" s="32" t="s">
        <v>491</v>
      </c>
      <c r="AR85" s="32" t="s">
        <v>491</v>
      </c>
      <c r="AS85" s="32" t="s">
        <v>63</v>
      </c>
      <c r="AT85" s="32" t="s">
        <v>64</v>
      </c>
      <c r="AU85" s="56">
        <v>46257.625</v>
      </c>
      <c r="AV85" s="56">
        <v>46257.618055555555</v>
      </c>
      <c r="AW85" s="56">
        <v>46257.621527777781</v>
      </c>
      <c r="AX85" s="56">
        <v>46257.630555555559</v>
      </c>
      <c r="AY85" s="56">
        <v>46257.660416666666</v>
      </c>
      <c r="AZ85" s="56">
        <v>46257.670138888891</v>
      </c>
      <c r="BA85" s="56">
        <v>46258.489583333336</v>
      </c>
      <c r="BB85" s="56">
        <v>46258.536805555559</v>
      </c>
      <c r="BC85" s="56">
        <v>46258.5</v>
      </c>
      <c r="BD85" s="56">
        <v>46258.520833333336</v>
      </c>
      <c r="BE85" s="56">
        <v>46258.607638888891</v>
      </c>
      <c r="BG85" s="56">
        <v>46258.676388888889</v>
      </c>
      <c r="BH85" s="56">
        <v>46258.7</v>
      </c>
      <c r="BI85" s="32" t="s">
        <v>65</v>
      </c>
      <c r="BJ85" s="56">
        <v>46259.583333333336</v>
      </c>
      <c r="BK85" s="56">
        <v>46259.534722222219</v>
      </c>
      <c r="BL85" s="56">
        <v>46259.547222222223</v>
      </c>
      <c r="BM85" s="56">
        <v>46259.548611111109</v>
      </c>
      <c r="BN85" s="56">
        <v>46259.556944444441</v>
      </c>
    </row>
    <row r="86" spans="1:66" x14ac:dyDescent="0.35">
      <c r="A86" t="s">
        <v>176</v>
      </c>
      <c r="B86" s="32">
        <v>35</v>
      </c>
      <c r="C86" s="32">
        <v>34</v>
      </c>
      <c r="D86" s="32" t="s">
        <v>177</v>
      </c>
      <c r="E86" s="32" t="s">
        <v>178</v>
      </c>
      <c r="G86" s="54">
        <v>46257</v>
      </c>
      <c r="H86" s="55"/>
      <c r="I86" s="55">
        <v>0.58333333333333337</v>
      </c>
      <c r="J86" s="32" t="s">
        <v>53</v>
      </c>
      <c r="K86" s="32" t="s">
        <v>179</v>
      </c>
      <c r="L86" s="32">
        <v>1</v>
      </c>
      <c r="M86" s="32" t="s">
        <v>1901</v>
      </c>
      <c r="P86" s="32" t="s">
        <v>182</v>
      </c>
      <c r="Q86" s="32" t="s">
        <v>371</v>
      </c>
      <c r="R86" s="32" t="s">
        <v>556</v>
      </c>
      <c r="S86" s="32" t="s">
        <v>631</v>
      </c>
      <c r="T86" s="32" t="s">
        <v>1902</v>
      </c>
      <c r="U86" s="32" t="s">
        <v>1903</v>
      </c>
      <c r="V86" s="32">
        <v>809460</v>
      </c>
      <c r="W86" s="32" t="s">
        <v>1904</v>
      </c>
      <c r="X86" s="32" t="s">
        <v>187</v>
      </c>
      <c r="AA86" s="32" t="s">
        <v>189</v>
      </c>
      <c r="AB86" s="32" t="s">
        <v>485</v>
      </c>
      <c r="AC86" s="32" t="s">
        <v>56</v>
      </c>
      <c r="AD86" s="32" t="s">
        <v>486</v>
      </c>
      <c r="AE86" s="32">
        <v>20544424751</v>
      </c>
      <c r="AF86" s="32" t="s">
        <v>1823</v>
      </c>
      <c r="AG86" s="32" t="s">
        <v>497</v>
      </c>
      <c r="AH86" s="32" t="s">
        <v>193</v>
      </c>
      <c r="AI86" s="32" t="s">
        <v>498</v>
      </c>
      <c r="AJ86" s="32" t="s">
        <v>499</v>
      </c>
      <c r="AK86" s="32">
        <v>946500525</v>
      </c>
      <c r="AL86" s="32" t="s">
        <v>491</v>
      </c>
      <c r="AM86" s="32" t="s">
        <v>491</v>
      </c>
      <c r="AN86" s="32" t="s">
        <v>491</v>
      </c>
      <c r="AO86" s="32" t="s">
        <v>491</v>
      </c>
      <c r="AP86" s="32" t="s">
        <v>491</v>
      </c>
      <c r="AQ86" s="32" t="s">
        <v>491</v>
      </c>
      <c r="AR86" s="32" t="s">
        <v>491</v>
      </c>
      <c r="AS86" s="32" t="s">
        <v>63</v>
      </c>
      <c r="AT86" s="32" t="s">
        <v>64</v>
      </c>
      <c r="AU86" s="56">
        <v>46257.625</v>
      </c>
      <c r="AV86" s="56">
        <v>46257.621527777781</v>
      </c>
      <c r="AW86" s="56">
        <v>46257.625</v>
      </c>
      <c r="AX86" s="56">
        <v>46257.633333333331</v>
      </c>
      <c r="AY86" s="56">
        <v>46257.697916666664</v>
      </c>
      <c r="AZ86" s="56">
        <v>46257.722222222219</v>
      </c>
      <c r="BA86" s="56">
        <v>46258.489583333336</v>
      </c>
      <c r="BB86" s="56">
        <v>46258.522916666669</v>
      </c>
      <c r="BC86" s="56">
        <v>46258.513888888891</v>
      </c>
      <c r="BD86" s="56">
        <v>46258.52847222222</v>
      </c>
      <c r="BE86" s="56">
        <v>46258.607638888891</v>
      </c>
      <c r="BG86" s="56">
        <v>46258.676388888889</v>
      </c>
      <c r="BH86" s="56">
        <v>46258.70208333333</v>
      </c>
      <c r="BI86" s="32" t="s">
        <v>65</v>
      </c>
      <c r="BJ86" s="56">
        <v>46259.583333333336</v>
      </c>
      <c r="BK86" s="56">
        <v>46259.555555555555</v>
      </c>
      <c r="BL86" s="56">
        <v>46259.558333333334</v>
      </c>
      <c r="BM86" s="56">
        <v>46259.561111111114</v>
      </c>
      <c r="BN86" s="56">
        <v>46259.568055555559</v>
      </c>
    </row>
    <row r="87" spans="1:66" x14ac:dyDescent="0.35">
      <c r="A87" t="s">
        <v>176</v>
      </c>
      <c r="B87" s="32">
        <v>37</v>
      </c>
      <c r="C87" s="32">
        <v>34</v>
      </c>
      <c r="D87" s="32" t="s">
        <v>177</v>
      </c>
      <c r="E87" s="32" t="s">
        <v>178</v>
      </c>
      <c r="G87" s="54">
        <v>46257</v>
      </c>
      <c r="H87" s="55"/>
      <c r="I87" s="55">
        <v>0.58333333333333337</v>
      </c>
      <c r="J87" s="32" t="s">
        <v>53</v>
      </c>
      <c r="K87" s="32" t="s">
        <v>179</v>
      </c>
      <c r="L87" s="32">
        <v>1</v>
      </c>
      <c r="M87" s="32" t="s">
        <v>1905</v>
      </c>
      <c r="P87" s="32" t="s">
        <v>182</v>
      </c>
      <c r="Q87" s="32" t="s">
        <v>371</v>
      </c>
      <c r="R87" s="32" t="s">
        <v>183</v>
      </c>
      <c r="S87" s="32" t="s">
        <v>184</v>
      </c>
      <c r="T87" s="32" t="s">
        <v>1906</v>
      </c>
      <c r="U87" s="32" t="s">
        <v>1907</v>
      </c>
      <c r="V87" s="32">
        <v>809420</v>
      </c>
      <c r="W87" s="32" t="s">
        <v>1908</v>
      </c>
      <c r="X87" s="32" t="s">
        <v>187</v>
      </c>
      <c r="AA87" s="32" t="s">
        <v>189</v>
      </c>
      <c r="AB87" s="32" t="s">
        <v>485</v>
      </c>
      <c r="AC87" s="32" t="s">
        <v>56</v>
      </c>
      <c r="AD87" s="32" t="s">
        <v>486</v>
      </c>
      <c r="AE87" s="32">
        <v>20544424751</v>
      </c>
      <c r="AF87" s="32" t="s">
        <v>541</v>
      </c>
      <c r="AG87" s="32" t="s">
        <v>542</v>
      </c>
      <c r="AH87" s="32" t="s">
        <v>193</v>
      </c>
      <c r="AI87" s="32" t="s">
        <v>543</v>
      </c>
      <c r="AJ87" s="32" t="s">
        <v>544</v>
      </c>
      <c r="AK87" s="32">
        <v>986078320</v>
      </c>
      <c r="AL87" s="32" t="s">
        <v>491</v>
      </c>
      <c r="AM87" s="32" t="s">
        <v>491</v>
      </c>
      <c r="AN87" s="32" t="s">
        <v>491</v>
      </c>
      <c r="AO87" s="32" t="s">
        <v>491</v>
      </c>
      <c r="AP87" s="32" t="s">
        <v>491</v>
      </c>
      <c r="AQ87" s="32" t="s">
        <v>491</v>
      </c>
      <c r="AR87" s="32" t="s">
        <v>491</v>
      </c>
      <c r="AS87" s="32" t="s">
        <v>63</v>
      </c>
      <c r="AT87" s="32" t="s">
        <v>64</v>
      </c>
      <c r="AU87" s="56">
        <v>46257.625</v>
      </c>
      <c r="AV87" s="56">
        <v>46257.672222222223</v>
      </c>
      <c r="AW87" s="56">
        <v>46257.678472222222</v>
      </c>
      <c r="AX87" s="56">
        <v>46257.683333333334</v>
      </c>
      <c r="AY87" s="56">
        <v>46257.734027777777</v>
      </c>
      <c r="AZ87" s="56">
        <v>46257.736805555556</v>
      </c>
      <c r="BA87" s="56">
        <v>46258.489583333336</v>
      </c>
      <c r="BB87" s="56">
        <v>46258.522916666669</v>
      </c>
      <c r="BC87" s="56">
        <v>46258.513888888891</v>
      </c>
      <c r="BD87" s="56">
        <v>46258.535416666666</v>
      </c>
      <c r="BE87" s="56">
        <v>46258.652777777781</v>
      </c>
      <c r="BG87" s="56">
        <v>46258.690972222219</v>
      </c>
      <c r="BH87" s="56">
        <v>46258.693055555559</v>
      </c>
      <c r="BI87" s="32" t="s">
        <v>65</v>
      </c>
      <c r="BJ87" s="56">
        <v>46259.5</v>
      </c>
      <c r="BK87" s="56">
        <v>46259.486111111109</v>
      </c>
      <c r="BL87" s="56">
        <v>46259.493055555555</v>
      </c>
      <c r="BM87" s="56">
        <v>46259.494444444441</v>
      </c>
      <c r="BN87" s="56">
        <v>46259.499305555553</v>
      </c>
    </row>
    <row r="88" spans="1:66" x14ac:dyDescent="0.35">
      <c r="A88" t="s">
        <v>176</v>
      </c>
      <c r="B88" s="32">
        <v>1</v>
      </c>
      <c r="C88" s="32">
        <v>21</v>
      </c>
      <c r="D88" s="32" t="s">
        <v>177</v>
      </c>
      <c r="E88" s="32" t="s">
        <v>178</v>
      </c>
      <c r="F88" s="54">
        <v>45802</v>
      </c>
      <c r="G88" s="54">
        <v>46168</v>
      </c>
      <c r="H88" s="55"/>
      <c r="I88" s="55">
        <v>0.33333333333333331</v>
      </c>
      <c r="J88" s="32" t="s">
        <v>53</v>
      </c>
      <c r="K88" s="32" t="s">
        <v>179</v>
      </c>
      <c r="L88" s="32">
        <v>1</v>
      </c>
      <c r="M88" s="32" t="s">
        <v>664</v>
      </c>
      <c r="N88" s="32" t="s">
        <v>181</v>
      </c>
      <c r="O88" s="32" t="s">
        <v>181</v>
      </c>
      <c r="P88" s="32" t="s">
        <v>182</v>
      </c>
      <c r="Q88" s="32" t="s">
        <v>83</v>
      </c>
      <c r="T88" s="32" t="s">
        <v>665</v>
      </c>
      <c r="U88" s="32" t="s">
        <v>666</v>
      </c>
      <c r="W88" s="32" t="s">
        <v>985</v>
      </c>
      <c r="Z88" s="32" t="s">
        <v>188</v>
      </c>
      <c r="AA88" s="32" t="s">
        <v>189</v>
      </c>
      <c r="AB88" s="32" t="s">
        <v>55</v>
      </c>
      <c r="AC88" s="32" t="s">
        <v>92</v>
      </c>
      <c r="AD88" s="32" t="s">
        <v>78</v>
      </c>
      <c r="AE88" s="32">
        <v>20513040718</v>
      </c>
      <c r="AF88" s="32" t="s">
        <v>667</v>
      </c>
      <c r="AG88" s="32" t="s">
        <v>668</v>
      </c>
      <c r="AH88" s="32" t="s">
        <v>669</v>
      </c>
      <c r="AI88" s="32" t="s">
        <v>1827</v>
      </c>
      <c r="AJ88" s="32" t="s">
        <v>670</v>
      </c>
      <c r="AL88" s="32" t="s">
        <v>491</v>
      </c>
      <c r="AM88" s="32" t="s">
        <v>278</v>
      </c>
      <c r="AN88" s="32" t="s">
        <v>278</v>
      </c>
      <c r="AO88" s="32" t="s">
        <v>491</v>
      </c>
      <c r="AP88" s="32" t="s">
        <v>491</v>
      </c>
      <c r="AQ88" s="32" t="s">
        <v>491</v>
      </c>
      <c r="AR88" s="32" t="s">
        <v>491</v>
      </c>
      <c r="AS88" s="32" t="s">
        <v>83</v>
      </c>
      <c r="AT88" s="32" t="s">
        <v>248</v>
      </c>
      <c r="AU88" s="56">
        <v>46167.416666666664</v>
      </c>
      <c r="AV88" s="56">
        <v>46167.552777777775</v>
      </c>
      <c r="AW88" s="56">
        <v>46167.720138888886</v>
      </c>
      <c r="AX88" s="56">
        <v>46167.770833333336</v>
      </c>
      <c r="AY88" s="56">
        <v>46167.850694444445</v>
      </c>
      <c r="AZ88" s="56">
        <v>46167.916666666664</v>
      </c>
      <c r="BA88" s="56">
        <v>46168.597222222219</v>
      </c>
      <c r="BB88" s="56">
        <v>46169.583333333336</v>
      </c>
      <c r="BC88" s="56">
        <v>46168.607638888891</v>
      </c>
      <c r="BD88" s="56">
        <v>46168.609722222223</v>
      </c>
      <c r="BE88" s="56">
        <v>46168.611111111109</v>
      </c>
      <c r="BG88" s="56">
        <v>46168.694444444445</v>
      </c>
      <c r="BH88" s="56">
        <v>46168.722222222219</v>
      </c>
      <c r="BI88" s="32" t="s">
        <v>64</v>
      </c>
      <c r="BJ88" s="56">
        <v>46169.541666666664</v>
      </c>
      <c r="BK88" s="56">
        <v>46169.581944444442</v>
      </c>
      <c r="BL88" s="56">
        <v>46169.582638888889</v>
      </c>
      <c r="BM88" s="56">
        <v>46169.569444444445</v>
      </c>
      <c r="BN88" s="56">
        <v>46169.595138888886</v>
      </c>
    </row>
    <row r="89" spans="1:66" x14ac:dyDescent="0.35">
      <c r="A89" t="s">
        <v>176</v>
      </c>
      <c r="B89" s="32">
        <v>2</v>
      </c>
      <c r="C89" s="32">
        <v>22</v>
      </c>
      <c r="D89" s="32" t="s">
        <v>177</v>
      </c>
      <c r="E89" s="32" t="s">
        <v>178</v>
      </c>
      <c r="F89" s="54">
        <v>46174</v>
      </c>
      <c r="G89" s="54">
        <v>46175</v>
      </c>
      <c r="H89" s="55"/>
      <c r="I89" s="55">
        <v>0.5</v>
      </c>
      <c r="J89" s="32" t="s">
        <v>53</v>
      </c>
      <c r="K89" s="32" t="s">
        <v>179</v>
      </c>
      <c r="L89" s="32">
        <v>1</v>
      </c>
      <c r="M89" s="32" t="s">
        <v>77</v>
      </c>
      <c r="P89" s="32" t="s">
        <v>182</v>
      </c>
      <c r="Q89" s="32" t="s">
        <v>84</v>
      </c>
      <c r="T89" s="32">
        <v>6503163460</v>
      </c>
      <c r="U89" s="32" t="s">
        <v>82</v>
      </c>
      <c r="V89" s="32">
        <v>2113</v>
      </c>
      <c r="W89" s="32">
        <v>32997767</v>
      </c>
      <c r="Z89" s="32" t="s">
        <v>188</v>
      </c>
      <c r="AA89" s="32" t="s">
        <v>189</v>
      </c>
      <c r="AB89" s="32" t="s">
        <v>55</v>
      </c>
      <c r="AC89" s="32" t="s">
        <v>92</v>
      </c>
      <c r="AD89" s="32" t="s">
        <v>78</v>
      </c>
      <c r="AE89" s="32">
        <v>20513040718</v>
      </c>
      <c r="AF89" s="32" t="s">
        <v>79</v>
      </c>
      <c r="AG89" s="32" t="s">
        <v>80</v>
      </c>
      <c r="AH89" s="32" t="s">
        <v>669</v>
      </c>
      <c r="AI89" s="32" t="s">
        <v>1828</v>
      </c>
      <c r="AJ89" s="32" t="s">
        <v>81</v>
      </c>
      <c r="AL89" s="32" t="s">
        <v>491</v>
      </c>
      <c r="AM89" s="32" t="s">
        <v>278</v>
      </c>
      <c r="AN89" s="32" t="s">
        <v>278</v>
      </c>
      <c r="AO89" s="32" t="s">
        <v>491</v>
      </c>
      <c r="AP89" s="32" t="s">
        <v>491</v>
      </c>
      <c r="AQ89" s="32" t="s">
        <v>491</v>
      </c>
      <c r="AR89" s="32" t="s">
        <v>491</v>
      </c>
      <c r="AS89" s="32" t="s">
        <v>84</v>
      </c>
      <c r="AT89" s="32" t="s">
        <v>248</v>
      </c>
      <c r="AU89" s="56">
        <v>46174.541666666664</v>
      </c>
      <c r="AV89" s="56">
        <v>46174.680555555555</v>
      </c>
      <c r="AW89" s="56">
        <v>46174.694444444445</v>
      </c>
      <c r="AX89" s="56">
        <v>46174.704861111109</v>
      </c>
      <c r="AY89" s="56">
        <v>46174.767361111109</v>
      </c>
      <c r="AZ89" s="56">
        <v>46174.791666666664</v>
      </c>
      <c r="BA89" s="56">
        <v>46175.425694444442</v>
      </c>
      <c r="BB89" s="56">
        <v>46176.041666666664</v>
      </c>
      <c r="BC89" s="56">
        <v>46175.604166666664</v>
      </c>
      <c r="BD89" s="56">
        <v>46175.607638888891</v>
      </c>
      <c r="BE89" s="56">
        <v>46175.618055555555</v>
      </c>
      <c r="BG89" s="56">
        <v>46175.638888888891</v>
      </c>
      <c r="BH89" s="56">
        <v>46175.586805555555</v>
      </c>
      <c r="BI89" s="32" t="s">
        <v>248</v>
      </c>
      <c r="BJ89" s="56">
        <v>46176</v>
      </c>
      <c r="BK89" s="56">
        <v>46176.032638888886</v>
      </c>
      <c r="BL89" s="56">
        <v>46176.048611111109</v>
      </c>
      <c r="BM89" s="56">
        <v>46176.0625</v>
      </c>
      <c r="BN89" s="56">
        <v>46176.65625</v>
      </c>
    </row>
    <row r="90" spans="1:66" x14ac:dyDescent="0.35">
      <c r="A90" t="s">
        <v>176</v>
      </c>
      <c r="B90" s="32">
        <v>3</v>
      </c>
      <c r="C90" s="32">
        <v>23</v>
      </c>
      <c r="D90" s="32" t="s">
        <v>177</v>
      </c>
      <c r="E90" s="32" t="s">
        <v>178</v>
      </c>
      <c r="F90" s="54">
        <v>46180</v>
      </c>
      <c r="G90" s="54">
        <v>46181</v>
      </c>
      <c r="H90" s="55"/>
      <c r="I90" s="55">
        <v>0.41666666666666669</v>
      </c>
      <c r="J90" s="32" t="s">
        <v>53</v>
      </c>
      <c r="K90" s="32" t="s">
        <v>179</v>
      </c>
      <c r="L90" s="32">
        <v>1</v>
      </c>
      <c r="M90" s="32" t="s">
        <v>671</v>
      </c>
      <c r="P90" s="32" t="s">
        <v>182</v>
      </c>
      <c r="Q90" s="32" t="s">
        <v>84</v>
      </c>
      <c r="R90" s="32" t="s">
        <v>959</v>
      </c>
      <c r="S90" s="32" t="s">
        <v>1909</v>
      </c>
      <c r="T90" s="32">
        <v>751600031888</v>
      </c>
      <c r="U90" s="32" t="s">
        <v>672</v>
      </c>
      <c r="V90" s="32">
        <v>3001889</v>
      </c>
      <c r="Y90" s="32" t="s">
        <v>187</v>
      </c>
      <c r="Z90" s="32" t="s">
        <v>188</v>
      </c>
      <c r="AA90" s="32" t="s">
        <v>189</v>
      </c>
      <c r="AB90" s="32" t="s">
        <v>55</v>
      </c>
      <c r="AC90" s="32" t="s">
        <v>92</v>
      </c>
      <c r="AD90" s="32" t="s">
        <v>78</v>
      </c>
      <c r="AE90" s="32">
        <v>20513040718</v>
      </c>
      <c r="AF90" s="32" t="s">
        <v>673</v>
      </c>
      <c r="AG90" s="32" t="s">
        <v>674</v>
      </c>
      <c r="AH90" s="32" t="s">
        <v>669</v>
      </c>
      <c r="AI90" s="32" t="s">
        <v>675</v>
      </c>
      <c r="AJ90" s="32" t="s">
        <v>676</v>
      </c>
      <c r="AL90" s="32" t="s">
        <v>491</v>
      </c>
      <c r="AM90" s="32" t="s">
        <v>278</v>
      </c>
      <c r="AN90" s="32" t="s">
        <v>278</v>
      </c>
      <c r="AO90" s="32" t="s">
        <v>491</v>
      </c>
      <c r="AP90" s="32" t="s">
        <v>491</v>
      </c>
      <c r="AQ90" s="32" t="s">
        <v>491</v>
      </c>
      <c r="AR90" s="32" t="s">
        <v>491</v>
      </c>
      <c r="AS90" s="32" t="s">
        <v>84</v>
      </c>
      <c r="AT90" s="32" t="s">
        <v>677</v>
      </c>
      <c r="AU90" s="56">
        <v>46180.833333333336</v>
      </c>
      <c r="AV90" s="56">
        <v>46180.85</v>
      </c>
      <c r="AW90" s="56">
        <v>46180.854166666664</v>
      </c>
      <c r="AX90" s="56">
        <v>46180.856249999997</v>
      </c>
      <c r="AY90" s="56">
        <v>46180.915277777778</v>
      </c>
      <c r="AZ90" s="56">
        <v>46180.916666666664</v>
      </c>
      <c r="BA90" s="56">
        <v>46181.458333333336</v>
      </c>
      <c r="BB90" s="56">
        <v>46182.208333333336</v>
      </c>
      <c r="BC90" s="56">
        <v>46181.481249999997</v>
      </c>
      <c r="BD90" s="56">
        <v>46181.486111111109</v>
      </c>
      <c r="BE90" s="56">
        <v>46181.5</v>
      </c>
      <c r="BG90" s="56">
        <v>46181.680555555555</v>
      </c>
      <c r="BH90" s="56">
        <v>46181.713888888888</v>
      </c>
      <c r="BI90" s="32" t="s">
        <v>64</v>
      </c>
      <c r="BJ90" s="56">
        <v>46182.166666666664</v>
      </c>
      <c r="BK90" s="56">
        <v>46182.206250000003</v>
      </c>
      <c r="BL90" s="56">
        <v>46182.208333333336</v>
      </c>
      <c r="BM90" s="56">
        <v>46182.246527777781</v>
      </c>
      <c r="BN90" s="56">
        <v>46182.258333333331</v>
      </c>
    </row>
    <row r="91" spans="1:66" x14ac:dyDescent="0.35">
      <c r="A91" t="s">
        <v>176</v>
      </c>
      <c r="B91" s="32">
        <v>4</v>
      </c>
      <c r="C91" s="32">
        <v>23</v>
      </c>
      <c r="D91" s="32" t="s">
        <v>177</v>
      </c>
      <c r="E91" s="32" t="s">
        <v>178</v>
      </c>
      <c r="F91" s="54">
        <v>46180</v>
      </c>
      <c r="G91" s="54">
        <v>46181</v>
      </c>
      <c r="H91" s="55"/>
      <c r="I91" s="55">
        <v>0.41666666666666669</v>
      </c>
      <c r="J91" s="32" t="s">
        <v>53</v>
      </c>
      <c r="K91" s="32" t="s">
        <v>179</v>
      </c>
      <c r="L91" s="32">
        <v>1</v>
      </c>
      <c r="M91" s="32" t="s">
        <v>678</v>
      </c>
      <c r="P91" s="32" t="s">
        <v>182</v>
      </c>
      <c r="Q91" s="32" t="s">
        <v>84</v>
      </c>
      <c r="R91" s="32" t="s">
        <v>1856</v>
      </c>
      <c r="S91" s="32" t="s">
        <v>1910</v>
      </c>
      <c r="T91" s="32">
        <v>751600031896</v>
      </c>
      <c r="U91" s="32" t="s">
        <v>679</v>
      </c>
      <c r="V91" s="32">
        <v>3301889</v>
      </c>
      <c r="Y91" s="32" t="s">
        <v>187</v>
      </c>
      <c r="Z91" s="32" t="s">
        <v>188</v>
      </c>
      <c r="AA91" s="32" t="s">
        <v>189</v>
      </c>
      <c r="AB91" s="32" t="s">
        <v>55</v>
      </c>
      <c r="AC91" s="32" t="s">
        <v>92</v>
      </c>
      <c r="AD91" s="32" t="s">
        <v>78</v>
      </c>
      <c r="AE91" s="32">
        <v>20513040718</v>
      </c>
      <c r="AF91" s="32" t="s">
        <v>680</v>
      </c>
      <c r="AG91" s="32" t="s">
        <v>681</v>
      </c>
      <c r="AH91" s="32" t="s">
        <v>669</v>
      </c>
      <c r="AI91" s="32" t="s">
        <v>1829</v>
      </c>
      <c r="AJ91" s="32" t="s">
        <v>682</v>
      </c>
      <c r="AL91" s="32" t="s">
        <v>491</v>
      </c>
      <c r="AM91" s="32" t="s">
        <v>278</v>
      </c>
      <c r="AN91" s="32" t="s">
        <v>278</v>
      </c>
      <c r="AO91" s="32" t="s">
        <v>491</v>
      </c>
      <c r="AP91" s="32" t="s">
        <v>491</v>
      </c>
      <c r="AQ91" s="32" t="s">
        <v>491</v>
      </c>
      <c r="AR91" s="32" t="s">
        <v>491</v>
      </c>
      <c r="AS91" s="32" t="s">
        <v>84</v>
      </c>
      <c r="AT91" s="32" t="s">
        <v>677</v>
      </c>
      <c r="AU91" s="56">
        <v>46180.833333333336</v>
      </c>
      <c r="AV91" s="56">
        <v>46180.861805555556</v>
      </c>
      <c r="AW91" s="56">
        <v>46180.871527777781</v>
      </c>
      <c r="AX91" s="56">
        <v>46180.866666666669</v>
      </c>
      <c r="AY91" s="56">
        <v>46180.941666666666</v>
      </c>
      <c r="AZ91" s="56">
        <v>46180.954861111109</v>
      </c>
      <c r="BA91" s="56">
        <v>46181.548611111109</v>
      </c>
      <c r="BB91" s="56">
        <v>46182.4375</v>
      </c>
      <c r="BC91" s="56">
        <v>46181.556250000001</v>
      </c>
      <c r="BD91" s="56">
        <v>46181.560416666667</v>
      </c>
      <c r="BE91" s="56">
        <v>46181.625</v>
      </c>
      <c r="BG91" s="56">
        <v>46181.75</v>
      </c>
      <c r="BH91" s="56">
        <v>46181.773611111108</v>
      </c>
      <c r="BI91" s="32" t="s">
        <v>64</v>
      </c>
      <c r="BJ91" s="56">
        <v>46182.416666666664</v>
      </c>
      <c r="BK91" s="56">
        <v>46182.427777777775</v>
      </c>
      <c r="BL91" s="56">
        <v>46182.4375</v>
      </c>
      <c r="BM91" s="56">
        <v>46182.550694444442</v>
      </c>
      <c r="BN91" s="56">
        <v>46182.55972222222</v>
      </c>
    </row>
    <row r="92" spans="1:66" x14ac:dyDescent="0.35">
      <c r="A92" t="s">
        <v>176</v>
      </c>
      <c r="B92" s="32">
        <v>5</v>
      </c>
      <c r="C92" s="32">
        <v>23</v>
      </c>
      <c r="D92" s="32" t="s">
        <v>177</v>
      </c>
      <c r="E92" s="32" t="s">
        <v>178</v>
      </c>
      <c r="F92" s="54">
        <v>46180</v>
      </c>
      <c r="G92" s="54">
        <v>46181</v>
      </c>
      <c r="H92" s="55"/>
      <c r="I92" s="55">
        <v>0.54166666666666663</v>
      </c>
      <c r="J92" s="32" t="s">
        <v>53</v>
      </c>
      <c r="K92" s="32" t="s">
        <v>179</v>
      </c>
      <c r="L92" s="32">
        <v>1</v>
      </c>
      <c r="M92" s="32" t="s">
        <v>683</v>
      </c>
      <c r="P92" s="32" t="s">
        <v>182</v>
      </c>
      <c r="Q92" s="32" t="s">
        <v>84</v>
      </c>
      <c r="R92" s="32" t="s">
        <v>1856</v>
      </c>
      <c r="S92" s="32" t="s">
        <v>1910</v>
      </c>
      <c r="T92" s="32">
        <v>751600032272</v>
      </c>
      <c r="U92" s="32" t="s">
        <v>684</v>
      </c>
      <c r="V92" s="32">
        <v>3301906</v>
      </c>
      <c r="Z92" s="32" t="s">
        <v>188</v>
      </c>
      <c r="AA92" s="32" t="s">
        <v>189</v>
      </c>
      <c r="AB92" s="32" t="s">
        <v>55</v>
      </c>
      <c r="AC92" s="32" t="s">
        <v>56</v>
      </c>
      <c r="AD92" s="32" t="s">
        <v>685</v>
      </c>
      <c r="AE92" s="32">
        <v>20535747424</v>
      </c>
      <c r="AF92" s="32" t="s">
        <v>686</v>
      </c>
      <c r="AG92" s="32" t="s">
        <v>687</v>
      </c>
      <c r="AH92" s="32" t="s">
        <v>669</v>
      </c>
      <c r="AI92" s="32" t="s">
        <v>688</v>
      </c>
      <c r="AJ92" s="32" t="s">
        <v>689</v>
      </c>
      <c r="AL92" s="32" t="s">
        <v>491</v>
      </c>
      <c r="AM92" s="32" t="s">
        <v>278</v>
      </c>
      <c r="AN92" s="32" t="s">
        <v>278</v>
      </c>
      <c r="AO92" s="32" t="s">
        <v>491</v>
      </c>
      <c r="AP92" s="32" t="s">
        <v>491</v>
      </c>
      <c r="AQ92" s="32" t="s">
        <v>491</v>
      </c>
      <c r="AR92" s="32" t="s">
        <v>491</v>
      </c>
      <c r="AS92" s="32" t="s">
        <v>84</v>
      </c>
      <c r="AT92" s="32" t="s">
        <v>677</v>
      </c>
      <c r="AU92" s="56">
        <v>46180.833333333336</v>
      </c>
      <c r="AV92" s="56">
        <v>46180.873611111114</v>
      </c>
      <c r="AW92" s="56">
        <v>46180.895833333336</v>
      </c>
      <c r="AX92" s="56">
        <v>46180.944444444445</v>
      </c>
      <c r="AY92" s="56">
        <v>46180.962500000001</v>
      </c>
      <c r="AZ92" s="56">
        <v>46180.996527777781</v>
      </c>
      <c r="BA92" s="56">
        <v>46181.625</v>
      </c>
      <c r="BB92" s="56">
        <v>46182.486111111109</v>
      </c>
      <c r="BC92" s="56">
        <v>46181.636805555558</v>
      </c>
      <c r="BD92" s="56">
        <v>46181.642361111109</v>
      </c>
      <c r="BE92" s="56">
        <v>46181.6875</v>
      </c>
      <c r="BG92" s="56">
        <v>46181.777777777781</v>
      </c>
      <c r="BH92" s="56">
        <v>46181.820833333331</v>
      </c>
      <c r="BI92" s="32" t="s">
        <v>64</v>
      </c>
      <c r="BJ92" s="56">
        <v>46182.458333333336</v>
      </c>
      <c r="BK92" s="56">
        <v>46182.479861111111</v>
      </c>
      <c r="BL92" s="56">
        <v>46182.5</v>
      </c>
      <c r="BM92" s="56">
        <v>46182.708333333336</v>
      </c>
      <c r="BN92" s="56">
        <v>46182.726388888892</v>
      </c>
    </row>
    <row r="93" spans="1:66" x14ac:dyDescent="0.35">
      <c r="A93" t="s">
        <v>176</v>
      </c>
      <c r="B93" s="32">
        <v>6</v>
      </c>
      <c r="C93" s="32">
        <v>24</v>
      </c>
      <c r="D93" s="32" t="s">
        <v>177</v>
      </c>
      <c r="E93" s="32" t="s">
        <v>178</v>
      </c>
      <c r="F93" s="54">
        <v>46188</v>
      </c>
      <c r="G93" s="54">
        <v>46189</v>
      </c>
      <c r="H93" s="55"/>
      <c r="I93" s="55">
        <v>0.58333333333333337</v>
      </c>
      <c r="J93" s="32" t="s">
        <v>53</v>
      </c>
      <c r="K93" s="32" t="s">
        <v>179</v>
      </c>
      <c r="L93" s="32">
        <v>1</v>
      </c>
      <c r="M93" s="32" t="s">
        <v>690</v>
      </c>
      <c r="P93" s="32" t="s">
        <v>182</v>
      </c>
      <c r="Q93" s="32" t="s">
        <v>83</v>
      </c>
      <c r="R93" s="32" t="s">
        <v>947</v>
      </c>
      <c r="S93" s="32" t="s">
        <v>399</v>
      </c>
      <c r="T93" s="32">
        <v>6503617890</v>
      </c>
      <c r="U93" s="32" t="s">
        <v>691</v>
      </c>
      <c r="V93" s="32">
        <v>784232</v>
      </c>
      <c r="W93" s="32">
        <v>29215397</v>
      </c>
      <c r="Y93" s="32" t="s">
        <v>187</v>
      </c>
      <c r="Z93" s="32" t="s">
        <v>188</v>
      </c>
      <c r="AA93" s="32" t="s">
        <v>189</v>
      </c>
      <c r="AB93" s="32" t="s">
        <v>55</v>
      </c>
      <c r="AC93" s="32" t="s">
        <v>56</v>
      </c>
      <c r="AD93" s="32" t="s">
        <v>78</v>
      </c>
      <c r="AE93" s="32">
        <v>20513040718</v>
      </c>
      <c r="AF93" s="32" t="s">
        <v>692</v>
      </c>
      <c r="AG93" s="32" t="s">
        <v>693</v>
      </c>
      <c r="AH93" s="32" t="s">
        <v>669</v>
      </c>
      <c r="AI93" s="32" t="s">
        <v>694</v>
      </c>
      <c r="AJ93" s="32" t="s">
        <v>695</v>
      </c>
      <c r="AL93" s="32" t="s">
        <v>491</v>
      </c>
      <c r="AM93" s="32" t="s">
        <v>278</v>
      </c>
      <c r="AN93" s="32" t="s">
        <v>278</v>
      </c>
      <c r="AO93" s="32" t="s">
        <v>491</v>
      </c>
      <c r="AP93" s="32" t="s">
        <v>491</v>
      </c>
      <c r="AQ93" s="32" t="s">
        <v>491</v>
      </c>
      <c r="AR93" s="32" t="s">
        <v>491</v>
      </c>
      <c r="AS93" s="32" t="s">
        <v>83</v>
      </c>
      <c r="AT93" s="32" t="s">
        <v>64</v>
      </c>
      <c r="AU93" s="56">
        <v>46188.5</v>
      </c>
      <c r="AV93" s="56">
        <v>46188.481249999997</v>
      </c>
      <c r="AW93" s="56">
        <v>46188.486805555556</v>
      </c>
      <c r="AX93" s="56">
        <v>46188.84375</v>
      </c>
      <c r="AY93" s="56">
        <v>46188.852777777778</v>
      </c>
      <c r="AZ93" s="56">
        <v>46188.916666666664</v>
      </c>
      <c r="BA93" s="56">
        <v>46189.666666666664</v>
      </c>
      <c r="BB93" s="56">
        <v>46190.083333333336</v>
      </c>
      <c r="BC93" s="56">
        <v>46189.549305555556</v>
      </c>
      <c r="BD93" s="56">
        <v>46189.555555555555</v>
      </c>
      <c r="BE93" s="56">
        <v>46189.59097222222</v>
      </c>
      <c r="BG93" s="56">
        <v>46189.666666666664</v>
      </c>
      <c r="BH93" s="56">
        <v>46189.732638888891</v>
      </c>
      <c r="BI93" s="32" t="s">
        <v>248</v>
      </c>
      <c r="BJ93" s="56">
        <v>46190.416666666664</v>
      </c>
      <c r="BK93" s="56">
        <v>46190.076388888891</v>
      </c>
      <c r="BL93" s="56">
        <v>46190.077777777777</v>
      </c>
      <c r="BM93" s="56">
        <v>46190.09652777778</v>
      </c>
      <c r="BN93" s="56">
        <v>46190.111805555556</v>
      </c>
    </row>
    <row r="94" spans="1:66" x14ac:dyDescent="0.35">
      <c r="A94" t="s">
        <v>176</v>
      </c>
      <c r="B94" s="32">
        <v>8</v>
      </c>
      <c r="C94" s="32">
        <v>24</v>
      </c>
      <c r="D94" s="32" t="s">
        <v>177</v>
      </c>
      <c r="E94" s="32" t="s">
        <v>178</v>
      </c>
      <c r="F94" s="54">
        <v>46189</v>
      </c>
      <c r="G94" s="54">
        <v>46190</v>
      </c>
      <c r="H94" s="55"/>
      <c r="I94" s="55">
        <v>0.45833333333333331</v>
      </c>
      <c r="J94" s="32" t="s">
        <v>53</v>
      </c>
      <c r="K94" s="32" t="s">
        <v>179</v>
      </c>
      <c r="L94" s="32">
        <v>1</v>
      </c>
      <c r="M94" s="32" t="s">
        <v>702</v>
      </c>
      <c r="P94" s="32" t="s">
        <v>182</v>
      </c>
      <c r="Q94" s="32" t="s">
        <v>83</v>
      </c>
      <c r="R94" s="32" t="s">
        <v>1853</v>
      </c>
      <c r="S94" s="32" t="s">
        <v>399</v>
      </c>
      <c r="T94" s="32">
        <v>6504302800</v>
      </c>
      <c r="U94" s="32" t="s">
        <v>703</v>
      </c>
      <c r="V94" s="32">
        <v>22612</v>
      </c>
      <c r="W94" s="32">
        <v>33001585</v>
      </c>
      <c r="Y94" s="32" t="s">
        <v>187</v>
      </c>
      <c r="Z94" s="32" t="s">
        <v>188</v>
      </c>
      <c r="AA94" s="32" t="s">
        <v>189</v>
      </c>
      <c r="AB94" s="32" t="s">
        <v>55</v>
      </c>
      <c r="AC94" s="32" t="s">
        <v>56</v>
      </c>
      <c r="AD94" s="32" t="s">
        <v>78</v>
      </c>
      <c r="AE94" s="32">
        <v>20513040718</v>
      </c>
      <c r="AF94" s="32" t="s">
        <v>704</v>
      </c>
      <c r="AG94" s="32" t="s">
        <v>705</v>
      </c>
      <c r="AH94" s="32" t="s">
        <v>669</v>
      </c>
      <c r="AI94" s="32" t="s">
        <v>706</v>
      </c>
      <c r="AJ94" s="32" t="s">
        <v>707</v>
      </c>
      <c r="AL94" s="32" t="s">
        <v>491</v>
      </c>
      <c r="AM94" s="32" t="s">
        <v>278</v>
      </c>
      <c r="AN94" s="32" t="s">
        <v>278</v>
      </c>
      <c r="AO94" s="32" t="s">
        <v>491</v>
      </c>
      <c r="AP94" s="32" t="s">
        <v>491</v>
      </c>
      <c r="AQ94" s="32" t="s">
        <v>491</v>
      </c>
      <c r="AR94" s="32" t="s">
        <v>491</v>
      </c>
      <c r="AS94" s="32" t="s">
        <v>83</v>
      </c>
      <c r="AT94" s="32" t="s">
        <v>248</v>
      </c>
      <c r="AU94" s="56">
        <v>46189.541666666664</v>
      </c>
      <c r="AV94" s="56">
        <v>46189.573611111111</v>
      </c>
      <c r="AW94" s="56">
        <v>46189.574305555558</v>
      </c>
      <c r="AX94" s="56">
        <v>46189.625</v>
      </c>
      <c r="AY94" s="56">
        <v>46189.668055555558</v>
      </c>
      <c r="AZ94" s="56">
        <v>46189.6875</v>
      </c>
      <c r="BA94" s="56">
        <v>46190.361111111109</v>
      </c>
      <c r="BB94" s="56">
        <v>46193.125</v>
      </c>
      <c r="BC94" s="56">
        <v>46190.430555555555</v>
      </c>
      <c r="BD94" s="56">
        <v>46190.440972222219</v>
      </c>
      <c r="BE94" s="56">
        <v>46190.472222222219</v>
      </c>
      <c r="BG94" s="56">
        <v>46190.64166666667</v>
      </c>
      <c r="BH94" s="56">
        <v>46190.683333333334</v>
      </c>
      <c r="BI94" s="32" t="s">
        <v>248</v>
      </c>
      <c r="BJ94" s="56">
        <v>46191.125</v>
      </c>
      <c r="BK94" s="56">
        <v>46191.043055555558</v>
      </c>
      <c r="BL94" s="56">
        <v>46191.04583333333</v>
      </c>
      <c r="BM94" s="56">
        <v>46191.061805555553</v>
      </c>
      <c r="BN94" s="56">
        <v>46191.078472222223</v>
      </c>
    </row>
    <row r="95" spans="1:66" x14ac:dyDescent="0.35">
      <c r="A95" t="s">
        <v>176</v>
      </c>
      <c r="B95" s="32">
        <v>9</v>
      </c>
      <c r="C95" s="32">
        <v>24</v>
      </c>
      <c r="D95" s="32" t="s">
        <v>177</v>
      </c>
      <c r="E95" s="32" t="s">
        <v>178</v>
      </c>
      <c r="F95" s="54">
        <v>46189</v>
      </c>
      <c r="G95" s="54">
        <v>46190</v>
      </c>
      <c r="H95" s="55"/>
      <c r="I95" s="55">
        <v>0.54166666666666663</v>
      </c>
      <c r="J95" s="32" t="s">
        <v>53</v>
      </c>
      <c r="K95" s="32" t="s">
        <v>179</v>
      </c>
      <c r="L95" s="32">
        <v>1</v>
      </c>
      <c r="M95" s="32" t="s">
        <v>708</v>
      </c>
      <c r="P95" s="32" t="s">
        <v>182</v>
      </c>
      <c r="Q95" s="32" t="s">
        <v>84</v>
      </c>
      <c r="R95" s="32" t="s">
        <v>947</v>
      </c>
      <c r="S95" s="32" t="s">
        <v>399</v>
      </c>
      <c r="T95" s="32">
        <v>6504302190</v>
      </c>
      <c r="U95" s="32" t="s">
        <v>709</v>
      </c>
      <c r="V95" s="32">
        <v>784433</v>
      </c>
      <c r="W95" s="32">
        <v>29215387</v>
      </c>
      <c r="Y95" s="32" t="s">
        <v>187</v>
      </c>
      <c r="Z95" s="32" t="s">
        <v>188</v>
      </c>
      <c r="AA95" s="32" t="s">
        <v>189</v>
      </c>
      <c r="AB95" s="32" t="s">
        <v>55</v>
      </c>
      <c r="AC95" s="32" t="s">
        <v>56</v>
      </c>
      <c r="AD95" s="32" t="s">
        <v>78</v>
      </c>
      <c r="AE95" s="32">
        <v>20513040718</v>
      </c>
      <c r="AF95" s="32" t="s">
        <v>710</v>
      </c>
      <c r="AG95" s="32" t="s">
        <v>711</v>
      </c>
      <c r="AH95" s="32" t="s">
        <v>669</v>
      </c>
      <c r="AI95" s="32" t="s">
        <v>712</v>
      </c>
      <c r="AJ95" s="32" t="s">
        <v>713</v>
      </c>
      <c r="AL95" s="32" t="s">
        <v>491</v>
      </c>
      <c r="AM95" s="32" t="s">
        <v>278</v>
      </c>
      <c r="AN95" s="32" t="s">
        <v>278</v>
      </c>
      <c r="AO95" s="32" t="s">
        <v>491</v>
      </c>
      <c r="AP95" s="32" t="s">
        <v>491</v>
      </c>
      <c r="AQ95" s="32" t="s">
        <v>491</v>
      </c>
      <c r="AR95" s="32" t="s">
        <v>491</v>
      </c>
      <c r="AS95" s="32" t="s">
        <v>84</v>
      </c>
      <c r="AT95" s="32" t="s">
        <v>64</v>
      </c>
      <c r="AU95" s="56">
        <v>46189.541666666664</v>
      </c>
      <c r="AV95" s="56">
        <v>46189.59097222222</v>
      </c>
      <c r="AW95" s="56">
        <v>46189.613194444442</v>
      </c>
      <c r="AX95" s="56">
        <v>46189.9</v>
      </c>
      <c r="AY95" s="56">
        <v>46189.941666666666</v>
      </c>
      <c r="AZ95" s="56">
        <v>46190.178472222222</v>
      </c>
      <c r="BA95" s="56">
        <v>46190.556250000001</v>
      </c>
      <c r="BB95" s="56">
        <v>46191.541666666664</v>
      </c>
      <c r="BC95" s="56">
        <v>46190.577777777777</v>
      </c>
      <c r="BD95" s="56">
        <v>46190.585416666669</v>
      </c>
      <c r="BE95" s="56">
        <v>46190.619444444441</v>
      </c>
      <c r="BG95" s="56">
        <v>46190.786805555559</v>
      </c>
      <c r="BH95" s="56">
        <v>46190.828472222223</v>
      </c>
      <c r="BI95" s="32" t="s">
        <v>248</v>
      </c>
      <c r="BJ95" s="56">
        <v>46191.041666666664</v>
      </c>
      <c r="BK95" s="56">
        <v>46191.538194444445</v>
      </c>
      <c r="BL95" s="56">
        <v>46191.547222222223</v>
      </c>
      <c r="BM95" s="56">
        <v>46191.561805555553</v>
      </c>
      <c r="BN95" s="56">
        <v>46191.579861111109</v>
      </c>
    </row>
    <row r="96" spans="1:66" x14ac:dyDescent="0.35">
      <c r="A96" t="s">
        <v>176</v>
      </c>
      <c r="B96" s="32">
        <v>10</v>
      </c>
      <c r="C96" s="32">
        <v>24</v>
      </c>
      <c r="D96" s="32" t="s">
        <v>177</v>
      </c>
      <c r="E96" s="32" t="s">
        <v>178</v>
      </c>
      <c r="F96" s="54">
        <v>46189</v>
      </c>
      <c r="G96" s="54">
        <v>46190</v>
      </c>
      <c r="H96" s="55"/>
      <c r="I96" s="55">
        <v>0.58333333333333337</v>
      </c>
      <c r="J96" s="32" t="s">
        <v>53</v>
      </c>
      <c r="K96" s="32" t="s">
        <v>179</v>
      </c>
      <c r="L96" s="32">
        <v>1</v>
      </c>
      <c r="M96" s="32" t="s">
        <v>714</v>
      </c>
      <c r="P96" s="32" t="s">
        <v>182</v>
      </c>
      <c r="Q96" s="32" t="s">
        <v>84</v>
      </c>
      <c r="R96" s="32" t="s">
        <v>947</v>
      </c>
      <c r="S96" s="32" t="s">
        <v>399</v>
      </c>
      <c r="T96" s="32">
        <v>6504302340</v>
      </c>
      <c r="U96" s="32" t="s">
        <v>715</v>
      </c>
      <c r="V96" s="32">
        <v>784553</v>
      </c>
      <c r="Y96" s="32" t="s">
        <v>187</v>
      </c>
      <c r="Z96" s="32" t="s">
        <v>188</v>
      </c>
      <c r="AA96" s="32" t="s">
        <v>189</v>
      </c>
      <c r="AB96" s="32" t="s">
        <v>55</v>
      </c>
      <c r="AC96" s="32" t="s">
        <v>92</v>
      </c>
      <c r="AD96" s="32" t="s">
        <v>716</v>
      </c>
      <c r="AE96" s="32">
        <v>20609163632</v>
      </c>
      <c r="AF96" s="32" t="s">
        <v>717</v>
      </c>
      <c r="AG96" s="32" t="s">
        <v>718</v>
      </c>
      <c r="AH96" s="32" t="s">
        <v>669</v>
      </c>
      <c r="AI96" s="32" t="s">
        <v>719</v>
      </c>
      <c r="AJ96" s="32" t="s">
        <v>720</v>
      </c>
      <c r="AL96" s="32" t="s">
        <v>491</v>
      </c>
      <c r="AM96" s="32" t="s">
        <v>278</v>
      </c>
      <c r="AN96" s="32" t="s">
        <v>278</v>
      </c>
      <c r="AO96" s="32" t="s">
        <v>491</v>
      </c>
      <c r="AP96" s="32" t="s">
        <v>491</v>
      </c>
      <c r="AQ96" s="32" t="s">
        <v>491</v>
      </c>
      <c r="AR96" s="32" t="s">
        <v>491</v>
      </c>
      <c r="AS96" s="32" t="s">
        <v>84</v>
      </c>
      <c r="AT96" s="32" t="s">
        <v>64</v>
      </c>
      <c r="AU96" s="56">
        <v>46189.541666666664</v>
      </c>
      <c r="AV96" s="56">
        <v>46189.577777777777</v>
      </c>
      <c r="AW96" s="56">
        <v>46189.613194444442</v>
      </c>
      <c r="AX96" s="56">
        <v>46189.912499999999</v>
      </c>
      <c r="AY96" s="56">
        <v>46189.95416666667</v>
      </c>
      <c r="AZ96" s="56">
        <v>46190.031944444447</v>
      </c>
      <c r="BA96" s="56">
        <v>46190.421527777777</v>
      </c>
      <c r="BB96" s="56">
        <v>46191.069444444445</v>
      </c>
      <c r="BC96" s="56">
        <v>46190.445833333331</v>
      </c>
      <c r="BD96" s="56">
        <v>46190.459027777775</v>
      </c>
      <c r="BE96" s="56">
        <v>46190.487500000003</v>
      </c>
      <c r="BG96" s="56">
        <v>46190.65</v>
      </c>
      <c r="BH96" s="56">
        <v>46190.691666666666</v>
      </c>
      <c r="BI96" s="32" t="s">
        <v>248</v>
      </c>
      <c r="BJ96" s="56">
        <v>46191.291666666664</v>
      </c>
      <c r="BK96" s="56">
        <v>46191.061805555553</v>
      </c>
      <c r="BL96" s="56">
        <v>46191.06527777778</v>
      </c>
      <c r="BM96" s="56">
        <v>46191.077777777777</v>
      </c>
      <c r="BN96" s="56">
        <v>46191.09097222222</v>
      </c>
    </row>
    <row r="97" spans="1:66" x14ac:dyDescent="0.35">
      <c r="A97" t="s">
        <v>176</v>
      </c>
      <c r="B97" s="32">
        <v>11</v>
      </c>
      <c r="C97" s="32">
        <v>24</v>
      </c>
      <c r="D97" s="32" t="s">
        <v>177</v>
      </c>
      <c r="E97" s="32" t="s">
        <v>178</v>
      </c>
      <c r="F97" s="54">
        <v>46189</v>
      </c>
      <c r="G97" s="54">
        <v>46190</v>
      </c>
      <c r="H97" s="55"/>
      <c r="I97" s="55">
        <v>0.58333333333333337</v>
      </c>
      <c r="J97" s="32" t="s">
        <v>53</v>
      </c>
      <c r="K97" s="32" t="s">
        <v>179</v>
      </c>
      <c r="L97" s="32">
        <v>1</v>
      </c>
      <c r="M97" s="32" t="s">
        <v>721</v>
      </c>
      <c r="P97" s="32" t="s">
        <v>182</v>
      </c>
      <c r="Q97" s="32" t="s">
        <v>84</v>
      </c>
      <c r="R97" s="32" t="s">
        <v>947</v>
      </c>
      <c r="S97" s="32" t="s">
        <v>399</v>
      </c>
      <c r="T97" s="32">
        <v>6504302490</v>
      </c>
      <c r="U97" s="32" t="s">
        <v>722</v>
      </c>
      <c r="W97" s="32">
        <v>29215386</v>
      </c>
      <c r="Y97" s="32" t="s">
        <v>187</v>
      </c>
      <c r="Z97" s="32" t="s">
        <v>188</v>
      </c>
      <c r="AA97" s="32" t="s">
        <v>189</v>
      </c>
      <c r="AB97" s="32" t="s">
        <v>55</v>
      </c>
      <c r="AC97" s="32" t="s">
        <v>56</v>
      </c>
      <c r="AD97" s="32" t="s">
        <v>78</v>
      </c>
      <c r="AE97" s="32">
        <v>20513040718</v>
      </c>
      <c r="AF97" s="32" t="s">
        <v>723</v>
      </c>
      <c r="AG97" s="32" t="s">
        <v>724</v>
      </c>
      <c r="AH97" s="32" t="s">
        <v>669</v>
      </c>
      <c r="AI97" s="32" t="s">
        <v>725</v>
      </c>
      <c r="AJ97" s="32" t="s">
        <v>726</v>
      </c>
      <c r="AL97" s="32" t="s">
        <v>491</v>
      </c>
      <c r="AM97" s="32" t="s">
        <v>278</v>
      </c>
      <c r="AN97" s="32" t="s">
        <v>278</v>
      </c>
      <c r="AO97" s="32" t="s">
        <v>491</v>
      </c>
      <c r="AP97" s="32" t="s">
        <v>491</v>
      </c>
      <c r="AQ97" s="32" t="s">
        <v>491</v>
      </c>
      <c r="AR97" s="32" t="s">
        <v>491</v>
      </c>
      <c r="AS97" s="32" t="s">
        <v>84</v>
      </c>
      <c r="AT97" s="32" t="s">
        <v>64</v>
      </c>
      <c r="AU97" s="56">
        <v>46188.541666666664</v>
      </c>
      <c r="AV97" s="56">
        <v>46189.456250000003</v>
      </c>
      <c r="AW97" s="56">
        <v>46189.566666666666</v>
      </c>
      <c r="AX97" s="56">
        <v>46189.902083333334</v>
      </c>
      <c r="AY97" s="56">
        <v>46189.943749999999</v>
      </c>
      <c r="AZ97" s="56">
        <v>46190.025694444441</v>
      </c>
      <c r="BA97" s="56">
        <v>46190.493750000001</v>
      </c>
      <c r="BB97" s="56">
        <v>46191.541666666664</v>
      </c>
      <c r="BC97" s="56">
        <v>46190.522916666669</v>
      </c>
      <c r="BD97" s="56">
        <v>46190.529861111114</v>
      </c>
      <c r="BE97" s="56">
        <v>46190.564583333333</v>
      </c>
      <c r="BG97" s="56">
        <v>46190.795138888891</v>
      </c>
      <c r="BH97" s="56">
        <v>46190.836805555555</v>
      </c>
      <c r="BI97" s="32" t="s">
        <v>248</v>
      </c>
      <c r="BJ97" s="56">
        <v>46191.541666666664</v>
      </c>
      <c r="BK97" s="56">
        <v>46191.493055555555</v>
      </c>
      <c r="BL97" s="56">
        <v>46191.49722222222</v>
      </c>
      <c r="BM97" s="56">
        <v>46191.522222222222</v>
      </c>
      <c r="BN97" s="56">
        <v>46191.537499999999</v>
      </c>
    </row>
    <row r="98" spans="1:66" x14ac:dyDescent="0.35">
      <c r="A98" t="s">
        <v>176</v>
      </c>
      <c r="B98" s="32">
        <v>7</v>
      </c>
      <c r="C98" s="32">
        <v>24</v>
      </c>
      <c r="D98" s="32" t="s">
        <v>177</v>
      </c>
      <c r="E98" s="32" t="s">
        <v>178</v>
      </c>
      <c r="F98" s="54">
        <v>46188</v>
      </c>
      <c r="G98" s="54">
        <v>46189</v>
      </c>
      <c r="H98" s="55"/>
      <c r="I98" s="55">
        <v>0.58333333333333337</v>
      </c>
      <c r="J98" s="32" t="s">
        <v>53</v>
      </c>
      <c r="K98" s="32" t="s">
        <v>179</v>
      </c>
      <c r="L98" s="32">
        <v>1</v>
      </c>
      <c r="M98" s="32" t="s">
        <v>696</v>
      </c>
      <c r="P98" s="32" t="s">
        <v>182</v>
      </c>
      <c r="Q98" s="32" t="s">
        <v>83</v>
      </c>
      <c r="R98" s="32" t="s">
        <v>947</v>
      </c>
      <c r="S98" s="32" t="s">
        <v>399</v>
      </c>
      <c r="T98" s="32">
        <v>6504759580</v>
      </c>
      <c r="U98" s="32" t="s">
        <v>697</v>
      </c>
      <c r="V98" s="32">
        <v>22576</v>
      </c>
      <c r="W98" s="32">
        <v>33001549</v>
      </c>
      <c r="Y98" s="32" t="s">
        <v>187</v>
      </c>
      <c r="Z98" s="32" t="s">
        <v>188</v>
      </c>
      <c r="AA98" s="32" t="s">
        <v>189</v>
      </c>
      <c r="AB98" s="32" t="s">
        <v>55</v>
      </c>
      <c r="AC98" s="32" t="s">
        <v>56</v>
      </c>
      <c r="AD98" s="32" t="s">
        <v>78</v>
      </c>
      <c r="AE98" s="32">
        <v>20513040718</v>
      </c>
      <c r="AF98" s="32" t="s">
        <v>698</v>
      </c>
      <c r="AG98" s="32" t="s">
        <v>699</v>
      </c>
      <c r="AH98" s="32" t="s">
        <v>669</v>
      </c>
      <c r="AI98" s="32" t="s">
        <v>700</v>
      </c>
      <c r="AJ98" s="32" t="s">
        <v>701</v>
      </c>
      <c r="AL98" s="32" t="s">
        <v>491</v>
      </c>
      <c r="AM98" s="32" t="s">
        <v>278</v>
      </c>
      <c r="AN98" s="32" t="s">
        <v>278</v>
      </c>
      <c r="AO98" s="32" t="s">
        <v>491</v>
      </c>
      <c r="AP98" s="32" t="s">
        <v>491</v>
      </c>
      <c r="AQ98" s="32" t="s">
        <v>491</v>
      </c>
      <c r="AR98" s="32" t="s">
        <v>491</v>
      </c>
      <c r="AS98" s="32" t="s">
        <v>83</v>
      </c>
      <c r="AT98" s="32" t="s">
        <v>248</v>
      </c>
      <c r="AU98" s="56">
        <v>46188.541666666664</v>
      </c>
      <c r="AV98" s="56">
        <v>46188.549305555556</v>
      </c>
      <c r="AW98" s="56">
        <v>46188.552083333336</v>
      </c>
      <c r="AX98" s="56">
        <v>46188.604166666664</v>
      </c>
      <c r="AY98" s="56">
        <v>46188.618750000001</v>
      </c>
      <c r="AZ98" s="56">
        <v>46188.958333333336</v>
      </c>
      <c r="BA98" s="56">
        <v>46189.583333333336</v>
      </c>
      <c r="BB98" s="56">
        <v>46190.416666666664</v>
      </c>
      <c r="BC98" s="56">
        <v>46189.486111111109</v>
      </c>
      <c r="BD98" s="56">
        <v>46189.494444444441</v>
      </c>
      <c r="BE98" s="56">
        <v>46189.527777777781</v>
      </c>
      <c r="BG98" s="56">
        <v>46189.708333333336</v>
      </c>
      <c r="BH98" s="56">
        <v>46189.759027777778</v>
      </c>
      <c r="BI98" s="32" t="s">
        <v>248</v>
      </c>
      <c r="BJ98" s="56">
        <v>46190.208333333336</v>
      </c>
      <c r="BK98" s="56">
        <v>46190.400694444441</v>
      </c>
      <c r="BL98" s="56">
        <v>46190.538888888892</v>
      </c>
      <c r="BM98" s="56">
        <v>46190.558333333334</v>
      </c>
      <c r="BN98" s="56">
        <v>46190.570833333331</v>
      </c>
    </row>
    <row r="99" spans="1:66" x14ac:dyDescent="0.35">
      <c r="A99" t="s">
        <v>176</v>
      </c>
      <c r="B99" s="32">
        <v>12</v>
      </c>
      <c r="C99" s="32">
        <v>25</v>
      </c>
      <c r="D99" s="32" t="s">
        <v>177</v>
      </c>
      <c r="E99" s="32" t="s">
        <v>178</v>
      </c>
      <c r="F99" s="54">
        <v>46192</v>
      </c>
      <c r="G99" s="54">
        <v>46193</v>
      </c>
      <c r="H99" s="55"/>
      <c r="I99" s="55">
        <v>0.60416666666666663</v>
      </c>
      <c r="J99" s="32" t="s">
        <v>53</v>
      </c>
      <c r="K99" s="32" t="s">
        <v>179</v>
      </c>
      <c r="L99" s="32">
        <v>1</v>
      </c>
      <c r="M99" s="32" t="s">
        <v>727</v>
      </c>
      <c r="P99" s="32" t="s">
        <v>182</v>
      </c>
      <c r="Q99" s="32" t="s">
        <v>84</v>
      </c>
      <c r="R99" s="32" t="s">
        <v>1856</v>
      </c>
      <c r="S99" s="32" t="s">
        <v>1911</v>
      </c>
      <c r="T99" s="32" t="s">
        <v>728</v>
      </c>
      <c r="U99" s="32" t="s">
        <v>729</v>
      </c>
      <c r="V99" s="32">
        <v>786000</v>
      </c>
      <c r="Y99" s="32" t="s">
        <v>187</v>
      </c>
      <c r="Z99" s="32" t="s">
        <v>188</v>
      </c>
      <c r="AA99" s="32" t="s">
        <v>189</v>
      </c>
      <c r="AB99" s="32" t="s">
        <v>55</v>
      </c>
      <c r="AC99" s="32" t="s">
        <v>56</v>
      </c>
      <c r="AD99" s="32" t="s">
        <v>78</v>
      </c>
      <c r="AE99" s="32">
        <v>20513040718</v>
      </c>
      <c r="AF99" s="32" t="s">
        <v>730</v>
      </c>
      <c r="AG99" s="32" t="s">
        <v>731</v>
      </c>
      <c r="AH99" s="32" t="s">
        <v>669</v>
      </c>
      <c r="AI99" s="32" t="s">
        <v>732</v>
      </c>
      <c r="AJ99" s="32" t="s">
        <v>733</v>
      </c>
      <c r="AL99" s="32" t="s">
        <v>491</v>
      </c>
      <c r="AM99" s="32" t="s">
        <v>278</v>
      </c>
      <c r="AN99" s="32" t="s">
        <v>278</v>
      </c>
      <c r="AO99" s="32" t="s">
        <v>491</v>
      </c>
      <c r="AP99" s="32" t="s">
        <v>491</v>
      </c>
      <c r="AQ99" s="32" t="s">
        <v>491</v>
      </c>
      <c r="AR99" s="32" t="s">
        <v>491</v>
      </c>
      <c r="AS99" s="32" t="s">
        <v>84</v>
      </c>
      <c r="AT99" s="32" t="s">
        <v>64</v>
      </c>
      <c r="AU99" s="56">
        <v>46192.708333333336</v>
      </c>
      <c r="AV99" s="56">
        <v>46192.743750000001</v>
      </c>
      <c r="AW99" s="56">
        <v>46192.762499999997</v>
      </c>
      <c r="AX99" s="56">
        <v>46192.868055555555</v>
      </c>
      <c r="AY99" s="56">
        <v>46192.872916666667</v>
      </c>
      <c r="AZ99" s="56">
        <v>46192.875</v>
      </c>
      <c r="BA99" s="56">
        <v>46193.597222222219</v>
      </c>
      <c r="BB99" s="56">
        <v>46192.75</v>
      </c>
      <c r="BC99" s="56">
        <v>46193.611111111109</v>
      </c>
      <c r="BD99" s="56">
        <v>46193.616666666669</v>
      </c>
      <c r="BE99" s="56">
        <v>46193.625</v>
      </c>
      <c r="BG99" s="56">
        <v>46193.791666666664</v>
      </c>
      <c r="BH99" s="56">
        <v>46193.8</v>
      </c>
      <c r="BI99" s="32" t="s">
        <v>64</v>
      </c>
      <c r="BJ99" s="56">
        <v>46192.708333333336</v>
      </c>
      <c r="BK99" s="56">
        <v>46192.743750000001</v>
      </c>
      <c r="BL99" s="56">
        <v>46192.762499999997</v>
      </c>
      <c r="BM99" s="56">
        <v>46192.872916666667</v>
      </c>
      <c r="BN99" s="56">
        <v>46192.872916666667</v>
      </c>
    </row>
    <row r="100" spans="1:66" x14ac:dyDescent="0.35">
      <c r="A100" t="s">
        <v>176</v>
      </c>
      <c r="B100" s="32">
        <v>13</v>
      </c>
      <c r="C100" s="32">
        <v>25</v>
      </c>
      <c r="D100" s="32" t="s">
        <v>177</v>
      </c>
      <c r="E100" s="32" t="s">
        <v>178</v>
      </c>
      <c r="F100" s="54">
        <v>46194</v>
      </c>
      <c r="G100" s="54">
        <v>46195</v>
      </c>
      <c r="H100" s="55"/>
      <c r="I100" s="55">
        <v>0.64583333333333337</v>
      </c>
      <c r="J100" s="32" t="s">
        <v>53</v>
      </c>
      <c r="K100" s="32" t="s">
        <v>179</v>
      </c>
      <c r="L100" s="32">
        <v>1</v>
      </c>
      <c r="M100" s="32" t="s">
        <v>734</v>
      </c>
      <c r="P100" s="32" t="s">
        <v>182</v>
      </c>
      <c r="Q100" s="32" t="s">
        <v>84</v>
      </c>
      <c r="R100" s="32" t="s">
        <v>1856</v>
      </c>
      <c r="S100" s="32" t="s">
        <v>1854</v>
      </c>
      <c r="T100" s="32">
        <v>751600033678</v>
      </c>
      <c r="U100" s="32" t="s">
        <v>735</v>
      </c>
      <c r="V100" s="32">
        <v>3310096</v>
      </c>
      <c r="Y100" s="32" t="s">
        <v>187</v>
      </c>
      <c r="Z100" s="32" t="s">
        <v>188</v>
      </c>
      <c r="AA100" s="32" t="s">
        <v>189</v>
      </c>
      <c r="AB100" s="32" t="s">
        <v>55</v>
      </c>
      <c r="AC100" s="32" t="s">
        <v>92</v>
      </c>
      <c r="AD100" s="32" t="s">
        <v>736</v>
      </c>
      <c r="AE100" s="32">
        <v>20102178140</v>
      </c>
      <c r="AF100" s="32" t="s">
        <v>737</v>
      </c>
      <c r="AG100" s="32" t="s">
        <v>738</v>
      </c>
      <c r="AH100" s="32" t="s">
        <v>669</v>
      </c>
      <c r="AI100" s="32" t="s">
        <v>739</v>
      </c>
      <c r="AJ100" s="32" t="s">
        <v>740</v>
      </c>
      <c r="AL100" s="32" t="s">
        <v>491</v>
      </c>
      <c r="AM100" s="32" t="s">
        <v>278</v>
      </c>
      <c r="AN100" s="32" t="s">
        <v>278</v>
      </c>
      <c r="AO100" s="32" t="s">
        <v>491</v>
      </c>
      <c r="AP100" s="32" t="s">
        <v>491</v>
      </c>
      <c r="AQ100" s="32" t="s">
        <v>491</v>
      </c>
      <c r="AR100" s="32" t="s">
        <v>491</v>
      </c>
      <c r="AS100" s="32" t="s">
        <v>84</v>
      </c>
      <c r="AT100" s="32" t="s">
        <v>677</v>
      </c>
      <c r="AU100" s="56">
        <v>46193.916666666664</v>
      </c>
      <c r="AV100" s="56">
        <v>46193.955555555556</v>
      </c>
      <c r="AW100" s="56">
        <v>46193.981249999997</v>
      </c>
      <c r="AX100" s="56">
        <v>46193.958333333336</v>
      </c>
      <c r="AY100" s="56">
        <v>46194.022916666669</v>
      </c>
      <c r="AZ100" s="56">
        <v>46194.041666666664</v>
      </c>
      <c r="BA100" s="56">
        <v>46195.503472222219</v>
      </c>
      <c r="BB100" s="56">
        <v>46196.402777777781</v>
      </c>
      <c r="BC100" s="56">
        <v>46195.510416666664</v>
      </c>
      <c r="BD100" s="56">
        <v>46195.515277777777</v>
      </c>
      <c r="BE100" s="56">
        <v>46195.520833333336</v>
      </c>
      <c r="BG100" s="56">
        <v>46198.453472222223</v>
      </c>
      <c r="BH100" s="56">
        <v>46195.717361111114</v>
      </c>
      <c r="BI100" s="32" t="s">
        <v>64</v>
      </c>
      <c r="BJ100" s="56">
        <v>46196.375</v>
      </c>
      <c r="BK100" s="56">
        <v>46196.386111111111</v>
      </c>
      <c r="BL100" s="56">
        <v>46196.486805555556</v>
      </c>
      <c r="BM100" s="56">
        <v>46196.496527777781</v>
      </c>
      <c r="BN100" s="56">
        <v>46196.49722222222</v>
      </c>
    </row>
    <row r="101" spans="1:66" x14ac:dyDescent="0.35">
      <c r="A101" t="s">
        <v>176</v>
      </c>
      <c r="B101" s="32">
        <v>14</v>
      </c>
      <c r="C101" s="32">
        <v>25</v>
      </c>
      <c r="D101" s="32" t="s">
        <v>177</v>
      </c>
      <c r="E101" s="32" t="s">
        <v>178</v>
      </c>
      <c r="F101" s="54">
        <v>46193</v>
      </c>
      <c r="G101" s="54">
        <v>46195</v>
      </c>
      <c r="H101" s="55"/>
      <c r="I101" s="55">
        <v>0.60416666666666663</v>
      </c>
      <c r="J101" s="32" t="s">
        <v>53</v>
      </c>
      <c r="K101" s="32" t="s">
        <v>179</v>
      </c>
      <c r="L101" s="32">
        <v>1</v>
      </c>
      <c r="M101" s="32" t="s">
        <v>741</v>
      </c>
      <c r="P101" s="32" t="s">
        <v>182</v>
      </c>
      <c r="Q101" s="32" t="s">
        <v>84</v>
      </c>
      <c r="R101" s="32" t="s">
        <v>1856</v>
      </c>
      <c r="S101" s="32" t="s">
        <v>1911</v>
      </c>
      <c r="T101" s="32" t="s">
        <v>742</v>
      </c>
      <c r="U101" s="32" t="s">
        <v>743</v>
      </c>
      <c r="Y101" s="32" t="s">
        <v>187</v>
      </c>
      <c r="Z101" s="32" t="s">
        <v>188</v>
      </c>
      <c r="AA101" s="32" t="s">
        <v>189</v>
      </c>
      <c r="AB101" s="32" t="s">
        <v>55</v>
      </c>
      <c r="AC101" s="32" t="s">
        <v>92</v>
      </c>
      <c r="AD101" s="32" t="s">
        <v>78</v>
      </c>
      <c r="AE101" s="32">
        <v>20513040718</v>
      </c>
      <c r="AF101" s="32" t="s">
        <v>744</v>
      </c>
      <c r="AG101" s="32" t="s">
        <v>745</v>
      </c>
      <c r="AH101" s="32" t="s">
        <v>669</v>
      </c>
      <c r="AI101" s="32" t="s">
        <v>746</v>
      </c>
      <c r="AJ101" s="32" t="s">
        <v>747</v>
      </c>
      <c r="AL101" s="32" t="s">
        <v>491</v>
      </c>
      <c r="AM101" s="32" t="s">
        <v>278</v>
      </c>
      <c r="AN101" s="32" t="s">
        <v>278</v>
      </c>
      <c r="AO101" s="32" t="s">
        <v>491</v>
      </c>
      <c r="AP101" s="32" t="s">
        <v>491</v>
      </c>
      <c r="AQ101" s="32" t="s">
        <v>491</v>
      </c>
      <c r="AR101" s="32" t="s">
        <v>491</v>
      </c>
      <c r="AS101" s="32" t="s">
        <v>84</v>
      </c>
      <c r="AT101" s="32" t="s">
        <v>261</v>
      </c>
      <c r="AU101" s="56">
        <v>46194.5</v>
      </c>
      <c r="AV101" s="56">
        <v>46194.529861111114</v>
      </c>
      <c r="AW101" s="56">
        <v>46194.541666666664</v>
      </c>
      <c r="AX101" s="56">
        <v>46194.569444444445</v>
      </c>
      <c r="AY101" s="56">
        <v>46194.568749999999</v>
      </c>
      <c r="AZ101" s="56">
        <v>46194.75</v>
      </c>
      <c r="BA101" s="56">
        <v>46195.484027777777</v>
      </c>
      <c r="BB101" s="56">
        <v>46212.166666666664</v>
      </c>
      <c r="BC101" s="56">
        <v>46195.489583333336</v>
      </c>
      <c r="BD101" s="56">
        <v>46195.496527777781</v>
      </c>
      <c r="BE101" s="56">
        <v>46195.5</v>
      </c>
      <c r="BG101" s="56">
        <v>46195.680555555555</v>
      </c>
      <c r="BH101" s="56">
        <v>46195.691666666666</v>
      </c>
      <c r="BI101" s="32" t="s">
        <v>64</v>
      </c>
      <c r="BJ101" s="56">
        <v>46196.083333333336</v>
      </c>
      <c r="BK101" s="56">
        <v>46196.127083333333</v>
      </c>
      <c r="BL101" s="56">
        <v>46196.166666666664</v>
      </c>
      <c r="BM101" s="56">
        <v>46196.172222222223</v>
      </c>
      <c r="BN101" s="56">
        <v>46196.177777777775</v>
      </c>
    </row>
    <row r="102" spans="1:66" x14ac:dyDescent="0.35">
      <c r="A102" t="s">
        <v>176</v>
      </c>
      <c r="B102" s="32">
        <v>15</v>
      </c>
      <c r="C102" s="32">
        <v>25</v>
      </c>
      <c r="D102" s="32" t="s">
        <v>177</v>
      </c>
      <c r="E102" s="32" t="s">
        <v>178</v>
      </c>
      <c r="F102" s="54">
        <v>46194</v>
      </c>
      <c r="G102" s="54">
        <v>46195</v>
      </c>
      <c r="H102" s="55"/>
      <c r="I102" s="55">
        <v>0.47916666666666669</v>
      </c>
      <c r="J102" s="32" t="s">
        <v>53</v>
      </c>
      <c r="K102" s="32" t="s">
        <v>179</v>
      </c>
      <c r="L102" s="32">
        <v>1</v>
      </c>
      <c r="M102" s="32" t="s">
        <v>748</v>
      </c>
      <c r="P102" s="32" t="s">
        <v>182</v>
      </c>
      <c r="Q102" s="32" t="s">
        <v>84</v>
      </c>
      <c r="R102" s="32" t="s">
        <v>1853</v>
      </c>
      <c r="S102" s="32" t="s">
        <v>1911</v>
      </c>
      <c r="T102" s="32" t="s">
        <v>749</v>
      </c>
      <c r="U102" s="32" t="s">
        <v>750</v>
      </c>
      <c r="V102" s="32">
        <v>786406</v>
      </c>
      <c r="W102" s="32" t="s">
        <v>1912</v>
      </c>
      <c r="Y102" s="32" t="s">
        <v>187</v>
      </c>
      <c r="Z102" s="32" t="s">
        <v>188</v>
      </c>
      <c r="AA102" s="32" t="s">
        <v>189</v>
      </c>
      <c r="AB102" s="32" t="s">
        <v>55</v>
      </c>
      <c r="AC102" s="32" t="s">
        <v>92</v>
      </c>
      <c r="AD102" s="32" t="s">
        <v>78</v>
      </c>
      <c r="AE102" s="32">
        <v>20513040718</v>
      </c>
      <c r="AF102" s="32" t="s">
        <v>751</v>
      </c>
      <c r="AG102" s="32" t="s">
        <v>752</v>
      </c>
      <c r="AH102" s="32" t="s">
        <v>669</v>
      </c>
      <c r="AI102" s="32" t="s">
        <v>753</v>
      </c>
      <c r="AJ102" s="32" t="s">
        <v>754</v>
      </c>
      <c r="AL102" s="32" t="s">
        <v>491</v>
      </c>
      <c r="AM102" s="32" t="s">
        <v>278</v>
      </c>
      <c r="AN102" s="32" t="s">
        <v>278</v>
      </c>
      <c r="AO102" s="32" t="s">
        <v>491</v>
      </c>
      <c r="AP102" s="32" t="s">
        <v>491</v>
      </c>
      <c r="AQ102" s="32" t="s">
        <v>491</v>
      </c>
      <c r="AR102" s="32" t="s">
        <v>491</v>
      </c>
      <c r="AS102" s="32" t="s">
        <v>84</v>
      </c>
      <c r="AT102" s="32" t="s">
        <v>261</v>
      </c>
      <c r="AU102" s="56">
        <v>46194.5</v>
      </c>
      <c r="AV102" s="56">
        <v>46194.564583333333</v>
      </c>
      <c r="AW102" s="56">
        <v>46194.569444444445</v>
      </c>
      <c r="AX102" s="56">
        <v>46194.638888888891</v>
      </c>
      <c r="AY102" s="56">
        <v>46194.647222222222</v>
      </c>
      <c r="AZ102" s="56">
        <v>46194.763888888891</v>
      </c>
      <c r="BA102" s="56">
        <v>46195.540972222225</v>
      </c>
      <c r="BB102" s="56">
        <v>46196.458333333336</v>
      </c>
      <c r="BC102" s="56">
        <v>46195.541666666664</v>
      </c>
      <c r="BD102" s="56">
        <v>46195.556944444441</v>
      </c>
      <c r="BE102" s="56">
        <v>46195.680555555555</v>
      </c>
      <c r="BG102" s="56">
        <v>46195.736111111109</v>
      </c>
      <c r="BH102" s="56">
        <v>46195.763194444444</v>
      </c>
      <c r="BI102" s="32" t="s">
        <v>64</v>
      </c>
      <c r="BJ102" s="56">
        <v>46196.416666666664</v>
      </c>
      <c r="BK102" s="56">
        <v>46196.493055555555</v>
      </c>
      <c r="BL102" s="56">
        <v>46196.5</v>
      </c>
      <c r="BM102" s="56">
        <v>46196.503472222219</v>
      </c>
      <c r="BN102" s="56">
        <v>46196.507638888892</v>
      </c>
    </row>
    <row r="103" spans="1:66" x14ac:dyDescent="0.35">
      <c r="A103" t="s">
        <v>176</v>
      </c>
      <c r="B103" s="32">
        <v>16</v>
      </c>
      <c r="C103" s="32">
        <v>25</v>
      </c>
      <c r="D103" s="32" t="s">
        <v>177</v>
      </c>
      <c r="E103" s="32" t="s">
        <v>178</v>
      </c>
      <c r="F103" s="54">
        <v>46194</v>
      </c>
      <c r="G103" s="54">
        <v>46195</v>
      </c>
      <c r="H103" s="55"/>
      <c r="I103" s="55">
        <v>0.60416666666666663</v>
      </c>
      <c r="J103" s="32" t="s">
        <v>53</v>
      </c>
      <c r="K103" s="32" t="s">
        <v>179</v>
      </c>
      <c r="L103" s="32">
        <v>1</v>
      </c>
      <c r="M103" s="32" t="s">
        <v>755</v>
      </c>
      <c r="P103" s="32" t="s">
        <v>182</v>
      </c>
      <c r="Q103" s="32" t="s">
        <v>83</v>
      </c>
      <c r="R103" s="32" t="s">
        <v>959</v>
      </c>
      <c r="S103" s="32" t="s">
        <v>399</v>
      </c>
      <c r="T103" s="32">
        <v>6504934840</v>
      </c>
      <c r="U103" s="32" t="s">
        <v>756</v>
      </c>
      <c r="V103" s="32">
        <v>22657</v>
      </c>
      <c r="W103" s="32">
        <v>33001632</v>
      </c>
      <c r="Y103" s="32" t="s">
        <v>187</v>
      </c>
      <c r="Z103" s="32" t="s">
        <v>188</v>
      </c>
      <c r="AA103" s="32" t="s">
        <v>189</v>
      </c>
      <c r="AB103" s="32" t="s">
        <v>55</v>
      </c>
      <c r="AC103" s="32" t="s">
        <v>56</v>
      </c>
      <c r="AD103" s="32" t="s">
        <v>78</v>
      </c>
      <c r="AE103" s="32">
        <v>20513040718</v>
      </c>
      <c r="AF103" s="32" t="s">
        <v>757</v>
      </c>
      <c r="AG103" s="32" t="s">
        <v>758</v>
      </c>
      <c r="AH103" s="32" t="s">
        <v>669</v>
      </c>
      <c r="AI103" s="32" t="s">
        <v>759</v>
      </c>
      <c r="AJ103" s="32" t="s">
        <v>760</v>
      </c>
      <c r="AL103" s="32" t="s">
        <v>491</v>
      </c>
      <c r="AM103" s="32" t="s">
        <v>278</v>
      </c>
      <c r="AN103" s="32" t="s">
        <v>278</v>
      </c>
      <c r="AO103" s="32" t="s">
        <v>491</v>
      </c>
      <c r="AP103" s="32" t="s">
        <v>491</v>
      </c>
      <c r="AQ103" s="32" t="s">
        <v>491</v>
      </c>
      <c r="AR103" s="32" t="s">
        <v>491</v>
      </c>
      <c r="AS103" s="32" t="s">
        <v>83</v>
      </c>
      <c r="AT103" s="32" t="s">
        <v>248</v>
      </c>
      <c r="AU103" s="56">
        <v>46194.625</v>
      </c>
      <c r="AV103" s="56">
        <v>46194.681944444441</v>
      </c>
      <c r="AW103" s="56">
        <v>46194.694444444445</v>
      </c>
      <c r="AX103" s="56">
        <v>46194.75</v>
      </c>
      <c r="AY103" s="56">
        <v>46194.775000000001</v>
      </c>
      <c r="AZ103" s="56">
        <v>46194.784722222219</v>
      </c>
      <c r="BA103" s="56">
        <v>46195.45416666667</v>
      </c>
      <c r="BB103" s="56">
        <v>46196.125</v>
      </c>
      <c r="BC103" s="56">
        <v>46195.5625</v>
      </c>
      <c r="BD103" s="56">
        <v>46195.564583333333</v>
      </c>
      <c r="BE103" s="56">
        <v>46195.569444444445</v>
      </c>
      <c r="BG103" s="56">
        <v>46195.659722222219</v>
      </c>
      <c r="BH103" s="56">
        <v>46195.690972222219</v>
      </c>
      <c r="BI103" s="32" t="s">
        <v>248</v>
      </c>
      <c r="BJ103" s="56">
        <v>46196.083333333336</v>
      </c>
      <c r="BK103" s="56">
        <v>46196.107638888891</v>
      </c>
      <c r="BL103" s="56">
        <v>46196.083333333336</v>
      </c>
      <c r="BM103" s="56">
        <v>46196.708333333336</v>
      </c>
      <c r="BN103" s="56">
        <v>46196.731944444444</v>
      </c>
    </row>
    <row r="104" spans="1:66" x14ac:dyDescent="0.35">
      <c r="A104" t="s">
        <v>176</v>
      </c>
      <c r="B104" s="32">
        <v>17</v>
      </c>
      <c r="C104" s="32">
        <v>25</v>
      </c>
      <c r="D104" s="32" t="s">
        <v>177</v>
      </c>
      <c r="E104" s="32" t="s">
        <v>178</v>
      </c>
      <c r="F104" s="54">
        <v>374910</v>
      </c>
      <c r="G104" s="54">
        <v>46193</v>
      </c>
      <c r="H104" s="55"/>
      <c r="I104" s="55">
        <v>0.64583333333333337</v>
      </c>
      <c r="J104" s="32" t="s">
        <v>53</v>
      </c>
      <c r="K104" s="32" t="s">
        <v>179</v>
      </c>
      <c r="L104" s="32">
        <v>1</v>
      </c>
      <c r="M104" s="32" t="s">
        <v>761</v>
      </c>
      <c r="P104" s="32" t="s">
        <v>182</v>
      </c>
      <c r="Q104" s="32" t="s">
        <v>84</v>
      </c>
      <c r="R104" s="32" t="s">
        <v>1856</v>
      </c>
      <c r="S104" s="32" t="s">
        <v>1911</v>
      </c>
      <c r="T104" s="32">
        <v>751600033652</v>
      </c>
      <c r="U104" s="32" t="s">
        <v>762</v>
      </c>
      <c r="V104" s="32">
        <v>3309660</v>
      </c>
      <c r="Y104" s="32" t="s">
        <v>187</v>
      </c>
      <c r="Z104" s="32" t="s">
        <v>188</v>
      </c>
      <c r="AA104" s="32" t="s">
        <v>189</v>
      </c>
      <c r="AB104" s="32" t="s">
        <v>55</v>
      </c>
      <c r="AC104" s="32" t="s">
        <v>56</v>
      </c>
      <c r="AD104" s="32" t="s">
        <v>78</v>
      </c>
      <c r="AE104" s="32">
        <v>20513040718</v>
      </c>
      <c r="AF104" s="32" t="s">
        <v>763</v>
      </c>
      <c r="AG104" s="32" t="s">
        <v>764</v>
      </c>
      <c r="AH104" s="32" t="s">
        <v>669</v>
      </c>
      <c r="AI104" s="32" t="s">
        <v>765</v>
      </c>
      <c r="AJ104" s="32" t="s">
        <v>766</v>
      </c>
      <c r="AL104" s="32" t="s">
        <v>491</v>
      </c>
      <c r="AM104" s="32" t="s">
        <v>278</v>
      </c>
      <c r="AN104" s="32" t="s">
        <v>278</v>
      </c>
      <c r="AO104" s="32" t="s">
        <v>491</v>
      </c>
      <c r="AP104" s="32" t="s">
        <v>491</v>
      </c>
      <c r="AQ104" s="32" t="s">
        <v>491</v>
      </c>
      <c r="AR104" s="32" t="s">
        <v>491</v>
      </c>
      <c r="AS104" s="32" t="s">
        <v>84</v>
      </c>
      <c r="AT104" s="32" t="s">
        <v>677</v>
      </c>
      <c r="AU104" s="56">
        <v>46192.583333333336</v>
      </c>
      <c r="AV104" s="56">
        <v>46192.601388888892</v>
      </c>
      <c r="AW104" s="56">
        <v>46192.625</v>
      </c>
      <c r="AX104" s="56">
        <v>46192.680555555555</v>
      </c>
      <c r="AY104" s="56">
        <v>46192.700694444444</v>
      </c>
      <c r="AZ104" s="56">
        <v>46192.722222222219</v>
      </c>
      <c r="BA104" s="56">
        <v>46193.541666666664</v>
      </c>
      <c r="BB104" s="56">
        <v>46194.4375</v>
      </c>
      <c r="BC104" s="56">
        <v>46193.555555555555</v>
      </c>
      <c r="BD104" s="56">
        <v>46193.55972222222</v>
      </c>
      <c r="BE104" s="56">
        <v>46193.569444444445</v>
      </c>
      <c r="BG104" s="56">
        <v>46193.777777777781</v>
      </c>
      <c r="BH104" s="56">
        <v>46193.793055555558</v>
      </c>
      <c r="BI104" s="32" t="s">
        <v>64</v>
      </c>
      <c r="BJ104" s="56">
        <v>46194.375</v>
      </c>
      <c r="BK104" s="56">
        <v>46194.416666666664</v>
      </c>
      <c r="BL104" s="56">
        <v>46194.488888888889</v>
      </c>
      <c r="BM104" s="56">
        <v>46194.5</v>
      </c>
      <c r="BN104" s="56">
        <v>46194.509027777778</v>
      </c>
    </row>
    <row r="105" spans="1:66" x14ac:dyDescent="0.35">
      <c r="A105" t="s">
        <v>176</v>
      </c>
      <c r="B105" s="32">
        <v>18</v>
      </c>
      <c r="C105" s="32">
        <v>26</v>
      </c>
      <c r="D105" s="32" t="s">
        <v>177</v>
      </c>
      <c r="E105" s="32" t="s">
        <v>178</v>
      </c>
      <c r="F105" s="54">
        <v>46199</v>
      </c>
      <c r="G105" s="54">
        <v>46200</v>
      </c>
      <c r="H105" s="55"/>
      <c r="I105" s="55">
        <v>0.5625</v>
      </c>
      <c r="J105" s="32" t="s">
        <v>53</v>
      </c>
      <c r="K105" s="32" t="s">
        <v>179</v>
      </c>
      <c r="L105" s="32">
        <v>1</v>
      </c>
      <c r="M105" s="32" t="s">
        <v>767</v>
      </c>
      <c r="P105" s="32" t="s">
        <v>182</v>
      </c>
      <c r="Q105" s="32" t="s">
        <v>84</v>
      </c>
      <c r="R105" s="32" t="s">
        <v>1856</v>
      </c>
      <c r="S105" s="32" t="s">
        <v>1911</v>
      </c>
      <c r="T105" s="32" t="s">
        <v>768</v>
      </c>
      <c r="U105" s="32" t="s">
        <v>769</v>
      </c>
      <c r="V105" s="32">
        <v>475821</v>
      </c>
      <c r="Y105" s="32" t="s">
        <v>187</v>
      </c>
      <c r="Z105" s="32" t="s">
        <v>188</v>
      </c>
      <c r="AA105" s="32" t="s">
        <v>189</v>
      </c>
      <c r="AB105" s="32" t="s">
        <v>55</v>
      </c>
      <c r="AC105" s="32" t="s">
        <v>92</v>
      </c>
      <c r="AD105" s="32" t="s">
        <v>770</v>
      </c>
      <c r="AE105" s="32">
        <v>20614404460</v>
      </c>
      <c r="AF105" s="32" t="s">
        <v>771</v>
      </c>
      <c r="AG105" s="32" t="s">
        <v>772</v>
      </c>
      <c r="AH105" s="32" t="s">
        <v>669</v>
      </c>
      <c r="AI105" s="32" t="s">
        <v>773</v>
      </c>
      <c r="AJ105" s="32" t="s">
        <v>774</v>
      </c>
      <c r="AL105" s="32" t="s">
        <v>491</v>
      </c>
      <c r="AM105" s="32" t="s">
        <v>278</v>
      </c>
      <c r="AN105" s="32" t="s">
        <v>278</v>
      </c>
      <c r="AO105" s="32" t="s">
        <v>491</v>
      </c>
      <c r="AP105" s="32" t="s">
        <v>491</v>
      </c>
      <c r="AQ105" s="32" t="s">
        <v>491</v>
      </c>
      <c r="AR105" s="32" t="s">
        <v>491</v>
      </c>
      <c r="AS105" s="32" t="s">
        <v>84</v>
      </c>
      <c r="AT105" s="32" t="s">
        <v>261</v>
      </c>
      <c r="AU105" s="56">
        <v>46199.625</v>
      </c>
      <c r="AV105" s="56">
        <v>46199.645833333336</v>
      </c>
      <c r="AW105" s="56">
        <v>46199.727083333331</v>
      </c>
      <c r="AX105" s="56">
        <v>46199.708333333336</v>
      </c>
      <c r="AY105" s="56">
        <v>46199.727083333331</v>
      </c>
      <c r="AZ105" s="56">
        <v>46199.796527777777</v>
      </c>
      <c r="BA105" s="56">
        <v>46200.458333333336</v>
      </c>
      <c r="BB105" s="56">
        <v>46199.652777777781</v>
      </c>
      <c r="BC105" s="56">
        <v>46200.479861111111</v>
      </c>
      <c r="BD105" s="56">
        <v>46200.481944444444</v>
      </c>
      <c r="BE105" s="56">
        <v>46200.458333333336</v>
      </c>
      <c r="BG105" s="56">
        <v>46200.75</v>
      </c>
      <c r="BH105" s="56">
        <v>46200.767361111109</v>
      </c>
      <c r="BI105" s="32" t="s">
        <v>261</v>
      </c>
      <c r="BJ105" s="56">
        <v>46199.625</v>
      </c>
      <c r="BK105" s="56">
        <v>46199.645833333336</v>
      </c>
      <c r="BL105" s="56">
        <v>46199.666666666664</v>
      </c>
      <c r="BM105" s="56">
        <v>46199.680555555555</v>
      </c>
      <c r="BN105" s="56">
        <v>46199.727083333331</v>
      </c>
    </row>
    <row r="106" spans="1:66" x14ac:dyDescent="0.35">
      <c r="A106" t="s">
        <v>176</v>
      </c>
      <c r="B106" s="32">
        <v>19</v>
      </c>
      <c r="C106" s="32">
        <v>26</v>
      </c>
      <c r="D106" s="32" t="s">
        <v>177</v>
      </c>
      <c r="E106" s="32" t="s">
        <v>178</v>
      </c>
      <c r="F106" s="54">
        <v>46199</v>
      </c>
      <c r="G106" s="54">
        <v>46200</v>
      </c>
      <c r="H106" s="55"/>
      <c r="I106" s="55">
        <v>0.60416666666666663</v>
      </c>
      <c r="J106" s="32" t="s">
        <v>53</v>
      </c>
      <c r="K106" s="32" t="s">
        <v>179</v>
      </c>
      <c r="L106" s="32">
        <v>1</v>
      </c>
      <c r="M106" s="32" t="s">
        <v>775</v>
      </c>
      <c r="P106" s="32" t="s">
        <v>182</v>
      </c>
      <c r="Q106" s="32" t="s">
        <v>83</v>
      </c>
      <c r="R106" s="32" t="s">
        <v>1856</v>
      </c>
      <c r="S106" s="32" t="s">
        <v>1911</v>
      </c>
      <c r="T106" s="32" t="s">
        <v>776</v>
      </c>
      <c r="U106" s="32" t="s">
        <v>777</v>
      </c>
      <c r="V106" s="32">
        <v>475775</v>
      </c>
      <c r="Y106" s="32" t="s">
        <v>187</v>
      </c>
      <c r="Z106" s="32" t="s">
        <v>188</v>
      </c>
      <c r="AA106" s="32" t="s">
        <v>189</v>
      </c>
      <c r="AB106" s="32" t="s">
        <v>55</v>
      </c>
      <c r="AC106" s="32" t="s">
        <v>56</v>
      </c>
      <c r="AD106" s="32" t="s">
        <v>78</v>
      </c>
      <c r="AE106" s="32">
        <v>20513040718</v>
      </c>
      <c r="AF106" s="32" t="s">
        <v>778</v>
      </c>
      <c r="AG106" s="32" t="s">
        <v>779</v>
      </c>
      <c r="AH106" s="32" t="s">
        <v>669</v>
      </c>
      <c r="AI106" s="32" t="s">
        <v>780</v>
      </c>
      <c r="AJ106" s="32" t="s">
        <v>781</v>
      </c>
      <c r="AL106" s="32" t="s">
        <v>491</v>
      </c>
      <c r="AM106" s="32" t="s">
        <v>278</v>
      </c>
      <c r="AN106" s="32" t="s">
        <v>278</v>
      </c>
      <c r="AO106" s="32" t="s">
        <v>491</v>
      </c>
      <c r="AP106" s="32" t="s">
        <v>491</v>
      </c>
      <c r="AQ106" s="32" t="s">
        <v>491</v>
      </c>
      <c r="AR106" s="32" t="s">
        <v>491</v>
      </c>
      <c r="AS106" s="32" t="s">
        <v>83</v>
      </c>
      <c r="AT106" s="32" t="s">
        <v>261</v>
      </c>
      <c r="AU106" s="56">
        <v>46199.541666666664</v>
      </c>
      <c r="AV106" s="56">
        <v>46199.556250000001</v>
      </c>
      <c r="AW106" s="56">
        <v>46199.633333333331</v>
      </c>
      <c r="AX106" s="56">
        <v>46199.625</v>
      </c>
      <c r="AY106" s="56">
        <v>46199.633333333331</v>
      </c>
      <c r="AZ106" s="56">
        <v>46199.833333333336</v>
      </c>
      <c r="BA106" s="56">
        <v>46200.375</v>
      </c>
      <c r="BB106" s="56">
        <v>46199.5625</v>
      </c>
      <c r="BC106" s="56">
        <v>46200.379166666666</v>
      </c>
      <c r="BD106" s="56">
        <v>46200.381944444445</v>
      </c>
      <c r="BE106" s="56">
        <v>46200.375</v>
      </c>
      <c r="BG106" s="56">
        <v>46200.75</v>
      </c>
      <c r="BH106" s="56">
        <v>46200.777083333334</v>
      </c>
      <c r="BI106" s="32" t="s">
        <v>261</v>
      </c>
      <c r="BJ106" s="56">
        <v>46199.541666666664</v>
      </c>
      <c r="BK106" s="56">
        <v>46199.556250000001</v>
      </c>
      <c r="BL106" s="56">
        <v>46199.597916666666</v>
      </c>
      <c r="BM106" s="56">
        <v>46199.574305555558</v>
      </c>
      <c r="BN106" s="56">
        <v>46199.633333333331</v>
      </c>
    </row>
    <row r="107" spans="1:66" x14ac:dyDescent="0.35">
      <c r="A107" t="s">
        <v>176</v>
      </c>
      <c r="B107" s="32">
        <v>20</v>
      </c>
      <c r="C107" s="32">
        <v>26</v>
      </c>
      <c r="D107" s="32" t="s">
        <v>177</v>
      </c>
      <c r="E107" s="32" t="s">
        <v>178</v>
      </c>
      <c r="F107" s="54">
        <v>46199</v>
      </c>
      <c r="G107" s="54">
        <v>46200</v>
      </c>
      <c r="H107" s="55"/>
      <c r="I107" s="55">
        <v>0.64583333333333337</v>
      </c>
      <c r="J107" s="32" t="s">
        <v>53</v>
      </c>
      <c r="K107" s="32" t="s">
        <v>179</v>
      </c>
      <c r="L107" s="32">
        <v>1</v>
      </c>
      <c r="M107" s="32" t="s">
        <v>782</v>
      </c>
      <c r="P107" s="32" t="s">
        <v>182</v>
      </c>
      <c r="Q107" s="32" t="s">
        <v>83</v>
      </c>
      <c r="R107" s="32" t="s">
        <v>1856</v>
      </c>
      <c r="S107" s="32" t="s">
        <v>1854</v>
      </c>
      <c r="T107" s="32">
        <v>751600035743</v>
      </c>
      <c r="U107" s="32" t="s">
        <v>783</v>
      </c>
      <c r="V107" s="32">
        <v>788134</v>
      </c>
      <c r="Y107" s="32" t="s">
        <v>187</v>
      </c>
      <c r="Z107" s="32" t="s">
        <v>188</v>
      </c>
      <c r="AA107" s="32" t="s">
        <v>189</v>
      </c>
      <c r="AB107" s="32" t="s">
        <v>55</v>
      </c>
      <c r="AC107" s="32" t="s">
        <v>92</v>
      </c>
      <c r="AD107" s="32" t="s">
        <v>784</v>
      </c>
      <c r="AE107" s="32">
        <v>20544360842</v>
      </c>
      <c r="AF107" s="32" t="s">
        <v>785</v>
      </c>
      <c r="AG107" s="32" t="s">
        <v>786</v>
      </c>
      <c r="AH107" s="32" t="s">
        <v>669</v>
      </c>
      <c r="AI107" s="32" t="s">
        <v>787</v>
      </c>
      <c r="AJ107" s="32" t="s">
        <v>788</v>
      </c>
      <c r="AL107" s="32" t="s">
        <v>491</v>
      </c>
      <c r="AM107" s="32" t="s">
        <v>278</v>
      </c>
      <c r="AN107" s="32" t="s">
        <v>278</v>
      </c>
      <c r="AO107" s="32" t="s">
        <v>491</v>
      </c>
      <c r="AP107" s="32" t="s">
        <v>491</v>
      </c>
      <c r="AQ107" s="32" t="s">
        <v>491</v>
      </c>
      <c r="AR107" s="32" t="s">
        <v>491</v>
      </c>
      <c r="AS107" s="32" t="s">
        <v>83</v>
      </c>
      <c r="AT107" s="32" t="s">
        <v>285</v>
      </c>
      <c r="AU107" s="56">
        <v>46199.541666666664</v>
      </c>
      <c r="AV107" s="56">
        <v>46199.560416666667</v>
      </c>
      <c r="AW107" s="56">
        <v>46199.681944444441</v>
      </c>
      <c r="AX107" s="56">
        <v>46199.666666666664</v>
      </c>
      <c r="AY107" s="56">
        <v>46199.681944444441</v>
      </c>
      <c r="AZ107" s="56">
        <v>46199.916666666664</v>
      </c>
      <c r="BA107" s="56">
        <v>46200.458333333336</v>
      </c>
      <c r="BB107" s="56">
        <v>46199.569444444445</v>
      </c>
      <c r="BC107" s="56">
        <v>46200.481249999997</v>
      </c>
      <c r="BD107" s="56">
        <v>46200.484027777777</v>
      </c>
      <c r="BE107" s="56">
        <v>46200.458333333336</v>
      </c>
      <c r="BG107" s="56">
        <v>46200.75</v>
      </c>
      <c r="BH107" s="56">
        <v>46200.754166666666</v>
      </c>
      <c r="BI107" s="32" t="s">
        <v>285</v>
      </c>
      <c r="BJ107" s="56">
        <v>46199.541666666664</v>
      </c>
      <c r="BK107" s="56">
        <v>46199.560416666667</v>
      </c>
      <c r="BL107" s="56">
        <v>46199.643750000003</v>
      </c>
      <c r="BM107" s="56">
        <v>46199.63958333333</v>
      </c>
      <c r="BN107" s="56">
        <v>46199.681944444441</v>
      </c>
    </row>
    <row r="108" spans="1:66" x14ac:dyDescent="0.35">
      <c r="A108" t="s">
        <v>176</v>
      </c>
      <c r="B108" s="32">
        <v>21</v>
      </c>
      <c r="C108" s="32">
        <v>26</v>
      </c>
      <c r="D108" s="32" t="s">
        <v>177</v>
      </c>
      <c r="E108" s="32" t="s">
        <v>178</v>
      </c>
      <c r="F108" s="54">
        <v>46197</v>
      </c>
      <c r="G108" s="54">
        <v>46198</v>
      </c>
      <c r="H108" s="55"/>
      <c r="I108" s="55">
        <v>0.54166666666666663</v>
      </c>
      <c r="J108" s="32" t="s">
        <v>53</v>
      </c>
      <c r="K108" s="32" t="s">
        <v>179</v>
      </c>
      <c r="L108" s="32">
        <v>1</v>
      </c>
      <c r="M108" s="32" t="s">
        <v>789</v>
      </c>
      <c r="P108" s="32" t="s">
        <v>182</v>
      </c>
      <c r="Q108" s="32" t="s">
        <v>84</v>
      </c>
      <c r="R108" s="32" t="s">
        <v>1621</v>
      </c>
      <c r="S108" s="32" t="s">
        <v>1506</v>
      </c>
      <c r="T108" s="32">
        <v>272562256</v>
      </c>
      <c r="U108" s="32" t="s">
        <v>790</v>
      </c>
      <c r="V108" s="32">
        <v>56846</v>
      </c>
      <c r="W108" s="32" t="s">
        <v>1913</v>
      </c>
      <c r="Y108" s="32" t="s">
        <v>188</v>
      </c>
      <c r="Z108" s="32" t="s">
        <v>188</v>
      </c>
      <c r="AA108" s="32" t="s">
        <v>189</v>
      </c>
      <c r="AB108" s="32" t="s">
        <v>55</v>
      </c>
      <c r="AC108" s="32" t="s">
        <v>56</v>
      </c>
      <c r="AD108" s="32" t="s">
        <v>78</v>
      </c>
      <c r="AE108" s="32">
        <v>20513040718</v>
      </c>
      <c r="AF108" s="32" t="s">
        <v>791</v>
      </c>
      <c r="AG108" s="32" t="s">
        <v>792</v>
      </c>
      <c r="AH108" s="32" t="s">
        <v>669</v>
      </c>
      <c r="AI108" s="32" t="s">
        <v>793</v>
      </c>
      <c r="AJ108" s="32" t="s">
        <v>794</v>
      </c>
      <c r="AL108" s="32" t="s">
        <v>491</v>
      </c>
      <c r="AM108" s="32" t="s">
        <v>278</v>
      </c>
      <c r="AN108" s="32" t="s">
        <v>278</v>
      </c>
      <c r="AO108" s="32" t="s">
        <v>491</v>
      </c>
      <c r="AP108" s="32" t="s">
        <v>491</v>
      </c>
      <c r="AQ108" s="32" t="s">
        <v>491</v>
      </c>
      <c r="AR108" s="32" t="s">
        <v>491</v>
      </c>
      <c r="AS108" s="32" t="s">
        <v>84</v>
      </c>
      <c r="AT108" s="32" t="s">
        <v>64</v>
      </c>
      <c r="AU108" s="56">
        <v>0.83333333333333337</v>
      </c>
      <c r="AV108" s="56">
        <v>0.85763888888888884</v>
      </c>
      <c r="AW108" s="56">
        <v>46197.994444444441</v>
      </c>
      <c r="AX108" s="56">
        <v>46198</v>
      </c>
      <c r="AY108" s="56">
        <v>46198.020138888889</v>
      </c>
      <c r="AZ108" s="56">
        <v>46198.125</v>
      </c>
      <c r="BA108" s="56">
        <v>46198.583333333336</v>
      </c>
      <c r="BB108" s="56">
        <v>46199.354166666664</v>
      </c>
      <c r="BC108" s="56">
        <v>46198.586111111108</v>
      </c>
      <c r="BD108" s="56">
        <v>46198.589583333334</v>
      </c>
      <c r="BE108" s="56">
        <v>46198.625</v>
      </c>
      <c r="BG108" s="56">
        <v>46198.708333333336</v>
      </c>
      <c r="BH108" s="56">
        <v>46198.752083333333</v>
      </c>
      <c r="BI108" s="32" t="s">
        <v>795</v>
      </c>
      <c r="BJ108" s="56">
        <v>46199.333333333336</v>
      </c>
      <c r="BK108" s="56">
        <v>46199.347916666666</v>
      </c>
      <c r="BL108" s="56">
        <v>46199.405555555553</v>
      </c>
      <c r="BM108" s="56">
        <v>46199.416666666664</v>
      </c>
      <c r="BN108" s="56">
        <v>46199.422222222223</v>
      </c>
    </row>
    <row r="109" spans="1:66" x14ac:dyDescent="0.35">
      <c r="A109" t="s">
        <v>176</v>
      </c>
      <c r="B109" s="32">
        <v>24</v>
      </c>
      <c r="C109" s="32">
        <v>26</v>
      </c>
      <c r="D109" s="32" t="s">
        <v>177</v>
      </c>
      <c r="E109" s="32" t="s">
        <v>178</v>
      </c>
      <c r="F109" s="54">
        <v>46200</v>
      </c>
      <c r="G109" s="54">
        <v>46201</v>
      </c>
      <c r="H109" s="55"/>
      <c r="I109" s="55">
        <v>0.64583333333333337</v>
      </c>
      <c r="J109" s="32" t="s">
        <v>53</v>
      </c>
      <c r="K109" s="32" t="s">
        <v>179</v>
      </c>
      <c r="L109" s="32">
        <v>1</v>
      </c>
      <c r="M109" s="32" t="s">
        <v>809</v>
      </c>
      <c r="P109" s="32" t="s">
        <v>182</v>
      </c>
      <c r="Q109" s="32" t="s">
        <v>84</v>
      </c>
      <c r="R109" s="32" t="s">
        <v>1853</v>
      </c>
      <c r="S109" s="32" t="s">
        <v>1854</v>
      </c>
      <c r="T109" s="32">
        <v>751600035778</v>
      </c>
      <c r="U109" s="32" t="s">
        <v>810</v>
      </c>
      <c r="V109" s="32">
        <v>788636</v>
      </c>
      <c r="Y109" s="32" t="s">
        <v>187</v>
      </c>
      <c r="Z109" s="32" t="s">
        <v>188</v>
      </c>
      <c r="AA109" s="32" t="s">
        <v>189</v>
      </c>
      <c r="AB109" s="32" t="s">
        <v>55</v>
      </c>
      <c r="AC109" s="32" t="s">
        <v>56</v>
      </c>
      <c r="AD109" s="32" t="s">
        <v>78</v>
      </c>
      <c r="AE109" s="32">
        <v>20513040718</v>
      </c>
      <c r="AF109" s="32" t="s">
        <v>811</v>
      </c>
      <c r="AG109" s="32" t="s">
        <v>812</v>
      </c>
      <c r="AH109" s="32" t="s">
        <v>669</v>
      </c>
      <c r="AI109" s="32" t="s">
        <v>813</v>
      </c>
      <c r="AJ109" s="32" t="s">
        <v>814</v>
      </c>
      <c r="AL109" s="32" t="s">
        <v>491</v>
      </c>
      <c r="AM109" s="32" t="s">
        <v>278</v>
      </c>
      <c r="AN109" s="32" t="s">
        <v>278</v>
      </c>
      <c r="AO109" s="32" t="s">
        <v>491</v>
      </c>
      <c r="AP109" s="32" t="s">
        <v>491</v>
      </c>
      <c r="AQ109" s="32" t="s">
        <v>491</v>
      </c>
      <c r="AR109" s="32" t="s">
        <v>491</v>
      </c>
      <c r="AS109" s="32" t="s">
        <v>84</v>
      </c>
      <c r="AT109" s="32" t="s">
        <v>64</v>
      </c>
      <c r="AU109" s="56">
        <v>46200.541666666664</v>
      </c>
      <c r="AV109" s="56">
        <v>46200.556944444441</v>
      </c>
      <c r="AW109" s="56">
        <v>46200.574999999997</v>
      </c>
      <c r="AX109" s="56">
        <v>46200.625</v>
      </c>
      <c r="AY109" s="56">
        <v>46200.625694444447</v>
      </c>
      <c r="AZ109" s="56">
        <v>46200.708333333336</v>
      </c>
      <c r="BA109" s="56">
        <v>46201.583333333336</v>
      </c>
      <c r="BB109" s="56">
        <v>46202.583333333336</v>
      </c>
      <c r="BC109" s="56">
        <v>46201.590277777781</v>
      </c>
      <c r="BD109" s="56">
        <v>46201.595833333333</v>
      </c>
      <c r="BE109" s="56">
        <v>46201.625</v>
      </c>
      <c r="BG109" s="56">
        <v>46201.833333333336</v>
      </c>
      <c r="BH109" s="56">
        <v>46201.863888888889</v>
      </c>
      <c r="BI109" s="32" t="s">
        <v>64</v>
      </c>
      <c r="BJ109" s="56">
        <v>46202.541666666664</v>
      </c>
      <c r="BK109" s="56">
        <v>46202.577777777777</v>
      </c>
      <c r="BL109" s="56">
        <v>46202.583333333336</v>
      </c>
      <c r="BM109" s="56">
        <v>46202.604861111111</v>
      </c>
      <c r="BN109" s="56">
        <v>46202.618750000001</v>
      </c>
    </row>
    <row r="110" spans="1:66" x14ac:dyDescent="0.35">
      <c r="A110" t="s">
        <v>176</v>
      </c>
      <c r="B110" s="32">
        <v>25</v>
      </c>
      <c r="C110" s="32">
        <v>26</v>
      </c>
      <c r="D110" s="32" t="s">
        <v>177</v>
      </c>
      <c r="E110" s="32" t="s">
        <v>178</v>
      </c>
      <c r="F110" s="54">
        <v>46200</v>
      </c>
      <c r="G110" s="54">
        <v>46201</v>
      </c>
      <c r="H110" s="55"/>
      <c r="I110" s="55">
        <v>0.6875</v>
      </c>
      <c r="J110" s="32" t="s">
        <v>53</v>
      </c>
      <c r="K110" s="32" t="s">
        <v>179</v>
      </c>
      <c r="L110" s="32">
        <v>1</v>
      </c>
      <c r="M110" s="32" t="s">
        <v>815</v>
      </c>
      <c r="P110" s="32" t="s">
        <v>182</v>
      </c>
      <c r="Q110" s="32" t="s">
        <v>84</v>
      </c>
      <c r="R110" s="32" t="s">
        <v>1856</v>
      </c>
      <c r="S110" s="32" t="s">
        <v>1854</v>
      </c>
      <c r="T110" s="32">
        <v>751600035752</v>
      </c>
      <c r="U110" s="32" t="s">
        <v>816</v>
      </c>
      <c r="V110" s="32">
        <v>788677</v>
      </c>
      <c r="Y110" s="32" t="s">
        <v>187</v>
      </c>
      <c r="Z110" s="32" t="s">
        <v>188</v>
      </c>
      <c r="AA110" s="32" t="s">
        <v>189</v>
      </c>
      <c r="AB110" s="32" t="s">
        <v>55</v>
      </c>
      <c r="AC110" s="32" t="s">
        <v>56</v>
      </c>
      <c r="AD110" s="32" t="s">
        <v>78</v>
      </c>
      <c r="AE110" s="32">
        <v>20513040718</v>
      </c>
      <c r="AF110" s="32" t="s">
        <v>817</v>
      </c>
      <c r="AG110" s="32" t="s">
        <v>818</v>
      </c>
      <c r="AH110" s="32" t="s">
        <v>669</v>
      </c>
      <c r="AI110" s="32" t="s">
        <v>819</v>
      </c>
      <c r="AJ110" s="32" t="s">
        <v>820</v>
      </c>
      <c r="AL110" s="32" t="s">
        <v>491</v>
      </c>
      <c r="AM110" s="32" t="s">
        <v>278</v>
      </c>
      <c r="AN110" s="32" t="s">
        <v>278</v>
      </c>
      <c r="AO110" s="32" t="s">
        <v>491</v>
      </c>
      <c r="AP110" s="32" t="s">
        <v>491</v>
      </c>
      <c r="AQ110" s="32" t="s">
        <v>491</v>
      </c>
      <c r="AR110" s="32" t="s">
        <v>491</v>
      </c>
      <c r="AS110" s="32" t="s">
        <v>84</v>
      </c>
      <c r="AT110" s="32" t="s">
        <v>64</v>
      </c>
      <c r="AU110" s="56">
        <v>46200.625</v>
      </c>
      <c r="AV110" s="56">
        <v>46200.638888888891</v>
      </c>
      <c r="AW110" s="56">
        <v>46200.642361111109</v>
      </c>
      <c r="AX110" s="56">
        <v>46200.697916666664</v>
      </c>
      <c r="AY110" s="56">
        <v>46200.724305555559</v>
      </c>
      <c r="AZ110" s="56">
        <v>46200.75</v>
      </c>
      <c r="BA110" s="56">
        <v>46201.625</v>
      </c>
      <c r="BB110" s="56">
        <v>46202.569444444445</v>
      </c>
      <c r="BC110" s="56">
        <v>46201.638888888891</v>
      </c>
      <c r="BD110" s="56">
        <v>46201.646527777775</v>
      </c>
      <c r="BE110" s="56">
        <v>46201.680555555555</v>
      </c>
      <c r="BG110" s="56">
        <v>46201.791666666664</v>
      </c>
      <c r="BH110" s="56">
        <v>46201.809027777781</v>
      </c>
      <c r="BI110" s="32" t="s">
        <v>64</v>
      </c>
      <c r="BJ110" s="56">
        <v>46202.541666666664</v>
      </c>
      <c r="BK110" s="56">
        <v>46202.560416666667</v>
      </c>
      <c r="BL110" s="56">
        <v>46202.541666666664</v>
      </c>
      <c r="BM110" s="56">
        <v>46202.583333333336</v>
      </c>
      <c r="BN110" s="56">
        <v>46202.588888888888</v>
      </c>
    </row>
    <row r="111" spans="1:66" x14ac:dyDescent="0.35">
      <c r="A111" t="s">
        <v>176</v>
      </c>
      <c r="B111" s="32">
        <v>26</v>
      </c>
      <c r="C111" s="32">
        <v>26</v>
      </c>
      <c r="D111" s="32" t="s">
        <v>177</v>
      </c>
      <c r="E111" s="32" t="s">
        <v>178</v>
      </c>
      <c r="F111" s="54">
        <v>46201</v>
      </c>
      <c r="G111" s="54">
        <v>46202</v>
      </c>
      <c r="H111" s="55"/>
      <c r="I111" s="55">
        <v>0.5625</v>
      </c>
      <c r="J111" s="32" t="s">
        <v>53</v>
      </c>
      <c r="K111" s="32" t="s">
        <v>179</v>
      </c>
      <c r="L111" s="32">
        <v>1</v>
      </c>
      <c r="M111" s="32" t="s">
        <v>821</v>
      </c>
      <c r="P111" s="32" t="s">
        <v>182</v>
      </c>
      <c r="Q111" s="32" t="s">
        <v>84</v>
      </c>
      <c r="R111" s="32" t="s">
        <v>1853</v>
      </c>
      <c r="S111" s="32" t="s">
        <v>1854</v>
      </c>
      <c r="T111" s="32">
        <v>751600035760</v>
      </c>
      <c r="U111" s="32" t="s">
        <v>822</v>
      </c>
      <c r="V111" s="32" t="s">
        <v>823</v>
      </c>
      <c r="Y111" s="32" t="s">
        <v>187</v>
      </c>
      <c r="Z111" s="32" t="s">
        <v>188</v>
      </c>
      <c r="AA111" s="32" t="s">
        <v>189</v>
      </c>
      <c r="AB111" s="32" t="s">
        <v>55</v>
      </c>
      <c r="AC111" s="32" t="s">
        <v>92</v>
      </c>
      <c r="AD111" s="32" t="s">
        <v>824</v>
      </c>
      <c r="AE111" s="32">
        <v>20614404460</v>
      </c>
      <c r="AF111" s="32" t="s">
        <v>771</v>
      </c>
      <c r="AG111" s="32" t="s">
        <v>772</v>
      </c>
      <c r="AH111" s="32" t="s">
        <v>669</v>
      </c>
      <c r="AI111" s="32" t="s">
        <v>773</v>
      </c>
      <c r="AJ111" s="32" t="s">
        <v>774</v>
      </c>
      <c r="AL111" s="32" t="s">
        <v>491</v>
      </c>
      <c r="AM111" s="32" t="s">
        <v>278</v>
      </c>
      <c r="AN111" s="32" t="s">
        <v>278</v>
      </c>
      <c r="AO111" s="32" t="s">
        <v>491</v>
      </c>
      <c r="AP111" s="32" t="s">
        <v>491</v>
      </c>
      <c r="AQ111" s="32" t="s">
        <v>491</v>
      </c>
      <c r="AR111" s="32" t="s">
        <v>491</v>
      </c>
      <c r="AS111" s="32" t="s">
        <v>84</v>
      </c>
      <c r="AT111" s="32" t="s">
        <v>64</v>
      </c>
      <c r="AU111" s="56">
        <v>46201.416666666664</v>
      </c>
      <c r="AV111" s="56">
        <v>46201.421527777777</v>
      </c>
      <c r="AW111" s="56">
        <v>46201.439583333333</v>
      </c>
      <c r="AX111" s="56">
        <v>46201.458333333336</v>
      </c>
      <c r="AY111" s="56">
        <v>46201.497916666667</v>
      </c>
      <c r="AZ111" s="56">
        <v>46201.708333333336</v>
      </c>
      <c r="BA111" s="56">
        <v>46202.458333333336</v>
      </c>
      <c r="BB111" s="56">
        <v>46203.236111111109</v>
      </c>
      <c r="BC111" s="56">
        <v>46202.49722222222</v>
      </c>
      <c r="BD111" s="56">
        <v>46202.504166666666</v>
      </c>
      <c r="BE111" s="56">
        <v>46202.5625</v>
      </c>
      <c r="BG111" s="56">
        <v>46202.666666666664</v>
      </c>
      <c r="BH111" s="56">
        <v>46202.6875</v>
      </c>
      <c r="BI111" s="32" t="s">
        <v>64</v>
      </c>
      <c r="BJ111" s="56">
        <v>46203.208333333336</v>
      </c>
      <c r="BK111" s="56">
        <v>46203.220833333333</v>
      </c>
      <c r="BL111" s="56">
        <v>46203.236111111109</v>
      </c>
      <c r="BM111" s="56">
        <v>46203.283333333333</v>
      </c>
      <c r="BN111" s="56">
        <v>46203.293055555558</v>
      </c>
    </row>
    <row r="112" spans="1:66" x14ac:dyDescent="0.35">
      <c r="A112" t="s">
        <v>176</v>
      </c>
      <c r="B112" s="32">
        <v>22</v>
      </c>
      <c r="C112" s="32">
        <v>26</v>
      </c>
      <c r="D112" s="32" t="s">
        <v>177</v>
      </c>
      <c r="E112" s="32" t="s">
        <v>178</v>
      </c>
      <c r="F112" s="54">
        <v>46200</v>
      </c>
      <c r="G112" s="54">
        <v>46201</v>
      </c>
      <c r="H112" s="55"/>
      <c r="I112" s="55">
        <v>0.5625</v>
      </c>
      <c r="J112" s="32" t="s">
        <v>53</v>
      </c>
      <c r="K112" s="32" t="s">
        <v>179</v>
      </c>
      <c r="L112" s="32">
        <v>1</v>
      </c>
      <c r="M112" s="32" t="s">
        <v>796</v>
      </c>
      <c r="P112" s="32" t="s">
        <v>182</v>
      </c>
      <c r="Q112" s="32" t="s">
        <v>84</v>
      </c>
      <c r="R112" s="32" t="s">
        <v>1856</v>
      </c>
      <c r="S112" s="32" t="s">
        <v>1911</v>
      </c>
      <c r="T112" s="32" t="s">
        <v>797</v>
      </c>
      <c r="U112" s="32" t="s">
        <v>798</v>
      </c>
      <c r="V112" s="32">
        <v>476200</v>
      </c>
      <c r="Y112" s="32" t="s">
        <v>187</v>
      </c>
      <c r="Z112" s="32" t="s">
        <v>188</v>
      </c>
      <c r="AA112" s="32" t="s">
        <v>189</v>
      </c>
      <c r="AB112" s="32" t="s">
        <v>55</v>
      </c>
      <c r="AC112" s="32" t="s">
        <v>56</v>
      </c>
      <c r="AD112" s="32" t="s">
        <v>78</v>
      </c>
      <c r="AE112" s="32">
        <v>20513040718</v>
      </c>
      <c r="AF112" s="32" t="s">
        <v>799</v>
      </c>
      <c r="AG112" s="32" t="s">
        <v>800</v>
      </c>
      <c r="AH112" s="32" t="s">
        <v>669</v>
      </c>
      <c r="AI112" s="32" t="s">
        <v>801</v>
      </c>
      <c r="AJ112" s="32" t="s">
        <v>802</v>
      </c>
      <c r="AL112" s="32" t="s">
        <v>491</v>
      </c>
      <c r="AM112" s="32" t="s">
        <v>278</v>
      </c>
      <c r="AN112" s="32" t="s">
        <v>278</v>
      </c>
      <c r="AO112" s="32" t="s">
        <v>491</v>
      </c>
      <c r="AP112" s="32" t="s">
        <v>491</v>
      </c>
      <c r="AQ112" s="32" t="s">
        <v>491</v>
      </c>
      <c r="AR112" s="32" t="s">
        <v>491</v>
      </c>
      <c r="AS112" s="32" t="s">
        <v>84</v>
      </c>
      <c r="AT112" s="32" t="s">
        <v>388</v>
      </c>
      <c r="AU112" s="56">
        <v>46200.5</v>
      </c>
      <c r="AV112" s="56">
        <v>46200.536111111112</v>
      </c>
      <c r="AW112" s="56">
        <v>46200.581944444442</v>
      </c>
      <c r="AX112" s="56">
        <v>46200.611111111109</v>
      </c>
      <c r="AY112" s="56">
        <v>46200.619444444441</v>
      </c>
      <c r="AZ112" s="56">
        <v>46200.75</v>
      </c>
      <c r="BA112" s="56">
        <v>46201.416666666664</v>
      </c>
      <c r="BB112" s="56">
        <v>46202.604166666664</v>
      </c>
      <c r="BC112" s="56">
        <v>46201.4375</v>
      </c>
      <c r="BD112" s="56">
        <v>46201.441666666666</v>
      </c>
      <c r="BE112" s="56">
        <v>46201.458333333336</v>
      </c>
      <c r="BG112" s="56">
        <v>46201.75</v>
      </c>
      <c r="BH112" s="56">
        <v>46201.818749999999</v>
      </c>
      <c r="BI112" s="32" t="s">
        <v>64</v>
      </c>
      <c r="BJ112" s="56">
        <v>46202.583333333336</v>
      </c>
      <c r="BK112" s="56">
        <v>46202.602083333331</v>
      </c>
      <c r="BL112" s="56">
        <v>46202.625</v>
      </c>
      <c r="BM112" s="56">
        <v>46202.659722222219</v>
      </c>
      <c r="BN112" s="56">
        <v>46202.659722222219</v>
      </c>
    </row>
    <row r="113" spans="1:66" x14ac:dyDescent="0.35">
      <c r="A113" t="s">
        <v>176</v>
      </c>
      <c r="B113" s="32">
        <v>23</v>
      </c>
      <c r="C113" s="32">
        <v>26</v>
      </c>
      <c r="D113" s="32" t="s">
        <v>177</v>
      </c>
      <c r="E113" s="32" t="s">
        <v>178</v>
      </c>
      <c r="F113" s="54">
        <v>46200</v>
      </c>
      <c r="G113" s="54">
        <v>46201</v>
      </c>
      <c r="H113" s="55"/>
      <c r="I113" s="55">
        <v>0.60416666666666663</v>
      </c>
      <c r="J113" s="32" t="s">
        <v>53</v>
      </c>
      <c r="K113" s="32" t="s">
        <v>179</v>
      </c>
      <c r="L113" s="32">
        <v>1</v>
      </c>
      <c r="M113" s="32" t="s">
        <v>803</v>
      </c>
      <c r="P113" s="32" t="s">
        <v>182</v>
      </c>
      <c r="Q113" s="32" t="s">
        <v>84</v>
      </c>
      <c r="R113" s="32" t="s">
        <v>1856</v>
      </c>
      <c r="S113" s="32" t="s">
        <v>1854</v>
      </c>
      <c r="T113" s="32">
        <v>751600035719</v>
      </c>
      <c r="U113" s="32" t="s">
        <v>804</v>
      </c>
      <c r="V113" s="32">
        <v>788639</v>
      </c>
      <c r="Y113" s="32" t="s">
        <v>187</v>
      </c>
      <c r="Z113" s="32" t="s">
        <v>188</v>
      </c>
      <c r="AA113" s="32" t="s">
        <v>189</v>
      </c>
      <c r="AB113" s="32" t="s">
        <v>55</v>
      </c>
      <c r="AC113" s="32" t="s">
        <v>56</v>
      </c>
      <c r="AD113" s="32" t="s">
        <v>78</v>
      </c>
      <c r="AE113" s="32">
        <v>20513040718</v>
      </c>
      <c r="AF113" s="32" t="s">
        <v>805</v>
      </c>
      <c r="AG113" s="32" t="s">
        <v>806</v>
      </c>
      <c r="AH113" s="32" t="s">
        <v>669</v>
      </c>
      <c r="AI113" s="32" t="s">
        <v>807</v>
      </c>
      <c r="AJ113" s="32" t="s">
        <v>808</v>
      </c>
      <c r="AL113" s="32" t="s">
        <v>491</v>
      </c>
      <c r="AM113" s="32" t="s">
        <v>278</v>
      </c>
      <c r="AN113" s="32" t="s">
        <v>278</v>
      </c>
      <c r="AO113" s="32" t="s">
        <v>491</v>
      </c>
      <c r="AP113" s="32" t="s">
        <v>491</v>
      </c>
      <c r="AQ113" s="32" t="s">
        <v>491</v>
      </c>
      <c r="AR113" s="32" t="s">
        <v>491</v>
      </c>
      <c r="AS113" s="32" t="s">
        <v>84</v>
      </c>
      <c r="AT113" s="32" t="s">
        <v>64</v>
      </c>
      <c r="AU113" s="56">
        <v>46200.583333333336</v>
      </c>
      <c r="AV113" s="56">
        <v>46200.583333333336</v>
      </c>
      <c r="AW113" s="56">
        <v>46200.586805555555</v>
      </c>
      <c r="AX113" s="56">
        <v>46200.633333333331</v>
      </c>
      <c r="AY113" s="56">
        <v>46200.634027777778</v>
      </c>
      <c r="AZ113" s="56">
        <v>46200.666666666664</v>
      </c>
      <c r="BA113" s="56">
        <v>46201.416666666664</v>
      </c>
      <c r="BB113" s="56">
        <v>46202.527777777781</v>
      </c>
      <c r="BC113" s="56">
        <v>46201.430555555555</v>
      </c>
      <c r="BD113" s="56">
        <v>46201.44027777778</v>
      </c>
      <c r="BE113" s="56">
        <v>46201.486111111109</v>
      </c>
      <c r="BG113" s="56">
        <v>46201.75</v>
      </c>
      <c r="BH113" s="56">
        <v>46201.763194444444</v>
      </c>
      <c r="BI113" s="32" t="s">
        <v>64</v>
      </c>
      <c r="BJ113" s="56">
        <v>46202.5</v>
      </c>
      <c r="BK113" s="56">
        <v>46202.517361111109</v>
      </c>
      <c r="BL113" s="56">
        <v>46202.5</v>
      </c>
      <c r="BM113" s="56">
        <v>46202.541666666664</v>
      </c>
      <c r="BN113" s="56">
        <v>46202.554166666669</v>
      </c>
    </row>
    <row r="114" spans="1:66" x14ac:dyDescent="0.35">
      <c r="A114" t="s">
        <v>176</v>
      </c>
      <c r="B114" s="32">
        <v>27</v>
      </c>
      <c r="C114" s="32">
        <v>26</v>
      </c>
      <c r="D114" s="32" t="s">
        <v>177</v>
      </c>
      <c r="E114" s="32" t="s">
        <v>178</v>
      </c>
      <c r="F114" s="54">
        <v>46201</v>
      </c>
      <c r="G114" s="54">
        <v>46202</v>
      </c>
      <c r="H114" s="55"/>
      <c r="I114" s="55">
        <v>0.60416666666666663</v>
      </c>
      <c r="J114" s="32" t="s">
        <v>53</v>
      </c>
      <c r="K114" s="32" t="s">
        <v>179</v>
      </c>
      <c r="L114" s="32">
        <v>1</v>
      </c>
      <c r="M114" s="32" t="s">
        <v>825</v>
      </c>
      <c r="P114" s="32" t="s">
        <v>182</v>
      </c>
      <c r="Q114" s="32" t="s">
        <v>84</v>
      </c>
      <c r="R114" s="32" t="s">
        <v>1856</v>
      </c>
      <c r="S114" s="32" t="s">
        <v>1911</v>
      </c>
      <c r="T114" s="32" t="s">
        <v>826</v>
      </c>
      <c r="U114" s="32" t="s">
        <v>827</v>
      </c>
      <c r="V114" s="32" t="s">
        <v>828</v>
      </c>
      <c r="Y114" s="32" t="s">
        <v>187</v>
      </c>
      <c r="Z114" s="32" t="s">
        <v>188</v>
      </c>
      <c r="AA114" s="32" t="s">
        <v>189</v>
      </c>
      <c r="AB114" s="32" t="s">
        <v>55</v>
      </c>
      <c r="AC114" s="32" t="s">
        <v>92</v>
      </c>
      <c r="AD114" s="32" t="s">
        <v>829</v>
      </c>
      <c r="AE114" s="32">
        <v>20614258153</v>
      </c>
      <c r="AF114" s="32" t="s">
        <v>830</v>
      </c>
      <c r="AG114" s="32" t="s">
        <v>831</v>
      </c>
      <c r="AH114" s="32" t="s">
        <v>669</v>
      </c>
      <c r="AI114" s="32" t="s">
        <v>832</v>
      </c>
      <c r="AJ114" s="32" t="s">
        <v>833</v>
      </c>
      <c r="AL114" s="32" t="s">
        <v>491</v>
      </c>
      <c r="AM114" s="32" t="s">
        <v>278</v>
      </c>
      <c r="AN114" s="32" t="s">
        <v>278</v>
      </c>
      <c r="AO114" s="32" t="s">
        <v>491</v>
      </c>
      <c r="AP114" s="32" t="s">
        <v>491</v>
      </c>
      <c r="AQ114" s="32" t="s">
        <v>491</v>
      </c>
      <c r="AR114" s="32" t="s">
        <v>491</v>
      </c>
      <c r="AS114" s="32" t="s">
        <v>84</v>
      </c>
      <c r="AT114" s="32" t="s">
        <v>261</v>
      </c>
      <c r="AU114" s="56">
        <v>46201.541666666664</v>
      </c>
      <c r="AV114" s="56">
        <v>46201.565972222219</v>
      </c>
      <c r="AW114" s="56">
        <v>46201.569444444445</v>
      </c>
      <c r="AY114" s="56">
        <v>46201.668749999997</v>
      </c>
      <c r="AZ114" s="56">
        <v>46201.75</v>
      </c>
      <c r="BA114" s="56">
        <v>46202.541666666664</v>
      </c>
      <c r="BB114" s="56">
        <v>46203.277777777781</v>
      </c>
      <c r="BC114" s="56">
        <v>46202.560416666667</v>
      </c>
      <c r="BD114" s="56">
        <v>46202.565972222219</v>
      </c>
      <c r="BE114" s="56">
        <v>46202.583333333336</v>
      </c>
      <c r="BG114" s="56">
        <v>46202.6875</v>
      </c>
      <c r="BH114" s="56">
        <v>46202.708333333336</v>
      </c>
      <c r="BI114" s="32" t="s">
        <v>64</v>
      </c>
      <c r="BJ114" s="56">
        <v>46203.25</v>
      </c>
      <c r="BK114" s="56">
        <v>46203.263888888891</v>
      </c>
      <c r="BL114" s="56">
        <v>46203.270833333336</v>
      </c>
      <c r="BM114" s="56">
        <v>46203.321527777778</v>
      </c>
      <c r="BN114" s="56">
        <v>46203.336805555555</v>
      </c>
    </row>
    <row r="115" spans="1:66" x14ac:dyDescent="0.35">
      <c r="A115" t="s">
        <v>176</v>
      </c>
      <c r="B115" s="32">
        <v>28</v>
      </c>
      <c r="C115" s="32">
        <v>27</v>
      </c>
      <c r="D115" s="32" t="s">
        <v>177</v>
      </c>
      <c r="E115" s="32" t="s">
        <v>178</v>
      </c>
      <c r="F115" s="54">
        <v>46205</v>
      </c>
      <c r="G115" s="54">
        <v>46206</v>
      </c>
      <c r="H115" s="55"/>
      <c r="I115" s="55"/>
      <c r="J115" s="32" t="s">
        <v>53</v>
      </c>
      <c r="K115" s="32" t="s">
        <v>179</v>
      </c>
      <c r="L115" s="32">
        <v>1</v>
      </c>
      <c r="M115" s="32" t="s">
        <v>834</v>
      </c>
      <c r="P115" s="32" t="s">
        <v>182</v>
      </c>
      <c r="Q115" s="32" t="s">
        <v>84</v>
      </c>
      <c r="R115" s="32" t="s">
        <v>947</v>
      </c>
      <c r="S115" s="32" t="s">
        <v>399</v>
      </c>
      <c r="T115" s="32" t="s">
        <v>835</v>
      </c>
      <c r="U115" s="32" t="s">
        <v>836</v>
      </c>
      <c r="V115" s="32">
        <v>22731</v>
      </c>
      <c r="W115" s="32">
        <v>32972718</v>
      </c>
      <c r="Y115" s="32" t="s">
        <v>187</v>
      </c>
      <c r="Z115" s="32" t="s">
        <v>188</v>
      </c>
      <c r="AA115" s="32" t="s">
        <v>189</v>
      </c>
      <c r="AB115" s="32" t="s">
        <v>55</v>
      </c>
      <c r="AC115" s="32" t="s">
        <v>56</v>
      </c>
      <c r="AD115" s="32" t="s">
        <v>78</v>
      </c>
      <c r="AE115" s="32">
        <v>20513040718</v>
      </c>
      <c r="AF115" s="32" t="s">
        <v>837</v>
      </c>
      <c r="AG115" s="32" t="s">
        <v>838</v>
      </c>
      <c r="AH115" s="32" t="s">
        <v>669</v>
      </c>
      <c r="AI115" s="32" t="s">
        <v>950</v>
      </c>
      <c r="AJ115" s="32" t="s">
        <v>839</v>
      </c>
      <c r="AL115" s="32" t="s">
        <v>491</v>
      </c>
      <c r="AM115" s="32" t="s">
        <v>278</v>
      </c>
      <c r="AN115" s="32" t="s">
        <v>278</v>
      </c>
      <c r="AO115" s="32" t="s">
        <v>491</v>
      </c>
      <c r="AP115" s="32" t="s">
        <v>491</v>
      </c>
      <c r="AQ115" s="32" t="s">
        <v>491</v>
      </c>
      <c r="AR115" s="32" t="s">
        <v>491</v>
      </c>
      <c r="AS115" s="32" t="s">
        <v>84</v>
      </c>
      <c r="AT115" s="32" t="s">
        <v>248</v>
      </c>
      <c r="AU115" s="56">
        <v>46205.625</v>
      </c>
      <c r="AV115" s="56">
        <v>46205.603472222225</v>
      </c>
      <c r="AW115" s="56">
        <v>46205.604861111111</v>
      </c>
      <c r="AX115" s="56">
        <v>46205.649305555555</v>
      </c>
      <c r="AY115" s="56">
        <v>46205.696527777778</v>
      </c>
      <c r="AZ115" s="56">
        <v>46205.75</v>
      </c>
      <c r="BA115" s="56">
        <v>46206.416666666664</v>
      </c>
      <c r="BB115" s="56">
        <v>46206.666666666664</v>
      </c>
      <c r="BC115" s="56">
        <v>46206.450694444444</v>
      </c>
      <c r="BD115" s="56">
        <v>46206.455555555556</v>
      </c>
      <c r="BE115" s="56">
        <v>46206.493055555555</v>
      </c>
      <c r="BG115" s="56">
        <v>46206.729166666664</v>
      </c>
      <c r="BH115" s="56">
        <v>46206.787499999999</v>
      </c>
      <c r="BI115" s="32" t="s">
        <v>248</v>
      </c>
      <c r="BJ115" s="56">
        <v>46207.333333333336</v>
      </c>
      <c r="BK115" s="56">
        <v>46207.35833333333</v>
      </c>
      <c r="BL115" s="56">
        <v>46207.359722222223</v>
      </c>
      <c r="BM115" s="56">
        <v>46207.388888888891</v>
      </c>
      <c r="BN115" s="56">
        <v>46207.40347222222</v>
      </c>
    </row>
    <row r="116" spans="1:66" x14ac:dyDescent="0.35">
      <c r="A116" t="s">
        <v>176</v>
      </c>
      <c r="B116" s="32">
        <v>32</v>
      </c>
      <c r="C116" s="32">
        <v>27</v>
      </c>
      <c r="D116" s="32" t="s">
        <v>177</v>
      </c>
      <c r="E116" s="32" t="s">
        <v>178</v>
      </c>
      <c r="F116" s="54">
        <v>46206</v>
      </c>
      <c r="G116" s="54">
        <v>46207</v>
      </c>
      <c r="H116" s="55"/>
      <c r="I116" s="55"/>
      <c r="J116" s="32" t="s">
        <v>53</v>
      </c>
      <c r="K116" s="32" t="s">
        <v>179</v>
      </c>
      <c r="L116" s="32">
        <v>1</v>
      </c>
      <c r="M116" s="32" t="s">
        <v>859</v>
      </c>
      <c r="P116" s="32" t="s">
        <v>182</v>
      </c>
      <c r="Q116" s="32" t="s">
        <v>83</v>
      </c>
      <c r="R116" s="32" t="s">
        <v>947</v>
      </c>
      <c r="S116" s="32" t="s">
        <v>399</v>
      </c>
      <c r="T116" s="32">
        <v>6506665460</v>
      </c>
      <c r="U116" s="32">
        <v>6506665460</v>
      </c>
      <c r="V116" s="32">
        <v>22756</v>
      </c>
      <c r="W116" s="32">
        <v>32972743</v>
      </c>
      <c r="Y116" s="32" t="s">
        <v>187</v>
      </c>
      <c r="Z116" s="32" t="s">
        <v>188</v>
      </c>
      <c r="AA116" s="32" t="s">
        <v>189</v>
      </c>
      <c r="AB116" s="32" t="s">
        <v>55</v>
      </c>
      <c r="AC116" s="32" t="s">
        <v>56</v>
      </c>
      <c r="AD116" s="32" t="s">
        <v>78</v>
      </c>
      <c r="AE116" s="32">
        <v>20513040718</v>
      </c>
      <c r="AF116" s="32" t="s">
        <v>860</v>
      </c>
      <c r="AG116" s="32" t="s">
        <v>861</v>
      </c>
      <c r="AH116" s="32" t="s">
        <v>669</v>
      </c>
      <c r="AI116" s="32" t="s">
        <v>862</v>
      </c>
      <c r="AJ116" s="32" t="s">
        <v>863</v>
      </c>
      <c r="AL116" s="32" t="s">
        <v>491</v>
      </c>
      <c r="AM116" s="32" t="s">
        <v>278</v>
      </c>
      <c r="AN116" s="32" t="s">
        <v>278</v>
      </c>
      <c r="AO116" s="32" t="s">
        <v>491</v>
      </c>
      <c r="AP116" s="32" t="s">
        <v>491</v>
      </c>
      <c r="AQ116" s="32" t="s">
        <v>491</v>
      </c>
      <c r="AR116" s="32" t="s">
        <v>491</v>
      </c>
      <c r="AS116" s="32" t="s">
        <v>83</v>
      </c>
      <c r="AT116" s="32" t="s">
        <v>248</v>
      </c>
      <c r="AU116" s="56">
        <v>46206.541666666664</v>
      </c>
      <c r="AV116" s="56">
        <v>46206.626388888886</v>
      </c>
      <c r="AW116" s="56">
        <v>46206.62777777778</v>
      </c>
      <c r="AX116" s="56">
        <v>46206.708333333336</v>
      </c>
      <c r="AY116" s="56">
        <v>46206.730555555558</v>
      </c>
      <c r="AZ116" s="56">
        <v>46206.791666666664</v>
      </c>
      <c r="BA116" s="56">
        <v>46207.416666666664</v>
      </c>
      <c r="BB116" s="56">
        <v>46207.430555555555</v>
      </c>
      <c r="BC116" s="56">
        <v>46207.45</v>
      </c>
      <c r="BD116" s="56">
        <v>46207.456944444442</v>
      </c>
      <c r="BE116" s="56">
        <v>46207.5</v>
      </c>
      <c r="BG116" s="56">
        <v>46207.75</v>
      </c>
      <c r="BH116" s="56">
        <v>46207.767361111109</v>
      </c>
      <c r="BI116" s="32" t="s">
        <v>248</v>
      </c>
      <c r="BJ116" s="56">
        <v>46208.375</v>
      </c>
      <c r="BK116" s="56">
        <v>46208.401388888888</v>
      </c>
      <c r="BL116" s="56">
        <v>46208.420138888891</v>
      </c>
      <c r="BM116" s="56">
        <v>46208.416666666664</v>
      </c>
      <c r="BN116" s="56">
        <v>46208.440972222219</v>
      </c>
    </row>
    <row r="117" spans="1:66" x14ac:dyDescent="0.35">
      <c r="A117" t="s">
        <v>176</v>
      </c>
      <c r="B117" s="32">
        <v>29</v>
      </c>
      <c r="C117" s="32">
        <v>27</v>
      </c>
      <c r="D117" s="32" t="s">
        <v>177</v>
      </c>
      <c r="E117" s="32" t="s">
        <v>178</v>
      </c>
      <c r="F117" s="54">
        <v>46207</v>
      </c>
      <c r="G117" s="54">
        <v>46208</v>
      </c>
      <c r="H117" s="55"/>
      <c r="I117" s="55"/>
      <c r="J117" s="32" t="s">
        <v>53</v>
      </c>
      <c r="K117" s="32" t="s">
        <v>179</v>
      </c>
      <c r="L117" s="32">
        <v>1</v>
      </c>
      <c r="M117" s="32" t="s">
        <v>840</v>
      </c>
      <c r="P117" s="32" t="s">
        <v>182</v>
      </c>
      <c r="Q117" s="32" t="s">
        <v>83</v>
      </c>
      <c r="R117" s="32" t="s">
        <v>947</v>
      </c>
      <c r="S117" s="32" t="s">
        <v>399</v>
      </c>
      <c r="T117" s="32" t="s">
        <v>841</v>
      </c>
      <c r="U117" s="32" t="s">
        <v>842</v>
      </c>
      <c r="V117" s="32">
        <v>22778</v>
      </c>
      <c r="W117" s="32">
        <v>32972767</v>
      </c>
      <c r="Y117" s="32" t="s">
        <v>187</v>
      </c>
      <c r="Z117" s="32" t="s">
        <v>188</v>
      </c>
      <c r="AA117" s="32" t="s">
        <v>189</v>
      </c>
      <c r="AB117" s="32" t="s">
        <v>55</v>
      </c>
      <c r="AC117" s="32" t="s">
        <v>56</v>
      </c>
      <c r="AD117" s="32" t="s">
        <v>78</v>
      </c>
      <c r="AE117" s="32">
        <v>20513040718</v>
      </c>
      <c r="AF117" s="32" t="s">
        <v>843</v>
      </c>
      <c r="AG117" s="32" t="s">
        <v>844</v>
      </c>
      <c r="AH117" s="32" t="s">
        <v>669</v>
      </c>
      <c r="AI117" s="32" t="s">
        <v>845</v>
      </c>
      <c r="AJ117" s="32" t="s">
        <v>846</v>
      </c>
      <c r="AL117" s="32" t="s">
        <v>491</v>
      </c>
      <c r="AM117" s="32" t="s">
        <v>278</v>
      </c>
      <c r="AN117" s="32" t="s">
        <v>278</v>
      </c>
      <c r="AO117" s="32" t="s">
        <v>491</v>
      </c>
      <c r="AP117" s="32" t="s">
        <v>491</v>
      </c>
      <c r="AQ117" s="32" t="s">
        <v>491</v>
      </c>
      <c r="AR117" s="32" t="s">
        <v>491</v>
      </c>
      <c r="AS117" s="32" t="s">
        <v>83</v>
      </c>
      <c r="AT117" s="32" t="s">
        <v>248</v>
      </c>
      <c r="AU117" s="56">
        <v>46207.583333333336</v>
      </c>
      <c r="AV117" s="56">
        <v>46207.611805555556</v>
      </c>
      <c r="AW117" s="56">
        <v>46207.613194444442</v>
      </c>
      <c r="AX117" s="56">
        <v>46207.666666666664</v>
      </c>
      <c r="AY117" s="56">
        <v>46207.695833333331</v>
      </c>
      <c r="AZ117" s="56">
        <v>46207.75</v>
      </c>
      <c r="BA117" s="56">
        <v>46208.375</v>
      </c>
      <c r="BB117" s="56">
        <v>46208.405555555553</v>
      </c>
      <c r="BC117" s="56">
        <v>46208.444444444445</v>
      </c>
      <c r="BD117" s="56">
        <v>46208.452777777777</v>
      </c>
      <c r="BE117" s="56">
        <v>46208.520833333336</v>
      </c>
      <c r="BG117" s="56">
        <v>46208.666666666664</v>
      </c>
      <c r="BH117" s="56">
        <v>46208.702777777777</v>
      </c>
      <c r="BI117" s="32" t="s">
        <v>248</v>
      </c>
      <c r="BJ117" s="56">
        <v>46209.333333333336</v>
      </c>
      <c r="BK117" s="56">
        <v>46209.364583333336</v>
      </c>
      <c r="BL117" s="56">
        <v>46209.365972222222</v>
      </c>
      <c r="BM117" s="56">
        <v>46209.375</v>
      </c>
      <c r="BN117" s="56">
        <v>46209.40625</v>
      </c>
    </row>
    <row r="118" spans="1:66" x14ac:dyDescent="0.35">
      <c r="A118" t="s">
        <v>176</v>
      </c>
      <c r="B118" s="32">
        <v>31</v>
      </c>
      <c r="C118" s="32">
        <v>27</v>
      </c>
      <c r="D118" s="32" t="s">
        <v>177</v>
      </c>
      <c r="E118" s="32" t="s">
        <v>178</v>
      </c>
      <c r="F118" s="54">
        <v>46204</v>
      </c>
      <c r="G118" s="54">
        <v>46205</v>
      </c>
      <c r="H118" s="55"/>
      <c r="I118" s="55"/>
      <c r="J118" s="32" t="s">
        <v>53</v>
      </c>
      <c r="K118" s="32" t="s">
        <v>179</v>
      </c>
      <c r="L118" s="32">
        <v>1</v>
      </c>
      <c r="M118" s="32" t="s">
        <v>853</v>
      </c>
      <c r="P118" s="32" t="s">
        <v>182</v>
      </c>
      <c r="Q118" s="32" t="s">
        <v>83</v>
      </c>
      <c r="R118" s="32" t="s">
        <v>947</v>
      </c>
      <c r="S118" s="32" t="s">
        <v>399</v>
      </c>
      <c r="T118" s="32">
        <v>6506666080</v>
      </c>
      <c r="U118" s="32" t="s">
        <v>854</v>
      </c>
      <c r="V118" s="32">
        <v>22724</v>
      </c>
      <c r="W118" s="32">
        <v>33001700</v>
      </c>
      <c r="Y118" s="32" t="s">
        <v>187</v>
      </c>
      <c r="Z118" s="32" t="s">
        <v>188</v>
      </c>
      <c r="AA118" s="32" t="s">
        <v>189</v>
      </c>
      <c r="AB118" s="32" t="s">
        <v>55</v>
      </c>
      <c r="AC118" s="32" t="s">
        <v>56</v>
      </c>
      <c r="AD118" s="32" t="s">
        <v>78</v>
      </c>
      <c r="AE118" s="32">
        <v>20513040718</v>
      </c>
      <c r="AF118" s="32" t="s">
        <v>855</v>
      </c>
      <c r="AG118" s="32" t="s">
        <v>856</v>
      </c>
      <c r="AH118" s="32" t="s">
        <v>669</v>
      </c>
      <c r="AI118" s="32" t="s">
        <v>857</v>
      </c>
      <c r="AJ118" s="32" t="s">
        <v>858</v>
      </c>
      <c r="AL118" s="32" t="s">
        <v>491</v>
      </c>
      <c r="AM118" s="32" t="s">
        <v>278</v>
      </c>
      <c r="AN118" s="32" t="s">
        <v>278</v>
      </c>
      <c r="AO118" s="32" t="s">
        <v>491</v>
      </c>
      <c r="AP118" s="32" t="s">
        <v>491</v>
      </c>
      <c r="AQ118" s="32" t="s">
        <v>491</v>
      </c>
      <c r="AR118" s="32" t="s">
        <v>491</v>
      </c>
      <c r="AS118" s="32" t="s">
        <v>83</v>
      </c>
      <c r="AT118" s="32" t="s">
        <v>248</v>
      </c>
      <c r="AU118" s="56">
        <v>46204.708333333336</v>
      </c>
      <c r="AV118" s="56">
        <v>46204.711805555555</v>
      </c>
      <c r="AW118" s="56">
        <v>46204.713888888888</v>
      </c>
      <c r="AX118" s="56">
        <v>46204.791666666664</v>
      </c>
      <c r="AY118" s="56">
        <v>46204.807638888888</v>
      </c>
      <c r="AZ118" s="56">
        <v>46204.875</v>
      </c>
      <c r="BA118" s="56">
        <v>46205.375</v>
      </c>
      <c r="BB118" s="56">
        <v>46205.388888888891</v>
      </c>
      <c r="BC118" s="56">
        <v>46205.415972222225</v>
      </c>
      <c r="BD118" s="56">
        <v>46205.42291666667</v>
      </c>
      <c r="BE118" s="56">
        <v>46205.430555555555</v>
      </c>
      <c r="BG118" s="56">
        <v>46205.625</v>
      </c>
      <c r="BH118" s="56">
        <v>46205.646527777775</v>
      </c>
      <c r="BI118" s="32" t="s">
        <v>248</v>
      </c>
      <c r="BJ118" s="56">
        <v>46206.333333333336</v>
      </c>
      <c r="BK118" s="56">
        <v>46206.343055555553</v>
      </c>
      <c r="BL118" s="56">
        <v>46206.536111111112</v>
      </c>
      <c r="BM118" s="56">
        <v>46206.541666666664</v>
      </c>
      <c r="BN118" s="56">
        <v>46206.558333333334</v>
      </c>
    </row>
    <row r="119" spans="1:66" x14ac:dyDescent="0.35">
      <c r="A119" t="s">
        <v>176</v>
      </c>
      <c r="B119" s="32">
        <v>33</v>
      </c>
      <c r="C119" s="32">
        <v>27</v>
      </c>
      <c r="D119" s="32" t="s">
        <v>177</v>
      </c>
      <c r="E119" s="32" t="s">
        <v>178</v>
      </c>
      <c r="F119" s="54">
        <v>46205</v>
      </c>
      <c r="G119" s="54">
        <v>46208</v>
      </c>
      <c r="H119" s="55"/>
      <c r="I119" s="55">
        <v>0.41666666666666669</v>
      </c>
      <c r="J119" s="32" t="s">
        <v>53</v>
      </c>
      <c r="K119" s="32" t="s">
        <v>179</v>
      </c>
      <c r="L119" s="32">
        <v>1</v>
      </c>
      <c r="M119" s="32" t="s">
        <v>864</v>
      </c>
      <c r="P119" s="32" t="s">
        <v>182</v>
      </c>
      <c r="Q119" s="32" t="s">
        <v>83</v>
      </c>
      <c r="R119" s="32" t="s">
        <v>947</v>
      </c>
      <c r="S119" s="32" t="s">
        <v>399</v>
      </c>
      <c r="T119" s="32">
        <v>6506665840</v>
      </c>
      <c r="U119" s="32" t="s">
        <v>865</v>
      </c>
      <c r="V119" s="32">
        <v>22733</v>
      </c>
      <c r="W119" s="32">
        <v>32972721</v>
      </c>
      <c r="Y119" s="32" t="s">
        <v>187</v>
      </c>
      <c r="Z119" s="32" t="s">
        <v>188</v>
      </c>
      <c r="AA119" s="32" t="s">
        <v>189</v>
      </c>
      <c r="AB119" s="32" t="s">
        <v>55</v>
      </c>
      <c r="AC119" s="32" t="s">
        <v>56</v>
      </c>
      <c r="AD119" s="32" t="s">
        <v>78</v>
      </c>
      <c r="AE119" s="32">
        <v>20513040718</v>
      </c>
      <c r="AF119" s="32" t="s">
        <v>866</v>
      </c>
      <c r="AG119" s="32" t="s">
        <v>867</v>
      </c>
      <c r="AH119" s="32" t="s">
        <v>669</v>
      </c>
      <c r="AI119" s="32" t="s">
        <v>868</v>
      </c>
      <c r="AJ119" s="32" t="s">
        <v>869</v>
      </c>
      <c r="AL119" s="32" t="s">
        <v>491</v>
      </c>
      <c r="AM119" s="32" t="s">
        <v>278</v>
      </c>
      <c r="AN119" s="32" t="s">
        <v>278</v>
      </c>
      <c r="AO119" s="32" t="s">
        <v>491</v>
      </c>
      <c r="AP119" s="32" t="s">
        <v>491</v>
      </c>
      <c r="AQ119" s="32" t="s">
        <v>491</v>
      </c>
      <c r="AR119" s="32" t="s">
        <v>491</v>
      </c>
      <c r="AS119" s="32" t="s">
        <v>83</v>
      </c>
      <c r="AT119" s="32" t="s">
        <v>248</v>
      </c>
      <c r="AU119" s="56">
        <v>46205.75</v>
      </c>
      <c r="AV119" s="56">
        <v>46205.650694444441</v>
      </c>
      <c r="AW119" s="56">
        <v>46205.666666666664</v>
      </c>
      <c r="AX119" s="56">
        <v>46205.739583333336</v>
      </c>
      <c r="AY119" s="56">
        <v>46205.75</v>
      </c>
      <c r="AZ119" s="56">
        <v>46205.875</v>
      </c>
      <c r="BA119" s="56">
        <v>46206.447222222225</v>
      </c>
      <c r="BB119" s="56">
        <v>46206.458333333336</v>
      </c>
      <c r="BC119" s="56">
        <v>46206.520833333336</v>
      </c>
      <c r="BD119" s="56">
        <v>46206.525000000001</v>
      </c>
      <c r="BE119" s="56">
        <v>46206.5625</v>
      </c>
      <c r="BG119" s="56">
        <v>46208.666666666664</v>
      </c>
      <c r="BH119" s="56">
        <v>46208.678472222222</v>
      </c>
      <c r="BI119" s="32" t="s">
        <v>248</v>
      </c>
      <c r="BJ119" s="56">
        <v>46209.041666666664</v>
      </c>
      <c r="BK119" s="56">
        <v>46209.070138888892</v>
      </c>
      <c r="BL119" s="56">
        <v>46209.074305555558</v>
      </c>
      <c r="BM119" s="56">
        <v>46209.083333333336</v>
      </c>
      <c r="BN119" s="56">
        <v>46209.109027777777</v>
      </c>
    </row>
    <row r="120" spans="1:66" x14ac:dyDescent="0.35">
      <c r="A120" t="s">
        <v>176</v>
      </c>
      <c r="B120" s="32">
        <v>34</v>
      </c>
      <c r="C120" s="32">
        <v>27</v>
      </c>
      <c r="D120" s="32" t="s">
        <v>177</v>
      </c>
      <c r="E120" s="32" t="s">
        <v>178</v>
      </c>
      <c r="F120" s="54">
        <v>46206</v>
      </c>
      <c r="G120" s="54">
        <v>46207</v>
      </c>
      <c r="H120" s="55"/>
      <c r="I120" s="55"/>
      <c r="J120" s="32" t="s">
        <v>53</v>
      </c>
      <c r="K120" s="32" t="s">
        <v>179</v>
      </c>
      <c r="L120" s="32">
        <v>1</v>
      </c>
      <c r="M120" s="32" t="s">
        <v>870</v>
      </c>
      <c r="P120" s="32" t="s">
        <v>182</v>
      </c>
      <c r="Q120" s="32" t="s">
        <v>83</v>
      </c>
      <c r="R120" s="32" t="s">
        <v>947</v>
      </c>
      <c r="S120" s="32" t="s">
        <v>399</v>
      </c>
      <c r="T120" s="32">
        <v>6506666350</v>
      </c>
      <c r="U120" s="32" t="s">
        <v>871</v>
      </c>
      <c r="V120" s="32">
        <v>22759</v>
      </c>
      <c r="Y120" s="32" t="s">
        <v>187</v>
      </c>
      <c r="Z120" s="32" t="s">
        <v>188</v>
      </c>
      <c r="AA120" s="32" t="s">
        <v>189</v>
      </c>
      <c r="AB120" s="32" t="s">
        <v>55</v>
      </c>
      <c r="AC120" s="32" t="s">
        <v>56</v>
      </c>
      <c r="AD120" s="32" t="s">
        <v>78</v>
      </c>
      <c r="AE120" s="32">
        <v>20513040718</v>
      </c>
      <c r="AF120" s="32" t="s">
        <v>872</v>
      </c>
      <c r="AG120" s="32" t="s">
        <v>873</v>
      </c>
      <c r="AH120" s="32" t="s">
        <v>669</v>
      </c>
      <c r="AI120" s="32" t="s">
        <v>874</v>
      </c>
      <c r="AJ120" s="32" t="s">
        <v>875</v>
      </c>
      <c r="AL120" s="32" t="s">
        <v>491</v>
      </c>
      <c r="AM120" s="32" t="s">
        <v>278</v>
      </c>
      <c r="AN120" s="32" t="s">
        <v>278</v>
      </c>
      <c r="AO120" s="32" t="s">
        <v>491</v>
      </c>
      <c r="AP120" s="32" t="s">
        <v>491</v>
      </c>
      <c r="AQ120" s="32" t="s">
        <v>491</v>
      </c>
      <c r="AR120" s="32" t="s">
        <v>491</v>
      </c>
      <c r="AS120" s="32" t="s">
        <v>83</v>
      </c>
      <c r="AT120" s="32" t="s">
        <v>248</v>
      </c>
      <c r="AU120" s="56">
        <v>46206.625</v>
      </c>
      <c r="AV120" s="56">
        <v>46206.666666666664</v>
      </c>
      <c r="AW120" s="56">
        <v>46206.675000000003</v>
      </c>
      <c r="AX120" s="56">
        <v>46206.708333333336</v>
      </c>
      <c r="AY120" s="56">
        <v>46206.740972222222</v>
      </c>
      <c r="AZ120" s="56">
        <v>46206.791666666664</v>
      </c>
      <c r="BA120" s="56">
        <v>46207.458333333336</v>
      </c>
      <c r="BB120" s="56">
        <v>46207.472222222219</v>
      </c>
      <c r="BC120" s="56">
        <v>46207.49722222222</v>
      </c>
      <c r="BD120" s="56">
        <v>46207.503472222219</v>
      </c>
      <c r="BE120" s="56">
        <v>46207.541666666664</v>
      </c>
      <c r="BG120" s="56">
        <v>46207.75</v>
      </c>
      <c r="BH120" s="56">
        <v>46207.761805555558</v>
      </c>
      <c r="BI120" s="32" t="s">
        <v>248</v>
      </c>
      <c r="BJ120" s="56">
        <v>46208.541666666664</v>
      </c>
      <c r="BK120" s="56">
        <v>46208.572222222225</v>
      </c>
      <c r="BL120" s="56">
        <v>46208.588888888888</v>
      </c>
      <c r="BM120" s="56">
        <v>46208.583333333336</v>
      </c>
      <c r="BN120" s="56">
        <v>46208.605555555558</v>
      </c>
    </row>
    <row r="121" spans="1:66" x14ac:dyDescent="0.35">
      <c r="A121" t="s">
        <v>176</v>
      </c>
      <c r="B121" s="32">
        <v>35</v>
      </c>
      <c r="C121" s="32">
        <v>27</v>
      </c>
      <c r="D121" s="32" t="s">
        <v>177</v>
      </c>
      <c r="E121" s="32" t="s">
        <v>178</v>
      </c>
      <c r="F121" s="54">
        <v>46207</v>
      </c>
      <c r="G121" s="54">
        <v>46206</v>
      </c>
      <c r="H121" s="55"/>
      <c r="I121" s="55"/>
      <c r="J121" s="32" t="s">
        <v>53</v>
      </c>
      <c r="K121" s="32" t="s">
        <v>179</v>
      </c>
      <c r="L121" s="32">
        <v>1</v>
      </c>
      <c r="M121" s="32" t="s">
        <v>876</v>
      </c>
      <c r="P121" s="32" t="s">
        <v>182</v>
      </c>
      <c r="Q121" s="32" t="s">
        <v>83</v>
      </c>
      <c r="R121" s="32" t="s">
        <v>947</v>
      </c>
      <c r="S121" s="32" t="s">
        <v>399</v>
      </c>
      <c r="T121" s="32">
        <v>6506666380</v>
      </c>
      <c r="U121" s="32" t="s">
        <v>877</v>
      </c>
      <c r="V121" s="32">
        <v>22754</v>
      </c>
      <c r="W121" s="32">
        <v>32972745</v>
      </c>
      <c r="Y121" s="32" t="s">
        <v>187</v>
      </c>
      <c r="Z121" s="32" t="s">
        <v>188</v>
      </c>
      <c r="AA121" s="32" t="s">
        <v>189</v>
      </c>
      <c r="AB121" s="32" t="s">
        <v>55</v>
      </c>
      <c r="AC121" s="32" t="s">
        <v>56</v>
      </c>
      <c r="AD121" s="32" t="s">
        <v>78</v>
      </c>
      <c r="AE121" s="32">
        <v>20513040718</v>
      </c>
      <c r="AF121" s="32" t="s">
        <v>704</v>
      </c>
      <c r="AG121" s="32" t="s">
        <v>705</v>
      </c>
      <c r="AH121" s="32" t="s">
        <v>669</v>
      </c>
      <c r="AI121" s="32" t="s">
        <v>706</v>
      </c>
      <c r="AJ121" s="32" t="s">
        <v>707</v>
      </c>
      <c r="AL121" s="32" t="s">
        <v>491</v>
      </c>
      <c r="AM121" s="32" t="s">
        <v>278</v>
      </c>
      <c r="AN121" s="32" t="s">
        <v>278</v>
      </c>
      <c r="AO121" s="32" t="s">
        <v>491</v>
      </c>
      <c r="AP121" s="32" t="s">
        <v>491</v>
      </c>
      <c r="AQ121" s="32" t="s">
        <v>491</v>
      </c>
      <c r="AR121" s="32" t="s">
        <v>491</v>
      </c>
      <c r="AS121" s="32" t="s">
        <v>83</v>
      </c>
      <c r="AT121" s="32" t="s">
        <v>248</v>
      </c>
      <c r="AU121" s="56">
        <v>46206.541666666664</v>
      </c>
      <c r="AV121" s="56">
        <v>46206.548611111109</v>
      </c>
      <c r="AW121" s="56">
        <v>46206.552083333336</v>
      </c>
      <c r="AX121" s="56">
        <v>46206.583333333336</v>
      </c>
      <c r="AY121" s="56">
        <v>46206.618055555555</v>
      </c>
      <c r="AZ121" s="56">
        <v>46206.833333333336</v>
      </c>
      <c r="BA121" s="56">
        <v>46207.375</v>
      </c>
      <c r="BB121" s="56">
        <v>46207.388888888891</v>
      </c>
      <c r="BC121" s="56">
        <v>46207.386805555558</v>
      </c>
      <c r="BD121" s="56">
        <v>46207.395833333336</v>
      </c>
      <c r="BE121" s="56">
        <v>46207.458333333336</v>
      </c>
      <c r="BG121" s="56">
        <v>46208.625</v>
      </c>
      <c r="BH121" s="56">
        <v>46208.664583333331</v>
      </c>
      <c r="BI121" s="32" t="s">
        <v>248</v>
      </c>
      <c r="BJ121" s="56">
        <v>46209.166666666664</v>
      </c>
      <c r="BK121" s="56">
        <v>46209.2</v>
      </c>
      <c r="BL121" s="56">
        <v>46209.201388888891</v>
      </c>
      <c r="BM121" s="56">
        <v>46209.208333333336</v>
      </c>
      <c r="BN121" s="56">
        <v>46209.236111111109</v>
      </c>
    </row>
    <row r="122" spans="1:66" x14ac:dyDescent="0.35">
      <c r="A122" t="s">
        <v>176</v>
      </c>
      <c r="B122" s="32">
        <v>36</v>
      </c>
      <c r="C122" s="32">
        <v>27</v>
      </c>
      <c r="D122" s="32" t="s">
        <v>177</v>
      </c>
      <c r="E122" s="32" t="s">
        <v>178</v>
      </c>
      <c r="F122" s="54">
        <v>46206</v>
      </c>
      <c r="G122" s="54">
        <v>46207</v>
      </c>
      <c r="H122" s="55"/>
      <c r="I122" s="55">
        <v>0.375</v>
      </c>
      <c r="J122" s="32" t="s">
        <v>53</v>
      </c>
      <c r="K122" s="32" t="s">
        <v>179</v>
      </c>
      <c r="L122" s="32">
        <v>1</v>
      </c>
      <c r="M122" s="32" t="s">
        <v>878</v>
      </c>
      <c r="P122" s="32" t="s">
        <v>182</v>
      </c>
      <c r="Q122" s="32" t="s">
        <v>83</v>
      </c>
      <c r="R122" s="32" t="s">
        <v>1853</v>
      </c>
      <c r="S122" s="32" t="s">
        <v>399</v>
      </c>
      <c r="T122" s="32">
        <v>6506666540</v>
      </c>
      <c r="U122" s="32" t="s">
        <v>879</v>
      </c>
      <c r="V122" s="32">
        <v>22762</v>
      </c>
      <c r="Y122" s="32" t="s">
        <v>187</v>
      </c>
      <c r="Z122" s="32" t="s">
        <v>188</v>
      </c>
      <c r="AA122" s="32" t="s">
        <v>189</v>
      </c>
      <c r="AB122" s="32" t="s">
        <v>55</v>
      </c>
      <c r="AC122" s="32" t="s">
        <v>56</v>
      </c>
      <c r="AD122" s="32" t="s">
        <v>78</v>
      </c>
      <c r="AE122" s="32">
        <v>20513040718</v>
      </c>
      <c r="AF122" s="32" t="s">
        <v>880</v>
      </c>
      <c r="AG122" s="32" t="s">
        <v>881</v>
      </c>
      <c r="AH122" s="32" t="s">
        <v>669</v>
      </c>
      <c r="AI122" s="32" t="s">
        <v>882</v>
      </c>
      <c r="AJ122" s="32" t="s">
        <v>883</v>
      </c>
      <c r="AL122" s="32" t="s">
        <v>491</v>
      </c>
      <c r="AM122" s="32" t="s">
        <v>278</v>
      </c>
      <c r="AN122" s="32" t="s">
        <v>278</v>
      </c>
      <c r="AO122" s="32" t="s">
        <v>491</v>
      </c>
      <c r="AP122" s="32" t="s">
        <v>491</v>
      </c>
      <c r="AQ122" s="32" t="s">
        <v>491</v>
      </c>
      <c r="AR122" s="32" t="s">
        <v>491</v>
      </c>
      <c r="AS122" s="32" t="s">
        <v>83</v>
      </c>
      <c r="AT122" s="32" t="s">
        <v>248</v>
      </c>
      <c r="AU122" s="56">
        <v>46206.666666666664</v>
      </c>
      <c r="AV122" s="56">
        <v>46206.693055555559</v>
      </c>
      <c r="AW122" s="56">
        <v>46206.694444444445</v>
      </c>
      <c r="AX122" s="56">
        <v>46206.791666666664</v>
      </c>
      <c r="AY122" s="56">
        <v>46206.820138888892</v>
      </c>
      <c r="AZ122" s="56">
        <v>46206.875</v>
      </c>
      <c r="BA122" s="56">
        <v>46207.375</v>
      </c>
      <c r="BB122" s="56">
        <v>46207.395833333336</v>
      </c>
      <c r="BC122" s="56">
        <v>46207.375694444447</v>
      </c>
      <c r="BD122" s="56">
        <v>46207.383333333331</v>
      </c>
      <c r="BE122" s="56">
        <v>46207.4375</v>
      </c>
      <c r="BG122" s="56">
        <v>46207.791666666664</v>
      </c>
      <c r="BH122" s="56">
        <v>46207.81527777778</v>
      </c>
      <c r="BI122" s="32" t="s">
        <v>248</v>
      </c>
      <c r="BJ122" s="56">
        <v>46208.166666666664</v>
      </c>
      <c r="BK122" s="56">
        <v>46208.193055555559</v>
      </c>
      <c r="BL122" s="56">
        <v>46208.20208333333</v>
      </c>
      <c r="BM122" s="56">
        <v>46208.208333333336</v>
      </c>
      <c r="BN122" s="56">
        <v>46208.229861111111</v>
      </c>
    </row>
    <row r="123" spans="1:66" x14ac:dyDescent="0.35">
      <c r="A123" t="s">
        <v>176</v>
      </c>
      <c r="B123" s="32">
        <v>38</v>
      </c>
      <c r="C123" s="32">
        <v>27</v>
      </c>
      <c r="D123" s="32" t="s">
        <v>177</v>
      </c>
      <c r="E123" s="32" t="s">
        <v>178</v>
      </c>
      <c r="F123" s="54">
        <v>46208</v>
      </c>
      <c r="G123" s="54">
        <v>46209</v>
      </c>
      <c r="H123" s="55"/>
      <c r="I123" s="55">
        <v>0.41666666666666669</v>
      </c>
      <c r="J123" s="32" t="s">
        <v>53</v>
      </c>
      <c r="K123" s="32" t="s">
        <v>179</v>
      </c>
      <c r="L123" s="32">
        <v>1</v>
      </c>
      <c r="M123" s="32" t="s">
        <v>890</v>
      </c>
      <c r="P123" s="32" t="s">
        <v>182</v>
      </c>
      <c r="Q123" s="32" t="s">
        <v>84</v>
      </c>
      <c r="R123" s="32" t="s">
        <v>1853</v>
      </c>
      <c r="S123" s="32" t="s">
        <v>1911</v>
      </c>
      <c r="T123" s="32" t="s">
        <v>891</v>
      </c>
      <c r="U123" s="32" t="s">
        <v>892</v>
      </c>
      <c r="V123" s="32">
        <v>478391</v>
      </c>
      <c r="Y123" s="32" t="s">
        <v>187</v>
      </c>
      <c r="Z123" s="32" t="s">
        <v>188</v>
      </c>
      <c r="AA123" s="32" t="s">
        <v>189</v>
      </c>
      <c r="AB123" s="32" t="s">
        <v>55</v>
      </c>
      <c r="AC123" s="32" t="s">
        <v>56</v>
      </c>
      <c r="AD123" s="32" t="s">
        <v>78</v>
      </c>
      <c r="AE123" s="32">
        <v>20513040718</v>
      </c>
      <c r="AF123" s="32" t="s">
        <v>886</v>
      </c>
      <c r="AG123" s="32" t="s">
        <v>887</v>
      </c>
      <c r="AH123" s="32" t="s">
        <v>669</v>
      </c>
      <c r="AI123" s="32" t="s">
        <v>888</v>
      </c>
      <c r="AJ123" s="32" t="s">
        <v>889</v>
      </c>
      <c r="AL123" s="32" t="s">
        <v>491</v>
      </c>
      <c r="AM123" s="32" t="s">
        <v>278</v>
      </c>
      <c r="AN123" s="32" t="s">
        <v>278</v>
      </c>
      <c r="AO123" s="32" t="s">
        <v>491</v>
      </c>
      <c r="AP123" s="32" t="s">
        <v>491</v>
      </c>
      <c r="AQ123" s="32" t="s">
        <v>491</v>
      </c>
      <c r="AR123" s="32" t="s">
        <v>491</v>
      </c>
      <c r="AS123" s="32" t="s">
        <v>84</v>
      </c>
      <c r="AT123" s="32" t="s">
        <v>261</v>
      </c>
      <c r="AU123" s="56">
        <v>46208.625</v>
      </c>
      <c r="AV123" s="56">
        <v>46208.663194444445</v>
      </c>
      <c r="AW123" s="56">
        <v>46208.676388888889</v>
      </c>
      <c r="AX123" s="56">
        <v>46208.75</v>
      </c>
      <c r="AY123" s="56">
        <v>46208.753472222219</v>
      </c>
      <c r="AZ123" s="56">
        <v>46208.833333333336</v>
      </c>
      <c r="BA123" s="56">
        <v>46209.518055555556</v>
      </c>
      <c r="BB123" s="56">
        <v>46209.5</v>
      </c>
      <c r="BC123" s="56">
        <v>46209.520833333336</v>
      </c>
      <c r="BD123" s="56">
        <v>46209.523611111108</v>
      </c>
      <c r="BE123" s="56">
        <v>46209.569444444445</v>
      </c>
      <c r="BG123" s="56">
        <v>46209.666666666664</v>
      </c>
      <c r="BH123" s="56">
        <v>46209.69027777778</v>
      </c>
      <c r="BI123" s="32" t="s">
        <v>64</v>
      </c>
      <c r="BJ123" s="56">
        <v>46210.541666666664</v>
      </c>
      <c r="BK123" s="56">
        <v>46210.544444444444</v>
      </c>
      <c r="BL123" s="56">
        <v>46210.591666666667</v>
      </c>
      <c r="BM123" s="56">
        <v>46210.583333333336</v>
      </c>
      <c r="BN123" s="56">
        <v>46210.602083333331</v>
      </c>
    </row>
    <row r="124" spans="1:66" x14ac:dyDescent="0.35">
      <c r="A124" t="s">
        <v>176</v>
      </c>
      <c r="B124" s="32">
        <v>39</v>
      </c>
      <c r="C124" s="32">
        <v>27</v>
      </c>
      <c r="D124" s="32" t="s">
        <v>177</v>
      </c>
      <c r="E124" s="32" t="s">
        <v>178</v>
      </c>
      <c r="F124" s="54">
        <v>46208</v>
      </c>
      <c r="G124" s="54">
        <v>46209</v>
      </c>
      <c r="H124" s="55"/>
      <c r="I124" s="55">
        <v>0.5</v>
      </c>
      <c r="J124" s="32" t="s">
        <v>53</v>
      </c>
      <c r="K124" s="32" t="s">
        <v>179</v>
      </c>
      <c r="L124" s="32">
        <v>1</v>
      </c>
      <c r="M124" s="32" t="s">
        <v>893</v>
      </c>
      <c r="P124" s="32" t="s">
        <v>182</v>
      </c>
      <c r="Q124" s="32" t="s">
        <v>83</v>
      </c>
      <c r="R124" s="32" t="s">
        <v>959</v>
      </c>
      <c r="S124" s="32" t="s">
        <v>399</v>
      </c>
      <c r="T124" s="32">
        <v>6506666730</v>
      </c>
      <c r="U124" s="32" t="s">
        <v>894</v>
      </c>
      <c r="V124" s="32">
        <v>22789</v>
      </c>
      <c r="Y124" s="32" t="s">
        <v>187</v>
      </c>
      <c r="Z124" s="32" t="s">
        <v>188</v>
      </c>
      <c r="AA124" s="32" t="s">
        <v>189</v>
      </c>
      <c r="AB124" s="32" t="s">
        <v>55</v>
      </c>
      <c r="AC124" s="32" t="s">
        <v>56</v>
      </c>
      <c r="AD124" s="32" t="s">
        <v>78</v>
      </c>
      <c r="AE124" s="32">
        <v>20513040718</v>
      </c>
      <c r="AF124" s="32" t="s">
        <v>717</v>
      </c>
      <c r="AG124" s="32" t="s">
        <v>718</v>
      </c>
      <c r="AH124" s="32" t="s">
        <v>669</v>
      </c>
      <c r="AI124" s="32" t="s">
        <v>719</v>
      </c>
      <c r="AJ124" s="32" t="s">
        <v>720</v>
      </c>
      <c r="AL124" s="32" t="s">
        <v>491</v>
      </c>
      <c r="AM124" s="32" t="s">
        <v>278</v>
      </c>
      <c r="AN124" s="32" t="s">
        <v>278</v>
      </c>
      <c r="AO124" s="32" t="s">
        <v>491</v>
      </c>
      <c r="AP124" s="32" t="s">
        <v>491</v>
      </c>
      <c r="AQ124" s="32" t="s">
        <v>491</v>
      </c>
      <c r="AR124" s="32" t="s">
        <v>491</v>
      </c>
      <c r="AS124" s="32" t="s">
        <v>83</v>
      </c>
      <c r="AT124" s="32" t="s">
        <v>248</v>
      </c>
      <c r="AU124" s="56">
        <v>46208.708333333336</v>
      </c>
      <c r="AV124" s="56">
        <v>46208.861805555556</v>
      </c>
      <c r="AW124" s="56">
        <v>46208.869444444441</v>
      </c>
      <c r="AX124" s="56">
        <v>46208.916666666664</v>
      </c>
      <c r="AY124" s="56">
        <v>46208.938194444447</v>
      </c>
      <c r="AZ124" s="56">
        <v>46208.979166666664</v>
      </c>
      <c r="BA124" s="56">
        <v>46209.478472222225</v>
      </c>
      <c r="BB124" s="56">
        <v>46209.486111111109</v>
      </c>
      <c r="BC124" s="56">
        <v>46209.583333333336</v>
      </c>
      <c r="BD124" s="56">
        <v>46209.590277777781</v>
      </c>
      <c r="BE124" s="56">
        <v>46209.625</v>
      </c>
      <c r="BG124" s="56">
        <v>46209.708333333336</v>
      </c>
      <c r="BH124" s="56">
        <v>46209.732638888891</v>
      </c>
      <c r="BI124" s="32" t="s">
        <v>64</v>
      </c>
      <c r="BJ124" s="56">
        <v>46210.166666666664</v>
      </c>
      <c r="BK124" s="56">
        <v>46210.174305555556</v>
      </c>
      <c r="BL124" s="56">
        <v>46210.204861111109</v>
      </c>
      <c r="BM124" s="56">
        <v>46210.604166666664</v>
      </c>
      <c r="BN124" s="56">
        <v>46210.620833333334</v>
      </c>
    </row>
    <row r="125" spans="1:66" x14ac:dyDescent="0.35">
      <c r="A125" t="s">
        <v>176</v>
      </c>
      <c r="B125" s="32">
        <v>40</v>
      </c>
      <c r="C125" s="32">
        <v>27</v>
      </c>
      <c r="D125" s="32" t="s">
        <v>177</v>
      </c>
      <c r="E125" s="32" t="s">
        <v>178</v>
      </c>
      <c r="F125" s="54">
        <v>46205</v>
      </c>
      <c r="G125" s="54">
        <v>46206</v>
      </c>
      <c r="H125" s="55"/>
      <c r="I125" s="55">
        <v>0.58333333333333337</v>
      </c>
      <c r="J125" s="32" t="s">
        <v>53</v>
      </c>
      <c r="K125" s="32" t="s">
        <v>179</v>
      </c>
      <c r="L125" s="32">
        <v>1</v>
      </c>
      <c r="M125" s="32" t="s">
        <v>895</v>
      </c>
      <c r="P125" s="32" t="s">
        <v>182</v>
      </c>
      <c r="Q125" s="32" t="s">
        <v>84</v>
      </c>
      <c r="R125" s="32" t="s">
        <v>183</v>
      </c>
      <c r="S125" s="32" t="s">
        <v>1914</v>
      </c>
      <c r="T125" s="32" t="s">
        <v>896</v>
      </c>
      <c r="U125" s="32" t="s">
        <v>897</v>
      </c>
      <c r="V125" s="32">
        <v>393974</v>
      </c>
      <c r="W125" s="32" t="s">
        <v>1915</v>
      </c>
      <c r="Y125" s="32" t="s">
        <v>949</v>
      </c>
      <c r="Z125" s="32" t="s">
        <v>188</v>
      </c>
      <c r="AA125" s="32" t="s">
        <v>189</v>
      </c>
      <c r="AB125" s="32" t="s">
        <v>55</v>
      </c>
      <c r="AC125" s="32" t="s">
        <v>92</v>
      </c>
      <c r="AD125" s="32" t="s">
        <v>770</v>
      </c>
      <c r="AE125" s="32">
        <v>20614404460</v>
      </c>
      <c r="AF125" s="32" t="s">
        <v>898</v>
      </c>
      <c r="AG125" s="32" t="s">
        <v>899</v>
      </c>
      <c r="AH125" s="32" t="s">
        <v>669</v>
      </c>
      <c r="AI125" s="32" t="s">
        <v>900</v>
      </c>
      <c r="AJ125" s="32" t="s">
        <v>901</v>
      </c>
      <c r="AL125" s="32" t="s">
        <v>491</v>
      </c>
      <c r="AM125" s="32" t="s">
        <v>278</v>
      </c>
      <c r="AN125" s="32" t="s">
        <v>278</v>
      </c>
      <c r="AO125" s="32" t="s">
        <v>491</v>
      </c>
      <c r="AP125" s="32" t="s">
        <v>491</v>
      </c>
      <c r="AQ125" s="32" t="s">
        <v>491</v>
      </c>
      <c r="AR125" s="32" t="s">
        <v>491</v>
      </c>
      <c r="AS125" s="32" t="s">
        <v>84</v>
      </c>
      <c r="AT125" s="32" t="s">
        <v>902</v>
      </c>
      <c r="AU125" s="56">
        <v>46204.541666666664</v>
      </c>
      <c r="AV125" s="56">
        <v>46205.559027777781</v>
      </c>
      <c r="AW125" s="56">
        <v>46205.599305555559</v>
      </c>
      <c r="AX125" s="56">
        <v>46205.625</v>
      </c>
      <c r="AY125" s="56">
        <v>46205.636805555558</v>
      </c>
      <c r="AZ125" s="56">
        <v>46205.666666666664</v>
      </c>
      <c r="BA125" s="56">
        <v>46206.444444444445</v>
      </c>
      <c r="BB125" s="56">
        <v>46206.454861111109</v>
      </c>
      <c r="BC125" s="56">
        <v>46206.5</v>
      </c>
      <c r="BD125" s="56">
        <v>46206.509027777778</v>
      </c>
      <c r="BE125" s="56">
        <v>46206.583333333336</v>
      </c>
      <c r="BG125" s="56">
        <v>46206.75</v>
      </c>
      <c r="BH125" s="56">
        <v>46206.776388888888</v>
      </c>
      <c r="BI125" s="32" t="s">
        <v>64</v>
      </c>
      <c r="BJ125" s="56">
        <v>46207.583333333336</v>
      </c>
      <c r="BK125" s="56">
        <v>46207.584027777775</v>
      </c>
      <c r="BL125" s="56">
        <v>46207.675694444442</v>
      </c>
      <c r="BM125" s="56">
        <v>46207.666666666664</v>
      </c>
      <c r="BN125" s="56">
        <v>46207.681250000001</v>
      </c>
    </row>
    <row r="126" spans="1:66" x14ac:dyDescent="0.35">
      <c r="A126" t="s">
        <v>176</v>
      </c>
      <c r="B126" s="32">
        <v>41</v>
      </c>
      <c r="C126" s="32">
        <v>27</v>
      </c>
      <c r="D126" s="32" t="s">
        <v>177</v>
      </c>
      <c r="E126" s="32" t="s">
        <v>178</v>
      </c>
      <c r="F126" s="54">
        <v>46205</v>
      </c>
      <c r="G126" s="54">
        <v>46206</v>
      </c>
      <c r="H126" s="55"/>
      <c r="I126" s="55">
        <v>0.625</v>
      </c>
      <c r="J126" s="32" t="s">
        <v>53</v>
      </c>
      <c r="K126" s="32" t="s">
        <v>179</v>
      </c>
      <c r="L126" s="32">
        <v>1</v>
      </c>
      <c r="M126" s="32" t="s">
        <v>903</v>
      </c>
      <c r="P126" s="32" t="s">
        <v>182</v>
      </c>
      <c r="Q126" s="32" t="s">
        <v>84</v>
      </c>
      <c r="R126" s="32" t="s">
        <v>183</v>
      </c>
      <c r="S126" s="32" t="s">
        <v>1914</v>
      </c>
      <c r="T126" s="32" t="s">
        <v>904</v>
      </c>
      <c r="U126" s="32" t="s">
        <v>905</v>
      </c>
      <c r="V126" s="32">
        <v>3940</v>
      </c>
      <c r="Y126" s="32" t="s">
        <v>949</v>
      </c>
      <c r="Z126" s="32" t="s">
        <v>188</v>
      </c>
      <c r="AA126" s="32" t="s">
        <v>189</v>
      </c>
      <c r="AB126" s="32" t="s">
        <v>55</v>
      </c>
      <c r="AC126" s="32" t="s">
        <v>92</v>
      </c>
      <c r="AD126" s="32" t="s">
        <v>906</v>
      </c>
      <c r="AE126" s="32">
        <v>20609718561</v>
      </c>
      <c r="AF126" s="32" t="s">
        <v>907</v>
      </c>
      <c r="AG126" s="32" t="s">
        <v>908</v>
      </c>
      <c r="AH126" s="32" t="s">
        <v>669</v>
      </c>
      <c r="AI126" s="32" t="s">
        <v>909</v>
      </c>
      <c r="AJ126" s="32" t="s">
        <v>910</v>
      </c>
      <c r="AL126" s="32" t="s">
        <v>491</v>
      </c>
      <c r="AM126" s="32" t="s">
        <v>278</v>
      </c>
      <c r="AN126" s="32" t="s">
        <v>278</v>
      </c>
      <c r="AO126" s="32" t="s">
        <v>491</v>
      </c>
      <c r="AP126" s="32" t="s">
        <v>491</v>
      </c>
      <c r="AQ126" s="32" t="s">
        <v>491</v>
      </c>
      <c r="AR126" s="32" t="s">
        <v>491</v>
      </c>
      <c r="AS126" s="32" t="s">
        <v>84</v>
      </c>
      <c r="AT126" s="32" t="s">
        <v>902</v>
      </c>
      <c r="AU126" s="56">
        <v>46205.625</v>
      </c>
      <c r="AV126" s="56">
        <v>46205.618055555555</v>
      </c>
      <c r="AW126" s="56">
        <v>46205.625</v>
      </c>
      <c r="AX126" s="56">
        <v>46205.75</v>
      </c>
      <c r="AY126" s="56">
        <v>46205.788888888892</v>
      </c>
      <c r="AZ126" s="56">
        <v>46205.833333333336</v>
      </c>
      <c r="BA126" s="56">
        <v>46206.425694444442</v>
      </c>
      <c r="BB126" s="56">
        <v>46206.454861111109</v>
      </c>
      <c r="BE126" s="56">
        <v>46206.625</v>
      </c>
      <c r="BG126" s="56">
        <v>46206.75</v>
      </c>
      <c r="BH126" s="56">
        <v>46206.774305555555</v>
      </c>
      <c r="BI126" s="32" t="s">
        <v>64</v>
      </c>
      <c r="BJ126" s="56">
        <v>46207.416666666664</v>
      </c>
      <c r="BK126" s="56">
        <v>46207.448611111111</v>
      </c>
      <c r="BL126" s="56">
        <v>46207.498611111114</v>
      </c>
      <c r="BM126" s="56">
        <v>46207.5</v>
      </c>
      <c r="BN126" s="56">
        <v>46207.506944444445</v>
      </c>
    </row>
    <row r="127" spans="1:66" x14ac:dyDescent="0.35">
      <c r="A127" t="s">
        <v>176</v>
      </c>
      <c r="B127" s="32">
        <v>37</v>
      </c>
      <c r="C127" s="32">
        <v>27</v>
      </c>
      <c r="D127" s="32" t="s">
        <v>177</v>
      </c>
      <c r="E127" s="32" t="s">
        <v>178</v>
      </c>
      <c r="F127" s="54">
        <v>46206</v>
      </c>
      <c r="G127" s="54">
        <v>46207</v>
      </c>
      <c r="H127" s="55"/>
      <c r="I127" s="55">
        <v>0.625</v>
      </c>
      <c r="J127" s="32" t="s">
        <v>53</v>
      </c>
      <c r="K127" s="32" t="s">
        <v>179</v>
      </c>
      <c r="L127" s="32">
        <v>1</v>
      </c>
      <c r="M127" s="32" t="s">
        <v>884</v>
      </c>
      <c r="P127" s="32" t="s">
        <v>182</v>
      </c>
      <c r="Q127" s="32" t="s">
        <v>83</v>
      </c>
      <c r="R127" s="32" t="s">
        <v>1853</v>
      </c>
      <c r="S127" s="32" t="s">
        <v>399</v>
      </c>
      <c r="T127" s="32">
        <v>6506964600</v>
      </c>
      <c r="U127" s="32" t="s">
        <v>885</v>
      </c>
      <c r="V127" s="32">
        <v>22766</v>
      </c>
      <c r="Y127" s="32" t="s">
        <v>187</v>
      </c>
      <c r="Z127" s="32" t="s">
        <v>188</v>
      </c>
      <c r="AA127" s="32" t="s">
        <v>189</v>
      </c>
      <c r="AB127" s="32" t="s">
        <v>55</v>
      </c>
      <c r="AC127" s="32" t="s">
        <v>56</v>
      </c>
      <c r="AD127" s="32" t="s">
        <v>78</v>
      </c>
      <c r="AE127" s="32">
        <v>20513040718</v>
      </c>
      <c r="AF127" s="32" t="s">
        <v>886</v>
      </c>
      <c r="AG127" s="32" t="s">
        <v>887</v>
      </c>
      <c r="AH127" s="32" t="s">
        <v>669</v>
      </c>
      <c r="AI127" s="32" t="s">
        <v>888</v>
      </c>
      <c r="AJ127" s="32" t="s">
        <v>889</v>
      </c>
      <c r="AL127" s="32" t="s">
        <v>491</v>
      </c>
      <c r="AM127" s="32" t="s">
        <v>278</v>
      </c>
      <c r="AN127" s="32" t="s">
        <v>278</v>
      </c>
      <c r="AO127" s="32" t="s">
        <v>491</v>
      </c>
      <c r="AP127" s="32" t="s">
        <v>491</v>
      </c>
      <c r="AQ127" s="32" t="s">
        <v>491</v>
      </c>
      <c r="AR127" s="32" t="s">
        <v>491</v>
      </c>
      <c r="AS127" s="32" t="s">
        <v>83</v>
      </c>
      <c r="AT127" s="32" t="s">
        <v>248</v>
      </c>
      <c r="AU127" s="56">
        <v>46206.791666666664</v>
      </c>
      <c r="AV127" s="56">
        <v>46206.806944444441</v>
      </c>
      <c r="AW127" s="56">
        <v>46206.8125</v>
      </c>
      <c r="AX127" s="56">
        <v>46206.916666666664</v>
      </c>
      <c r="AY127" s="56">
        <v>46206.921527777777</v>
      </c>
      <c r="AZ127" s="56">
        <v>46206.916666666664</v>
      </c>
      <c r="BA127" s="56">
        <v>46207.625</v>
      </c>
      <c r="BB127" s="56">
        <v>46207.652777777781</v>
      </c>
      <c r="BC127" s="56">
        <v>46207.665277777778</v>
      </c>
      <c r="BD127" s="56">
        <v>46207.665277777778</v>
      </c>
      <c r="BE127" s="56">
        <v>46207.666666666664</v>
      </c>
      <c r="BG127" s="56">
        <v>46207.833333333336</v>
      </c>
      <c r="BH127" s="56">
        <v>46207.871527777781</v>
      </c>
      <c r="BI127" s="32" t="s">
        <v>248</v>
      </c>
      <c r="BJ127" s="56">
        <v>46208.416666666664</v>
      </c>
      <c r="BK127" s="56">
        <v>46208.418055555558</v>
      </c>
      <c r="BL127" s="56">
        <v>46208.510416666664</v>
      </c>
      <c r="BM127" s="56">
        <v>46208.5</v>
      </c>
      <c r="BN127" s="56">
        <v>46208.53125</v>
      </c>
    </row>
    <row r="128" spans="1:66" x14ac:dyDescent="0.35">
      <c r="A128" t="s">
        <v>176</v>
      </c>
      <c r="B128" s="32">
        <v>30</v>
      </c>
      <c r="C128" s="32">
        <v>27</v>
      </c>
      <c r="D128" s="32" t="s">
        <v>177</v>
      </c>
      <c r="E128" s="32" t="s">
        <v>178</v>
      </c>
      <c r="F128" s="54">
        <v>46207</v>
      </c>
      <c r="G128" s="54">
        <v>46208</v>
      </c>
      <c r="H128" s="55"/>
      <c r="I128" s="55">
        <v>0.5</v>
      </c>
      <c r="J128" s="32" t="s">
        <v>53</v>
      </c>
      <c r="K128" s="32" t="s">
        <v>179</v>
      </c>
      <c r="L128" s="32">
        <v>1</v>
      </c>
      <c r="M128" s="32" t="s">
        <v>847</v>
      </c>
      <c r="P128" s="32" t="s">
        <v>182</v>
      </c>
      <c r="Q128" s="32" t="s">
        <v>83</v>
      </c>
      <c r="R128" s="32" t="s">
        <v>947</v>
      </c>
      <c r="S128" s="32" t="s">
        <v>399</v>
      </c>
      <c r="T128" s="32">
        <v>6506666550</v>
      </c>
      <c r="U128" s="32" t="s">
        <v>848</v>
      </c>
      <c r="V128" s="32">
        <v>22779</v>
      </c>
      <c r="Y128" s="32" t="s">
        <v>187</v>
      </c>
      <c r="Z128" s="32" t="s">
        <v>188</v>
      </c>
      <c r="AA128" s="32" t="s">
        <v>189</v>
      </c>
      <c r="AB128" s="32" t="s">
        <v>55</v>
      </c>
      <c r="AC128" s="32" t="s">
        <v>92</v>
      </c>
      <c r="AD128" s="32" t="s">
        <v>849</v>
      </c>
      <c r="AE128" s="32">
        <v>10257534745</v>
      </c>
      <c r="AF128" s="32" t="s">
        <v>850</v>
      </c>
      <c r="AG128" s="32" t="s">
        <v>851</v>
      </c>
      <c r="AH128" s="32" t="s">
        <v>669</v>
      </c>
      <c r="AI128" s="32" t="s">
        <v>849</v>
      </c>
      <c r="AJ128" s="32" t="s">
        <v>852</v>
      </c>
      <c r="AL128" s="32" t="s">
        <v>491</v>
      </c>
      <c r="AM128" s="32" t="s">
        <v>278</v>
      </c>
      <c r="AN128" s="32" t="s">
        <v>278</v>
      </c>
      <c r="AO128" s="32" t="s">
        <v>491</v>
      </c>
      <c r="AP128" s="32" t="s">
        <v>491</v>
      </c>
      <c r="AQ128" s="32" t="s">
        <v>491</v>
      </c>
      <c r="AR128" s="32" t="s">
        <v>491</v>
      </c>
      <c r="AS128" s="32" t="s">
        <v>83</v>
      </c>
      <c r="AT128" s="32" t="s">
        <v>248</v>
      </c>
      <c r="AU128" s="56">
        <v>46207.583333333336</v>
      </c>
      <c r="AV128" s="56">
        <v>46207.604166666664</v>
      </c>
      <c r="AW128" s="56">
        <v>46207.615972222222</v>
      </c>
      <c r="AX128" s="56">
        <v>46207.708333333336</v>
      </c>
      <c r="AY128" s="56">
        <v>46207.71597222222</v>
      </c>
      <c r="AZ128" s="56">
        <v>46207.791666666664</v>
      </c>
      <c r="BA128" s="56">
        <v>46208.458333333336</v>
      </c>
      <c r="BB128" s="56">
        <v>46208.490277777775</v>
      </c>
      <c r="BC128" s="56">
        <v>46208.541666666664</v>
      </c>
      <c r="BD128" s="56">
        <v>46208.55</v>
      </c>
      <c r="BE128" s="56">
        <v>46208.583333333336</v>
      </c>
      <c r="BG128" s="56">
        <v>46208.666666666664</v>
      </c>
      <c r="BH128" s="56">
        <v>46208.674305555556</v>
      </c>
      <c r="BI128" s="32" t="s">
        <v>248</v>
      </c>
      <c r="BJ128" s="56">
        <v>46209.375</v>
      </c>
      <c r="BK128" s="56">
        <v>46209.383333333331</v>
      </c>
      <c r="BL128" s="56">
        <v>46209.385416666664</v>
      </c>
      <c r="BM128" s="56">
        <v>46209.375</v>
      </c>
      <c r="BN128" s="56">
        <v>46209.401388888888</v>
      </c>
    </row>
    <row r="129" spans="1:66" x14ac:dyDescent="0.35">
      <c r="A129" t="s">
        <v>176</v>
      </c>
      <c r="B129" s="32">
        <v>42</v>
      </c>
      <c r="C129" s="32">
        <v>30</v>
      </c>
      <c r="D129" s="32" t="s">
        <v>177</v>
      </c>
      <c r="E129" s="32" t="s">
        <v>178</v>
      </c>
      <c r="F129" s="54">
        <v>46224</v>
      </c>
      <c r="G129" s="54">
        <v>46225</v>
      </c>
      <c r="H129" s="55"/>
      <c r="I129" s="55">
        <v>0.5</v>
      </c>
      <c r="J129" s="32" t="s">
        <v>53</v>
      </c>
      <c r="K129" s="32" t="s">
        <v>179</v>
      </c>
      <c r="L129" s="32">
        <v>1</v>
      </c>
      <c r="M129" s="32" t="s">
        <v>911</v>
      </c>
      <c r="P129" s="32" t="s">
        <v>182</v>
      </c>
      <c r="Q129" s="32" t="s">
        <v>83</v>
      </c>
      <c r="R129" s="32" t="s">
        <v>947</v>
      </c>
      <c r="S129" s="32" t="s">
        <v>399</v>
      </c>
      <c r="T129" s="32">
        <v>6508577320</v>
      </c>
      <c r="U129" s="32" t="s">
        <v>912</v>
      </c>
      <c r="V129" s="32">
        <v>22997</v>
      </c>
      <c r="X129" s="32" t="s">
        <v>187</v>
      </c>
      <c r="Y129" s="32" t="s">
        <v>188</v>
      </c>
      <c r="Z129" s="32" t="s">
        <v>188</v>
      </c>
      <c r="AA129" s="32" t="s">
        <v>189</v>
      </c>
      <c r="AB129" s="32" t="s">
        <v>55</v>
      </c>
      <c r="AC129" s="32" t="s">
        <v>56</v>
      </c>
      <c r="AD129" s="32" t="s">
        <v>78</v>
      </c>
      <c r="AE129" s="32">
        <v>20513040718</v>
      </c>
      <c r="AF129" s="32" t="s">
        <v>778</v>
      </c>
      <c r="AG129" s="32" t="s">
        <v>779</v>
      </c>
      <c r="AH129" s="32" t="s">
        <v>669</v>
      </c>
      <c r="AI129" s="32" t="s">
        <v>780</v>
      </c>
      <c r="AJ129" s="32" t="s">
        <v>781</v>
      </c>
      <c r="AL129" s="32" t="s">
        <v>491</v>
      </c>
      <c r="AM129" s="32" t="s">
        <v>278</v>
      </c>
      <c r="AN129" s="32" t="s">
        <v>278</v>
      </c>
      <c r="AO129" s="32" t="s">
        <v>491</v>
      </c>
      <c r="AP129" s="32" t="s">
        <v>491</v>
      </c>
      <c r="AQ129" s="32" t="s">
        <v>491</v>
      </c>
      <c r="AR129" s="32" t="s">
        <v>491</v>
      </c>
      <c r="AS129" s="32" t="s">
        <v>83</v>
      </c>
      <c r="AT129" s="32" t="s">
        <v>248</v>
      </c>
      <c r="AU129" s="56">
        <v>46224.75</v>
      </c>
      <c r="AV129" s="56">
        <v>46224.84375</v>
      </c>
      <c r="AW129" s="56">
        <v>46224.854166666664</v>
      </c>
      <c r="AX129" s="56">
        <v>46224.879166666666</v>
      </c>
      <c r="AY129" s="56">
        <v>46224.927083333336</v>
      </c>
      <c r="AZ129" s="56">
        <v>46225.958333333336</v>
      </c>
      <c r="BA129" s="56">
        <v>46225.518750000003</v>
      </c>
      <c r="BB129" s="56">
        <v>46225.527777777781</v>
      </c>
      <c r="BH129" s="56">
        <v>46225.728472222225</v>
      </c>
      <c r="BI129" s="32" t="s">
        <v>248</v>
      </c>
      <c r="BJ129" s="56">
        <v>46226.333333333336</v>
      </c>
      <c r="BK129" s="56">
        <v>46226.342361111114</v>
      </c>
      <c r="BL129" s="56">
        <v>46226.34375</v>
      </c>
      <c r="BM129" s="56">
        <v>46226.35833333333</v>
      </c>
      <c r="BN129" s="56">
        <v>46226.372916666667</v>
      </c>
    </row>
    <row r="130" spans="1:66" x14ac:dyDescent="0.35">
      <c r="A130" t="s">
        <v>176</v>
      </c>
      <c r="B130" s="32">
        <v>43</v>
      </c>
      <c r="C130" s="32">
        <v>30</v>
      </c>
      <c r="D130" s="32" t="s">
        <v>177</v>
      </c>
      <c r="E130" s="32" t="s">
        <v>178</v>
      </c>
      <c r="F130" s="54">
        <v>46224</v>
      </c>
      <c r="G130" s="54">
        <v>46225</v>
      </c>
      <c r="H130" s="55"/>
      <c r="I130" s="55">
        <v>0.5</v>
      </c>
      <c r="J130" s="32" t="s">
        <v>53</v>
      </c>
      <c r="K130" s="32" t="s">
        <v>179</v>
      </c>
      <c r="L130" s="32">
        <v>1</v>
      </c>
      <c r="M130" s="32" t="s">
        <v>913</v>
      </c>
      <c r="P130" s="32" t="s">
        <v>182</v>
      </c>
      <c r="Q130" s="32" t="s">
        <v>83</v>
      </c>
      <c r="R130" s="32" t="s">
        <v>947</v>
      </c>
      <c r="S130" s="32" t="s">
        <v>399</v>
      </c>
      <c r="T130" s="32">
        <v>6508706620</v>
      </c>
      <c r="U130" s="32" t="s">
        <v>914</v>
      </c>
      <c r="V130" s="32">
        <v>22998</v>
      </c>
      <c r="X130" s="32" t="s">
        <v>187</v>
      </c>
      <c r="Y130" s="32" t="s">
        <v>188</v>
      </c>
      <c r="Z130" s="32" t="s">
        <v>188</v>
      </c>
      <c r="AA130" s="32" t="s">
        <v>189</v>
      </c>
      <c r="AB130" s="32" t="s">
        <v>55</v>
      </c>
      <c r="AC130" s="32" t="s">
        <v>56</v>
      </c>
      <c r="AD130" s="32" t="s">
        <v>78</v>
      </c>
      <c r="AE130" s="32">
        <v>20513040718</v>
      </c>
      <c r="AF130" s="32" t="s">
        <v>886</v>
      </c>
      <c r="AG130" s="32" t="s">
        <v>915</v>
      </c>
      <c r="AH130" s="32" t="s">
        <v>669</v>
      </c>
      <c r="AI130" s="32" t="s">
        <v>888</v>
      </c>
      <c r="AJ130" s="32" t="s">
        <v>889</v>
      </c>
      <c r="AL130" s="32" t="s">
        <v>491</v>
      </c>
      <c r="AM130" s="32" t="s">
        <v>278</v>
      </c>
      <c r="AN130" s="32" t="s">
        <v>278</v>
      </c>
      <c r="AO130" s="32" t="s">
        <v>491</v>
      </c>
      <c r="AP130" s="32" t="s">
        <v>491</v>
      </c>
      <c r="AQ130" s="32" t="s">
        <v>491</v>
      </c>
      <c r="AR130" s="32" t="s">
        <v>491</v>
      </c>
      <c r="AS130" s="32" t="s">
        <v>83</v>
      </c>
      <c r="AT130" s="32" t="s">
        <v>248</v>
      </c>
      <c r="AU130" s="56">
        <v>46224.75</v>
      </c>
      <c r="AV130" s="56">
        <v>46224.84375</v>
      </c>
      <c r="AW130" s="56">
        <v>46224.849305555559</v>
      </c>
      <c r="AX130" s="56">
        <v>46224.878472222219</v>
      </c>
      <c r="AY130" s="56">
        <v>46224.934027777781</v>
      </c>
      <c r="AZ130" s="56">
        <v>46225.958333333336</v>
      </c>
      <c r="BA130" s="56">
        <v>46225.521527777775</v>
      </c>
      <c r="BB130" s="56">
        <v>46225.53125</v>
      </c>
      <c r="BC130" s="56">
        <v>46225.563194444447</v>
      </c>
      <c r="BD130" s="56">
        <v>46225.56527777778</v>
      </c>
      <c r="BE130" s="56">
        <v>46225.569444444445</v>
      </c>
      <c r="BG130" s="56">
        <v>46225.741666666669</v>
      </c>
      <c r="BH130" s="56">
        <v>46225.754166666666</v>
      </c>
      <c r="BI130" s="32" t="s">
        <v>248</v>
      </c>
      <c r="BJ130" s="56">
        <v>46226.333333333336</v>
      </c>
      <c r="BK130" s="56">
        <v>46226.350694444445</v>
      </c>
      <c r="BL130" s="56">
        <v>46226.352083333331</v>
      </c>
      <c r="BM130" s="56">
        <v>46226.356944444444</v>
      </c>
      <c r="BN130" s="56">
        <v>46226.375694444447</v>
      </c>
    </row>
    <row r="131" spans="1:66" x14ac:dyDescent="0.35">
      <c r="A131" t="s">
        <v>176</v>
      </c>
      <c r="B131" s="32">
        <v>44</v>
      </c>
      <c r="C131" s="32">
        <v>30</v>
      </c>
      <c r="D131" s="32" t="s">
        <v>177</v>
      </c>
      <c r="E131" s="32" t="s">
        <v>178</v>
      </c>
      <c r="F131" s="54">
        <v>46224</v>
      </c>
      <c r="G131" s="54">
        <v>46225</v>
      </c>
      <c r="H131" s="55"/>
      <c r="I131" s="55">
        <v>0.5</v>
      </c>
      <c r="J131" s="32" t="s">
        <v>53</v>
      </c>
      <c r="K131" s="32" t="s">
        <v>179</v>
      </c>
      <c r="L131" s="32">
        <v>1</v>
      </c>
      <c r="M131" s="32" t="s">
        <v>916</v>
      </c>
      <c r="P131" s="32" t="s">
        <v>182</v>
      </c>
      <c r="Q131" s="32" t="s">
        <v>83</v>
      </c>
      <c r="R131" s="32" t="s">
        <v>947</v>
      </c>
      <c r="S131" s="32" t="s">
        <v>399</v>
      </c>
      <c r="T131" s="32">
        <v>6508707680</v>
      </c>
      <c r="U131" s="32" t="s">
        <v>917</v>
      </c>
      <c r="V131" s="32">
        <v>23008</v>
      </c>
      <c r="X131" s="32" t="s">
        <v>187</v>
      </c>
      <c r="Y131" s="32" t="s">
        <v>188</v>
      </c>
      <c r="Z131" s="32" t="s">
        <v>188</v>
      </c>
      <c r="AA131" s="32" t="s">
        <v>189</v>
      </c>
      <c r="AB131" s="32" t="s">
        <v>55</v>
      </c>
      <c r="AC131" s="32" t="s">
        <v>56</v>
      </c>
      <c r="AD131" s="32" t="s">
        <v>78</v>
      </c>
      <c r="AE131" s="32">
        <v>20513040718</v>
      </c>
      <c r="AF131" s="32" t="s">
        <v>918</v>
      </c>
      <c r="AG131" s="32" t="s">
        <v>919</v>
      </c>
      <c r="AH131" s="32" t="s">
        <v>669</v>
      </c>
      <c r="AI131" s="32" t="s">
        <v>920</v>
      </c>
      <c r="AJ131" s="32" t="s">
        <v>921</v>
      </c>
      <c r="AL131" s="32" t="s">
        <v>491</v>
      </c>
      <c r="AM131" s="32" t="s">
        <v>278</v>
      </c>
      <c r="AN131" s="32" t="s">
        <v>278</v>
      </c>
      <c r="AO131" s="32" t="s">
        <v>491</v>
      </c>
      <c r="AP131" s="32" t="s">
        <v>491</v>
      </c>
      <c r="AQ131" s="32" t="s">
        <v>491</v>
      </c>
      <c r="AR131" s="32" t="s">
        <v>491</v>
      </c>
      <c r="AS131" s="32" t="s">
        <v>83</v>
      </c>
      <c r="AT131" s="32" t="s">
        <v>248</v>
      </c>
      <c r="AU131" s="56">
        <v>46224.791666666664</v>
      </c>
      <c r="AV131" s="56">
        <v>46224.840277777781</v>
      </c>
      <c r="AW131" s="56">
        <v>46224.842361111114</v>
      </c>
      <c r="AX131" s="56">
        <v>46224.979166666664</v>
      </c>
      <c r="AY131" s="56">
        <v>46225.090277777781</v>
      </c>
      <c r="AZ131" s="56">
        <v>46226.125</v>
      </c>
      <c r="BA131" s="56">
        <v>46225.518750000003</v>
      </c>
      <c r="BB131" s="56">
        <v>46225.527777777781</v>
      </c>
      <c r="BC131" s="56">
        <v>46225.55</v>
      </c>
      <c r="BD131" s="56">
        <v>46225.552083333336</v>
      </c>
      <c r="BE131" s="56">
        <v>46225.556944444441</v>
      </c>
      <c r="BG131" s="56">
        <v>46225.702777777777</v>
      </c>
      <c r="BH131" s="56">
        <v>46225.729166666664</v>
      </c>
      <c r="BI131" s="32" t="s">
        <v>248</v>
      </c>
      <c r="BJ131" s="56">
        <v>46226.333333333336</v>
      </c>
      <c r="BK131" s="56">
        <v>46226.342361111114</v>
      </c>
      <c r="BL131" s="56">
        <v>46226.34375</v>
      </c>
      <c r="BM131" s="56">
        <v>46226.354861111111</v>
      </c>
      <c r="BN131" s="56">
        <v>46226.370138888888</v>
      </c>
    </row>
    <row r="132" spans="1:66" x14ac:dyDescent="0.35">
      <c r="A132" t="s">
        <v>176</v>
      </c>
      <c r="B132" s="32">
        <v>45</v>
      </c>
      <c r="C132" s="32">
        <v>30</v>
      </c>
      <c r="D132" s="32" t="s">
        <v>177</v>
      </c>
      <c r="E132" s="32" t="s">
        <v>178</v>
      </c>
      <c r="F132" s="54">
        <v>46229</v>
      </c>
      <c r="G132" s="54">
        <v>46230</v>
      </c>
      <c r="H132" s="55"/>
      <c r="I132" s="55">
        <v>0.5</v>
      </c>
      <c r="J132" s="32" t="s">
        <v>53</v>
      </c>
      <c r="K132" s="32" t="s">
        <v>179</v>
      </c>
      <c r="L132" s="32">
        <v>1</v>
      </c>
      <c r="M132" s="32" t="s">
        <v>922</v>
      </c>
      <c r="P132" s="32" t="s">
        <v>182</v>
      </c>
      <c r="Q132" s="32" t="s">
        <v>84</v>
      </c>
      <c r="R132" s="32" t="s">
        <v>1856</v>
      </c>
      <c r="S132" s="32" t="s">
        <v>1854</v>
      </c>
      <c r="T132" s="32">
        <v>751600040984</v>
      </c>
      <c r="U132" s="32" t="s">
        <v>923</v>
      </c>
      <c r="V132" s="32">
        <v>799363</v>
      </c>
      <c r="X132" s="32" t="s">
        <v>187</v>
      </c>
      <c r="Y132" s="32" t="s">
        <v>188</v>
      </c>
      <c r="Z132" s="32" t="s">
        <v>188</v>
      </c>
      <c r="AA132" s="32" t="s">
        <v>189</v>
      </c>
      <c r="AB132" s="32" t="s">
        <v>55</v>
      </c>
      <c r="AC132" s="32" t="s">
        <v>56</v>
      </c>
      <c r="AD132" s="32" t="s">
        <v>78</v>
      </c>
      <c r="AE132" s="32">
        <v>20513040718</v>
      </c>
      <c r="AF132" s="32" t="s">
        <v>692</v>
      </c>
      <c r="AG132" s="32" t="s">
        <v>693</v>
      </c>
      <c r="AH132" s="32" t="s">
        <v>669</v>
      </c>
      <c r="AI132" s="32" t="s">
        <v>694</v>
      </c>
      <c r="AJ132" s="32" t="s">
        <v>695</v>
      </c>
      <c r="AL132" s="32" t="s">
        <v>491</v>
      </c>
      <c r="AM132" s="32" t="s">
        <v>278</v>
      </c>
      <c r="AN132" s="32" t="s">
        <v>278</v>
      </c>
      <c r="AO132" s="32" t="s">
        <v>491</v>
      </c>
      <c r="AP132" s="32" t="s">
        <v>491</v>
      </c>
      <c r="AQ132" s="32" t="s">
        <v>491</v>
      </c>
      <c r="AR132" s="32" t="s">
        <v>491</v>
      </c>
      <c r="AS132" s="32" t="s">
        <v>84</v>
      </c>
      <c r="AT132" s="32" t="s">
        <v>285</v>
      </c>
      <c r="AU132" s="56">
        <v>46229.666666666664</v>
      </c>
      <c r="AV132" s="56">
        <v>46229.621527777781</v>
      </c>
      <c r="AW132" s="56">
        <v>46229.62222222222</v>
      </c>
      <c r="AX132" s="56">
        <v>46229.631944444445</v>
      </c>
      <c r="AY132" s="56">
        <v>46229.669444444444</v>
      </c>
      <c r="AZ132" s="56">
        <v>46229.708333333336</v>
      </c>
      <c r="BA132" s="56">
        <v>46230.59652777778</v>
      </c>
      <c r="BB132" s="56">
        <v>46230.618055555555</v>
      </c>
      <c r="BC132" s="56">
        <v>46230.633333333331</v>
      </c>
      <c r="BD132" s="56">
        <v>46230.636111111111</v>
      </c>
      <c r="BE132" s="56">
        <v>46230.64166666667</v>
      </c>
      <c r="BG132" s="56">
        <v>46230.751388888886</v>
      </c>
      <c r="BH132" s="56">
        <v>46230.763888888891</v>
      </c>
      <c r="BI132" s="32" t="s">
        <v>64</v>
      </c>
      <c r="BJ132" s="56">
        <v>46231.333333333336</v>
      </c>
      <c r="BK132" s="56">
        <v>46231.34375</v>
      </c>
      <c r="BL132" s="56">
        <v>46231.379166666666</v>
      </c>
      <c r="BM132" s="56">
        <v>46231.402083333334</v>
      </c>
      <c r="BN132" s="56">
        <v>46231.417361111111</v>
      </c>
    </row>
    <row r="133" spans="1:66" x14ac:dyDescent="0.35">
      <c r="A133" t="s">
        <v>176</v>
      </c>
      <c r="B133" s="32">
        <v>46</v>
      </c>
      <c r="C133" s="32">
        <v>30</v>
      </c>
      <c r="D133" s="32" t="s">
        <v>177</v>
      </c>
      <c r="E133" s="32" t="s">
        <v>178</v>
      </c>
      <c r="F133" s="54">
        <v>46229</v>
      </c>
      <c r="G133" s="54">
        <v>46230</v>
      </c>
      <c r="H133" s="55"/>
      <c r="I133" s="55">
        <v>0.5</v>
      </c>
      <c r="J133" s="32" t="s">
        <v>53</v>
      </c>
      <c r="K133" s="32" t="s">
        <v>179</v>
      </c>
      <c r="L133" s="32">
        <v>1</v>
      </c>
      <c r="M133" s="32" t="s">
        <v>924</v>
      </c>
      <c r="P133" s="32" t="s">
        <v>182</v>
      </c>
      <c r="Q133" s="32" t="s">
        <v>83</v>
      </c>
      <c r="R133" s="32" t="s">
        <v>959</v>
      </c>
      <c r="S133" s="32" t="s">
        <v>399</v>
      </c>
      <c r="T133" s="32">
        <v>6508710280</v>
      </c>
      <c r="U133" s="32" t="s">
        <v>925</v>
      </c>
      <c r="V133" s="32">
        <v>23075</v>
      </c>
      <c r="X133" s="32" t="s">
        <v>187</v>
      </c>
      <c r="Y133" s="32" t="s">
        <v>188</v>
      </c>
      <c r="Z133" s="32" t="s">
        <v>188</v>
      </c>
      <c r="AA133" s="32" t="s">
        <v>189</v>
      </c>
      <c r="AB133" s="32" t="s">
        <v>55</v>
      </c>
      <c r="AC133" s="32" t="s">
        <v>92</v>
      </c>
      <c r="AD133" s="32" t="s">
        <v>926</v>
      </c>
      <c r="AE133" s="32">
        <v>20607131610</v>
      </c>
      <c r="AF133" s="32" t="s">
        <v>927</v>
      </c>
      <c r="AG133" s="32" t="s">
        <v>928</v>
      </c>
      <c r="AH133" s="32" t="s">
        <v>669</v>
      </c>
      <c r="AI133" s="32" t="s">
        <v>929</v>
      </c>
      <c r="AJ133" s="32" t="s">
        <v>930</v>
      </c>
      <c r="AL133" s="32" t="s">
        <v>491</v>
      </c>
      <c r="AM133" s="32" t="s">
        <v>278</v>
      </c>
      <c r="AN133" s="32" t="s">
        <v>278</v>
      </c>
      <c r="AO133" s="32" t="s">
        <v>491</v>
      </c>
      <c r="AP133" s="32" t="s">
        <v>491</v>
      </c>
      <c r="AQ133" s="32" t="s">
        <v>491</v>
      </c>
      <c r="AR133" s="32" t="s">
        <v>491</v>
      </c>
      <c r="AS133" s="32" t="s">
        <v>83</v>
      </c>
      <c r="AT133" s="32" t="s">
        <v>248</v>
      </c>
      <c r="AU133" s="56">
        <v>46229.875</v>
      </c>
      <c r="AV133" s="56">
        <v>46229.803472222222</v>
      </c>
      <c r="AW133" s="56">
        <v>46229.842361111114</v>
      </c>
      <c r="AX133" s="56">
        <v>46229.847916666666</v>
      </c>
      <c r="AY133" s="56">
        <v>46229.900694444441</v>
      </c>
      <c r="AZ133" s="56">
        <v>46229.958333333336</v>
      </c>
      <c r="BA133" s="56">
        <v>46230.515972222223</v>
      </c>
      <c r="BB133" s="56">
        <v>46230.520833333336</v>
      </c>
      <c r="BC133" s="56">
        <v>46230.530555555553</v>
      </c>
      <c r="BD133" s="56">
        <v>46230.530555555553</v>
      </c>
      <c r="BE133" s="56">
        <v>46230.536111111112</v>
      </c>
      <c r="BG133" s="56">
        <v>46230.682638888888</v>
      </c>
      <c r="BH133" s="56">
        <v>46230.697222222225</v>
      </c>
      <c r="BI133" s="32" t="s">
        <v>248</v>
      </c>
      <c r="BJ133" s="56">
        <v>46231.166666666664</v>
      </c>
      <c r="BK133" s="56">
        <v>46231.197222222225</v>
      </c>
      <c r="BL133" s="56">
        <v>46231.268750000003</v>
      </c>
      <c r="BM133" s="56">
        <v>46231.379861111112</v>
      </c>
      <c r="BN133" s="56">
        <v>46231.39166666667</v>
      </c>
    </row>
    <row r="134" spans="1:66" x14ac:dyDescent="0.35">
      <c r="A134" t="s">
        <v>176</v>
      </c>
      <c r="B134" s="32">
        <v>47</v>
      </c>
      <c r="C134" s="32">
        <v>30</v>
      </c>
      <c r="D134" s="32" t="s">
        <v>177</v>
      </c>
      <c r="E134" s="32" t="s">
        <v>178</v>
      </c>
      <c r="F134" s="54">
        <v>46224</v>
      </c>
      <c r="G134" s="54">
        <v>46225</v>
      </c>
      <c r="H134" s="55"/>
      <c r="I134" s="55">
        <v>0.58333333333333337</v>
      </c>
      <c r="J134" s="32" t="s">
        <v>53</v>
      </c>
      <c r="K134" s="32" t="s">
        <v>179</v>
      </c>
      <c r="L134" s="32">
        <v>1</v>
      </c>
      <c r="M134" s="32" t="s">
        <v>931</v>
      </c>
      <c r="P134" s="32" t="s">
        <v>182</v>
      </c>
      <c r="Q134" s="32" t="s">
        <v>83</v>
      </c>
      <c r="R134" s="32" t="s">
        <v>947</v>
      </c>
      <c r="S134" s="32" t="s">
        <v>399</v>
      </c>
      <c r="T134" s="32">
        <v>6508866570</v>
      </c>
      <c r="U134" s="32" t="s">
        <v>932</v>
      </c>
      <c r="V134" s="32">
        <v>23005</v>
      </c>
      <c r="Y134" s="32" t="s">
        <v>187</v>
      </c>
      <c r="Z134" s="32" t="s">
        <v>188</v>
      </c>
      <c r="AA134" s="32" t="s">
        <v>189</v>
      </c>
      <c r="AB134" s="32" t="s">
        <v>55</v>
      </c>
      <c r="AC134" s="32" t="s">
        <v>56</v>
      </c>
      <c r="AD134" s="32" t="s">
        <v>78</v>
      </c>
      <c r="AE134" s="32">
        <v>20513040718</v>
      </c>
      <c r="AF134" s="32" t="s">
        <v>704</v>
      </c>
      <c r="AG134" s="32" t="s">
        <v>705</v>
      </c>
      <c r="AH134" s="32" t="s">
        <v>669</v>
      </c>
      <c r="AI134" s="32" t="s">
        <v>706</v>
      </c>
      <c r="AJ134" s="32" t="s">
        <v>707</v>
      </c>
      <c r="AL134" s="32" t="s">
        <v>491</v>
      </c>
      <c r="AM134" s="32" t="s">
        <v>278</v>
      </c>
      <c r="AN134" s="32" t="s">
        <v>278</v>
      </c>
      <c r="AO134" s="32" t="s">
        <v>491</v>
      </c>
      <c r="AP134" s="32" t="s">
        <v>491</v>
      </c>
      <c r="AQ134" s="32" t="s">
        <v>491</v>
      </c>
      <c r="AR134" s="32" t="s">
        <v>491</v>
      </c>
      <c r="AS134" s="32" t="s">
        <v>83</v>
      </c>
      <c r="AT134" s="32" t="s">
        <v>248</v>
      </c>
      <c r="AU134" s="56">
        <v>46224.833333333336</v>
      </c>
      <c r="AV134" s="56">
        <v>46224.923611111109</v>
      </c>
      <c r="AW134" s="56">
        <v>46224.927083333336</v>
      </c>
      <c r="AX134" s="56">
        <v>46224.958333333336</v>
      </c>
      <c r="AY134" s="56">
        <v>46225.020833333336</v>
      </c>
      <c r="AZ134" s="56">
        <v>46225.0625</v>
      </c>
      <c r="BA134" s="56">
        <v>46225.60833333333</v>
      </c>
      <c r="BB134" s="56">
        <v>46225.614583333336</v>
      </c>
      <c r="BC134" s="56">
        <v>46225.620138888888</v>
      </c>
      <c r="BD134" s="56">
        <v>46225.622916666667</v>
      </c>
      <c r="BE134" s="56">
        <v>46225.62777777778</v>
      </c>
      <c r="BG134" s="56">
        <v>46225.760416666664</v>
      </c>
      <c r="BH134" s="56">
        <v>46225.771527777775</v>
      </c>
      <c r="BI134" s="32" t="s">
        <v>248</v>
      </c>
      <c r="BJ134" s="56">
        <v>46226.791666666664</v>
      </c>
      <c r="BK134" s="56">
        <v>46226.82916666667</v>
      </c>
      <c r="BL134" s="56">
        <v>46226.838888888888</v>
      </c>
      <c r="BM134" s="56">
        <v>46226.847222222219</v>
      </c>
      <c r="BN134" s="56">
        <v>46226.868750000001</v>
      </c>
    </row>
    <row r="135" spans="1:66" x14ac:dyDescent="0.35">
      <c r="A135" t="s">
        <v>176</v>
      </c>
      <c r="B135" s="32">
        <v>48</v>
      </c>
      <c r="C135" s="32">
        <v>31</v>
      </c>
      <c r="D135" s="32" t="s">
        <v>177</v>
      </c>
      <c r="E135" s="32" t="s">
        <v>178</v>
      </c>
      <c r="F135" s="54">
        <v>46235</v>
      </c>
      <c r="G135" s="54">
        <v>46236</v>
      </c>
      <c r="H135" s="55"/>
      <c r="I135" s="55">
        <v>0.5</v>
      </c>
      <c r="J135" s="32" t="s">
        <v>53</v>
      </c>
      <c r="K135" s="32" t="s">
        <v>179</v>
      </c>
      <c r="L135" s="32">
        <v>1</v>
      </c>
      <c r="M135" s="32" t="s">
        <v>933</v>
      </c>
      <c r="P135" s="32" t="s">
        <v>182</v>
      </c>
      <c r="Q135" s="32" t="s">
        <v>84</v>
      </c>
      <c r="R135" s="32" t="s">
        <v>947</v>
      </c>
      <c r="S135" s="32" t="s">
        <v>399</v>
      </c>
      <c r="T135" s="32">
        <v>6509439080</v>
      </c>
      <c r="U135" s="32" t="s">
        <v>934</v>
      </c>
      <c r="V135" s="32">
        <v>34742</v>
      </c>
      <c r="W135" s="32">
        <v>32999398</v>
      </c>
      <c r="X135" s="32" t="s">
        <v>187</v>
      </c>
      <c r="Y135" s="32" t="s">
        <v>949</v>
      </c>
      <c r="Z135" s="32" t="s">
        <v>188</v>
      </c>
      <c r="AA135" s="32" t="s">
        <v>189</v>
      </c>
      <c r="AB135" s="32" t="s">
        <v>55</v>
      </c>
      <c r="AC135" s="32" t="s">
        <v>56</v>
      </c>
      <c r="AD135" s="32" t="s">
        <v>78</v>
      </c>
      <c r="AE135" s="32">
        <v>20513040718</v>
      </c>
      <c r="AF135" s="32" t="s">
        <v>730</v>
      </c>
      <c r="AG135" s="32" t="s">
        <v>731</v>
      </c>
      <c r="AH135" s="32" t="s">
        <v>669</v>
      </c>
      <c r="AI135" s="32" t="s">
        <v>732</v>
      </c>
      <c r="AJ135" s="32" t="s">
        <v>733</v>
      </c>
      <c r="AL135" s="32" t="s">
        <v>491</v>
      </c>
      <c r="AM135" s="32" t="s">
        <v>278</v>
      </c>
      <c r="AN135" s="32" t="s">
        <v>278</v>
      </c>
      <c r="AO135" s="32" t="s">
        <v>491</v>
      </c>
      <c r="AP135" s="32" t="s">
        <v>491</v>
      </c>
      <c r="AQ135" s="32" t="s">
        <v>491</v>
      </c>
      <c r="AR135" s="32" t="s">
        <v>491</v>
      </c>
      <c r="AS135" s="32" t="s">
        <v>84</v>
      </c>
      <c r="AT135" s="32" t="s">
        <v>303</v>
      </c>
      <c r="AU135" s="56">
        <v>46235.666666666664</v>
      </c>
      <c r="AV135" s="56">
        <v>46235.729166666664</v>
      </c>
      <c r="AW135" s="56">
        <v>46235.75277777778</v>
      </c>
      <c r="AX135" s="56">
        <v>46235.758333333331</v>
      </c>
      <c r="AY135" s="56">
        <v>46235.854861111111</v>
      </c>
      <c r="AZ135" s="56">
        <v>46235.887499999997</v>
      </c>
      <c r="BA135" s="56">
        <v>46236.48333333333</v>
      </c>
      <c r="BB135" s="56">
        <v>46236.490277777775</v>
      </c>
      <c r="BC135" s="56">
        <v>46236.5</v>
      </c>
      <c r="BD135" s="56">
        <v>46236.504166666666</v>
      </c>
      <c r="BE135" s="56">
        <v>46236.511805555558</v>
      </c>
      <c r="BG135" s="56">
        <v>46236.674305555556</v>
      </c>
      <c r="BH135" s="56">
        <v>46236.700694444444</v>
      </c>
      <c r="BI135" s="32" t="s">
        <v>248</v>
      </c>
      <c r="BJ135" s="56">
        <v>46237.083333333336</v>
      </c>
      <c r="BK135" s="56">
        <v>46237.106249999997</v>
      </c>
      <c r="BL135" s="56">
        <v>46237.125</v>
      </c>
      <c r="BM135" s="56">
        <v>46237.134722222225</v>
      </c>
      <c r="BN135" s="56">
        <v>46237.15</v>
      </c>
    </row>
    <row r="136" spans="1:66" x14ac:dyDescent="0.35">
      <c r="A136" t="s">
        <v>176</v>
      </c>
      <c r="B136" s="32">
        <v>49</v>
      </c>
      <c r="C136" s="32">
        <v>31</v>
      </c>
      <c r="D136" s="32" t="s">
        <v>177</v>
      </c>
      <c r="E136" s="32" t="s">
        <v>178</v>
      </c>
      <c r="F136" s="54">
        <v>46235</v>
      </c>
      <c r="G136" s="54">
        <v>46236</v>
      </c>
      <c r="H136" s="55"/>
      <c r="I136" s="55">
        <v>0.58333333333333337</v>
      </c>
      <c r="J136" s="32" t="s">
        <v>53</v>
      </c>
      <c r="K136" s="32" t="s">
        <v>179</v>
      </c>
      <c r="L136" s="32">
        <v>1</v>
      </c>
      <c r="M136" s="32" t="s">
        <v>935</v>
      </c>
      <c r="P136" s="32" t="s">
        <v>182</v>
      </c>
      <c r="Q136" s="32" t="s">
        <v>84</v>
      </c>
      <c r="R136" s="32" t="s">
        <v>947</v>
      </c>
      <c r="S136" s="32" t="s">
        <v>399</v>
      </c>
      <c r="T136" s="32">
        <v>6509439040</v>
      </c>
      <c r="U136" s="32" t="s">
        <v>936</v>
      </c>
      <c r="W136" s="32">
        <v>32970059</v>
      </c>
      <c r="X136" s="32" t="s">
        <v>187</v>
      </c>
      <c r="Y136" s="32" t="s">
        <v>949</v>
      </c>
      <c r="Z136" s="32" t="s">
        <v>188</v>
      </c>
      <c r="AA136" s="32" t="s">
        <v>189</v>
      </c>
      <c r="AB136" s="32" t="s">
        <v>55</v>
      </c>
      <c r="AC136" s="32" t="s">
        <v>56</v>
      </c>
      <c r="AD136" s="32" t="s">
        <v>78</v>
      </c>
      <c r="AE136" s="32">
        <v>20513040718</v>
      </c>
      <c r="AF136" s="32" t="s">
        <v>58</v>
      </c>
      <c r="AG136" s="32" t="s">
        <v>59</v>
      </c>
      <c r="AH136" s="32" t="s">
        <v>669</v>
      </c>
      <c r="AI136" s="32" t="s">
        <v>60</v>
      </c>
      <c r="AJ136" s="32" t="s">
        <v>61</v>
      </c>
      <c r="AL136" s="32" t="s">
        <v>491</v>
      </c>
      <c r="AM136" s="32" t="s">
        <v>278</v>
      </c>
      <c r="AN136" s="32" t="s">
        <v>278</v>
      </c>
      <c r="AO136" s="32" t="s">
        <v>491</v>
      </c>
      <c r="AP136" s="32" t="s">
        <v>491</v>
      </c>
      <c r="AQ136" s="32" t="s">
        <v>491</v>
      </c>
      <c r="AR136" s="32" t="s">
        <v>491</v>
      </c>
      <c r="AS136" s="32" t="s">
        <v>84</v>
      </c>
      <c r="AT136" s="32" t="s">
        <v>303</v>
      </c>
      <c r="AU136" s="56">
        <v>46235.666666666664</v>
      </c>
      <c r="AV136" s="56">
        <v>46235.67083333333</v>
      </c>
      <c r="AW136" s="56">
        <v>46235.686111111114</v>
      </c>
      <c r="AX136" s="56">
        <v>46235.698611111111</v>
      </c>
      <c r="AY136" s="56">
        <v>46235.718055555553</v>
      </c>
      <c r="AZ136" s="56">
        <v>46235.980555555558</v>
      </c>
      <c r="BA136" s="56">
        <v>46236.542361111111</v>
      </c>
      <c r="BB136" s="56">
        <v>46236.545138888891</v>
      </c>
      <c r="BC136" s="56">
        <v>46236.548611111109</v>
      </c>
      <c r="BD136" s="56">
        <v>46236.550694444442</v>
      </c>
      <c r="BE136" s="56">
        <v>46236.553472222222</v>
      </c>
      <c r="BG136" s="56">
        <v>46236.553472222222</v>
      </c>
      <c r="BH136" s="56">
        <v>46236.708333333336</v>
      </c>
      <c r="BI136" s="32" t="s">
        <v>248</v>
      </c>
      <c r="BJ136" s="56">
        <v>46237.291666666664</v>
      </c>
      <c r="BK136" s="56">
        <v>46237.324999999997</v>
      </c>
      <c r="BL136" s="56">
        <v>46237.34652777778</v>
      </c>
      <c r="BM136" s="56">
        <v>46237.350694444445</v>
      </c>
      <c r="BN136" s="56">
        <v>46237.361111111109</v>
      </c>
    </row>
    <row r="137" spans="1:66" x14ac:dyDescent="0.35">
      <c r="A137" t="s">
        <v>176</v>
      </c>
      <c r="B137" s="32">
        <v>50</v>
      </c>
      <c r="C137" s="32">
        <v>31</v>
      </c>
      <c r="D137" s="32" t="s">
        <v>177</v>
      </c>
      <c r="E137" s="32" t="s">
        <v>178</v>
      </c>
      <c r="F137" s="54">
        <v>46236</v>
      </c>
      <c r="G137" s="54">
        <v>46237</v>
      </c>
      <c r="H137" s="55"/>
      <c r="I137" s="55">
        <v>0.5</v>
      </c>
      <c r="J137" s="32" t="s">
        <v>53</v>
      </c>
      <c r="K137" s="32" t="s">
        <v>179</v>
      </c>
      <c r="L137" s="32">
        <v>1</v>
      </c>
      <c r="M137" s="32" t="s">
        <v>937</v>
      </c>
      <c r="P137" s="32" t="s">
        <v>182</v>
      </c>
      <c r="Q137" s="32" t="s">
        <v>84</v>
      </c>
      <c r="R137" s="32" t="s">
        <v>947</v>
      </c>
      <c r="S137" s="32" t="s">
        <v>399</v>
      </c>
      <c r="T137" s="32">
        <v>6509980950</v>
      </c>
      <c r="U137" s="32" t="s">
        <v>938</v>
      </c>
      <c r="V137" s="32">
        <v>34750</v>
      </c>
      <c r="W137" s="32">
        <v>32999387</v>
      </c>
      <c r="X137" s="32" t="s">
        <v>187</v>
      </c>
      <c r="Y137" s="32" t="s">
        <v>949</v>
      </c>
      <c r="Z137" s="32" t="s">
        <v>188</v>
      </c>
      <c r="AA137" s="32" t="s">
        <v>189</v>
      </c>
      <c r="AB137" s="32" t="s">
        <v>55</v>
      </c>
      <c r="AC137" s="32" t="s">
        <v>92</v>
      </c>
      <c r="AD137" s="32" t="s">
        <v>939</v>
      </c>
      <c r="AE137" s="32">
        <v>20608586238</v>
      </c>
      <c r="AF137" s="32" t="s">
        <v>843</v>
      </c>
      <c r="AG137" s="32" t="s">
        <v>844</v>
      </c>
      <c r="AH137" s="32" t="s">
        <v>669</v>
      </c>
      <c r="AI137" s="32" t="s">
        <v>845</v>
      </c>
      <c r="AJ137" s="32" t="s">
        <v>846</v>
      </c>
      <c r="AL137" s="32" t="s">
        <v>491</v>
      </c>
      <c r="AM137" s="32" t="s">
        <v>278</v>
      </c>
      <c r="AN137" s="32" t="s">
        <v>278</v>
      </c>
      <c r="AO137" s="32" t="s">
        <v>491</v>
      </c>
      <c r="AP137" s="32" t="s">
        <v>491</v>
      </c>
      <c r="AQ137" s="32" t="s">
        <v>491</v>
      </c>
      <c r="AR137" s="32" t="s">
        <v>491</v>
      </c>
      <c r="AS137" s="32" t="s">
        <v>84</v>
      </c>
      <c r="AT137" s="32" t="s">
        <v>303</v>
      </c>
      <c r="AU137" s="56">
        <v>46236.625</v>
      </c>
      <c r="AV137" s="56">
        <v>46236.664583333331</v>
      </c>
      <c r="AW137" s="56">
        <v>46236.667361111111</v>
      </c>
      <c r="AX137" s="56">
        <v>46236.720138888886</v>
      </c>
      <c r="AY137" s="56">
        <v>46236.732638888891</v>
      </c>
      <c r="AZ137" s="56">
        <v>46236.845833333333</v>
      </c>
      <c r="BA137" s="56">
        <v>46237.486111111109</v>
      </c>
      <c r="BB137" s="56">
        <v>46237.5</v>
      </c>
      <c r="BC137" s="56">
        <v>46237.513194444444</v>
      </c>
      <c r="BD137" s="56">
        <v>46237.513194444444</v>
      </c>
      <c r="BE137" s="56">
        <v>46237.555555555555</v>
      </c>
      <c r="BG137" s="56">
        <v>46237.67083333333</v>
      </c>
      <c r="BH137" s="56">
        <v>46237.689583333333</v>
      </c>
      <c r="BI137" s="32" t="s">
        <v>248</v>
      </c>
      <c r="BJ137" s="56">
        <v>46238.375</v>
      </c>
      <c r="BK137" s="56">
        <v>46238.377083333333</v>
      </c>
      <c r="BL137" s="56">
        <v>46238.390972222223</v>
      </c>
      <c r="BM137" s="56">
        <v>46238.393055555556</v>
      </c>
      <c r="BN137" s="56">
        <v>46238.431944444441</v>
      </c>
    </row>
    <row r="138" spans="1:66" x14ac:dyDescent="0.35">
      <c r="A138" t="s">
        <v>176</v>
      </c>
      <c r="B138" s="32">
        <v>51</v>
      </c>
      <c r="C138" s="32">
        <v>31</v>
      </c>
      <c r="D138" s="32" t="s">
        <v>177</v>
      </c>
      <c r="E138" s="32" t="s">
        <v>178</v>
      </c>
      <c r="F138" s="54">
        <v>46235</v>
      </c>
      <c r="G138" s="54">
        <v>46237</v>
      </c>
      <c r="H138" s="55"/>
      <c r="I138" s="55">
        <v>0.5</v>
      </c>
      <c r="J138" s="32" t="s">
        <v>53</v>
      </c>
      <c r="K138" s="32" t="s">
        <v>179</v>
      </c>
      <c r="L138" s="32">
        <v>1</v>
      </c>
      <c r="M138" s="32" t="s">
        <v>940</v>
      </c>
      <c r="P138" s="32" t="s">
        <v>182</v>
      </c>
      <c r="Q138" s="32" t="s">
        <v>84</v>
      </c>
      <c r="R138" s="32" t="s">
        <v>1853</v>
      </c>
      <c r="S138" s="32" t="s">
        <v>399</v>
      </c>
      <c r="T138" s="32">
        <v>6509439060</v>
      </c>
      <c r="U138" s="32" t="s">
        <v>941</v>
      </c>
      <c r="W138" s="32">
        <v>32969906</v>
      </c>
      <c r="X138" s="32" t="s">
        <v>187</v>
      </c>
      <c r="Y138" s="32" t="s">
        <v>949</v>
      </c>
      <c r="Z138" s="32" t="s">
        <v>188</v>
      </c>
      <c r="AA138" s="32" t="s">
        <v>189</v>
      </c>
      <c r="AB138" s="32" t="s">
        <v>55</v>
      </c>
      <c r="AC138" s="32" t="s">
        <v>92</v>
      </c>
      <c r="AD138" s="32" t="s">
        <v>716</v>
      </c>
      <c r="AE138" s="32">
        <v>20609163632</v>
      </c>
      <c r="AF138" s="32" t="s">
        <v>942</v>
      </c>
      <c r="AG138" s="32" t="s">
        <v>943</v>
      </c>
      <c r="AH138" s="32" t="s">
        <v>669</v>
      </c>
      <c r="AI138" s="32" t="s">
        <v>944</v>
      </c>
      <c r="AJ138" s="32" t="s">
        <v>945</v>
      </c>
      <c r="AL138" s="32" t="s">
        <v>491</v>
      </c>
      <c r="AM138" s="32" t="s">
        <v>278</v>
      </c>
      <c r="AN138" s="32" t="s">
        <v>278</v>
      </c>
      <c r="AO138" s="32" t="s">
        <v>491</v>
      </c>
      <c r="AP138" s="32" t="s">
        <v>491</v>
      </c>
      <c r="AQ138" s="32" t="s">
        <v>491</v>
      </c>
      <c r="AR138" s="32" t="s">
        <v>491</v>
      </c>
      <c r="AS138" s="32" t="s">
        <v>84</v>
      </c>
      <c r="AT138" s="32" t="s">
        <v>303</v>
      </c>
      <c r="AU138" s="56">
        <v>46235.666666666664</v>
      </c>
      <c r="AV138" s="56">
        <v>46235.640972222223</v>
      </c>
      <c r="AW138" s="56">
        <v>46235.674305555556</v>
      </c>
      <c r="AX138" s="56">
        <v>46235.677777777775</v>
      </c>
      <c r="AY138" s="56">
        <v>46235.708333333336</v>
      </c>
      <c r="AZ138" s="56">
        <v>46236.694444444445</v>
      </c>
      <c r="BA138" s="56">
        <v>46237.467361111114</v>
      </c>
      <c r="BB138" s="56">
        <v>46237.469444444447</v>
      </c>
      <c r="BC138" s="56">
        <v>46237.472222222219</v>
      </c>
      <c r="BD138" s="56">
        <v>46237.473611111112</v>
      </c>
      <c r="BE138" s="56">
        <v>46237.474999999999</v>
      </c>
      <c r="BG138" s="56">
        <v>46237.668749999997</v>
      </c>
      <c r="BH138" s="56">
        <v>46237.686111111114</v>
      </c>
      <c r="BI138" s="32" t="s">
        <v>248</v>
      </c>
      <c r="BJ138" s="56">
        <v>46238.333333333336</v>
      </c>
      <c r="BK138" s="56">
        <v>46238.370833333334</v>
      </c>
      <c r="BL138" s="56">
        <v>46238.382638888892</v>
      </c>
      <c r="BM138" s="56">
        <v>46238.388194444444</v>
      </c>
      <c r="BN138" s="56">
        <v>46238.407638888886</v>
      </c>
    </row>
    <row r="139" spans="1:66" x14ac:dyDescent="0.35">
      <c r="A139" t="s">
        <v>176</v>
      </c>
      <c r="B139" s="32">
        <v>52</v>
      </c>
      <c r="C139" s="32">
        <v>32</v>
      </c>
      <c r="D139" s="32" t="s">
        <v>177</v>
      </c>
      <c r="E139" s="32" t="s">
        <v>178</v>
      </c>
      <c r="F139" s="54">
        <v>46242</v>
      </c>
      <c r="G139" s="54">
        <v>46243</v>
      </c>
      <c r="H139" s="55"/>
      <c r="I139" s="55">
        <v>0.58333333333333337</v>
      </c>
      <c r="J139" s="32" t="s">
        <v>53</v>
      </c>
      <c r="K139" s="32" t="s">
        <v>179</v>
      </c>
      <c r="L139" s="32">
        <v>1</v>
      </c>
      <c r="M139" s="32" t="s">
        <v>946</v>
      </c>
      <c r="P139" s="32" t="s">
        <v>182</v>
      </c>
      <c r="Q139" s="32" t="s">
        <v>83</v>
      </c>
      <c r="R139" s="32" t="s">
        <v>947</v>
      </c>
      <c r="S139" s="32" t="s">
        <v>399</v>
      </c>
      <c r="T139" s="32">
        <v>6461847420</v>
      </c>
      <c r="U139" s="32" t="s">
        <v>948</v>
      </c>
      <c r="W139" s="32">
        <v>32970833</v>
      </c>
      <c r="X139" s="32" t="s">
        <v>187</v>
      </c>
      <c r="Y139" s="32" t="s">
        <v>949</v>
      </c>
      <c r="Z139" s="32" t="s">
        <v>188</v>
      </c>
      <c r="AA139" s="32" t="s">
        <v>189</v>
      </c>
      <c r="AB139" s="32" t="s">
        <v>55</v>
      </c>
      <c r="AC139" s="32" t="s">
        <v>56</v>
      </c>
      <c r="AD139" s="32" t="s">
        <v>78</v>
      </c>
      <c r="AE139" s="32">
        <v>20513040718</v>
      </c>
      <c r="AF139" s="32" t="s">
        <v>837</v>
      </c>
      <c r="AG139" s="32" t="s">
        <v>838</v>
      </c>
      <c r="AH139" s="32" t="s">
        <v>669</v>
      </c>
      <c r="AI139" s="32" t="s">
        <v>950</v>
      </c>
      <c r="AJ139" s="32" t="s">
        <v>839</v>
      </c>
      <c r="AL139" s="32" t="s">
        <v>491</v>
      </c>
      <c r="AM139" s="32" t="s">
        <v>278</v>
      </c>
      <c r="AN139" s="32" t="s">
        <v>278</v>
      </c>
      <c r="AO139" s="32" t="s">
        <v>491</v>
      </c>
      <c r="AP139" s="32" t="s">
        <v>491</v>
      </c>
      <c r="AQ139" s="32" t="s">
        <v>491</v>
      </c>
      <c r="AR139" s="32" t="s">
        <v>491</v>
      </c>
      <c r="AS139" s="32" t="s">
        <v>84</v>
      </c>
      <c r="AT139" s="32" t="s">
        <v>303</v>
      </c>
      <c r="AU139" s="56">
        <v>46242.541666666664</v>
      </c>
      <c r="AV139" s="56">
        <v>46242.565972222219</v>
      </c>
      <c r="AW139" s="56">
        <v>46242.585416666669</v>
      </c>
      <c r="AX139" s="56">
        <v>46242.609722222223</v>
      </c>
      <c r="AY139" s="56">
        <v>46242.64166666667</v>
      </c>
      <c r="AZ139" s="56">
        <v>46243.011111111111</v>
      </c>
      <c r="BA139" s="56">
        <v>46243.533333333333</v>
      </c>
      <c r="BB139" s="56">
        <v>46243.677083333336</v>
      </c>
      <c r="BC139" s="56">
        <v>46243.680555555555</v>
      </c>
      <c r="BD139" s="56">
        <v>46243.684027777781</v>
      </c>
      <c r="BE139" s="56">
        <v>46243.689583333333</v>
      </c>
      <c r="BG139" s="56">
        <v>46243.783333333333</v>
      </c>
      <c r="BH139" s="56">
        <v>46243.823611111111</v>
      </c>
      <c r="BI139" s="32" t="s">
        <v>248</v>
      </c>
      <c r="BJ139" s="56">
        <v>46244.416666666664</v>
      </c>
      <c r="BK139" s="56">
        <v>46244.42083333333</v>
      </c>
      <c r="BL139" s="56">
        <v>46244.422222222223</v>
      </c>
      <c r="BM139" s="56">
        <v>46244.442361111112</v>
      </c>
      <c r="BN139" s="56">
        <v>46244.463194444441</v>
      </c>
    </row>
    <row r="140" spans="1:66" x14ac:dyDescent="0.35">
      <c r="A140" t="s">
        <v>176</v>
      </c>
      <c r="B140" s="32">
        <v>53</v>
      </c>
      <c r="C140" s="32">
        <v>32</v>
      </c>
      <c r="D140" s="32" t="s">
        <v>177</v>
      </c>
      <c r="E140" s="32" t="s">
        <v>178</v>
      </c>
      <c r="F140" s="54">
        <v>46242</v>
      </c>
      <c r="G140" s="54">
        <v>46243</v>
      </c>
      <c r="H140" s="55"/>
      <c r="I140" s="55">
        <v>0.58333333333333337</v>
      </c>
      <c r="J140" s="32" t="s">
        <v>53</v>
      </c>
      <c r="K140" s="32" t="s">
        <v>179</v>
      </c>
      <c r="L140" s="32">
        <v>1</v>
      </c>
      <c r="M140" s="32" t="s">
        <v>951</v>
      </c>
      <c r="P140" s="32" t="s">
        <v>182</v>
      </c>
      <c r="Q140" s="32" t="s">
        <v>83</v>
      </c>
      <c r="R140" s="32" t="s">
        <v>947</v>
      </c>
      <c r="S140" s="32" t="s">
        <v>399</v>
      </c>
      <c r="T140" s="32">
        <v>6461847540</v>
      </c>
      <c r="U140" s="32" t="s">
        <v>952</v>
      </c>
      <c r="W140" s="32">
        <v>32970748</v>
      </c>
      <c r="X140" s="32" t="s">
        <v>187</v>
      </c>
      <c r="Y140" s="32" t="s">
        <v>949</v>
      </c>
      <c r="Z140" s="32" t="s">
        <v>188</v>
      </c>
      <c r="AA140" s="32" t="s">
        <v>189</v>
      </c>
      <c r="AB140" s="32" t="s">
        <v>55</v>
      </c>
      <c r="AC140" s="32" t="s">
        <v>56</v>
      </c>
      <c r="AD140" s="32" t="s">
        <v>953</v>
      </c>
      <c r="AE140" s="32">
        <v>20100727359</v>
      </c>
      <c r="AF140" s="32" t="s">
        <v>954</v>
      </c>
      <c r="AG140" s="32" t="s">
        <v>955</v>
      </c>
      <c r="AH140" s="32" t="s">
        <v>669</v>
      </c>
      <c r="AI140" s="32" t="s">
        <v>956</v>
      </c>
      <c r="AJ140" s="32" t="s">
        <v>957</v>
      </c>
      <c r="AL140" s="32" t="s">
        <v>491</v>
      </c>
      <c r="AM140" s="32" t="s">
        <v>278</v>
      </c>
      <c r="AN140" s="32" t="s">
        <v>278</v>
      </c>
      <c r="AO140" s="32" t="s">
        <v>491</v>
      </c>
      <c r="AP140" s="32" t="s">
        <v>491</v>
      </c>
      <c r="AQ140" s="32" t="s">
        <v>491</v>
      </c>
      <c r="AR140" s="32" t="s">
        <v>491</v>
      </c>
      <c r="AS140" s="32" t="s">
        <v>84</v>
      </c>
      <c r="AT140" s="32" t="s">
        <v>303</v>
      </c>
      <c r="AU140" s="56">
        <v>46242.541666666664</v>
      </c>
      <c r="AV140" s="56">
        <v>46242.6</v>
      </c>
      <c r="AW140" s="56">
        <v>46242.604166666664</v>
      </c>
      <c r="AX140" s="56">
        <v>46242.65347222222</v>
      </c>
      <c r="AY140" s="56">
        <v>46242.675000000003</v>
      </c>
      <c r="AZ140" s="56">
        <v>46242.675000000003</v>
      </c>
      <c r="BA140" s="56">
        <v>46243.54791666667</v>
      </c>
      <c r="BB140" s="56">
        <v>46243.75</v>
      </c>
      <c r="BC140" s="56">
        <v>46243.756944444445</v>
      </c>
      <c r="BD140" s="56">
        <v>46243.759722222225</v>
      </c>
      <c r="BE140" s="56">
        <v>46243.763888888891</v>
      </c>
      <c r="BG140" s="56">
        <v>46243.838888888888</v>
      </c>
      <c r="BH140" s="56">
        <v>46243.854166666664</v>
      </c>
      <c r="BI140" s="32" t="s">
        <v>248</v>
      </c>
      <c r="BJ140" s="56">
        <v>46244.5</v>
      </c>
      <c r="BK140" s="56">
        <v>46244.5</v>
      </c>
      <c r="BL140" s="56">
        <v>46244.503472222219</v>
      </c>
      <c r="BM140" s="56">
        <v>46244.527777777781</v>
      </c>
      <c r="BN140" s="56">
        <v>46244.542361111111</v>
      </c>
    </row>
    <row r="141" spans="1:66" x14ac:dyDescent="0.35">
      <c r="A141" t="s">
        <v>176</v>
      </c>
      <c r="B141" s="32">
        <v>56</v>
      </c>
      <c r="C141" s="32">
        <v>32</v>
      </c>
      <c r="D141" s="32" t="s">
        <v>177</v>
      </c>
      <c r="E141" s="32" t="s">
        <v>178</v>
      </c>
      <c r="F141" s="54">
        <v>46243</v>
      </c>
      <c r="G141" s="54">
        <v>46244</v>
      </c>
      <c r="H141" s="55"/>
      <c r="I141" s="55">
        <v>0.5</v>
      </c>
      <c r="J141" s="32" t="s">
        <v>53</v>
      </c>
      <c r="K141" s="32" t="s">
        <v>179</v>
      </c>
      <c r="L141" s="32">
        <v>1</v>
      </c>
      <c r="M141" s="32" t="s">
        <v>1916</v>
      </c>
      <c r="P141" s="32" t="s">
        <v>182</v>
      </c>
      <c r="Q141" s="32" t="s">
        <v>1917</v>
      </c>
      <c r="R141" s="32" t="s">
        <v>1856</v>
      </c>
      <c r="S141" s="32" t="s">
        <v>1854</v>
      </c>
      <c r="T141" s="32">
        <v>751600043223</v>
      </c>
      <c r="U141" s="32" t="s">
        <v>1918</v>
      </c>
      <c r="X141" s="32" t="s">
        <v>188</v>
      </c>
      <c r="Y141" s="32" t="s">
        <v>188</v>
      </c>
      <c r="Z141" s="32" t="s">
        <v>188</v>
      </c>
      <c r="AA141" s="32" t="s">
        <v>189</v>
      </c>
      <c r="AB141" s="32" t="s">
        <v>55</v>
      </c>
      <c r="AC141" s="32" t="s">
        <v>56</v>
      </c>
      <c r="AD141" s="32" t="s">
        <v>1919</v>
      </c>
      <c r="AE141" s="32">
        <v>20614404460</v>
      </c>
      <c r="AF141" s="32" t="s">
        <v>1920</v>
      </c>
      <c r="AG141" s="32" t="s">
        <v>1921</v>
      </c>
      <c r="AH141" s="32" t="s">
        <v>669</v>
      </c>
      <c r="AI141" s="32" t="s">
        <v>1922</v>
      </c>
      <c r="AJ141" s="32" t="s">
        <v>1923</v>
      </c>
      <c r="AL141" s="32" t="s">
        <v>491</v>
      </c>
      <c r="AO141" s="32" t="s">
        <v>491</v>
      </c>
      <c r="AP141" s="32" t="s">
        <v>491</v>
      </c>
      <c r="AQ141" s="32" t="s">
        <v>491</v>
      </c>
      <c r="AR141" s="32" t="s">
        <v>491</v>
      </c>
      <c r="AS141" s="32" t="s">
        <v>84</v>
      </c>
      <c r="AT141" s="32" t="s">
        <v>285</v>
      </c>
      <c r="AU141" s="56">
        <v>46243.833333333336</v>
      </c>
      <c r="AV141" s="56">
        <v>46243.651388888888</v>
      </c>
      <c r="AW141" s="56">
        <v>46243.663888888892</v>
      </c>
      <c r="AX141" s="56">
        <v>46243.675694444442</v>
      </c>
      <c r="AY141" s="56">
        <v>46243.753472222219</v>
      </c>
      <c r="AZ141" s="56">
        <v>46243.777083333334</v>
      </c>
      <c r="BA141" s="56">
        <v>46244.423611111109</v>
      </c>
      <c r="BB141" s="56">
        <v>46244.4375</v>
      </c>
      <c r="BC141" s="56">
        <v>46244.443055555559</v>
      </c>
      <c r="BD141" s="56">
        <v>46244.446527777778</v>
      </c>
      <c r="BE141" s="56">
        <v>46244.451388888891</v>
      </c>
      <c r="BG141" s="56">
        <v>46244.637499999997</v>
      </c>
      <c r="BH141" s="56">
        <v>46244.652777777781</v>
      </c>
      <c r="BI141" s="32" t="s">
        <v>64</v>
      </c>
      <c r="BJ141" s="56">
        <v>46245.375</v>
      </c>
      <c r="BK141" s="56">
        <v>46245.089583333334</v>
      </c>
      <c r="BL141" s="56">
        <v>46245.363888888889</v>
      </c>
      <c r="BM141" s="56">
        <v>46245.368750000001</v>
      </c>
      <c r="BN141" s="56">
        <v>46245.395138888889</v>
      </c>
    </row>
    <row r="142" spans="1:66" x14ac:dyDescent="0.35">
      <c r="A142" t="s">
        <v>176</v>
      </c>
      <c r="B142" s="32">
        <v>57</v>
      </c>
      <c r="C142" s="32">
        <v>32</v>
      </c>
      <c r="D142" s="32" t="s">
        <v>177</v>
      </c>
      <c r="E142" s="32" t="s">
        <v>178</v>
      </c>
      <c r="F142" s="54">
        <v>46240</v>
      </c>
      <c r="G142" s="54">
        <v>46241</v>
      </c>
      <c r="H142" s="55"/>
      <c r="I142" s="55">
        <v>0.5</v>
      </c>
      <c r="J142" s="32" t="s">
        <v>53</v>
      </c>
      <c r="K142" s="32" t="s">
        <v>179</v>
      </c>
      <c r="L142" s="32">
        <v>1</v>
      </c>
      <c r="M142" s="32" t="s">
        <v>1924</v>
      </c>
      <c r="P142" s="32" t="s">
        <v>182</v>
      </c>
      <c r="Q142" s="32" t="s">
        <v>1917</v>
      </c>
      <c r="R142" s="32" t="s">
        <v>398</v>
      </c>
      <c r="S142" s="32" t="s">
        <v>399</v>
      </c>
      <c r="T142" s="32">
        <v>6461853960</v>
      </c>
      <c r="U142" s="32" t="s">
        <v>1925</v>
      </c>
      <c r="W142" s="32">
        <v>32999374</v>
      </c>
      <c r="X142" s="32" t="s">
        <v>187</v>
      </c>
      <c r="Y142" s="32" t="s">
        <v>949</v>
      </c>
      <c r="Z142" s="32" t="s">
        <v>188</v>
      </c>
      <c r="AA142" s="32" t="s">
        <v>189</v>
      </c>
      <c r="AB142" s="32" t="s">
        <v>55</v>
      </c>
      <c r="AC142" s="32" t="s">
        <v>56</v>
      </c>
      <c r="AD142" s="32" t="s">
        <v>963</v>
      </c>
      <c r="AE142" s="32">
        <v>20535747424</v>
      </c>
      <c r="AF142" s="32" t="s">
        <v>1926</v>
      </c>
      <c r="AG142" s="32" t="s">
        <v>1927</v>
      </c>
      <c r="AH142" s="32" t="s">
        <v>669</v>
      </c>
      <c r="AI142" s="32" t="s">
        <v>1928</v>
      </c>
      <c r="AJ142" s="32" t="s">
        <v>1929</v>
      </c>
      <c r="AL142" s="32" t="s">
        <v>491</v>
      </c>
      <c r="AO142" s="32" t="s">
        <v>491</v>
      </c>
      <c r="AP142" s="32" t="s">
        <v>491</v>
      </c>
      <c r="AQ142" s="32" t="s">
        <v>491</v>
      </c>
      <c r="AR142" s="32" t="s">
        <v>491</v>
      </c>
      <c r="AS142" s="32" t="s">
        <v>84</v>
      </c>
      <c r="AT142" s="32" t="s">
        <v>303</v>
      </c>
      <c r="AU142" s="56">
        <v>46241.625</v>
      </c>
      <c r="AV142" s="56">
        <v>46241.720138888886</v>
      </c>
      <c r="AW142" s="56">
        <v>46241.728472222225</v>
      </c>
      <c r="AX142" s="56">
        <v>46241.763888888891</v>
      </c>
      <c r="AY142" s="56">
        <v>46241.805555555555</v>
      </c>
      <c r="AZ142" s="56">
        <v>46242.181944444441</v>
      </c>
      <c r="BA142" s="56">
        <v>46242.581250000003</v>
      </c>
      <c r="BB142" s="56">
        <v>46242.635416666664</v>
      </c>
      <c r="BC142" s="56">
        <v>46242.64166666667</v>
      </c>
      <c r="BD142" s="56">
        <v>46242.645833333336</v>
      </c>
      <c r="BE142" s="56">
        <v>46242.673611111109</v>
      </c>
      <c r="BG142" s="56">
        <v>46242.74722222222</v>
      </c>
      <c r="BH142" s="56">
        <v>46242.756249999999</v>
      </c>
      <c r="BI142" s="32" t="s">
        <v>64</v>
      </c>
      <c r="BJ142" s="56">
        <v>46243.583333333336</v>
      </c>
      <c r="BK142" s="56">
        <v>46243.57708333333</v>
      </c>
      <c r="BL142" s="56">
        <v>46243.618750000001</v>
      </c>
      <c r="BM142" s="56">
        <v>46243.645833333336</v>
      </c>
      <c r="BN142" s="56">
        <v>46243.659722222219</v>
      </c>
    </row>
    <row r="143" spans="1:66" x14ac:dyDescent="0.35">
      <c r="A143" t="s">
        <v>176</v>
      </c>
      <c r="B143" s="32">
        <v>54</v>
      </c>
      <c r="C143" s="32">
        <v>32</v>
      </c>
      <c r="D143" s="32" t="s">
        <v>177</v>
      </c>
      <c r="E143" s="32" t="s">
        <v>178</v>
      </c>
      <c r="F143" s="54">
        <v>46243</v>
      </c>
      <c r="G143" s="54">
        <v>46244</v>
      </c>
      <c r="H143" s="55"/>
      <c r="I143" s="55">
        <v>0.5</v>
      </c>
      <c r="J143" s="32" t="s">
        <v>53</v>
      </c>
      <c r="K143" s="32" t="s">
        <v>179</v>
      </c>
      <c r="L143" s="32">
        <v>1</v>
      </c>
      <c r="M143" s="32" t="s">
        <v>958</v>
      </c>
      <c r="P143" s="32" t="s">
        <v>182</v>
      </c>
      <c r="Q143" s="32" t="s">
        <v>84</v>
      </c>
      <c r="R143" s="32" t="s">
        <v>959</v>
      </c>
      <c r="S143" s="32" t="s">
        <v>399</v>
      </c>
      <c r="T143" s="32">
        <v>6461853430</v>
      </c>
      <c r="U143" s="32" t="s">
        <v>960</v>
      </c>
      <c r="W143" s="32">
        <v>32970741</v>
      </c>
      <c r="X143" s="32" t="s">
        <v>187</v>
      </c>
      <c r="Y143" s="32" t="s">
        <v>188</v>
      </c>
      <c r="Z143" s="32" t="s">
        <v>188</v>
      </c>
      <c r="AA143" s="32" t="s">
        <v>189</v>
      </c>
      <c r="AB143" s="32" t="s">
        <v>55</v>
      </c>
      <c r="AC143" s="32" t="s">
        <v>56</v>
      </c>
      <c r="AD143" s="32" t="s">
        <v>939</v>
      </c>
      <c r="AE143" s="32">
        <v>20608586238</v>
      </c>
      <c r="AF143" s="32" t="s">
        <v>843</v>
      </c>
      <c r="AG143" s="32" t="s">
        <v>844</v>
      </c>
      <c r="AH143" s="32" t="s">
        <v>669</v>
      </c>
      <c r="AI143" s="32" t="s">
        <v>845</v>
      </c>
      <c r="AJ143" s="32" t="s">
        <v>846</v>
      </c>
      <c r="AL143" s="32" t="s">
        <v>491</v>
      </c>
      <c r="AM143" s="32" t="s">
        <v>278</v>
      </c>
      <c r="AN143" s="32" t="s">
        <v>278</v>
      </c>
      <c r="AO143" s="32" t="s">
        <v>491</v>
      </c>
      <c r="AP143" s="32" t="s">
        <v>491</v>
      </c>
      <c r="AQ143" s="32" t="s">
        <v>491</v>
      </c>
      <c r="AR143" s="32" t="s">
        <v>491</v>
      </c>
      <c r="AS143" s="32" t="s">
        <v>84</v>
      </c>
      <c r="AT143" s="32" t="s">
        <v>303</v>
      </c>
      <c r="AU143" s="56">
        <v>46243.666666666664</v>
      </c>
      <c r="AV143" s="56">
        <v>46243.722222222219</v>
      </c>
      <c r="AW143" s="56">
        <v>46243.729166666664</v>
      </c>
      <c r="AX143" s="56">
        <v>46243.732638888891</v>
      </c>
      <c r="AY143" s="56">
        <v>46243.799305555556</v>
      </c>
      <c r="AZ143" s="56">
        <v>46244.111805555556</v>
      </c>
      <c r="BA143" s="56">
        <v>46244.537499999999</v>
      </c>
      <c r="BB143" s="56">
        <v>46244.548611111109</v>
      </c>
      <c r="BC143" s="56">
        <v>46244.555555555555</v>
      </c>
      <c r="BD143" s="56">
        <v>46244.557638888888</v>
      </c>
      <c r="BE143" s="56">
        <v>46244.561111111114</v>
      </c>
      <c r="BG143" s="56">
        <v>46244.746527777781</v>
      </c>
      <c r="BH143" s="56">
        <v>46244.791666666664</v>
      </c>
      <c r="BI143" s="32" t="s">
        <v>64</v>
      </c>
      <c r="BJ143" s="56">
        <v>46245.541666666664</v>
      </c>
      <c r="BK143" s="56">
        <v>46245.520138888889</v>
      </c>
      <c r="BL143" s="56">
        <v>46245.521527777775</v>
      </c>
      <c r="BM143" s="56">
        <v>46245.636111111111</v>
      </c>
      <c r="BN143" s="56">
        <v>46245.665277777778</v>
      </c>
    </row>
    <row r="144" spans="1:66" x14ac:dyDescent="0.35">
      <c r="A144" t="s">
        <v>176</v>
      </c>
      <c r="B144" s="32">
        <v>55</v>
      </c>
      <c r="C144" s="32">
        <v>32</v>
      </c>
      <c r="D144" s="32" t="s">
        <v>177</v>
      </c>
      <c r="E144" s="32" t="s">
        <v>178</v>
      </c>
      <c r="F144" s="54">
        <v>46243</v>
      </c>
      <c r="G144" s="54">
        <v>46244</v>
      </c>
      <c r="H144" s="55"/>
      <c r="I144" s="55">
        <v>0.5</v>
      </c>
      <c r="J144" s="32" t="s">
        <v>53</v>
      </c>
      <c r="K144" s="32" t="s">
        <v>179</v>
      </c>
      <c r="L144" s="32">
        <v>1</v>
      </c>
      <c r="M144" s="32" t="s">
        <v>961</v>
      </c>
      <c r="P144" s="32" t="s">
        <v>182</v>
      </c>
      <c r="Q144" s="32" t="s">
        <v>83</v>
      </c>
      <c r="R144" s="32" t="s">
        <v>947</v>
      </c>
      <c r="S144" s="32" t="s">
        <v>399</v>
      </c>
      <c r="T144" s="32">
        <v>6462050480</v>
      </c>
      <c r="U144" s="32" t="s">
        <v>962</v>
      </c>
      <c r="W144" s="32">
        <v>32970750</v>
      </c>
      <c r="X144" s="32" t="s">
        <v>187</v>
      </c>
      <c r="Y144" s="32" t="s">
        <v>949</v>
      </c>
      <c r="Z144" s="32" t="s">
        <v>188</v>
      </c>
      <c r="AA144" s="32" t="s">
        <v>189</v>
      </c>
      <c r="AB144" s="32" t="s">
        <v>55</v>
      </c>
      <c r="AC144" s="32" t="s">
        <v>56</v>
      </c>
      <c r="AD144" s="32" t="s">
        <v>963</v>
      </c>
      <c r="AE144" s="32">
        <v>20535747424</v>
      </c>
      <c r="AF144" s="32" t="s">
        <v>791</v>
      </c>
      <c r="AG144" s="32" t="s">
        <v>792</v>
      </c>
      <c r="AH144" s="32" t="s">
        <v>669</v>
      </c>
      <c r="AI144" s="32" t="s">
        <v>793</v>
      </c>
      <c r="AJ144" s="32" t="s">
        <v>794</v>
      </c>
      <c r="AL144" s="32" t="s">
        <v>491</v>
      </c>
      <c r="AM144" s="32" t="s">
        <v>278</v>
      </c>
      <c r="AN144" s="32" t="s">
        <v>278</v>
      </c>
      <c r="AO144" s="32" t="s">
        <v>491</v>
      </c>
      <c r="AP144" s="32" t="s">
        <v>491</v>
      </c>
      <c r="AQ144" s="32" t="s">
        <v>491</v>
      </c>
      <c r="AR144" s="32" t="s">
        <v>491</v>
      </c>
      <c r="AS144" s="32" t="s">
        <v>84</v>
      </c>
      <c r="AT144" s="32" t="s">
        <v>303</v>
      </c>
      <c r="AU144" s="56">
        <v>46243.666666666664</v>
      </c>
      <c r="AV144" s="56">
        <v>46243.734027777777</v>
      </c>
      <c r="AW144" s="56">
        <v>46243.739583333336</v>
      </c>
      <c r="AX144" s="56">
        <v>46243.793055555558</v>
      </c>
      <c r="AY144" s="56">
        <v>46243.806944444441</v>
      </c>
      <c r="AZ144" s="56">
        <v>46244.111805555556</v>
      </c>
      <c r="BA144" s="56">
        <v>46244.429166666669</v>
      </c>
      <c r="BB144" s="56">
        <v>46244.458333333336</v>
      </c>
      <c r="BC144" s="56">
        <v>46244.462500000001</v>
      </c>
      <c r="BD144" s="56">
        <v>46244.465277777781</v>
      </c>
      <c r="BE144" s="56">
        <v>46244.47152777778</v>
      </c>
      <c r="BG144" s="56">
        <v>46244.754166666666</v>
      </c>
      <c r="BH144" s="56">
        <v>46244.776388888888</v>
      </c>
      <c r="BI144" s="32" t="s">
        <v>248</v>
      </c>
      <c r="BJ144" s="56">
        <v>46245.541666666664</v>
      </c>
      <c r="BK144" s="56">
        <v>46245.518750000003</v>
      </c>
      <c r="BL144" s="56">
        <v>46245.520833333336</v>
      </c>
      <c r="BM144" s="56">
        <v>46245.541666666664</v>
      </c>
      <c r="BN144" s="56">
        <v>46245.554166666669</v>
      </c>
    </row>
    <row r="145" spans="1:66" x14ac:dyDescent="0.35">
      <c r="A145" t="s">
        <v>176</v>
      </c>
      <c r="B145" s="32">
        <v>58</v>
      </c>
      <c r="C145" s="32">
        <v>33</v>
      </c>
      <c r="D145" s="32" t="s">
        <v>177</v>
      </c>
      <c r="E145" s="32" t="s">
        <v>178</v>
      </c>
      <c r="F145" s="54">
        <v>46245</v>
      </c>
      <c r="G145" s="54">
        <v>46246</v>
      </c>
      <c r="H145" s="55"/>
      <c r="I145" s="55">
        <v>0.5</v>
      </c>
      <c r="J145" s="32" t="s">
        <v>53</v>
      </c>
      <c r="K145" s="32" t="s">
        <v>179</v>
      </c>
      <c r="L145" s="32">
        <v>1</v>
      </c>
      <c r="M145" s="32" t="s">
        <v>964</v>
      </c>
      <c r="P145" s="32" t="s">
        <v>182</v>
      </c>
      <c r="Q145" s="32" t="s">
        <v>83</v>
      </c>
      <c r="R145" s="32" t="s">
        <v>947</v>
      </c>
      <c r="S145" s="32" t="s">
        <v>399</v>
      </c>
      <c r="T145" s="32">
        <v>6462784790</v>
      </c>
      <c r="U145" s="32" t="s">
        <v>965</v>
      </c>
      <c r="W145" s="32">
        <v>32975603</v>
      </c>
      <c r="X145" s="32" t="s">
        <v>187</v>
      </c>
      <c r="Y145" s="32" t="s">
        <v>187</v>
      </c>
      <c r="Z145" s="32" t="s">
        <v>188</v>
      </c>
      <c r="AA145" s="32" t="s">
        <v>189</v>
      </c>
      <c r="AB145" s="32" t="s">
        <v>55</v>
      </c>
      <c r="AC145" s="32" t="s">
        <v>56</v>
      </c>
      <c r="AD145" s="32" t="s">
        <v>966</v>
      </c>
      <c r="AE145" s="32">
        <v>20609163632</v>
      </c>
      <c r="AF145" s="32" t="s">
        <v>717</v>
      </c>
      <c r="AG145" s="32" t="s">
        <v>718</v>
      </c>
      <c r="AH145" s="32" t="s">
        <v>669</v>
      </c>
      <c r="AI145" s="32" t="s">
        <v>719</v>
      </c>
      <c r="AJ145" s="32" t="s">
        <v>720</v>
      </c>
      <c r="AL145" s="32" t="s">
        <v>491</v>
      </c>
      <c r="AM145" s="32" t="s">
        <v>278</v>
      </c>
      <c r="AN145" s="32" t="s">
        <v>278</v>
      </c>
      <c r="AO145" s="32" t="s">
        <v>491</v>
      </c>
      <c r="AP145" s="32" t="s">
        <v>491</v>
      </c>
      <c r="AQ145" s="32" t="s">
        <v>491</v>
      </c>
      <c r="AR145" s="32" t="s">
        <v>491</v>
      </c>
      <c r="AS145" s="32" t="s">
        <v>83</v>
      </c>
      <c r="AT145" s="32" t="s">
        <v>248</v>
      </c>
      <c r="AU145" s="56">
        <v>46245.708333333336</v>
      </c>
      <c r="AV145" s="56">
        <v>46245.752083333333</v>
      </c>
      <c r="AW145" s="56">
        <v>46245.759722222225</v>
      </c>
      <c r="AX145" s="56">
        <v>46245.786111111112</v>
      </c>
      <c r="AY145" s="56">
        <v>46245.832638888889</v>
      </c>
      <c r="AZ145" s="56">
        <v>46244.066666666666</v>
      </c>
      <c r="BA145" s="56">
        <v>46246.458333333336</v>
      </c>
      <c r="BB145" s="56">
        <v>46246.482638888891</v>
      </c>
      <c r="BC145" s="56">
        <v>46246.490972222222</v>
      </c>
      <c r="BE145" s="56">
        <v>46246.497916666667</v>
      </c>
      <c r="BG145" s="56">
        <v>46246.666666666664</v>
      </c>
      <c r="BH145" s="56">
        <v>46246.677777777775</v>
      </c>
      <c r="BI145" s="32" t="s">
        <v>248</v>
      </c>
      <c r="BJ145" s="56">
        <v>46247.375</v>
      </c>
      <c r="BK145" s="56">
        <v>46247.361111111109</v>
      </c>
      <c r="BL145" s="56">
        <v>46247.362500000003</v>
      </c>
      <c r="BM145" s="56">
        <v>46247.377083333333</v>
      </c>
      <c r="BN145" s="56">
        <v>46247.394444444442</v>
      </c>
    </row>
    <row r="146" spans="1:66" x14ac:dyDescent="0.35">
      <c r="A146" t="s">
        <v>176</v>
      </c>
      <c r="B146" s="32">
        <v>59</v>
      </c>
      <c r="C146" s="32">
        <v>33</v>
      </c>
      <c r="D146" s="32" t="s">
        <v>177</v>
      </c>
      <c r="E146" s="32" t="s">
        <v>178</v>
      </c>
      <c r="F146" s="54">
        <v>46245</v>
      </c>
      <c r="G146" s="54">
        <v>46246</v>
      </c>
      <c r="H146" s="55"/>
      <c r="I146" s="55">
        <v>0.58333333333333337</v>
      </c>
      <c r="J146" s="32" t="s">
        <v>53</v>
      </c>
      <c r="K146" s="32" t="s">
        <v>179</v>
      </c>
      <c r="L146" s="32">
        <v>1</v>
      </c>
      <c r="M146" s="32" t="s">
        <v>967</v>
      </c>
      <c r="P146" s="32" t="s">
        <v>182</v>
      </c>
      <c r="Q146" s="32" t="s">
        <v>83</v>
      </c>
      <c r="R146" s="32" t="s">
        <v>947</v>
      </c>
      <c r="S146" s="32" t="s">
        <v>399</v>
      </c>
      <c r="T146" s="32">
        <v>6462784530</v>
      </c>
      <c r="U146" s="32" t="s">
        <v>968</v>
      </c>
      <c r="W146" s="32">
        <v>32975600</v>
      </c>
      <c r="X146" s="32" t="s">
        <v>187</v>
      </c>
      <c r="Y146" s="32" t="s">
        <v>187</v>
      </c>
      <c r="Z146" s="32" t="s">
        <v>188</v>
      </c>
      <c r="AA146" s="32" t="s">
        <v>189</v>
      </c>
      <c r="AB146" s="32" t="s">
        <v>55</v>
      </c>
      <c r="AC146" s="32" t="s">
        <v>56</v>
      </c>
      <c r="AD146" s="32" t="s">
        <v>78</v>
      </c>
      <c r="AE146" s="32">
        <v>20513040718</v>
      </c>
      <c r="AF146" s="32" t="s">
        <v>837</v>
      </c>
      <c r="AG146" s="32" t="s">
        <v>838</v>
      </c>
      <c r="AH146" s="32" t="s">
        <v>669</v>
      </c>
      <c r="AI146" s="32" t="s">
        <v>950</v>
      </c>
      <c r="AJ146" s="32" t="s">
        <v>839</v>
      </c>
      <c r="AL146" s="32" t="s">
        <v>491</v>
      </c>
      <c r="AM146" s="32" t="s">
        <v>278</v>
      </c>
      <c r="AN146" s="32" t="s">
        <v>278</v>
      </c>
      <c r="AO146" s="32" t="s">
        <v>491</v>
      </c>
      <c r="AP146" s="32" t="s">
        <v>491</v>
      </c>
      <c r="AQ146" s="32" t="s">
        <v>491</v>
      </c>
      <c r="AR146" s="32" t="s">
        <v>491</v>
      </c>
      <c r="AS146" s="32" t="s">
        <v>83</v>
      </c>
      <c r="AT146" s="32" t="s">
        <v>248</v>
      </c>
      <c r="AU146" s="56">
        <v>46245.708333333336</v>
      </c>
      <c r="AV146" s="56">
        <v>46245.722222222219</v>
      </c>
      <c r="AW146" s="56">
        <v>46245.749305555553</v>
      </c>
      <c r="AX146" s="56">
        <v>46245.753472222219</v>
      </c>
      <c r="AY146" s="56">
        <v>46245.811111111114</v>
      </c>
      <c r="AZ146" s="56">
        <v>46245.8125</v>
      </c>
      <c r="BA146" s="56">
        <v>46246.470833333333</v>
      </c>
      <c r="BB146" s="56">
        <v>46246.474999999999</v>
      </c>
      <c r="BC146" s="56">
        <v>46246.476388888892</v>
      </c>
      <c r="BE146" s="56">
        <v>46246.479166666664</v>
      </c>
      <c r="BG146" s="56">
        <v>46246.679166666669</v>
      </c>
      <c r="BH146" s="56">
        <v>46246.694444444445</v>
      </c>
      <c r="BI146" s="32" t="s">
        <v>248</v>
      </c>
      <c r="BJ146" s="56">
        <v>46247.375</v>
      </c>
      <c r="BK146" s="56">
        <v>46247.36041666667</v>
      </c>
      <c r="BL146" s="56">
        <v>46247.400694444441</v>
      </c>
      <c r="BM146" s="56">
        <v>46247.57916666667</v>
      </c>
      <c r="BN146" s="56">
        <v>46247.61041666667</v>
      </c>
    </row>
    <row r="147" spans="1:66" x14ac:dyDescent="0.35">
      <c r="A147" t="s">
        <v>176</v>
      </c>
      <c r="B147" s="32">
        <v>1</v>
      </c>
      <c r="C147" s="32">
        <v>22</v>
      </c>
      <c r="D147" s="32" t="s">
        <v>177</v>
      </c>
      <c r="E147" s="32" t="s">
        <v>178</v>
      </c>
      <c r="F147" s="54">
        <v>46168</v>
      </c>
      <c r="G147" s="54">
        <v>46169</v>
      </c>
      <c r="H147" s="55">
        <v>0.41666666666666669</v>
      </c>
      <c r="I147" s="55">
        <v>0.33333333333333331</v>
      </c>
      <c r="J147" s="32" t="s">
        <v>53</v>
      </c>
      <c r="K147" s="32" t="s">
        <v>179</v>
      </c>
      <c r="L147" s="32">
        <v>1</v>
      </c>
      <c r="M147" s="32" t="s">
        <v>969</v>
      </c>
      <c r="N147" s="32" t="s">
        <v>181</v>
      </c>
      <c r="O147" s="32" t="s">
        <v>181</v>
      </c>
      <c r="P147" s="32" t="s">
        <v>182</v>
      </c>
      <c r="Q147" s="32" t="s">
        <v>371</v>
      </c>
      <c r="R147" s="32" t="s">
        <v>183</v>
      </c>
      <c r="S147" s="32" t="s">
        <v>383</v>
      </c>
      <c r="T147" s="32" t="s">
        <v>970</v>
      </c>
      <c r="U147" s="32" t="s">
        <v>971</v>
      </c>
      <c r="V147" s="32" t="s">
        <v>972</v>
      </c>
      <c r="W147" s="32" t="s">
        <v>973</v>
      </c>
      <c r="X147" s="32" t="s">
        <v>188</v>
      </c>
      <c r="Y147" s="32" t="s">
        <v>188</v>
      </c>
      <c r="Z147" s="32" t="s">
        <v>188</v>
      </c>
      <c r="AA147" s="32" t="s">
        <v>189</v>
      </c>
      <c r="AB147" s="32" t="s">
        <v>55</v>
      </c>
      <c r="AC147" s="32" t="s">
        <v>56</v>
      </c>
      <c r="AD147" s="32" t="s">
        <v>57</v>
      </c>
      <c r="AE147" s="32">
        <v>20513040718</v>
      </c>
      <c r="AF147" s="32" t="s">
        <v>974</v>
      </c>
      <c r="AG147" s="32" t="s">
        <v>975</v>
      </c>
      <c r="AH147" s="32" t="s">
        <v>193</v>
      </c>
      <c r="AI147" s="32" t="s">
        <v>976</v>
      </c>
      <c r="AJ147" s="32" t="s">
        <v>977</v>
      </c>
      <c r="AK147" s="32" t="s">
        <v>978</v>
      </c>
      <c r="AL147" s="32" t="s">
        <v>491</v>
      </c>
      <c r="AM147" s="32" t="s">
        <v>278</v>
      </c>
      <c r="AN147" s="32" t="s">
        <v>278</v>
      </c>
      <c r="AO147" s="32" t="s">
        <v>491</v>
      </c>
      <c r="AP147" s="32" t="s">
        <v>491</v>
      </c>
      <c r="AQ147" s="32" t="s">
        <v>491</v>
      </c>
      <c r="AR147" s="32" t="s">
        <v>491</v>
      </c>
      <c r="AS147" s="32" t="s">
        <v>63</v>
      </c>
      <c r="AT147" s="32" t="s">
        <v>388</v>
      </c>
      <c r="AU147" s="56">
        <v>46168.916666666664</v>
      </c>
      <c r="AV147" s="56">
        <v>46168.947916666664</v>
      </c>
      <c r="AW147" s="56">
        <v>46168.957638888889</v>
      </c>
      <c r="AX147" s="56">
        <v>46168.965277777781</v>
      </c>
      <c r="AY147" s="56">
        <v>46169.011111111111</v>
      </c>
      <c r="AZ147" s="56">
        <v>46169.052777777775</v>
      </c>
      <c r="BA147" s="56">
        <v>46169.647222222222</v>
      </c>
      <c r="BB147" s="56">
        <v>46169.648611111108</v>
      </c>
      <c r="BC147" s="56">
        <v>46169.654166666667</v>
      </c>
      <c r="BD147" s="56">
        <v>46169.659722222219</v>
      </c>
      <c r="BE147" s="56">
        <v>46169.661111111112</v>
      </c>
      <c r="BG147" s="56">
        <v>46171.631249999999</v>
      </c>
      <c r="BH147" s="56">
        <v>46171.638194444444</v>
      </c>
      <c r="BI147" s="32" t="s">
        <v>65</v>
      </c>
      <c r="BJ147" s="56">
        <v>46172.458333333336</v>
      </c>
      <c r="BK147" s="56">
        <v>46172.493055555555</v>
      </c>
      <c r="BL147" s="56">
        <v>46172.506249999999</v>
      </c>
      <c r="BM147" s="56">
        <v>46172.512499999997</v>
      </c>
      <c r="BN147" s="56">
        <v>46172.519444444442</v>
      </c>
    </row>
    <row r="148" spans="1:66" x14ac:dyDescent="0.35">
      <c r="A148" t="s">
        <v>176</v>
      </c>
      <c r="B148" s="32">
        <v>2</v>
      </c>
      <c r="C148" s="32">
        <v>22</v>
      </c>
      <c r="D148" s="32" t="s">
        <v>177</v>
      </c>
      <c r="E148" s="32" t="s">
        <v>178</v>
      </c>
      <c r="F148" s="54">
        <v>46173</v>
      </c>
      <c r="G148" s="54">
        <v>46174</v>
      </c>
      <c r="H148" s="55">
        <v>0.625</v>
      </c>
      <c r="I148" s="55">
        <v>0.54166666666666663</v>
      </c>
      <c r="J148" s="32" t="s">
        <v>53</v>
      </c>
      <c r="K148" s="32" t="s">
        <v>179</v>
      </c>
      <c r="L148" s="32">
        <v>1</v>
      </c>
      <c r="M148" s="32" t="s">
        <v>54</v>
      </c>
      <c r="P148" s="32" t="s">
        <v>182</v>
      </c>
      <c r="Q148" s="32" t="s">
        <v>371</v>
      </c>
      <c r="R148" s="32" t="s">
        <v>183</v>
      </c>
      <c r="S148" s="32" t="s">
        <v>184</v>
      </c>
      <c r="T148" s="32" t="s">
        <v>979</v>
      </c>
      <c r="U148" s="32" t="s">
        <v>62</v>
      </c>
      <c r="V148" s="32" t="s">
        <v>980</v>
      </c>
      <c r="W148" s="32" t="s">
        <v>981</v>
      </c>
      <c r="X148" s="32" t="s">
        <v>187</v>
      </c>
      <c r="Z148" s="32" t="s">
        <v>1930</v>
      </c>
      <c r="AA148" s="32" t="s">
        <v>189</v>
      </c>
      <c r="AB148" s="32" t="s">
        <v>55</v>
      </c>
      <c r="AC148" s="32" t="s">
        <v>56</v>
      </c>
      <c r="AD148" s="32" t="s">
        <v>57</v>
      </c>
      <c r="AE148" s="32">
        <v>20513040718</v>
      </c>
      <c r="AF148" s="32" t="s">
        <v>58</v>
      </c>
      <c r="AG148" s="32" t="s">
        <v>59</v>
      </c>
      <c r="AH148" s="32" t="s">
        <v>193</v>
      </c>
      <c r="AI148" s="32" t="s">
        <v>60</v>
      </c>
      <c r="AJ148" s="32" t="s">
        <v>61</v>
      </c>
      <c r="AK148" s="32" t="s">
        <v>982</v>
      </c>
      <c r="AL148" s="32" t="s">
        <v>491</v>
      </c>
      <c r="AM148" s="32" t="s">
        <v>278</v>
      </c>
      <c r="AN148" s="32" t="s">
        <v>278</v>
      </c>
      <c r="AO148" s="32" t="s">
        <v>491</v>
      </c>
      <c r="AP148" s="32" t="s">
        <v>491</v>
      </c>
      <c r="AQ148" s="32" t="s">
        <v>491</v>
      </c>
      <c r="AR148" s="32" t="s">
        <v>491</v>
      </c>
      <c r="AS148" s="32" t="s">
        <v>63</v>
      </c>
      <c r="AT148" s="32" t="s">
        <v>64</v>
      </c>
      <c r="AU148" s="56">
        <v>46173.583333333336</v>
      </c>
      <c r="AV148" s="56">
        <v>46173.594444444447</v>
      </c>
      <c r="AW148" s="56">
        <v>46173.611111111109</v>
      </c>
      <c r="AX148" s="56">
        <v>46173.615277777775</v>
      </c>
      <c r="AY148" s="56">
        <v>46173.668055555558</v>
      </c>
      <c r="AZ148" s="56">
        <v>46173.709722222222</v>
      </c>
      <c r="BA148" s="56">
        <v>46174.594444444447</v>
      </c>
      <c r="BB148" s="56">
        <v>46174.595833333333</v>
      </c>
      <c r="BC148" s="56">
        <v>46174.607638888891</v>
      </c>
      <c r="BD148" s="56">
        <v>46174.615277777775</v>
      </c>
      <c r="BE148" s="56">
        <v>46174.680555555555</v>
      </c>
      <c r="BG148" s="56">
        <v>46174.712500000001</v>
      </c>
      <c r="BH148" s="56">
        <v>46174.799305555556</v>
      </c>
      <c r="BI148" s="32" t="s">
        <v>65</v>
      </c>
      <c r="BJ148" s="56">
        <v>46175.5</v>
      </c>
      <c r="BK148" s="56">
        <v>46175.491666666669</v>
      </c>
      <c r="BL148" s="56">
        <v>46175.494444444441</v>
      </c>
      <c r="BM148" s="56">
        <v>46175.497916666667</v>
      </c>
      <c r="BN148" s="56">
        <v>46175.505555555559</v>
      </c>
    </row>
    <row r="149" spans="1:66" x14ac:dyDescent="0.35">
      <c r="A149" t="s">
        <v>176</v>
      </c>
      <c r="B149" s="32">
        <v>3</v>
      </c>
      <c r="C149" s="32">
        <v>22</v>
      </c>
      <c r="D149" s="32" t="s">
        <v>177</v>
      </c>
      <c r="E149" s="32" t="s">
        <v>178</v>
      </c>
      <c r="F149" s="54">
        <v>46174</v>
      </c>
      <c r="G149" s="54">
        <v>46175</v>
      </c>
      <c r="H149" s="55">
        <v>0.41666666666666669</v>
      </c>
      <c r="I149" s="55">
        <v>0.33333333333333331</v>
      </c>
      <c r="J149" s="32" t="s">
        <v>53</v>
      </c>
      <c r="K149" s="32" t="s">
        <v>179</v>
      </c>
      <c r="L149" s="32">
        <v>1</v>
      </c>
      <c r="M149" s="32" t="s">
        <v>66</v>
      </c>
      <c r="P149" s="32" t="s">
        <v>182</v>
      </c>
      <c r="Q149" s="32" t="s">
        <v>371</v>
      </c>
      <c r="R149" s="32" t="s">
        <v>183</v>
      </c>
      <c r="S149" s="32" t="s">
        <v>184</v>
      </c>
      <c r="T149" s="32" t="s">
        <v>983</v>
      </c>
      <c r="U149" s="32" t="s">
        <v>71</v>
      </c>
      <c r="V149" s="32" t="s">
        <v>984</v>
      </c>
      <c r="W149" s="32" t="s">
        <v>985</v>
      </c>
      <c r="X149" s="32" t="s">
        <v>187</v>
      </c>
      <c r="Z149" s="32" t="s">
        <v>1930</v>
      </c>
      <c r="AA149" s="32" t="s">
        <v>189</v>
      </c>
      <c r="AB149" s="32" t="s">
        <v>55</v>
      </c>
      <c r="AC149" s="32" t="s">
        <v>56</v>
      </c>
      <c r="AD149" s="32" t="s">
        <v>57</v>
      </c>
      <c r="AE149" s="32">
        <v>20513040718</v>
      </c>
      <c r="AF149" s="32" t="s">
        <v>67</v>
      </c>
      <c r="AG149" s="32" t="s">
        <v>68</v>
      </c>
      <c r="AH149" s="32" t="s">
        <v>193</v>
      </c>
      <c r="AI149" s="32" t="s">
        <v>69</v>
      </c>
      <c r="AJ149" s="32" t="s">
        <v>70</v>
      </c>
      <c r="AK149" s="32" t="s">
        <v>986</v>
      </c>
      <c r="AL149" s="32" t="s">
        <v>491</v>
      </c>
      <c r="AM149" s="32" t="s">
        <v>278</v>
      </c>
      <c r="AN149" s="32" t="s">
        <v>278</v>
      </c>
      <c r="AO149" s="32" t="s">
        <v>491</v>
      </c>
      <c r="AP149" s="32" t="s">
        <v>491</v>
      </c>
      <c r="AQ149" s="32" t="s">
        <v>491</v>
      </c>
      <c r="AR149" s="32" t="s">
        <v>491</v>
      </c>
      <c r="AS149" s="32" t="s">
        <v>63</v>
      </c>
      <c r="AT149" s="32" t="s">
        <v>64</v>
      </c>
      <c r="AU149" s="56">
        <v>46174.5</v>
      </c>
      <c r="AV149" s="56">
        <v>46174.517361111109</v>
      </c>
      <c r="AW149" s="56">
        <v>46174.521527777775</v>
      </c>
      <c r="AX149" s="56">
        <v>46174.52847222222</v>
      </c>
      <c r="AY149" s="56">
        <v>46174.569444444445</v>
      </c>
      <c r="AZ149" s="56">
        <v>46174.611111111109</v>
      </c>
      <c r="BA149" s="56">
        <v>46175.40625</v>
      </c>
      <c r="BB149" s="56">
        <v>46175.406944444447</v>
      </c>
      <c r="BC149" s="56">
        <v>46175.417361111111</v>
      </c>
      <c r="BD149" s="56">
        <v>46175.421527777777</v>
      </c>
      <c r="BE149" s="56">
        <v>46175.541666666664</v>
      </c>
      <c r="BG149" s="56">
        <v>46175.556250000001</v>
      </c>
      <c r="BH149" s="56">
        <v>46175.604861111111</v>
      </c>
      <c r="BI149" s="32" t="s">
        <v>65</v>
      </c>
      <c r="BJ149" s="56">
        <v>46176.416666666664</v>
      </c>
      <c r="BK149" s="56">
        <v>46176.418055555558</v>
      </c>
      <c r="BL149" s="56">
        <v>46176.42083333333</v>
      </c>
      <c r="BM149" s="56">
        <v>46176.424305555556</v>
      </c>
      <c r="BN149" s="56">
        <v>46176.441666666666</v>
      </c>
    </row>
    <row r="150" spans="1:66" x14ac:dyDescent="0.35">
      <c r="A150" t="s">
        <v>176</v>
      </c>
      <c r="B150" s="32">
        <v>4</v>
      </c>
      <c r="C150" s="32">
        <v>23</v>
      </c>
      <c r="D150" s="32" t="s">
        <v>177</v>
      </c>
      <c r="E150" s="32" t="s">
        <v>178</v>
      </c>
      <c r="F150" s="54">
        <v>46181</v>
      </c>
      <c r="G150" s="54">
        <v>46182</v>
      </c>
      <c r="H150" s="55">
        <v>0.41666666666666669</v>
      </c>
      <c r="I150" s="55">
        <v>0.33333333333333331</v>
      </c>
      <c r="J150" s="32" t="s">
        <v>53</v>
      </c>
      <c r="K150" s="32" t="s">
        <v>179</v>
      </c>
      <c r="L150" s="32">
        <v>1</v>
      </c>
      <c r="M150" s="32" t="s">
        <v>72</v>
      </c>
      <c r="P150" s="32" t="s">
        <v>182</v>
      </c>
      <c r="Q150" s="32" t="s">
        <v>371</v>
      </c>
      <c r="R150" s="32" t="s">
        <v>183</v>
      </c>
      <c r="S150" s="32" t="s">
        <v>184</v>
      </c>
      <c r="T150" s="32" t="s">
        <v>75</v>
      </c>
      <c r="U150" s="32" t="s">
        <v>76</v>
      </c>
      <c r="V150" s="32" t="s">
        <v>987</v>
      </c>
      <c r="W150" s="32" t="s">
        <v>988</v>
      </c>
      <c r="X150" s="32" t="s">
        <v>187</v>
      </c>
      <c r="Z150" s="32" t="s">
        <v>188</v>
      </c>
      <c r="AA150" s="32" t="s">
        <v>189</v>
      </c>
      <c r="AB150" s="32" t="s">
        <v>55</v>
      </c>
      <c r="AC150" s="32" t="s">
        <v>56</v>
      </c>
      <c r="AD150" s="32" t="s">
        <v>57</v>
      </c>
      <c r="AE150" s="32">
        <v>20513040718</v>
      </c>
      <c r="AF150" s="32" t="s">
        <v>67</v>
      </c>
      <c r="AG150" s="32" t="s">
        <v>68</v>
      </c>
      <c r="AH150" s="32" t="s">
        <v>193</v>
      </c>
      <c r="AI150" s="32" t="s">
        <v>73</v>
      </c>
      <c r="AJ150" s="32" t="s">
        <v>74</v>
      </c>
      <c r="AK150" s="32" t="s">
        <v>989</v>
      </c>
      <c r="AL150" s="32" t="s">
        <v>491</v>
      </c>
      <c r="AM150" s="32" t="s">
        <v>278</v>
      </c>
      <c r="AN150" s="32" t="s">
        <v>278</v>
      </c>
      <c r="AO150" s="32" t="s">
        <v>491</v>
      </c>
      <c r="AP150" s="32" t="s">
        <v>491</v>
      </c>
      <c r="AQ150" s="32" t="s">
        <v>491</v>
      </c>
      <c r="AR150" s="32" t="s">
        <v>491</v>
      </c>
      <c r="AS150" s="32" t="s">
        <v>63</v>
      </c>
      <c r="AT150" s="32" t="s">
        <v>64</v>
      </c>
      <c r="AU150" s="56">
        <v>46181.5</v>
      </c>
      <c r="AV150" s="56">
        <v>46181.513194444444</v>
      </c>
      <c r="AW150" s="56">
        <v>46181.614583333336</v>
      </c>
      <c r="AX150" s="56">
        <v>46181.621527777781</v>
      </c>
      <c r="AY150" s="56">
        <v>46181.677083333336</v>
      </c>
      <c r="AZ150" s="56">
        <v>46181.71875</v>
      </c>
      <c r="BA150" s="56">
        <v>46182.432638888888</v>
      </c>
      <c r="BB150" s="56">
        <v>46182.433333333334</v>
      </c>
      <c r="BC150" s="56">
        <v>46182.439583333333</v>
      </c>
      <c r="BD150" s="56">
        <v>46182.443749999999</v>
      </c>
      <c r="BE150" s="56">
        <v>46182.446527777778</v>
      </c>
      <c r="BG150" s="56">
        <v>46182.59652777778</v>
      </c>
      <c r="BH150" s="56">
        <v>46182.603472222225</v>
      </c>
      <c r="BI150" s="32" t="s">
        <v>65</v>
      </c>
      <c r="BJ150" s="56">
        <v>46183.333333333336</v>
      </c>
      <c r="BK150" s="56">
        <v>46183.345138888886</v>
      </c>
      <c r="BL150" s="56">
        <v>46183.351388888892</v>
      </c>
      <c r="BM150" s="56">
        <v>46183.35833333333</v>
      </c>
      <c r="BN150" s="56">
        <v>46183.361111111109</v>
      </c>
    </row>
    <row r="151" spans="1:66" x14ac:dyDescent="0.35">
      <c r="A151" t="s">
        <v>176</v>
      </c>
      <c r="B151" s="32">
        <v>5</v>
      </c>
      <c r="C151" s="32">
        <v>24</v>
      </c>
      <c r="D151" s="32" t="s">
        <v>177</v>
      </c>
      <c r="E151" s="32" t="s">
        <v>178</v>
      </c>
      <c r="F151" s="54">
        <v>46183</v>
      </c>
      <c r="G151" s="54">
        <v>46184</v>
      </c>
      <c r="H151" s="55">
        <v>0.41666666666666669</v>
      </c>
      <c r="I151" s="55">
        <v>0.33333333333333331</v>
      </c>
      <c r="J151" s="32" t="s">
        <v>53</v>
      </c>
      <c r="K151" s="32" t="s">
        <v>179</v>
      </c>
      <c r="L151" s="32">
        <v>1</v>
      </c>
      <c r="M151" s="32" t="s">
        <v>990</v>
      </c>
      <c r="P151" s="32" t="s">
        <v>182</v>
      </c>
      <c r="Q151" s="32" t="s">
        <v>371</v>
      </c>
      <c r="R151" s="32" t="s">
        <v>382</v>
      </c>
      <c r="S151" s="32" t="s">
        <v>383</v>
      </c>
      <c r="T151" s="32" t="s">
        <v>991</v>
      </c>
      <c r="U151" s="32" t="s">
        <v>992</v>
      </c>
      <c r="V151" s="32" t="s">
        <v>993</v>
      </c>
      <c r="W151" s="32" t="s">
        <v>994</v>
      </c>
      <c r="X151" s="32" t="s">
        <v>188</v>
      </c>
      <c r="Z151" s="32" t="s">
        <v>188</v>
      </c>
      <c r="AA151" s="32" t="s">
        <v>189</v>
      </c>
      <c r="AB151" s="32" t="s">
        <v>55</v>
      </c>
      <c r="AC151" s="32" t="s">
        <v>56</v>
      </c>
      <c r="AD151" s="32" t="s">
        <v>57</v>
      </c>
      <c r="AE151" s="32">
        <v>20513040718</v>
      </c>
      <c r="AF151" s="32" t="s">
        <v>67</v>
      </c>
      <c r="AG151" s="32" t="s">
        <v>68</v>
      </c>
      <c r="AH151" s="32" t="s">
        <v>193</v>
      </c>
      <c r="AI151" s="32" t="s">
        <v>73</v>
      </c>
      <c r="AJ151" s="32" t="s">
        <v>74</v>
      </c>
      <c r="AK151" s="32" t="s">
        <v>989</v>
      </c>
      <c r="AL151" s="32" t="s">
        <v>491</v>
      </c>
      <c r="AM151" s="32" t="s">
        <v>278</v>
      </c>
      <c r="AN151" s="32" t="s">
        <v>278</v>
      </c>
      <c r="AO151" s="32" t="s">
        <v>491</v>
      </c>
      <c r="AP151" s="32" t="s">
        <v>491</v>
      </c>
      <c r="AQ151" s="32" t="s">
        <v>491</v>
      </c>
      <c r="AR151" s="32" t="s">
        <v>491</v>
      </c>
      <c r="AS151" s="32" t="s">
        <v>63</v>
      </c>
      <c r="AT151" s="32" t="s">
        <v>388</v>
      </c>
      <c r="AU151" s="56">
        <v>46183.666666666664</v>
      </c>
      <c r="AV151" s="56">
        <v>46183.7</v>
      </c>
      <c r="AW151" s="56">
        <v>46183.708333333336</v>
      </c>
      <c r="AX151" s="56">
        <v>46183.715277777781</v>
      </c>
      <c r="AY151" s="56">
        <v>46183.777777777781</v>
      </c>
      <c r="AZ151" s="56">
        <v>46183.819444444445</v>
      </c>
      <c r="BA151" s="56">
        <v>46184.51666666667</v>
      </c>
      <c r="BB151" s="56">
        <v>46184.519444444442</v>
      </c>
      <c r="BC151" s="56">
        <v>46184.520833333336</v>
      </c>
      <c r="BD151" s="56">
        <v>46184.525000000001</v>
      </c>
      <c r="BE151" s="56">
        <v>46184.523611111108</v>
      </c>
      <c r="BG151" s="56">
        <v>46185.55</v>
      </c>
      <c r="BH151" s="56">
        <v>46185.554166666669</v>
      </c>
      <c r="BI151" s="32" t="s">
        <v>65</v>
      </c>
      <c r="BJ151" s="56">
        <v>46186.375</v>
      </c>
      <c r="BK151" s="56">
        <v>46186.361111111109</v>
      </c>
      <c r="BL151" s="56">
        <v>46186.366666666669</v>
      </c>
      <c r="BM151" s="56">
        <v>46186.368055555555</v>
      </c>
      <c r="BN151" s="56">
        <v>46186.371527777781</v>
      </c>
    </row>
    <row r="152" spans="1:66" x14ac:dyDescent="0.35">
      <c r="A152" t="s">
        <v>176</v>
      </c>
      <c r="B152" s="32">
        <v>6</v>
      </c>
      <c r="C152" s="32">
        <v>25</v>
      </c>
      <c r="D152" s="32" t="s">
        <v>177</v>
      </c>
      <c r="E152" s="32" t="s">
        <v>178</v>
      </c>
      <c r="F152" s="54">
        <v>46191</v>
      </c>
      <c r="G152" s="54">
        <v>46192</v>
      </c>
      <c r="H152" s="55">
        <v>0.41666666666666669</v>
      </c>
      <c r="I152" s="55">
        <v>0.33333333333333331</v>
      </c>
      <c r="J152" s="32" t="s">
        <v>53</v>
      </c>
      <c r="K152" s="32" t="s">
        <v>179</v>
      </c>
      <c r="L152" s="32">
        <v>1</v>
      </c>
      <c r="M152" s="32" t="s">
        <v>995</v>
      </c>
      <c r="P152" s="32" t="s">
        <v>182</v>
      </c>
      <c r="Q152" s="32" t="s">
        <v>371</v>
      </c>
      <c r="R152" s="32" t="s">
        <v>382</v>
      </c>
      <c r="S152" s="32" t="s">
        <v>383</v>
      </c>
      <c r="T152" s="32" t="s">
        <v>996</v>
      </c>
      <c r="U152" s="32" t="s">
        <v>997</v>
      </c>
      <c r="V152" s="32" t="s">
        <v>998</v>
      </c>
      <c r="W152" s="32" t="s">
        <v>999</v>
      </c>
      <c r="X152" s="32" t="s">
        <v>188</v>
      </c>
      <c r="Z152" s="32" t="s">
        <v>188</v>
      </c>
      <c r="AA152" s="32" t="s">
        <v>189</v>
      </c>
      <c r="AB152" s="32" t="s">
        <v>55</v>
      </c>
      <c r="AC152" s="32" t="s">
        <v>56</v>
      </c>
      <c r="AD152" s="32" t="s">
        <v>57</v>
      </c>
      <c r="AE152" s="32">
        <v>20513040718</v>
      </c>
      <c r="AF152" s="32" t="s">
        <v>1000</v>
      </c>
      <c r="AG152" s="32" t="s">
        <v>1001</v>
      </c>
      <c r="AH152" s="32" t="s">
        <v>193</v>
      </c>
      <c r="AI152" s="32" t="s">
        <v>1002</v>
      </c>
      <c r="AJ152" s="32" t="s">
        <v>1003</v>
      </c>
      <c r="AK152" s="32" t="s">
        <v>1004</v>
      </c>
      <c r="AL152" s="32" t="s">
        <v>491</v>
      </c>
      <c r="AM152" s="32" t="s">
        <v>278</v>
      </c>
      <c r="AN152" s="32" t="s">
        <v>278</v>
      </c>
      <c r="AO152" s="32" t="s">
        <v>491</v>
      </c>
      <c r="AP152" s="32" t="s">
        <v>491</v>
      </c>
      <c r="AQ152" s="32" t="s">
        <v>491</v>
      </c>
      <c r="AR152" s="32" t="s">
        <v>491</v>
      </c>
      <c r="AS152" s="32" t="s">
        <v>63</v>
      </c>
      <c r="AT152" s="32" t="s">
        <v>64</v>
      </c>
      <c r="AU152" s="56">
        <v>46191.458333333336</v>
      </c>
      <c r="AV152" s="56">
        <v>46191.491666666669</v>
      </c>
      <c r="AW152" s="56">
        <v>46191.495138888888</v>
      </c>
      <c r="AX152" s="56">
        <v>46191.5</v>
      </c>
      <c r="AY152" s="56">
        <v>46191.592361111114</v>
      </c>
      <c r="AZ152" s="56">
        <v>46191.634027777778</v>
      </c>
      <c r="BA152" s="56">
        <v>46192.333333333336</v>
      </c>
      <c r="BB152" s="56">
        <v>46192.340277777781</v>
      </c>
      <c r="BC152" s="56">
        <v>46192.347222222219</v>
      </c>
      <c r="BD152" s="56">
        <v>46192.351388888892</v>
      </c>
      <c r="BE152" s="56">
        <v>46192.354166666664</v>
      </c>
      <c r="BG152" s="56">
        <v>46192.658333333333</v>
      </c>
      <c r="BH152" s="56">
        <v>46192.665277777778</v>
      </c>
      <c r="BI152" s="32" t="s">
        <v>65</v>
      </c>
      <c r="BJ152" s="56">
        <v>46193.333333333336</v>
      </c>
      <c r="BK152" s="56">
        <v>46193.351388888892</v>
      </c>
      <c r="BL152" s="56">
        <v>46193.361111111109</v>
      </c>
      <c r="BM152" s="56">
        <v>46193.362500000003</v>
      </c>
      <c r="BN152" s="56">
        <v>46193.368055555555</v>
      </c>
    </row>
    <row r="153" spans="1:66" x14ac:dyDescent="0.35">
      <c r="A153" t="s">
        <v>176</v>
      </c>
      <c r="B153" s="32">
        <v>7</v>
      </c>
      <c r="C153" s="32">
        <v>26</v>
      </c>
      <c r="D153" s="32" t="s">
        <v>177</v>
      </c>
      <c r="E153" s="32" t="s">
        <v>178</v>
      </c>
      <c r="F153" s="54">
        <v>46198</v>
      </c>
      <c r="G153" s="54">
        <v>46199</v>
      </c>
      <c r="H153" s="55">
        <v>0.41666666666666669</v>
      </c>
      <c r="I153" s="55">
        <v>0.33333333333333331</v>
      </c>
      <c r="J153" s="32" t="s">
        <v>53</v>
      </c>
      <c r="K153" s="32" t="s">
        <v>179</v>
      </c>
      <c r="L153" s="32">
        <v>1</v>
      </c>
      <c r="M153" s="32" t="s">
        <v>1005</v>
      </c>
      <c r="P153" s="32" t="s">
        <v>182</v>
      </c>
      <c r="Q153" s="32" t="s">
        <v>371</v>
      </c>
      <c r="R153" s="32" t="s">
        <v>382</v>
      </c>
      <c r="S153" s="32" t="s">
        <v>383</v>
      </c>
      <c r="T153" s="32" t="s">
        <v>1006</v>
      </c>
      <c r="U153" s="32" t="s">
        <v>1007</v>
      </c>
      <c r="V153" s="32" t="s">
        <v>1008</v>
      </c>
      <c r="W153" s="32" t="s">
        <v>1009</v>
      </c>
      <c r="X153" s="32" t="s">
        <v>188</v>
      </c>
      <c r="Z153" s="32" t="s">
        <v>188</v>
      </c>
      <c r="AA153" s="32" t="s">
        <v>189</v>
      </c>
      <c r="AB153" s="32" t="s">
        <v>55</v>
      </c>
      <c r="AC153" s="32" t="s">
        <v>56</v>
      </c>
      <c r="AD153" s="32" t="s">
        <v>57</v>
      </c>
      <c r="AE153" s="32">
        <v>20513040718</v>
      </c>
      <c r="AF153" s="32" t="s">
        <v>1010</v>
      </c>
      <c r="AG153" s="32" t="s">
        <v>1011</v>
      </c>
      <c r="AH153" s="32" t="s">
        <v>193</v>
      </c>
      <c r="AI153" s="32" t="s">
        <v>69</v>
      </c>
      <c r="AJ153" s="32" t="s">
        <v>70</v>
      </c>
      <c r="AK153" s="32" t="s">
        <v>986</v>
      </c>
      <c r="AL153" s="32" t="s">
        <v>491</v>
      </c>
      <c r="AM153" s="32" t="s">
        <v>278</v>
      </c>
      <c r="AN153" s="32" t="s">
        <v>278</v>
      </c>
      <c r="AO153" s="32" t="s">
        <v>491</v>
      </c>
      <c r="AP153" s="32" t="s">
        <v>491</v>
      </c>
      <c r="AQ153" s="32" t="s">
        <v>491</v>
      </c>
      <c r="AR153" s="32" t="s">
        <v>491</v>
      </c>
      <c r="AS153" s="32" t="s">
        <v>63</v>
      </c>
      <c r="AT153" s="32" t="s">
        <v>388</v>
      </c>
      <c r="AU153" s="56">
        <v>46198.458333333336</v>
      </c>
      <c r="AV153" s="56">
        <v>46198.456944444442</v>
      </c>
      <c r="AW153" s="56">
        <v>46198.458333333336</v>
      </c>
      <c r="AX153" s="56">
        <v>46198.463194444441</v>
      </c>
      <c r="AY153" s="56">
        <v>46198.532638888886</v>
      </c>
      <c r="AZ153" s="56">
        <v>46198.576388888891</v>
      </c>
      <c r="BA153" s="56">
        <v>46199.351388888892</v>
      </c>
      <c r="BB153" s="56">
        <v>46199.354166666664</v>
      </c>
      <c r="BC153" s="56">
        <v>46199.479166666664</v>
      </c>
      <c r="BD153" s="56">
        <v>46199.48333333333</v>
      </c>
      <c r="BE153" s="56">
        <v>46199.5</v>
      </c>
      <c r="BG153" s="56">
        <v>46199.555555555555</v>
      </c>
      <c r="BH153" s="56">
        <v>46199.557638888888</v>
      </c>
      <c r="BI153" s="32" t="s">
        <v>65</v>
      </c>
      <c r="BJ153" s="56">
        <v>46200.291666666664</v>
      </c>
      <c r="BK153" s="56">
        <v>46200.262499999997</v>
      </c>
      <c r="BL153" s="56">
        <v>46200.263888888891</v>
      </c>
      <c r="BM153" s="56">
        <v>46200.267361111109</v>
      </c>
      <c r="BN153" s="56">
        <v>46200.272916666669</v>
      </c>
    </row>
    <row r="154" spans="1:66" x14ac:dyDescent="0.35">
      <c r="A154" t="s">
        <v>176</v>
      </c>
      <c r="B154" s="32">
        <v>8</v>
      </c>
      <c r="C154" s="32">
        <v>27</v>
      </c>
      <c r="D154" s="32" t="s">
        <v>177</v>
      </c>
      <c r="E154" s="32" t="s">
        <v>178</v>
      </c>
      <c r="F154" s="54">
        <v>46198</v>
      </c>
      <c r="G154" s="54">
        <v>46199</v>
      </c>
      <c r="H154" s="55">
        <v>0.41666666666666669</v>
      </c>
      <c r="I154" s="55">
        <v>0.33333333333333331</v>
      </c>
      <c r="J154" s="32" t="s">
        <v>53</v>
      </c>
      <c r="K154" s="32" t="s">
        <v>179</v>
      </c>
      <c r="L154" s="32">
        <v>1</v>
      </c>
      <c r="M154" s="32" t="s">
        <v>1012</v>
      </c>
      <c r="P154" s="32" t="s">
        <v>182</v>
      </c>
      <c r="Q154" s="32" t="s">
        <v>371</v>
      </c>
      <c r="R154" s="32" t="s">
        <v>382</v>
      </c>
      <c r="S154" s="32" t="s">
        <v>383</v>
      </c>
      <c r="T154" s="32" t="s">
        <v>1013</v>
      </c>
      <c r="U154" s="32" t="s">
        <v>1014</v>
      </c>
      <c r="V154" s="32" t="s">
        <v>1015</v>
      </c>
      <c r="W154" s="32" t="s">
        <v>1016</v>
      </c>
      <c r="X154" s="32" t="s">
        <v>188</v>
      </c>
      <c r="Z154" s="32" t="s">
        <v>188</v>
      </c>
      <c r="AA154" s="32" t="s">
        <v>189</v>
      </c>
      <c r="AB154" s="32" t="s">
        <v>55</v>
      </c>
      <c r="AC154" s="32" t="s">
        <v>56</v>
      </c>
      <c r="AD154" s="32" t="s">
        <v>57</v>
      </c>
      <c r="AE154" s="32">
        <v>20513040718</v>
      </c>
      <c r="AF154" s="32" t="s">
        <v>1000</v>
      </c>
      <c r="AG154" s="32" t="s">
        <v>1001</v>
      </c>
      <c r="AH154" s="32" t="s">
        <v>193</v>
      </c>
      <c r="AI154" s="32" t="s">
        <v>1002</v>
      </c>
      <c r="AJ154" s="32" t="s">
        <v>1003</v>
      </c>
      <c r="AK154" s="32" t="s">
        <v>1017</v>
      </c>
      <c r="AL154" s="32" t="s">
        <v>491</v>
      </c>
      <c r="AM154" s="32" t="s">
        <v>278</v>
      </c>
      <c r="AN154" s="32" t="s">
        <v>278</v>
      </c>
      <c r="AO154" s="32" t="s">
        <v>491</v>
      </c>
      <c r="AP154" s="32" t="s">
        <v>491</v>
      </c>
      <c r="AQ154" s="32" t="s">
        <v>491</v>
      </c>
      <c r="AR154" s="32" t="s">
        <v>491</v>
      </c>
      <c r="AS154" s="32" t="s">
        <v>63</v>
      </c>
      <c r="AT154" s="32" t="s">
        <v>388</v>
      </c>
      <c r="AU154" s="56">
        <v>46198.458333333336</v>
      </c>
      <c r="AV154" s="56">
        <v>46198.445138888892</v>
      </c>
      <c r="AW154" s="56">
        <v>46198.45416666667</v>
      </c>
      <c r="AX154" s="56">
        <v>46198.481944444444</v>
      </c>
      <c r="AY154" s="56">
        <v>46198.513888888891</v>
      </c>
      <c r="AZ154" s="56">
        <v>46198.555555555555</v>
      </c>
      <c r="BA154" s="56">
        <v>46199.31527777778</v>
      </c>
      <c r="BB154" s="56">
        <v>46199.318055555559</v>
      </c>
      <c r="BC154" s="56">
        <v>46199.604166666664</v>
      </c>
      <c r="BD154" s="56">
        <v>46199.60833333333</v>
      </c>
      <c r="BE154" s="56">
        <v>46199.645833333336</v>
      </c>
      <c r="BG154" s="56">
        <v>46199.690972222219</v>
      </c>
      <c r="BH154" s="56">
        <v>46199.694444444445</v>
      </c>
      <c r="BI154" s="32" t="s">
        <v>65</v>
      </c>
      <c r="BJ154" s="56">
        <v>46200.25</v>
      </c>
      <c r="BK154" s="56">
        <v>46200.222916666666</v>
      </c>
      <c r="BL154" s="56">
        <v>46200.227083333331</v>
      </c>
      <c r="BM154" s="56">
        <v>46200.229166666664</v>
      </c>
      <c r="BN154" s="56">
        <v>46200.239583333336</v>
      </c>
    </row>
    <row r="155" spans="1:66" x14ac:dyDescent="0.35">
      <c r="A155" t="s">
        <v>176</v>
      </c>
      <c r="B155" s="32">
        <v>9</v>
      </c>
      <c r="C155" s="32">
        <v>27</v>
      </c>
      <c r="D155" s="32" t="s">
        <v>177</v>
      </c>
      <c r="E155" s="32" t="s">
        <v>178</v>
      </c>
      <c r="F155" s="54">
        <v>46205</v>
      </c>
      <c r="G155" s="54">
        <v>46206</v>
      </c>
      <c r="H155" s="55">
        <v>0.41666666666666669</v>
      </c>
      <c r="I155" s="55">
        <v>0.33333333333333331</v>
      </c>
      <c r="J155" s="32" t="s">
        <v>53</v>
      </c>
      <c r="K155" s="32" t="s">
        <v>179</v>
      </c>
      <c r="L155" s="32">
        <v>1</v>
      </c>
      <c r="M155" s="32" t="s">
        <v>1018</v>
      </c>
      <c r="P155" s="32" t="s">
        <v>182</v>
      </c>
      <c r="Q155" s="32" t="s">
        <v>371</v>
      </c>
      <c r="R155" s="32" t="s">
        <v>382</v>
      </c>
      <c r="S155" s="32" t="s">
        <v>383</v>
      </c>
      <c r="T155" s="32" t="s">
        <v>1019</v>
      </c>
      <c r="U155" s="32" t="s">
        <v>1020</v>
      </c>
      <c r="V155" s="32" t="s">
        <v>1021</v>
      </c>
      <c r="W155" s="32" t="s">
        <v>1022</v>
      </c>
      <c r="X155" s="32" t="s">
        <v>188</v>
      </c>
      <c r="Z155" s="32" t="s">
        <v>188</v>
      </c>
      <c r="AA155" s="32" t="s">
        <v>189</v>
      </c>
      <c r="AB155" s="32" t="s">
        <v>55</v>
      </c>
      <c r="AC155" s="32" t="s">
        <v>56</v>
      </c>
      <c r="AD155" s="32" t="s">
        <v>57</v>
      </c>
      <c r="AE155" s="32">
        <v>20513040718</v>
      </c>
      <c r="AF155" s="32" t="s">
        <v>1023</v>
      </c>
      <c r="AG155" s="32" t="s">
        <v>1024</v>
      </c>
      <c r="AH155" s="32" t="s">
        <v>193</v>
      </c>
      <c r="AI155" s="32" t="s">
        <v>1025</v>
      </c>
      <c r="AJ155" s="32" t="s">
        <v>1026</v>
      </c>
      <c r="AK155" s="32" t="s">
        <v>1027</v>
      </c>
      <c r="AL155" s="32" t="s">
        <v>491</v>
      </c>
      <c r="AM155" s="32" t="s">
        <v>278</v>
      </c>
      <c r="AN155" s="32" t="s">
        <v>278</v>
      </c>
      <c r="AO155" s="32" t="s">
        <v>491</v>
      </c>
      <c r="AP155" s="32" t="s">
        <v>491</v>
      </c>
      <c r="AQ155" s="32" t="s">
        <v>491</v>
      </c>
      <c r="AR155" s="32" t="s">
        <v>491</v>
      </c>
      <c r="AS155" s="32" t="s">
        <v>63</v>
      </c>
      <c r="AT155" s="32" t="s">
        <v>388</v>
      </c>
      <c r="AU155" s="56">
        <v>46205.458333333336</v>
      </c>
      <c r="AV155" s="56">
        <v>46205.495833333334</v>
      </c>
      <c r="AW155" s="56">
        <v>46205.513194444444</v>
      </c>
      <c r="AX155" s="56">
        <v>46205.520833333336</v>
      </c>
      <c r="AY155" s="56">
        <v>46205.595833333333</v>
      </c>
      <c r="AZ155" s="56">
        <v>46205.637499999997</v>
      </c>
      <c r="BA155" s="56">
        <v>46206.375</v>
      </c>
      <c r="BB155" s="56">
        <v>46206.381944444445</v>
      </c>
      <c r="BC155" s="56">
        <v>46206.395833333336</v>
      </c>
      <c r="BD155" s="56">
        <v>46206.400000000001</v>
      </c>
      <c r="BE155" s="56">
        <v>46206.4375</v>
      </c>
      <c r="BG155" s="56">
        <v>46206.566666666666</v>
      </c>
      <c r="BH155" s="56">
        <v>46206.573611111111</v>
      </c>
      <c r="BI155" s="32" t="s">
        <v>65</v>
      </c>
      <c r="BJ155" s="56">
        <v>46207.291666666664</v>
      </c>
      <c r="BK155" s="56">
        <v>46207.294444444444</v>
      </c>
      <c r="BL155" s="56">
        <v>46207.299305555556</v>
      </c>
      <c r="BM155" s="56">
        <v>46207.306250000001</v>
      </c>
      <c r="BN155" s="56">
        <v>46207.304166666669</v>
      </c>
    </row>
    <row r="156" spans="1:66" x14ac:dyDescent="0.35">
      <c r="A156" t="s">
        <v>176</v>
      </c>
      <c r="B156" s="32">
        <v>10</v>
      </c>
      <c r="C156" s="32">
        <v>27</v>
      </c>
      <c r="D156" s="32" t="s">
        <v>177</v>
      </c>
      <c r="E156" s="32" t="s">
        <v>178</v>
      </c>
      <c r="F156" s="54">
        <v>46205</v>
      </c>
      <c r="G156" s="54">
        <v>46206</v>
      </c>
      <c r="H156" s="55">
        <v>0.58333333333333337</v>
      </c>
      <c r="I156" s="55">
        <v>0.5</v>
      </c>
      <c r="J156" s="32" t="s">
        <v>53</v>
      </c>
      <c r="K156" s="32" t="s">
        <v>179</v>
      </c>
      <c r="L156" s="32">
        <v>1</v>
      </c>
      <c r="M156" s="32" t="s">
        <v>1028</v>
      </c>
      <c r="P156" s="32" t="s">
        <v>182</v>
      </c>
      <c r="Q156" s="32" t="s">
        <v>371</v>
      </c>
      <c r="R156" s="32" t="s">
        <v>382</v>
      </c>
      <c r="S156" s="32" t="s">
        <v>383</v>
      </c>
      <c r="T156" s="32" t="s">
        <v>1029</v>
      </c>
      <c r="U156" s="32" t="s">
        <v>1030</v>
      </c>
      <c r="V156" s="32" t="s">
        <v>1031</v>
      </c>
      <c r="W156" s="32" t="s">
        <v>1032</v>
      </c>
      <c r="X156" s="32" t="s">
        <v>188</v>
      </c>
      <c r="Z156" s="32" t="s">
        <v>188</v>
      </c>
      <c r="AA156" s="32" t="s">
        <v>189</v>
      </c>
      <c r="AB156" s="32" t="s">
        <v>55</v>
      </c>
      <c r="AC156" s="32" t="s">
        <v>56</v>
      </c>
      <c r="AD156" s="32" t="s">
        <v>57</v>
      </c>
      <c r="AE156" s="32">
        <v>20513040718</v>
      </c>
      <c r="AF156" s="32" t="s">
        <v>1033</v>
      </c>
      <c r="AG156" s="32" t="s">
        <v>1034</v>
      </c>
      <c r="AH156" s="32" t="s">
        <v>193</v>
      </c>
      <c r="AI156" s="32" t="s">
        <v>1035</v>
      </c>
      <c r="AJ156" s="32" t="s">
        <v>1036</v>
      </c>
      <c r="AK156" s="32" t="s">
        <v>1037</v>
      </c>
      <c r="AL156" s="32" t="s">
        <v>491</v>
      </c>
      <c r="AM156" s="32" t="s">
        <v>278</v>
      </c>
      <c r="AN156" s="32" t="s">
        <v>278</v>
      </c>
      <c r="AO156" s="32" t="s">
        <v>491</v>
      </c>
      <c r="AP156" s="32" t="s">
        <v>491</v>
      </c>
      <c r="AQ156" s="32" t="s">
        <v>491</v>
      </c>
      <c r="AR156" s="32" t="s">
        <v>491</v>
      </c>
      <c r="AS156" s="32" t="s">
        <v>63</v>
      </c>
      <c r="AT156" s="32" t="s">
        <v>388</v>
      </c>
      <c r="AU156" s="56">
        <v>46205.541666666664</v>
      </c>
      <c r="AV156" s="56">
        <v>46205.565972222219</v>
      </c>
      <c r="AW156" s="56">
        <v>46205.598611111112</v>
      </c>
      <c r="AX156" s="56">
        <v>46205.605555555558</v>
      </c>
      <c r="AY156" s="56">
        <v>46205.661111111112</v>
      </c>
      <c r="AZ156" s="56">
        <v>46205.708333333336</v>
      </c>
      <c r="BA156" s="56">
        <v>46206.375</v>
      </c>
      <c r="BB156" s="56">
        <v>46206.381944444445</v>
      </c>
      <c r="BC156" s="56">
        <v>46206.395833333336</v>
      </c>
      <c r="BD156" s="56">
        <v>46206.400000000001</v>
      </c>
      <c r="BE156" s="56">
        <v>46206.4375</v>
      </c>
      <c r="BG156" s="56">
        <v>46206.659722222219</v>
      </c>
      <c r="BH156" s="56">
        <v>46206.671527777777</v>
      </c>
      <c r="BI156" s="32" t="s">
        <v>65</v>
      </c>
      <c r="BJ156" s="56">
        <v>46207.375</v>
      </c>
      <c r="BK156" s="56">
        <v>46207.402777777781</v>
      </c>
      <c r="BL156" s="56">
        <v>46207.42083333333</v>
      </c>
      <c r="BM156" s="56">
        <v>46207.427777777775</v>
      </c>
      <c r="BN156" s="56">
        <v>46207.446527777778</v>
      </c>
    </row>
    <row r="157" spans="1:66" x14ac:dyDescent="0.35">
      <c r="A157" t="s">
        <v>176</v>
      </c>
      <c r="B157" s="32">
        <v>11</v>
      </c>
      <c r="C157" s="32">
        <v>27</v>
      </c>
      <c r="D157" s="32" t="s">
        <v>177</v>
      </c>
      <c r="E157" s="32" t="s">
        <v>178</v>
      </c>
      <c r="F157" s="54">
        <v>46208</v>
      </c>
      <c r="G157" s="54">
        <v>46209</v>
      </c>
      <c r="H157" s="55">
        <v>0.41666666666666669</v>
      </c>
      <c r="I157" s="55">
        <v>0.33333333333333331</v>
      </c>
      <c r="J157" s="32" t="s">
        <v>53</v>
      </c>
      <c r="K157" s="32" t="s">
        <v>179</v>
      </c>
      <c r="L157" s="32">
        <v>1</v>
      </c>
      <c r="M157" s="32" t="s">
        <v>1038</v>
      </c>
      <c r="P157" s="32" t="s">
        <v>182</v>
      </c>
      <c r="Q157" s="32" t="s">
        <v>371</v>
      </c>
      <c r="R157" s="32" t="s">
        <v>183</v>
      </c>
      <c r="S157" s="32" t="s">
        <v>184</v>
      </c>
      <c r="T157" s="32" t="s">
        <v>1039</v>
      </c>
      <c r="U157" s="32" t="s">
        <v>1040</v>
      </c>
      <c r="V157" s="32" t="s">
        <v>1041</v>
      </c>
      <c r="W157" s="32" t="s">
        <v>1042</v>
      </c>
      <c r="X157" s="32" t="s">
        <v>187</v>
      </c>
      <c r="Z157" s="32" t="s">
        <v>188</v>
      </c>
      <c r="AA157" s="32" t="s">
        <v>189</v>
      </c>
      <c r="AB157" s="32" t="s">
        <v>55</v>
      </c>
      <c r="AC157" s="32" t="s">
        <v>56</v>
      </c>
      <c r="AD157" s="32" t="s">
        <v>57</v>
      </c>
      <c r="AE157" s="32">
        <v>20513040718</v>
      </c>
      <c r="AF157" s="32" t="s">
        <v>1043</v>
      </c>
      <c r="AG157" s="32" t="s">
        <v>1044</v>
      </c>
      <c r="AH157" s="32" t="s">
        <v>193</v>
      </c>
      <c r="AI157" s="32" t="s">
        <v>1045</v>
      </c>
      <c r="AJ157" s="32" t="s">
        <v>1046</v>
      </c>
      <c r="AK157" s="32" t="s">
        <v>1047</v>
      </c>
      <c r="AL157" s="32" t="s">
        <v>491</v>
      </c>
      <c r="AM157" s="32" t="s">
        <v>278</v>
      </c>
      <c r="AN157" s="32" t="s">
        <v>278</v>
      </c>
      <c r="AO157" s="32" t="s">
        <v>491</v>
      </c>
      <c r="AP157" s="32" t="s">
        <v>491</v>
      </c>
      <c r="AQ157" s="32" t="s">
        <v>491</v>
      </c>
      <c r="AR157" s="32" t="s">
        <v>491</v>
      </c>
      <c r="AS157" s="32" t="s">
        <v>63</v>
      </c>
      <c r="AT157" s="32" t="s">
        <v>388</v>
      </c>
      <c r="AU157" s="56">
        <v>46208.416666666664</v>
      </c>
      <c r="AV157" s="56">
        <v>46208.430555555555</v>
      </c>
      <c r="AW157" s="56">
        <v>46208.492361111108</v>
      </c>
      <c r="AX157" s="56">
        <v>46208.499305555553</v>
      </c>
      <c r="AY157" s="56">
        <v>46208.549305555556</v>
      </c>
      <c r="AZ157" s="56">
        <v>46208.59097222222</v>
      </c>
      <c r="BA157" s="56">
        <v>46209.448611111111</v>
      </c>
      <c r="BB157" s="56">
        <v>46209.455555555556</v>
      </c>
      <c r="BC157" s="56">
        <v>46209.469444444447</v>
      </c>
      <c r="BD157" s="56">
        <v>46209.473611111112</v>
      </c>
      <c r="BE157" s="56">
        <v>46209.511111111111</v>
      </c>
      <c r="BG157" s="56">
        <v>46209.75</v>
      </c>
      <c r="BH157" s="56">
        <v>46209.768055555556</v>
      </c>
      <c r="BI157" s="32" t="s">
        <v>65</v>
      </c>
      <c r="BJ157" s="56">
        <v>46210.458333333336</v>
      </c>
      <c r="BK157" s="56">
        <v>46210.46597222222</v>
      </c>
      <c r="BL157" s="56">
        <v>46210.469444444447</v>
      </c>
      <c r="BM157" s="56">
        <v>46210.472222222219</v>
      </c>
      <c r="BN157" s="56">
        <v>46210.474305555559</v>
      </c>
    </row>
    <row r="158" spans="1:66" x14ac:dyDescent="0.35">
      <c r="A158" t="s">
        <v>176</v>
      </c>
      <c r="B158" s="32">
        <v>12</v>
      </c>
      <c r="C158" s="32">
        <v>27</v>
      </c>
      <c r="D158" s="32" t="s">
        <v>177</v>
      </c>
      <c r="E158" s="32" t="s">
        <v>178</v>
      </c>
      <c r="F158" s="54">
        <v>46208</v>
      </c>
      <c r="G158" s="54">
        <v>46209</v>
      </c>
      <c r="H158" s="55">
        <v>0.41666666666666669</v>
      </c>
      <c r="I158" s="55">
        <v>0.33333333333333331</v>
      </c>
      <c r="J158" s="32" t="s">
        <v>53</v>
      </c>
      <c r="K158" s="32" t="s">
        <v>179</v>
      </c>
      <c r="L158" s="32">
        <v>1</v>
      </c>
      <c r="M158" s="32" t="s">
        <v>1048</v>
      </c>
      <c r="P158" s="32" t="s">
        <v>182</v>
      </c>
      <c r="Q158" s="32" t="s">
        <v>371</v>
      </c>
      <c r="R158" s="32" t="s">
        <v>183</v>
      </c>
      <c r="S158" s="32" t="s">
        <v>184</v>
      </c>
      <c r="T158" s="32" t="s">
        <v>1049</v>
      </c>
      <c r="U158" s="32" t="s">
        <v>1050</v>
      </c>
      <c r="V158" s="32" t="s">
        <v>1051</v>
      </c>
      <c r="W158" s="32" t="s">
        <v>1052</v>
      </c>
      <c r="X158" s="32" t="s">
        <v>187</v>
      </c>
      <c r="Z158" s="32" t="s">
        <v>188</v>
      </c>
      <c r="AA158" s="32" t="s">
        <v>189</v>
      </c>
      <c r="AB158" s="32" t="s">
        <v>55</v>
      </c>
      <c r="AC158" s="32" t="s">
        <v>56</v>
      </c>
      <c r="AD158" s="32" t="s">
        <v>57</v>
      </c>
      <c r="AE158" s="32">
        <v>20513040718</v>
      </c>
      <c r="AF158" s="32" t="s">
        <v>1053</v>
      </c>
      <c r="AG158" s="32" t="s">
        <v>1054</v>
      </c>
      <c r="AH158" s="32" t="s">
        <v>193</v>
      </c>
      <c r="AI158" s="32" t="s">
        <v>1055</v>
      </c>
      <c r="AJ158" s="32" t="s">
        <v>1056</v>
      </c>
      <c r="AK158" s="32" t="s">
        <v>1057</v>
      </c>
      <c r="AL158" s="32" t="s">
        <v>491</v>
      </c>
      <c r="AM158" s="32" t="s">
        <v>278</v>
      </c>
      <c r="AN158" s="32" t="s">
        <v>278</v>
      </c>
      <c r="AO158" s="32" t="s">
        <v>491</v>
      </c>
      <c r="AP158" s="32" t="s">
        <v>491</v>
      </c>
      <c r="AQ158" s="32" t="s">
        <v>491</v>
      </c>
      <c r="AR158" s="32" t="s">
        <v>491</v>
      </c>
      <c r="AS158" s="32" t="s">
        <v>63</v>
      </c>
      <c r="AT158" s="32" t="s">
        <v>388</v>
      </c>
      <c r="AU158" s="56">
        <v>46208.416666666664</v>
      </c>
      <c r="AV158" s="56">
        <v>46208.452777777777</v>
      </c>
      <c r="AW158" s="56">
        <v>46208.520138888889</v>
      </c>
      <c r="AX158" s="56">
        <v>46208.527083333334</v>
      </c>
      <c r="AY158" s="56">
        <v>46208.54791666667</v>
      </c>
      <c r="AZ158" s="56">
        <v>46208.589583333334</v>
      </c>
      <c r="BA158" s="56">
        <v>46209.448611111111</v>
      </c>
      <c r="BB158" s="56">
        <v>46209.455555555556</v>
      </c>
      <c r="BC158" s="56">
        <v>46209.469444444447</v>
      </c>
      <c r="BD158" s="56">
        <v>46209.473611111112</v>
      </c>
      <c r="BE158" s="56">
        <v>46209.511111111111</v>
      </c>
      <c r="BG158" s="56">
        <v>46209.729166666664</v>
      </c>
      <c r="BH158" s="56">
        <v>46209.747916666667</v>
      </c>
      <c r="BI158" s="32" t="s">
        <v>65</v>
      </c>
      <c r="BJ158" s="56">
        <v>46210.458333333336</v>
      </c>
      <c r="BK158" s="56">
        <v>46210.479166666664</v>
      </c>
      <c r="BL158" s="56">
        <v>46210.48541666667</v>
      </c>
      <c r="BM158" s="56">
        <v>46210.489583333336</v>
      </c>
      <c r="BN158" s="56">
        <v>46210.496527777781</v>
      </c>
    </row>
    <row r="159" spans="1:66" x14ac:dyDescent="0.35">
      <c r="A159" t="s">
        <v>176</v>
      </c>
      <c r="B159" s="32">
        <v>13</v>
      </c>
      <c r="C159" s="32">
        <v>27</v>
      </c>
      <c r="D159" s="32" t="s">
        <v>177</v>
      </c>
      <c r="E159" s="32" t="s">
        <v>178</v>
      </c>
      <c r="F159" s="54">
        <v>46209</v>
      </c>
      <c r="G159" s="54">
        <v>46210</v>
      </c>
      <c r="H159" s="55">
        <v>0.41666666666666669</v>
      </c>
      <c r="I159" s="55">
        <v>0.33333333333333331</v>
      </c>
      <c r="J159" s="32" t="s">
        <v>53</v>
      </c>
      <c r="K159" s="32" t="s">
        <v>179</v>
      </c>
      <c r="L159" s="32">
        <v>1</v>
      </c>
      <c r="M159" s="32" t="s">
        <v>1058</v>
      </c>
      <c r="P159" s="32" t="s">
        <v>182</v>
      </c>
      <c r="Q159" s="32" t="s">
        <v>371</v>
      </c>
      <c r="R159" s="32" t="s">
        <v>183</v>
      </c>
      <c r="S159" s="32" t="s">
        <v>184</v>
      </c>
      <c r="T159" s="32" t="s">
        <v>1059</v>
      </c>
      <c r="U159" s="32" t="s">
        <v>1060</v>
      </c>
      <c r="V159" s="32" t="s">
        <v>1061</v>
      </c>
      <c r="W159" s="32" t="s">
        <v>1062</v>
      </c>
      <c r="X159" s="32" t="s">
        <v>187</v>
      </c>
      <c r="Z159" s="32" t="s">
        <v>188</v>
      </c>
      <c r="AA159" s="32" t="s">
        <v>189</v>
      </c>
      <c r="AB159" s="32" t="s">
        <v>55</v>
      </c>
      <c r="AC159" s="32" t="s">
        <v>56</v>
      </c>
      <c r="AD159" s="32" t="s">
        <v>57</v>
      </c>
      <c r="AE159" s="32">
        <v>20513040718</v>
      </c>
      <c r="AF159" s="32" t="s">
        <v>67</v>
      </c>
      <c r="AG159" s="32" t="s">
        <v>68</v>
      </c>
      <c r="AH159" s="32" t="s">
        <v>193</v>
      </c>
      <c r="AI159" s="32" t="s">
        <v>73</v>
      </c>
      <c r="AJ159" s="32" t="s">
        <v>74</v>
      </c>
      <c r="AK159" s="32" t="s">
        <v>1063</v>
      </c>
      <c r="AL159" s="32" t="s">
        <v>491</v>
      </c>
      <c r="AM159" s="32" t="s">
        <v>278</v>
      </c>
      <c r="AN159" s="32" t="s">
        <v>278</v>
      </c>
      <c r="AO159" s="32" t="s">
        <v>491</v>
      </c>
      <c r="AP159" s="32" t="s">
        <v>491</v>
      </c>
      <c r="AQ159" s="32" t="s">
        <v>491</v>
      </c>
      <c r="AR159" s="32" t="s">
        <v>491</v>
      </c>
      <c r="AS159" s="32" t="s">
        <v>63</v>
      </c>
      <c r="AT159" s="32" t="s">
        <v>388</v>
      </c>
      <c r="AU159" s="56">
        <v>46209.458333333336</v>
      </c>
      <c r="AV159" s="56">
        <v>46209.475694444445</v>
      </c>
      <c r="AW159" s="56">
        <v>46209.503472222219</v>
      </c>
      <c r="AX159" s="56">
        <v>46209.517361111109</v>
      </c>
      <c r="AY159" s="56">
        <v>46209.654861111114</v>
      </c>
      <c r="AZ159" s="56">
        <v>46209.696527777778</v>
      </c>
      <c r="BA159" s="56">
        <v>46210.395833333336</v>
      </c>
      <c r="BB159" s="56">
        <v>46210.402777777781</v>
      </c>
      <c r="BC159" s="56">
        <v>46210.416666666664</v>
      </c>
      <c r="BD159" s="56">
        <v>46210.42083333333</v>
      </c>
      <c r="BE159" s="56">
        <v>46210.458333333336</v>
      </c>
      <c r="BG159" s="56">
        <v>46210.583333333336</v>
      </c>
      <c r="BH159" s="56">
        <v>46210.609027777777</v>
      </c>
      <c r="BI159" s="32" t="s">
        <v>65</v>
      </c>
      <c r="BJ159" s="56">
        <v>46211.458333333336</v>
      </c>
      <c r="BK159" s="56">
        <v>46211.463888888888</v>
      </c>
      <c r="BL159" s="56">
        <v>46211.469444444447</v>
      </c>
      <c r="BM159" s="56">
        <v>46211.47152777778</v>
      </c>
      <c r="BN159" s="56">
        <v>46211.473611111112</v>
      </c>
    </row>
    <row r="160" spans="1:66" x14ac:dyDescent="0.35">
      <c r="A160" t="s">
        <v>176</v>
      </c>
      <c r="B160" s="32">
        <v>14</v>
      </c>
      <c r="C160" s="32">
        <v>28</v>
      </c>
      <c r="D160" s="32" t="s">
        <v>177</v>
      </c>
      <c r="E160" s="32" t="s">
        <v>178</v>
      </c>
      <c r="F160" s="54">
        <v>46211</v>
      </c>
      <c r="G160" s="54">
        <v>46212</v>
      </c>
      <c r="H160" s="55">
        <v>0.41666666666666669</v>
      </c>
      <c r="I160" s="55">
        <v>0.33333333333333331</v>
      </c>
      <c r="J160" s="32" t="s">
        <v>53</v>
      </c>
      <c r="K160" s="32" t="s">
        <v>179</v>
      </c>
      <c r="L160" s="32">
        <v>1</v>
      </c>
      <c r="M160" s="32" t="s">
        <v>1064</v>
      </c>
      <c r="P160" s="32" t="s">
        <v>182</v>
      </c>
      <c r="Q160" s="32" t="s">
        <v>371</v>
      </c>
      <c r="R160" s="32" t="s">
        <v>382</v>
      </c>
      <c r="S160" s="32" t="s">
        <v>383</v>
      </c>
      <c r="T160" s="32" t="s">
        <v>1065</v>
      </c>
      <c r="U160" s="32" t="s">
        <v>1066</v>
      </c>
      <c r="V160" s="32" t="s">
        <v>1067</v>
      </c>
      <c r="W160" s="32" t="s">
        <v>1068</v>
      </c>
      <c r="X160" s="32" t="s">
        <v>188</v>
      </c>
      <c r="Z160" s="32" t="s">
        <v>188</v>
      </c>
      <c r="AA160" s="32" t="s">
        <v>189</v>
      </c>
      <c r="AB160" s="32" t="s">
        <v>55</v>
      </c>
      <c r="AC160" s="32" t="s">
        <v>56</v>
      </c>
      <c r="AD160" s="32" t="s">
        <v>78</v>
      </c>
      <c r="AE160" s="32">
        <v>20513040718</v>
      </c>
      <c r="AF160" s="32" t="s">
        <v>1069</v>
      </c>
      <c r="AG160" s="32" t="s">
        <v>1070</v>
      </c>
      <c r="AH160" s="32" t="s">
        <v>193</v>
      </c>
      <c r="AI160" s="32" t="s">
        <v>1071</v>
      </c>
      <c r="AJ160" s="32" t="s">
        <v>1072</v>
      </c>
      <c r="AK160" s="32" t="s">
        <v>1073</v>
      </c>
      <c r="AL160" s="32" t="s">
        <v>491</v>
      </c>
      <c r="AM160" s="32" t="s">
        <v>278</v>
      </c>
      <c r="AN160" s="32" t="s">
        <v>278</v>
      </c>
      <c r="AO160" s="32" t="s">
        <v>491</v>
      </c>
      <c r="AP160" s="32" t="s">
        <v>491</v>
      </c>
      <c r="AQ160" s="32" t="s">
        <v>491</v>
      </c>
      <c r="AR160" s="32" t="s">
        <v>491</v>
      </c>
      <c r="AS160" s="32" t="s">
        <v>63</v>
      </c>
      <c r="AT160" s="32" t="s">
        <v>388</v>
      </c>
      <c r="AU160" s="56">
        <v>46211.541666666664</v>
      </c>
      <c r="AV160" s="56">
        <v>46211.546527777777</v>
      </c>
      <c r="AW160" s="56">
        <v>46211.605555555558</v>
      </c>
      <c r="AX160" s="56">
        <v>46211.625</v>
      </c>
      <c r="AY160" s="56">
        <v>46211.638888888891</v>
      </c>
      <c r="AZ160" s="56">
        <v>46211.680555555555</v>
      </c>
      <c r="BA160" s="56">
        <v>46212.359722222223</v>
      </c>
      <c r="BB160" s="56">
        <v>46212.368055555555</v>
      </c>
      <c r="BC160" s="56">
        <v>46212.381944444445</v>
      </c>
      <c r="BD160" s="56">
        <v>46212.386111111111</v>
      </c>
      <c r="BE160" s="56">
        <v>46212.423611111109</v>
      </c>
      <c r="BG160" s="56">
        <v>46212.604166666664</v>
      </c>
      <c r="BH160" s="56">
        <v>46212.619444444441</v>
      </c>
      <c r="BI160" s="32" t="s">
        <v>65</v>
      </c>
      <c r="BJ160" s="56">
        <v>46213.416666666664</v>
      </c>
      <c r="BK160" s="56">
        <v>46213.436805555553</v>
      </c>
      <c r="BL160" s="56">
        <v>46213.445833333331</v>
      </c>
      <c r="BM160" s="56">
        <v>46213.489583333336</v>
      </c>
      <c r="BN160" s="56">
        <v>46213.492361111108</v>
      </c>
    </row>
    <row r="161" spans="1:66" x14ac:dyDescent="0.35">
      <c r="A161" t="s">
        <v>176</v>
      </c>
      <c r="B161" s="32">
        <v>15</v>
      </c>
      <c r="C161" s="32">
        <v>28</v>
      </c>
      <c r="D161" s="32" t="s">
        <v>177</v>
      </c>
      <c r="E161" s="32" t="s">
        <v>178</v>
      </c>
      <c r="F161" s="54">
        <v>46211</v>
      </c>
      <c r="G161" s="54">
        <v>46213</v>
      </c>
      <c r="H161" s="55">
        <v>0.41666666666666669</v>
      </c>
      <c r="I161" s="55">
        <v>0.33333333333333331</v>
      </c>
      <c r="J161" s="32" t="s">
        <v>53</v>
      </c>
      <c r="K161" s="32" t="s">
        <v>179</v>
      </c>
      <c r="L161" s="32">
        <v>1</v>
      </c>
      <c r="M161" s="32" t="s">
        <v>1074</v>
      </c>
      <c r="P161" s="32" t="s">
        <v>182</v>
      </c>
      <c r="Q161" s="32" t="s">
        <v>371</v>
      </c>
      <c r="R161" s="32" t="s">
        <v>382</v>
      </c>
      <c r="S161" s="32" t="s">
        <v>383</v>
      </c>
      <c r="T161" s="32" t="s">
        <v>1075</v>
      </c>
      <c r="U161" s="32" t="s">
        <v>1076</v>
      </c>
      <c r="V161" s="32" t="s">
        <v>1077</v>
      </c>
      <c r="W161" s="32" t="s">
        <v>1078</v>
      </c>
      <c r="X161" s="32" t="s">
        <v>188</v>
      </c>
      <c r="Z161" s="32" t="s">
        <v>188</v>
      </c>
      <c r="AA161" s="32" t="s">
        <v>189</v>
      </c>
      <c r="AB161" s="32" t="s">
        <v>55</v>
      </c>
      <c r="AC161" s="32" t="s">
        <v>56</v>
      </c>
      <c r="AD161" s="32" t="s">
        <v>78</v>
      </c>
      <c r="AE161" s="32">
        <v>20513040718</v>
      </c>
      <c r="AF161" s="32" t="s">
        <v>1079</v>
      </c>
      <c r="AG161" s="32" t="s">
        <v>1080</v>
      </c>
      <c r="AH161" s="32" t="s">
        <v>193</v>
      </c>
      <c r="AI161" s="32" t="s">
        <v>1081</v>
      </c>
      <c r="AJ161" s="32" t="s">
        <v>1082</v>
      </c>
      <c r="AK161" s="32" t="s">
        <v>1083</v>
      </c>
      <c r="AL161" s="32" t="s">
        <v>491</v>
      </c>
      <c r="AM161" s="32" t="s">
        <v>278</v>
      </c>
      <c r="AN161" s="32" t="s">
        <v>278</v>
      </c>
      <c r="AO161" s="32" t="s">
        <v>491</v>
      </c>
      <c r="AP161" s="32" t="s">
        <v>491</v>
      </c>
      <c r="AQ161" s="32" t="s">
        <v>491</v>
      </c>
      <c r="AR161" s="32" t="s">
        <v>491</v>
      </c>
      <c r="AS161" s="32" t="s">
        <v>63</v>
      </c>
      <c r="AT161" s="32" t="s">
        <v>388</v>
      </c>
      <c r="AU161" s="56">
        <v>46211.791666666664</v>
      </c>
      <c r="AV161" s="56">
        <v>46211.792361111111</v>
      </c>
      <c r="AW161" s="56">
        <v>46211.810416666667</v>
      </c>
      <c r="AX161" s="56">
        <v>46211.833333333336</v>
      </c>
      <c r="AY161" s="56">
        <v>46211.869444444441</v>
      </c>
      <c r="AZ161" s="56">
        <v>46211.875</v>
      </c>
      <c r="BA161" s="56">
        <v>46213.193749999999</v>
      </c>
      <c r="BB161" s="56">
        <v>46213.201388888891</v>
      </c>
      <c r="BC161" s="56">
        <v>46213.215277777781</v>
      </c>
      <c r="BD161" s="56">
        <v>46213.219444444447</v>
      </c>
      <c r="BE161" s="56">
        <v>46213.256944444445</v>
      </c>
      <c r="BG161" s="56">
        <v>46213.5</v>
      </c>
      <c r="BH161" s="56">
        <v>46213.525694444441</v>
      </c>
      <c r="BI161" s="32" t="s">
        <v>65</v>
      </c>
      <c r="BJ161" s="56">
        <v>46214.333333333336</v>
      </c>
      <c r="BK161" s="56">
        <v>46214.334722222222</v>
      </c>
      <c r="BL161" s="56">
        <v>46214.343055555553</v>
      </c>
      <c r="BM161" s="56">
        <v>46214.333333333336</v>
      </c>
      <c r="BN161" s="56">
        <v>46214.350694444445</v>
      </c>
    </row>
    <row r="162" spans="1:66" x14ac:dyDescent="0.35">
      <c r="A162" t="s">
        <v>176</v>
      </c>
      <c r="B162" s="32">
        <v>16</v>
      </c>
      <c r="C162" s="32">
        <v>28</v>
      </c>
      <c r="D162" s="32" t="s">
        <v>368</v>
      </c>
      <c r="E162" s="32" t="s">
        <v>178</v>
      </c>
      <c r="F162" s="54">
        <v>46211</v>
      </c>
      <c r="G162" s="54">
        <v>46212</v>
      </c>
      <c r="H162" s="55">
        <v>0.41666666666666669</v>
      </c>
      <c r="I162" s="55">
        <v>0.33333333333333331</v>
      </c>
      <c r="J162" s="32" t="s">
        <v>369</v>
      </c>
      <c r="K162" s="32" t="s">
        <v>179</v>
      </c>
      <c r="L162" s="32">
        <v>1</v>
      </c>
      <c r="M162" s="32" t="s">
        <v>1084</v>
      </c>
      <c r="P162" s="32" t="s">
        <v>182</v>
      </c>
      <c r="Q162" s="32" t="s">
        <v>371</v>
      </c>
      <c r="R162" s="32" t="s">
        <v>382</v>
      </c>
      <c r="S162" s="32" t="s">
        <v>383</v>
      </c>
      <c r="T162" s="32" t="s">
        <v>1085</v>
      </c>
      <c r="U162" s="32" t="s">
        <v>1086</v>
      </c>
      <c r="V162" s="32" t="s">
        <v>1087</v>
      </c>
      <c r="W162" s="32" t="s">
        <v>1088</v>
      </c>
      <c r="X162" s="32" t="s">
        <v>188</v>
      </c>
      <c r="Z162" s="32" t="s">
        <v>188</v>
      </c>
      <c r="AA162" s="32" t="s">
        <v>189</v>
      </c>
      <c r="AB162" s="32" t="s">
        <v>55</v>
      </c>
      <c r="AC162" s="32" t="s">
        <v>56</v>
      </c>
      <c r="AD162" s="32" t="s">
        <v>78</v>
      </c>
      <c r="AE162" s="32">
        <v>20513040718</v>
      </c>
      <c r="AF162" s="32" t="s">
        <v>1000</v>
      </c>
      <c r="AG162" s="32" t="s">
        <v>1001</v>
      </c>
      <c r="AH162" s="32" t="s">
        <v>193</v>
      </c>
      <c r="AI162" s="32" t="s">
        <v>60</v>
      </c>
      <c r="AJ162" s="32" t="s">
        <v>61</v>
      </c>
      <c r="AK162" s="32" t="s">
        <v>1089</v>
      </c>
      <c r="AL162" s="32" t="s">
        <v>491</v>
      </c>
      <c r="AM162" s="32" t="s">
        <v>278</v>
      </c>
      <c r="AN162" s="32" t="s">
        <v>278</v>
      </c>
      <c r="AO162" s="32" t="s">
        <v>491</v>
      </c>
      <c r="AP162" s="32" t="s">
        <v>491</v>
      </c>
      <c r="AQ162" s="32" t="s">
        <v>491</v>
      </c>
      <c r="AR162" s="32" t="s">
        <v>491</v>
      </c>
      <c r="AS162" s="32" t="s">
        <v>63</v>
      </c>
      <c r="AT162" s="32" t="s">
        <v>388</v>
      </c>
      <c r="AU162" s="56">
        <v>46211.666666666664</v>
      </c>
      <c r="AV162" s="56">
        <v>46211.70416666667</v>
      </c>
      <c r="AW162" s="56">
        <v>46211.729166666664</v>
      </c>
      <c r="AX162" s="56">
        <v>46211.75</v>
      </c>
      <c r="AY162" s="56">
        <v>46211.793749999997</v>
      </c>
      <c r="AZ162" s="56">
        <v>46211.833333333336</v>
      </c>
      <c r="BA162" s="56">
        <v>46212.385416666664</v>
      </c>
      <c r="BB162" s="56">
        <v>46212.392361111109</v>
      </c>
      <c r="BC162" s="56">
        <v>46212.40625</v>
      </c>
      <c r="BD162" s="56">
        <v>46212.410416666666</v>
      </c>
      <c r="BE162" s="56">
        <v>46212.447916666664</v>
      </c>
      <c r="BG162" s="56">
        <v>46213.625</v>
      </c>
      <c r="BH162" s="56">
        <v>46213.645833333336</v>
      </c>
      <c r="BI162" s="32" t="s">
        <v>65</v>
      </c>
      <c r="BJ162" s="56">
        <v>46214.375</v>
      </c>
      <c r="BK162" s="56">
        <v>46214.38958333333</v>
      </c>
      <c r="BL162" s="56">
        <v>46214.394444444442</v>
      </c>
      <c r="BM162" s="56">
        <v>46214.399305555555</v>
      </c>
      <c r="BN162" s="56">
        <v>46214.40347222222</v>
      </c>
    </row>
    <row r="163" spans="1:66" x14ac:dyDescent="0.35">
      <c r="A163" t="s">
        <v>176</v>
      </c>
      <c r="B163" s="32">
        <v>17</v>
      </c>
      <c r="C163" s="32">
        <v>28</v>
      </c>
      <c r="D163" s="32" t="s">
        <v>177</v>
      </c>
      <c r="E163" s="32" t="s">
        <v>178</v>
      </c>
      <c r="F163" s="54">
        <v>46215</v>
      </c>
      <c r="G163" s="54">
        <v>46216</v>
      </c>
      <c r="H163" s="55">
        <v>0.41666666666666669</v>
      </c>
      <c r="I163" s="55">
        <v>0.33333333333333331</v>
      </c>
      <c r="J163" s="32" t="s">
        <v>53</v>
      </c>
      <c r="K163" s="32" t="s">
        <v>179</v>
      </c>
      <c r="L163" s="32">
        <v>1</v>
      </c>
      <c r="M163" s="32" t="s">
        <v>1090</v>
      </c>
      <c r="P163" s="32" t="s">
        <v>182</v>
      </c>
      <c r="Q163" s="32" t="s">
        <v>371</v>
      </c>
      <c r="R163" s="32" t="s">
        <v>556</v>
      </c>
      <c r="S163" s="32" t="s">
        <v>631</v>
      </c>
      <c r="T163" s="32" t="s">
        <v>1091</v>
      </c>
      <c r="U163" s="32" t="s">
        <v>1092</v>
      </c>
      <c r="V163" s="32" t="s">
        <v>1093</v>
      </c>
      <c r="W163" s="32" t="s">
        <v>1094</v>
      </c>
      <c r="X163" s="32" t="s">
        <v>187</v>
      </c>
      <c r="Z163" s="32" t="s">
        <v>188</v>
      </c>
      <c r="AA163" s="32" t="s">
        <v>189</v>
      </c>
      <c r="AB163" s="32" t="s">
        <v>55</v>
      </c>
      <c r="AC163" s="32" t="s">
        <v>56</v>
      </c>
      <c r="AD163" s="32" t="s">
        <v>57</v>
      </c>
      <c r="AE163" s="32">
        <v>20513040718</v>
      </c>
      <c r="AF163" s="32" t="s">
        <v>673</v>
      </c>
      <c r="AG163" s="32" t="s">
        <v>674</v>
      </c>
      <c r="AH163" s="32" t="s">
        <v>193</v>
      </c>
      <c r="AI163" s="32" t="s">
        <v>1095</v>
      </c>
      <c r="AJ163" s="32" t="s">
        <v>1096</v>
      </c>
      <c r="AK163" s="32" t="s">
        <v>1097</v>
      </c>
      <c r="AL163" s="32" t="s">
        <v>491</v>
      </c>
      <c r="AM163" s="32" t="s">
        <v>278</v>
      </c>
      <c r="AN163" s="32" t="s">
        <v>278</v>
      </c>
      <c r="AO163" s="32" t="s">
        <v>491</v>
      </c>
      <c r="AP163" s="32" t="s">
        <v>491</v>
      </c>
      <c r="AQ163" s="32" t="s">
        <v>491</v>
      </c>
      <c r="AR163" s="32" t="s">
        <v>491</v>
      </c>
      <c r="AS163" s="32" t="s">
        <v>63</v>
      </c>
      <c r="AT163" s="32" t="s">
        <v>64</v>
      </c>
      <c r="AU163" s="56">
        <v>46215.625</v>
      </c>
      <c r="AV163" s="56">
        <v>46215.633333333331</v>
      </c>
      <c r="AW163" s="56">
        <v>46215.673611111109</v>
      </c>
      <c r="AX163" s="56">
        <v>46215.694444444445</v>
      </c>
      <c r="AY163" s="56">
        <v>46215.729861111111</v>
      </c>
      <c r="AZ163" s="56">
        <v>46215.770833333336</v>
      </c>
      <c r="BA163" s="56">
        <v>46216.454861111109</v>
      </c>
      <c r="BB163" s="56">
        <v>46216.458333333336</v>
      </c>
      <c r="BC163" s="56">
        <v>46216.479166666664</v>
      </c>
      <c r="BD163" s="56">
        <v>46216.48333333333</v>
      </c>
      <c r="BE163" s="56">
        <v>46216.520833333336</v>
      </c>
      <c r="BG163" s="56">
        <v>46216.854166666664</v>
      </c>
      <c r="BH163" s="56">
        <v>46216.877083333333</v>
      </c>
      <c r="BI163" s="32" t="s">
        <v>65</v>
      </c>
      <c r="BJ163" s="56">
        <v>46217.583333333336</v>
      </c>
      <c r="BK163" s="56">
        <v>46217.593055555553</v>
      </c>
      <c r="BL163" s="56">
        <v>46217.59652777778</v>
      </c>
      <c r="BM163" s="56">
        <v>46217.604166666664</v>
      </c>
      <c r="BN163" s="56">
        <v>46217.625694444447</v>
      </c>
    </row>
    <row r="164" spans="1:66" x14ac:dyDescent="0.35">
      <c r="A164" t="s">
        <v>176</v>
      </c>
      <c r="B164" s="32">
        <v>18</v>
      </c>
      <c r="C164" s="32">
        <v>28</v>
      </c>
      <c r="D164" s="32" t="s">
        <v>177</v>
      </c>
      <c r="E164" s="32" t="s">
        <v>178</v>
      </c>
      <c r="F164" s="54">
        <v>46215</v>
      </c>
      <c r="G164" s="54">
        <v>46216</v>
      </c>
      <c r="H164" s="55">
        <v>0.41666666666666669</v>
      </c>
      <c r="I164" s="55">
        <v>0.33333333333333331</v>
      </c>
      <c r="J164" s="32" t="s">
        <v>53</v>
      </c>
      <c r="K164" s="32" t="s">
        <v>179</v>
      </c>
      <c r="L164" s="32">
        <v>1</v>
      </c>
      <c r="M164" s="32" t="s">
        <v>1098</v>
      </c>
      <c r="P164" s="32" t="s">
        <v>182</v>
      </c>
      <c r="Q164" s="32" t="s">
        <v>371</v>
      </c>
      <c r="R164" s="32" t="s">
        <v>183</v>
      </c>
      <c r="S164" s="32" t="s">
        <v>184</v>
      </c>
      <c r="T164" s="32" t="s">
        <v>1099</v>
      </c>
      <c r="U164" s="32" t="s">
        <v>1100</v>
      </c>
      <c r="V164" s="32" t="s">
        <v>1101</v>
      </c>
      <c r="W164" s="32" t="s">
        <v>1102</v>
      </c>
      <c r="X164" s="32" t="s">
        <v>187</v>
      </c>
      <c r="Z164" s="32" t="s">
        <v>188</v>
      </c>
      <c r="AA164" s="32" t="s">
        <v>189</v>
      </c>
      <c r="AB164" s="32" t="s">
        <v>55</v>
      </c>
      <c r="AC164" s="32" t="s">
        <v>56</v>
      </c>
      <c r="AD164" s="32" t="s">
        <v>57</v>
      </c>
      <c r="AE164" s="32">
        <v>20513040718</v>
      </c>
      <c r="AF164" s="32" t="s">
        <v>1103</v>
      </c>
      <c r="AG164" s="32" t="s">
        <v>1104</v>
      </c>
      <c r="AH164" s="32" t="s">
        <v>193</v>
      </c>
      <c r="AI164" s="32" t="s">
        <v>1105</v>
      </c>
      <c r="AJ164" s="32" t="s">
        <v>1106</v>
      </c>
      <c r="AK164" s="32" t="s">
        <v>1107</v>
      </c>
      <c r="AL164" s="32" t="s">
        <v>491</v>
      </c>
      <c r="AM164" s="32" t="s">
        <v>278</v>
      </c>
      <c r="AN164" s="32" t="s">
        <v>278</v>
      </c>
      <c r="AO164" s="32" t="s">
        <v>491</v>
      </c>
      <c r="AP164" s="32" t="s">
        <v>491</v>
      </c>
      <c r="AQ164" s="32" t="s">
        <v>491</v>
      </c>
      <c r="AR164" s="32" t="s">
        <v>491</v>
      </c>
      <c r="AS164" s="32" t="s">
        <v>63</v>
      </c>
      <c r="AT164" s="32" t="s">
        <v>64</v>
      </c>
      <c r="AV164" s="56">
        <v>46215.564583333333</v>
      </c>
      <c r="AW164" s="56">
        <v>46215.620138888888</v>
      </c>
      <c r="AX164" s="56">
        <v>46215.638888888891</v>
      </c>
      <c r="AY164" s="56">
        <v>46215.661805555559</v>
      </c>
      <c r="AZ164" s="56">
        <v>46215.708333333336</v>
      </c>
      <c r="BA164" s="56">
        <v>46216.561111111114</v>
      </c>
      <c r="BB164" s="56">
        <v>46216.565972222219</v>
      </c>
      <c r="BC164" s="56">
        <v>46216.583333333336</v>
      </c>
      <c r="BD164" s="56">
        <v>46216.587500000001</v>
      </c>
      <c r="BE164" s="56">
        <v>46216.625</v>
      </c>
      <c r="BG164" s="56">
        <v>46216.864583333336</v>
      </c>
      <c r="BH164" s="56">
        <v>46216.883333333331</v>
      </c>
      <c r="BI164" s="32" t="s">
        <v>65</v>
      </c>
      <c r="BJ164" s="56">
        <v>46217.541666666664</v>
      </c>
      <c r="BK164" s="56">
        <v>46217.581944444442</v>
      </c>
      <c r="BL164" s="56">
        <v>46217.584027777775</v>
      </c>
      <c r="BM164" s="56">
        <v>46217.590277777781</v>
      </c>
      <c r="BN164" s="56">
        <v>46217.597916666666</v>
      </c>
    </row>
    <row r="165" spans="1:66" x14ac:dyDescent="0.35">
      <c r="A165" t="s">
        <v>176</v>
      </c>
      <c r="B165" s="32">
        <v>19</v>
      </c>
      <c r="C165" s="32">
        <v>28</v>
      </c>
      <c r="D165" s="32" t="s">
        <v>177</v>
      </c>
      <c r="E165" s="32" t="s">
        <v>178</v>
      </c>
      <c r="F165" s="54">
        <v>46215</v>
      </c>
      <c r="G165" s="54">
        <v>46216</v>
      </c>
      <c r="H165" s="55">
        <v>0.41666666666666669</v>
      </c>
      <c r="I165" s="55">
        <v>0.33333333333333331</v>
      </c>
      <c r="J165" s="32" t="s">
        <v>53</v>
      </c>
      <c r="K165" s="32" t="s">
        <v>179</v>
      </c>
      <c r="L165" s="32">
        <v>1</v>
      </c>
      <c r="M165" s="32" t="s">
        <v>1108</v>
      </c>
      <c r="P165" s="32" t="s">
        <v>182</v>
      </c>
      <c r="Q165" s="32" t="s">
        <v>371</v>
      </c>
      <c r="R165" s="32" t="s">
        <v>183</v>
      </c>
      <c r="S165" s="32" t="s">
        <v>184</v>
      </c>
      <c r="T165" s="32" t="s">
        <v>1109</v>
      </c>
      <c r="U165" s="32" t="s">
        <v>1110</v>
      </c>
      <c r="V165" s="32" t="s">
        <v>1111</v>
      </c>
      <c r="W165" s="32" t="s">
        <v>1112</v>
      </c>
      <c r="X165" s="32" t="s">
        <v>187</v>
      </c>
      <c r="Z165" s="32" t="s">
        <v>188</v>
      </c>
      <c r="AA165" s="32" t="s">
        <v>189</v>
      </c>
      <c r="AB165" s="32" t="s">
        <v>55</v>
      </c>
      <c r="AC165" s="32" t="s">
        <v>56</v>
      </c>
      <c r="AD165" s="32" t="s">
        <v>57</v>
      </c>
      <c r="AE165" s="32">
        <v>20513040718</v>
      </c>
      <c r="AF165" s="32" t="s">
        <v>67</v>
      </c>
      <c r="AG165" s="32" t="s">
        <v>68</v>
      </c>
      <c r="AH165" s="32" t="s">
        <v>193</v>
      </c>
      <c r="AI165" s="32" t="s">
        <v>73</v>
      </c>
      <c r="AJ165" s="32" t="s">
        <v>74</v>
      </c>
      <c r="AK165" s="32" t="s">
        <v>1113</v>
      </c>
      <c r="AL165" s="32" t="s">
        <v>491</v>
      </c>
      <c r="AM165" s="32" t="s">
        <v>278</v>
      </c>
      <c r="AN165" s="32" t="s">
        <v>278</v>
      </c>
      <c r="AO165" s="32" t="s">
        <v>491</v>
      </c>
      <c r="AP165" s="32" t="s">
        <v>491</v>
      </c>
      <c r="AQ165" s="32" t="s">
        <v>491</v>
      </c>
      <c r="AR165" s="32" t="s">
        <v>491</v>
      </c>
      <c r="AS165" s="32" t="s">
        <v>63</v>
      </c>
      <c r="AT165" s="32" t="s">
        <v>64</v>
      </c>
      <c r="AU165" s="56">
        <v>46215.5</v>
      </c>
      <c r="AV165" s="56">
        <v>46215.518750000003</v>
      </c>
      <c r="AW165" s="56">
        <v>46215.525000000001</v>
      </c>
      <c r="AX165" s="56">
        <v>46215.541666666664</v>
      </c>
      <c r="AY165" s="56">
        <v>46215.59097222222</v>
      </c>
      <c r="AZ165" s="56">
        <v>46215.625</v>
      </c>
      <c r="BA165" s="56">
        <v>46216.440972222219</v>
      </c>
      <c r="BB165" s="56">
        <v>46216.444444444445</v>
      </c>
      <c r="BC165" s="56">
        <v>46216.458333333336</v>
      </c>
      <c r="BD165" s="56">
        <v>46216.462500000001</v>
      </c>
      <c r="BE165" s="56">
        <v>46216.5</v>
      </c>
      <c r="BG165" s="56">
        <v>46216.854166666664</v>
      </c>
      <c r="BH165" s="56">
        <v>46216.87777777778</v>
      </c>
      <c r="BI165" s="32" t="s">
        <v>65</v>
      </c>
      <c r="BJ165" s="56">
        <v>46217.583333333336</v>
      </c>
      <c r="BK165" s="56">
        <v>46217.618055555555</v>
      </c>
      <c r="BL165" s="56">
        <v>46217.623611111114</v>
      </c>
      <c r="BM165" s="56">
        <v>46217.628472222219</v>
      </c>
      <c r="BN165" s="56">
        <v>46217.65</v>
      </c>
    </row>
    <row r="166" spans="1:66" x14ac:dyDescent="0.35">
      <c r="A166" t="s">
        <v>176</v>
      </c>
      <c r="B166" s="32">
        <v>20</v>
      </c>
      <c r="C166" s="32">
        <v>28</v>
      </c>
      <c r="D166" s="32" t="s">
        <v>177</v>
      </c>
      <c r="E166" s="32" t="s">
        <v>178</v>
      </c>
      <c r="F166" s="54">
        <v>46215</v>
      </c>
      <c r="G166" s="54">
        <v>46216</v>
      </c>
      <c r="H166" s="55">
        <v>0.41666666666666669</v>
      </c>
      <c r="I166" s="55">
        <v>0.33333333333333331</v>
      </c>
      <c r="J166" s="32" t="s">
        <v>53</v>
      </c>
      <c r="K166" s="32" t="s">
        <v>179</v>
      </c>
      <c r="L166" s="32">
        <v>1</v>
      </c>
      <c r="M166" s="32" t="s">
        <v>1114</v>
      </c>
      <c r="P166" s="32" t="s">
        <v>182</v>
      </c>
      <c r="Q166" s="32" t="s">
        <v>371</v>
      </c>
      <c r="R166" s="32" t="s">
        <v>183</v>
      </c>
      <c r="S166" s="32" t="s">
        <v>184</v>
      </c>
      <c r="T166" s="32" t="s">
        <v>1115</v>
      </c>
      <c r="U166" s="32" t="s">
        <v>1116</v>
      </c>
      <c r="V166" s="32" t="s">
        <v>1117</v>
      </c>
      <c r="W166" s="32" t="s">
        <v>1118</v>
      </c>
      <c r="X166" s="32" t="s">
        <v>187</v>
      </c>
      <c r="Z166" s="32" t="s">
        <v>188</v>
      </c>
      <c r="AA166" s="32" t="s">
        <v>189</v>
      </c>
      <c r="AB166" s="32" t="s">
        <v>55</v>
      </c>
      <c r="AC166" s="32" t="s">
        <v>56</v>
      </c>
      <c r="AD166" s="32" t="s">
        <v>57</v>
      </c>
      <c r="AE166" s="32">
        <v>20513040718</v>
      </c>
      <c r="AF166" s="32" t="s">
        <v>1079</v>
      </c>
      <c r="AG166" s="32" t="s">
        <v>1080</v>
      </c>
      <c r="AH166" s="32" t="s">
        <v>193</v>
      </c>
      <c r="AI166" s="32" t="s">
        <v>1081</v>
      </c>
      <c r="AJ166" s="32" t="s">
        <v>1082</v>
      </c>
      <c r="AK166" s="32" t="s">
        <v>1119</v>
      </c>
      <c r="AL166" s="32" t="s">
        <v>491</v>
      </c>
      <c r="AM166" s="32" t="s">
        <v>278</v>
      </c>
      <c r="AN166" s="32" t="s">
        <v>278</v>
      </c>
      <c r="AO166" s="32" t="s">
        <v>491</v>
      </c>
      <c r="AP166" s="32" t="s">
        <v>491</v>
      </c>
      <c r="AQ166" s="32" t="s">
        <v>491</v>
      </c>
      <c r="AR166" s="32" t="s">
        <v>491</v>
      </c>
      <c r="AS166" s="32" t="s">
        <v>63</v>
      </c>
      <c r="AT166" s="32" t="s">
        <v>64</v>
      </c>
      <c r="AU166" s="56">
        <v>46215.583333333336</v>
      </c>
      <c r="AV166" s="56">
        <v>46215.607638888891</v>
      </c>
      <c r="AW166" s="56">
        <v>46215.616666666669</v>
      </c>
      <c r="AX166" s="56">
        <v>46215.635416666664</v>
      </c>
      <c r="AY166" s="56">
        <v>46215.65625</v>
      </c>
      <c r="AZ166" s="56">
        <v>46215.697916666664</v>
      </c>
      <c r="BA166" s="56">
        <v>46216.4375</v>
      </c>
      <c r="BB166" s="56">
        <v>46216.444444444445</v>
      </c>
      <c r="BC166" s="56">
        <v>46216.413888888892</v>
      </c>
      <c r="BD166" s="56">
        <v>46216.418055555558</v>
      </c>
      <c r="BE166" s="56">
        <v>46216.458333333336</v>
      </c>
      <c r="BG166" s="56">
        <v>46216.875</v>
      </c>
      <c r="BH166" s="56">
        <v>46216.898611111108</v>
      </c>
      <c r="BI166" s="32" t="s">
        <v>65</v>
      </c>
      <c r="BJ166" s="56">
        <v>46217.708333333336</v>
      </c>
      <c r="BK166" s="56">
        <v>46217.73333333333</v>
      </c>
      <c r="BL166" s="56">
        <v>46217.736111111109</v>
      </c>
      <c r="BM166" s="56">
        <v>46217.743055555555</v>
      </c>
      <c r="BN166" s="56">
        <v>46217.75</v>
      </c>
    </row>
    <row r="167" spans="1:66" x14ac:dyDescent="0.35">
      <c r="A167" t="s">
        <v>176</v>
      </c>
      <c r="B167" s="32">
        <v>21</v>
      </c>
      <c r="C167" s="32">
        <v>28</v>
      </c>
      <c r="D167" s="32" t="s">
        <v>177</v>
      </c>
      <c r="E167" s="32" t="s">
        <v>178</v>
      </c>
      <c r="F167" s="54">
        <v>46216</v>
      </c>
      <c r="G167" s="54">
        <v>46217</v>
      </c>
      <c r="H167" s="55">
        <v>0.41666666666666669</v>
      </c>
      <c r="I167" s="55">
        <v>0.33333333333333331</v>
      </c>
      <c r="J167" s="32" t="s">
        <v>53</v>
      </c>
      <c r="K167" s="32" t="s">
        <v>179</v>
      </c>
      <c r="L167" s="32">
        <v>1</v>
      </c>
      <c r="M167" s="32" t="s">
        <v>1120</v>
      </c>
      <c r="P167" s="32" t="s">
        <v>182</v>
      </c>
      <c r="Q167" s="32" t="s">
        <v>371</v>
      </c>
      <c r="R167" s="32" t="s">
        <v>183</v>
      </c>
      <c r="S167" s="32" t="s">
        <v>184</v>
      </c>
      <c r="T167" s="32" t="s">
        <v>1121</v>
      </c>
      <c r="U167" s="32" t="s">
        <v>1122</v>
      </c>
      <c r="V167" s="32" t="s">
        <v>1123</v>
      </c>
      <c r="W167" s="32" t="s">
        <v>1124</v>
      </c>
      <c r="X167" s="32" t="s">
        <v>187</v>
      </c>
      <c r="Z167" s="32" t="s">
        <v>188</v>
      </c>
      <c r="AA167" s="32" t="s">
        <v>189</v>
      </c>
      <c r="AB167" s="32" t="s">
        <v>55</v>
      </c>
      <c r="AC167" s="32" t="s">
        <v>92</v>
      </c>
      <c r="AD167" s="32" t="s">
        <v>1125</v>
      </c>
      <c r="AE167" s="32">
        <v>20612886921</v>
      </c>
      <c r="AF167" s="32" t="s">
        <v>1126</v>
      </c>
      <c r="AG167" s="32" t="s">
        <v>1127</v>
      </c>
      <c r="AH167" s="32" t="s">
        <v>193</v>
      </c>
      <c r="AI167" s="32" t="s">
        <v>1128</v>
      </c>
      <c r="AJ167" s="32" t="s">
        <v>1129</v>
      </c>
      <c r="AK167" s="32" t="s">
        <v>1130</v>
      </c>
      <c r="AL167" s="32" t="s">
        <v>491</v>
      </c>
      <c r="AM167" s="32" t="s">
        <v>278</v>
      </c>
      <c r="AN167" s="32" t="s">
        <v>278</v>
      </c>
      <c r="AO167" s="32" t="s">
        <v>491</v>
      </c>
      <c r="AP167" s="32" t="s">
        <v>491</v>
      </c>
      <c r="AQ167" s="32" t="s">
        <v>491</v>
      </c>
      <c r="AR167" s="32" t="s">
        <v>491</v>
      </c>
      <c r="AS167" s="32" t="s">
        <v>63</v>
      </c>
      <c r="AT167" s="32" t="s">
        <v>64</v>
      </c>
      <c r="AU167" s="56">
        <v>46216.458333333336</v>
      </c>
      <c r="AV167" s="56">
        <v>46216.470138888886</v>
      </c>
      <c r="AW167" s="56">
        <v>46216.473611111112</v>
      </c>
      <c r="AX167" s="56">
        <v>46216.5</v>
      </c>
      <c r="AY167" s="56">
        <v>46216.515277777777</v>
      </c>
      <c r="AZ167" s="56">
        <v>46216.556944444441</v>
      </c>
      <c r="BA167" s="56">
        <v>46217.341666666667</v>
      </c>
      <c r="BB167" s="56">
        <v>46217.34375</v>
      </c>
      <c r="BC167" s="56">
        <v>46217.364583333336</v>
      </c>
      <c r="BD167" s="56">
        <v>46217.368750000001</v>
      </c>
      <c r="BE167" s="56">
        <v>46217.40625</v>
      </c>
      <c r="BG167" s="56">
        <v>46217.5625</v>
      </c>
      <c r="BH167" s="56">
        <v>46217.585416666669</v>
      </c>
      <c r="BI167" s="32" t="s">
        <v>65</v>
      </c>
      <c r="BJ167" s="56">
        <v>46218.208333333336</v>
      </c>
      <c r="BK167" s="56">
        <v>46218.228472222225</v>
      </c>
      <c r="BL167" s="56">
        <v>46218.234027777777</v>
      </c>
      <c r="BM167" s="56">
        <v>46218.237500000003</v>
      </c>
      <c r="BN167" s="56">
        <v>46218.240972222222</v>
      </c>
    </row>
    <row r="168" spans="1:66" x14ac:dyDescent="0.35">
      <c r="A168" t="s">
        <v>176</v>
      </c>
      <c r="B168" s="32">
        <v>22</v>
      </c>
      <c r="C168" s="32">
        <v>28</v>
      </c>
      <c r="D168" s="32" t="s">
        <v>177</v>
      </c>
      <c r="E168" s="32" t="s">
        <v>178</v>
      </c>
      <c r="F168" s="54">
        <v>46216</v>
      </c>
      <c r="G168" s="54">
        <v>46217</v>
      </c>
      <c r="H168" s="55">
        <v>0.41666666666666669</v>
      </c>
      <c r="I168" s="55">
        <v>0.33333333333333331</v>
      </c>
      <c r="J168" s="32" t="s">
        <v>53</v>
      </c>
      <c r="K168" s="32" t="s">
        <v>179</v>
      </c>
      <c r="L168" s="32">
        <v>1</v>
      </c>
      <c r="M168" s="32" t="s">
        <v>1131</v>
      </c>
      <c r="P168" s="32" t="s">
        <v>182</v>
      </c>
      <c r="Q168" s="32" t="s">
        <v>371</v>
      </c>
      <c r="R168" s="32" t="s">
        <v>183</v>
      </c>
      <c r="S168" s="32" t="s">
        <v>184</v>
      </c>
      <c r="T168" s="32" t="s">
        <v>1132</v>
      </c>
      <c r="U168" s="32" t="s">
        <v>1133</v>
      </c>
      <c r="V168" s="32" t="s">
        <v>1134</v>
      </c>
      <c r="W168" s="32" t="s">
        <v>1135</v>
      </c>
      <c r="X168" s="32" t="s">
        <v>187</v>
      </c>
      <c r="Z168" s="32" t="s">
        <v>188</v>
      </c>
      <c r="AA168" s="32" t="s">
        <v>189</v>
      </c>
      <c r="AB168" s="32" t="s">
        <v>55</v>
      </c>
      <c r="AC168" s="32" t="s">
        <v>56</v>
      </c>
      <c r="AD168" s="32" t="s">
        <v>57</v>
      </c>
      <c r="AE168" s="32">
        <v>20513040718</v>
      </c>
      <c r="AF168" s="32" t="s">
        <v>1043</v>
      </c>
      <c r="AG168" s="32" t="s">
        <v>1044</v>
      </c>
      <c r="AH168" s="32" t="s">
        <v>193</v>
      </c>
      <c r="AI168" s="32" t="s">
        <v>1045</v>
      </c>
      <c r="AJ168" s="32" t="s">
        <v>1046</v>
      </c>
      <c r="AK168" s="32" t="s">
        <v>1136</v>
      </c>
      <c r="AL168" s="32" t="s">
        <v>491</v>
      </c>
      <c r="AM168" s="32" t="s">
        <v>278</v>
      </c>
      <c r="AN168" s="32" t="s">
        <v>278</v>
      </c>
      <c r="AO168" s="32" t="s">
        <v>491</v>
      </c>
      <c r="AP168" s="32" t="s">
        <v>491</v>
      </c>
      <c r="AQ168" s="32" t="s">
        <v>491</v>
      </c>
      <c r="AR168" s="32" t="s">
        <v>491</v>
      </c>
      <c r="AS168" s="32" t="s">
        <v>63</v>
      </c>
      <c r="AT168" s="32" t="s">
        <v>64</v>
      </c>
      <c r="AU168" s="56">
        <v>46216.458333333336</v>
      </c>
      <c r="AV168" s="56">
        <v>46216.486111111109</v>
      </c>
      <c r="AW168" s="56">
        <v>46216.491666666669</v>
      </c>
      <c r="AX168" s="56">
        <v>46216.510416666664</v>
      </c>
      <c r="AY168" s="56">
        <v>46216.529861111114</v>
      </c>
      <c r="AZ168" s="56">
        <v>46216.571527777778</v>
      </c>
      <c r="BA168" s="56">
        <v>46217.411111111112</v>
      </c>
      <c r="BB168" s="56">
        <v>46217.413194444445</v>
      </c>
      <c r="BC168" s="56">
        <v>46217.4375</v>
      </c>
      <c r="BD168" s="56">
        <v>46217.441666666666</v>
      </c>
      <c r="BE168" s="56">
        <v>46217.479166666664</v>
      </c>
      <c r="BG168" s="56">
        <v>46217.5625</v>
      </c>
      <c r="BH168" s="56">
        <v>46217.584027777775</v>
      </c>
      <c r="BI168" s="32" t="s">
        <v>65</v>
      </c>
      <c r="BJ168" s="56">
        <v>46218.333333333336</v>
      </c>
      <c r="BK168" s="56">
        <v>46218.34097222222</v>
      </c>
      <c r="BL168" s="56">
        <v>46218.344444444447</v>
      </c>
      <c r="BM168" s="56">
        <v>46218.347222222219</v>
      </c>
      <c r="BN168" s="56">
        <v>46218.354861111111</v>
      </c>
    </row>
    <row r="169" spans="1:66" x14ac:dyDescent="0.35">
      <c r="A169" t="s">
        <v>176</v>
      </c>
      <c r="B169" s="32">
        <v>23</v>
      </c>
      <c r="C169" s="32">
        <v>28</v>
      </c>
      <c r="D169" s="32" t="s">
        <v>177</v>
      </c>
      <c r="E169" s="32" t="s">
        <v>178</v>
      </c>
      <c r="F169" s="54">
        <v>46216</v>
      </c>
      <c r="G169" s="54">
        <v>46217</v>
      </c>
      <c r="H169" s="55">
        <v>0.41666666666666669</v>
      </c>
      <c r="I169" s="55">
        <v>0.33333333333333331</v>
      </c>
      <c r="J169" s="32" t="s">
        <v>53</v>
      </c>
      <c r="K169" s="32" t="s">
        <v>179</v>
      </c>
      <c r="L169" s="32">
        <v>1</v>
      </c>
      <c r="M169" s="32" t="s">
        <v>1137</v>
      </c>
      <c r="P169" s="32" t="s">
        <v>182</v>
      </c>
      <c r="Q169" s="32" t="s">
        <v>371</v>
      </c>
      <c r="R169" s="32" t="s">
        <v>183</v>
      </c>
      <c r="S169" s="32" t="s">
        <v>184</v>
      </c>
      <c r="T169" s="32" t="s">
        <v>1138</v>
      </c>
      <c r="U169" s="32" t="s">
        <v>1139</v>
      </c>
      <c r="V169" s="32" t="s">
        <v>1140</v>
      </c>
      <c r="W169" s="32" t="s">
        <v>1141</v>
      </c>
      <c r="X169" s="32" t="s">
        <v>187</v>
      </c>
      <c r="Z169" s="32" t="s">
        <v>188</v>
      </c>
      <c r="AA169" s="32" t="s">
        <v>189</v>
      </c>
      <c r="AB169" s="32" t="s">
        <v>55</v>
      </c>
      <c r="AC169" s="32" t="s">
        <v>92</v>
      </c>
      <c r="AD169" s="32" t="s">
        <v>1125</v>
      </c>
      <c r="AE169" s="32">
        <v>20612886921</v>
      </c>
      <c r="AF169" s="32" t="s">
        <v>1142</v>
      </c>
      <c r="AG169" s="32" t="s">
        <v>1143</v>
      </c>
      <c r="AH169" s="32" t="s">
        <v>193</v>
      </c>
      <c r="AI169" s="32" t="s">
        <v>1144</v>
      </c>
      <c r="AJ169" s="32" t="s">
        <v>1145</v>
      </c>
      <c r="AK169" s="32" t="s">
        <v>1146</v>
      </c>
      <c r="AL169" s="32" t="s">
        <v>491</v>
      </c>
      <c r="AM169" s="32" t="s">
        <v>278</v>
      </c>
      <c r="AN169" s="32" t="s">
        <v>278</v>
      </c>
      <c r="AO169" s="32" t="s">
        <v>491</v>
      </c>
      <c r="AP169" s="32" t="s">
        <v>491</v>
      </c>
      <c r="AQ169" s="32" t="s">
        <v>491</v>
      </c>
      <c r="AR169" s="32" t="s">
        <v>491</v>
      </c>
      <c r="AS169" s="32" t="s">
        <v>63</v>
      </c>
      <c r="AT169" s="32" t="s">
        <v>64</v>
      </c>
      <c r="AU169" s="56">
        <v>46216.375</v>
      </c>
      <c r="AV169" s="56">
        <v>46216.4</v>
      </c>
      <c r="AW169" s="56">
        <v>46216.419444444444</v>
      </c>
      <c r="AX169" s="56">
        <v>46216.4375</v>
      </c>
      <c r="AY169" s="56">
        <v>46216.520138888889</v>
      </c>
      <c r="AZ169" s="56">
        <v>46216.5625</v>
      </c>
      <c r="BA169" s="56">
        <v>46217.340277777781</v>
      </c>
      <c r="BB169" s="56">
        <v>46217.34375</v>
      </c>
      <c r="BC169" s="56">
        <v>46217.364583333336</v>
      </c>
      <c r="BD169" s="56">
        <v>46217.368750000001</v>
      </c>
      <c r="BE169" s="56">
        <v>46217.40625</v>
      </c>
      <c r="BG169" s="56">
        <v>46217.541666666664</v>
      </c>
      <c r="BH169" s="56">
        <v>46217.566666666666</v>
      </c>
      <c r="BI169" s="32" t="s">
        <v>65</v>
      </c>
      <c r="BJ169" s="56">
        <v>46218.166666666664</v>
      </c>
      <c r="BK169" s="56">
        <v>46218.195833333331</v>
      </c>
      <c r="BL169" s="56">
        <v>46218.199305555558</v>
      </c>
      <c r="BM169" s="56">
        <v>46218.201388888891</v>
      </c>
      <c r="BN169" s="56">
        <v>46218.226388888892</v>
      </c>
    </row>
    <row r="170" spans="1:66" x14ac:dyDescent="0.35">
      <c r="A170" t="s">
        <v>176</v>
      </c>
      <c r="B170" s="32">
        <v>24</v>
      </c>
      <c r="C170" s="32">
        <v>29</v>
      </c>
      <c r="D170" s="32" t="s">
        <v>177</v>
      </c>
      <c r="E170" s="32" t="s">
        <v>178</v>
      </c>
      <c r="F170" s="54">
        <v>46218</v>
      </c>
      <c r="G170" s="54">
        <v>46219</v>
      </c>
      <c r="H170" s="55">
        <v>0.41666666666666669</v>
      </c>
      <c r="I170" s="55">
        <v>0.33333333333333331</v>
      </c>
      <c r="J170" s="32" t="s">
        <v>53</v>
      </c>
      <c r="K170" s="32" t="s">
        <v>179</v>
      </c>
      <c r="L170" s="32">
        <v>1</v>
      </c>
      <c r="M170" s="32" t="s">
        <v>1147</v>
      </c>
      <c r="P170" s="32" t="s">
        <v>182</v>
      </c>
      <c r="Q170" s="32" t="s">
        <v>371</v>
      </c>
      <c r="R170" s="32" t="s">
        <v>382</v>
      </c>
      <c r="S170" s="32" t="s">
        <v>383</v>
      </c>
      <c r="T170" s="32" t="s">
        <v>1148</v>
      </c>
      <c r="U170" s="32" t="s">
        <v>1149</v>
      </c>
      <c r="V170" s="32" t="s">
        <v>1150</v>
      </c>
      <c r="W170" s="32" t="s">
        <v>1151</v>
      </c>
      <c r="X170" s="32" t="s">
        <v>188</v>
      </c>
      <c r="Z170" s="32" t="s">
        <v>188</v>
      </c>
      <c r="AA170" s="32" t="s">
        <v>189</v>
      </c>
      <c r="AB170" s="32" t="s">
        <v>55</v>
      </c>
      <c r="AC170" s="32" t="s">
        <v>92</v>
      </c>
      <c r="AD170" s="32" t="s">
        <v>1152</v>
      </c>
      <c r="AE170" s="32">
        <v>20601962102</v>
      </c>
      <c r="AF170" s="32" t="s">
        <v>1153</v>
      </c>
      <c r="AG170" s="32" t="s">
        <v>1154</v>
      </c>
      <c r="AH170" s="32" t="s">
        <v>193</v>
      </c>
      <c r="AI170" s="32" t="s">
        <v>1155</v>
      </c>
      <c r="AJ170" s="32" t="s">
        <v>1156</v>
      </c>
      <c r="AK170" s="32" t="s">
        <v>1157</v>
      </c>
      <c r="AL170" s="32" t="s">
        <v>491</v>
      </c>
      <c r="AM170" s="32" t="s">
        <v>278</v>
      </c>
      <c r="AN170" s="32" t="s">
        <v>278</v>
      </c>
      <c r="AO170" s="32" t="s">
        <v>491</v>
      </c>
      <c r="AP170" s="32" t="s">
        <v>491</v>
      </c>
      <c r="AQ170" s="32" t="s">
        <v>491</v>
      </c>
      <c r="AR170" s="32" t="s">
        <v>491</v>
      </c>
      <c r="AS170" s="32" t="s">
        <v>63</v>
      </c>
      <c r="AT170" s="32" t="s">
        <v>64</v>
      </c>
      <c r="AU170" s="56">
        <v>46218.625</v>
      </c>
      <c r="AV170" s="56">
        <v>46218.640972222223</v>
      </c>
      <c r="AW170" s="56">
        <v>46218.675000000003</v>
      </c>
      <c r="AX170" s="56">
        <v>46218.681944444441</v>
      </c>
      <c r="AY170" s="56">
        <v>46218.770833333336</v>
      </c>
      <c r="AZ170" s="56">
        <v>46218.8125</v>
      </c>
      <c r="BA170" s="56">
        <v>46219.448611111111</v>
      </c>
      <c r="BB170" s="56">
        <v>46219.455555555556</v>
      </c>
      <c r="BC170" s="56">
        <v>46219.462500000001</v>
      </c>
      <c r="BD170" s="56">
        <v>46219.466666666667</v>
      </c>
      <c r="BE170" s="56">
        <v>46219.48333333333</v>
      </c>
      <c r="BG170" s="56">
        <v>46220.506944444445</v>
      </c>
      <c r="BH170" s="56">
        <v>46220.513888888891</v>
      </c>
      <c r="BI170" s="32" t="s">
        <v>65</v>
      </c>
      <c r="BJ170" s="56">
        <v>46221.041666666664</v>
      </c>
      <c r="BK170" s="56">
        <v>46221.083333333336</v>
      </c>
      <c r="BL170" s="56">
        <v>46221.092361111114</v>
      </c>
      <c r="BM170" s="56">
        <v>46221.095833333333</v>
      </c>
      <c r="BN170" s="56">
        <v>46221.102777777778</v>
      </c>
    </row>
    <row r="171" spans="1:66" x14ac:dyDescent="0.35">
      <c r="A171" t="s">
        <v>176</v>
      </c>
      <c r="B171" s="32">
        <v>25</v>
      </c>
      <c r="C171" s="32">
        <v>29</v>
      </c>
      <c r="D171" s="32" t="s">
        <v>177</v>
      </c>
      <c r="E171" s="32" t="s">
        <v>178</v>
      </c>
      <c r="F171" s="54">
        <v>46218</v>
      </c>
      <c r="G171" s="54">
        <v>46219</v>
      </c>
      <c r="H171" s="55">
        <v>0.58333333333333337</v>
      </c>
      <c r="I171" s="55">
        <v>0.5</v>
      </c>
      <c r="J171" s="32" t="s">
        <v>53</v>
      </c>
      <c r="K171" s="32" t="s">
        <v>179</v>
      </c>
      <c r="L171" s="32">
        <v>0.5</v>
      </c>
      <c r="M171" s="32" t="s">
        <v>1158</v>
      </c>
      <c r="P171" s="32" t="s">
        <v>182</v>
      </c>
      <c r="Q171" s="32" t="s">
        <v>371</v>
      </c>
      <c r="R171" s="32" t="s">
        <v>382</v>
      </c>
      <c r="S171" s="32" t="s">
        <v>383</v>
      </c>
      <c r="T171" s="32" t="s">
        <v>1159</v>
      </c>
      <c r="U171" s="32" t="s">
        <v>1160</v>
      </c>
      <c r="V171" s="32" t="s">
        <v>1161</v>
      </c>
      <c r="W171" s="32" t="s">
        <v>1162</v>
      </c>
      <c r="X171" s="32" t="s">
        <v>188</v>
      </c>
      <c r="Z171" s="32" t="s">
        <v>188</v>
      </c>
      <c r="AA171" s="32" t="s">
        <v>189</v>
      </c>
      <c r="AB171" s="32" t="s">
        <v>55</v>
      </c>
      <c r="AC171" s="32" t="s">
        <v>56</v>
      </c>
      <c r="AD171" s="32" t="s">
        <v>57</v>
      </c>
      <c r="AE171" s="32">
        <v>20513040718</v>
      </c>
      <c r="AF171" s="32" t="s">
        <v>1043</v>
      </c>
      <c r="AG171" s="32" t="s">
        <v>1044</v>
      </c>
      <c r="AH171" s="32" t="s">
        <v>193</v>
      </c>
      <c r="AI171" s="32" t="s">
        <v>1045</v>
      </c>
      <c r="AJ171" s="32" t="s">
        <v>1046</v>
      </c>
      <c r="AK171" s="32" t="s">
        <v>1163</v>
      </c>
      <c r="AL171" s="32" t="s">
        <v>491</v>
      </c>
      <c r="AM171" s="32" t="s">
        <v>278</v>
      </c>
      <c r="AN171" s="32" t="s">
        <v>278</v>
      </c>
      <c r="AO171" s="32" t="s">
        <v>491</v>
      </c>
      <c r="AP171" s="32" t="s">
        <v>491</v>
      </c>
      <c r="AQ171" s="32" t="s">
        <v>491</v>
      </c>
      <c r="AR171" s="32" t="s">
        <v>491</v>
      </c>
      <c r="AS171" s="32" t="s">
        <v>63</v>
      </c>
      <c r="AT171" s="32" t="s">
        <v>388</v>
      </c>
      <c r="AU171" s="56">
        <v>46218.666666666664</v>
      </c>
      <c r="AV171" s="56">
        <v>46218.683333333334</v>
      </c>
      <c r="AW171" s="56">
        <v>46218.724305555559</v>
      </c>
      <c r="AX171" s="56">
        <v>46218.731249999997</v>
      </c>
      <c r="AY171" s="56">
        <v>46218.797222222223</v>
      </c>
      <c r="AZ171" s="56">
        <v>46218.838888888888</v>
      </c>
      <c r="BA171" s="56">
        <v>46219.523611111108</v>
      </c>
      <c r="BB171" s="56">
        <v>46219.524305555555</v>
      </c>
      <c r="BC171" s="56">
        <v>46219.621527777781</v>
      </c>
      <c r="BD171" s="56">
        <v>46219.625694444447</v>
      </c>
      <c r="BE171" s="56">
        <v>46219.634027777778</v>
      </c>
      <c r="BG171" s="56">
        <v>46219.686111111114</v>
      </c>
      <c r="BH171" s="56">
        <v>46219.73541666667</v>
      </c>
      <c r="BI171" s="32" t="s">
        <v>65</v>
      </c>
      <c r="BJ171" s="56">
        <v>46220.791666666664</v>
      </c>
      <c r="BK171" s="56">
        <v>46220.829861111109</v>
      </c>
      <c r="BL171" s="56">
        <v>46220.834722222222</v>
      </c>
      <c r="BM171" s="56">
        <v>46220.841666666667</v>
      </c>
      <c r="BN171" s="56">
        <v>46220.851388888892</v>
      </c>
    </row>
    <row r="172" spans="1:66" x14ac:dyDescent="0.35">
      <c r="A172" t="s">
        <v>176</v>
      </c>
      <c r="B172" s="32">
        <v>26</v>
      </c>
      <c r="C172" s="32">
        <v>29</v>
      </c>
      <c r="D172" s="32" t="s">
        <v>368</v>
      </c>
      <c r="E172" s="32" t="s">
        <v>178</v>
      </c>
      <c r="F172" s="54">
        <v>46218</v>
      </c>
      <c r="G172" s="54">
        <v>46220</v>
      </c>
      <c r="H172" s="55">
        <v>0.41666666666666669</v>
      </c>
      <c r="I172" s="55">
        <v>0.33333333333333331</v>
      </c>
      <c r="J172" s="32" t="s">
        <v>369</v>
      </c>
      <c r="K172" s="32" t="s">
        <v>179</v>
      </c>
      <c r="L172" s="32">
        <v>0.5</v>
      </c>
      <c r="M172" s="32" t="s">
        <v>1158</v>
      </c>
      <c r="P172" s="32" t="s">
        <v>182</v>
      </c>
      <c r="Q172" s="32" t="s">
        <v>371</v>
      </c>
      <c r="R172" s="32" t="s">
        <v>382</v>
      </c>
      <c r="S172" s="32" t="s">
        <v>383</v>
      </c>
      <c r="T172" s="32" t="s">
        <v>1159</v>
      </c>
      <c r="U172" s="32" t="s">
        <v>1160</v>
      </c>
      <c r="V172" s="32" t="s">
        <v>1161</v>
      </c>
      <c r="W172" s="32" t="s">
        <v>1162</v>
      </c>
      <c r="X172" s="32" t="s">
        <v>188</v>
      </c>
      <c r="Z172" s="32" t="s">
        <v>188</v>
      </c>
      <c r="AA172" s="32" t="s">
        <v>189</v>
      </c>
      <c r="AB172" s="32" t="s">
        <v>55</v>
      </c>
      <c r="AC172" s="32" t="s">
        <v>56</v>
      </c>
      <c r="AD172" s="32" t="s">
        <v>57</v>
      </c>
      <c r="AE172" s="32">
        <v>20513040718</v>
      </c>
      <c r="AF172" s="32" t="s">
        <v>1043</v>
      </c>
      <c r="AG172" s="32" t="s">
        <v>1044</v>
      </c>
      <c r="AH172" s="32" t="s">
        <v>193</v>
      </c>
      <c r="AI172" s="32" t="s">
        <v>1045</v>
      </c>
      <c r="AJ172" s="32" t="s">
        <v>1046</v>
      </c>
      <c r="AK172" s="32" t="s">
        <v>1164</v>
      </c>
      <c r="AL172" s="32" t="s">
        <v>491</v>
      </c>
      <c r="AM172" s="32" t="s">
        <v>278</v>
      </c>
      <c r="AN172" s="32" t="s">
        <v>278</v>
      </c>
      <c r="AO172" s="32" t="s">
        <v>491</v>
      </c>
      <c r="AP172" s="32" t="s">
        <v>491</v>
      </c>
      <c r="AQ172" s="32" t="s">
        <v>491</v>
      </c>
      <c r="AR172" s="32" t="s">
        <v>491</v>
      </c>
      <c r="AS172" s="32" t="s">
        <v>63</v>
      </c>
      <c r="AT172" s="32" t="s">
        <v>388</v>
      </c>
      <c r="AU172" s="56">
        <v>46218.666666666664</v>
      </c>
      <c r="AV172" s="56">
        <v>46218.683333333334</v>
      </c>
      <c r="AW172" s="56">
        <v>46218.724305555559</v>
      </c>
      <c r="AX172" s="56">
        <v>46218.731249999997</v>
      </c>
      <c r="AY172" s="56">
        <v>46218.797222222223</v>
      </c>
      <c r="AZ172" s="56">
        <v>46218.838888888888</v>
      </c>
      <c r="BA172" s="56">
        <v>46220.507638888892</v>
      </c>
      <c r="BB172" s="56">
        <v>46220.507638888892</v>
      </c>
      <c r="BC172" s="56">
        <v>46220.53125</v>
      </c>
      <c r="BD172" s="56">
        <v>46220.535416666666</v>
      </c>
      <c r="BE172" s="56">
        <v>46220.552777777775</v>
      </c>
      <c r="BG172" s="56">
        <v>46220.576388888891</v>
      </c>
      <c r="BH172" s="56">
        <v>46220.588194444441</v>
      </c>
      <c r="BI172" s="32" t="s">
        <v>65</v>
      </c>
      <c r="BJ172" s="56">
        <v>46220.791666666664</v>
      </c>
      <c r="BK172" s="56">
        <v>46220.829861111109</v>
      </c>
      <c r="BL172" s="56">
        <v>46220.834722222222</v>
      </c>
      <c r="BM172" s="56">
        <v>46220.841666666667</v>
      </c>
      <c r="BN172" s="56">
        <v>46220.851388888892</v>
      </c>
    </row>
    <row r="173" spans="1:66" x14ac:dyDescent="0.35">
      <c r="A173" t="s">
        <v>176</v>
      </c>
      <c r="B173" s="32">
        <v>27</v>
      </c>
      <c r="C173" s="32">
        <v>29</v>
      </c>
      <c r="D173" s="32" t="s">
        <v>177</v>
      </c>
      <c r="E173" s="32" t="s">
        <v>178</v>
      </c>
      <c r="F173" s="54">
        <v>46219</v>
      </c>
      <c r="G173" s="54">
        <v>46220</v>
      </c>
      <c r="H173" s="55">
        <v>0.41666666666666669</v>
      </c>
      <c r="I173" s="55">
        <v>0.33333333333333331</v>
      </c>
      <c r="J173" s="32" t="s">
        <v>53</v>
      </c>
      <c r="K173" s="32" t="s">
        <v>179</v>
      </c>
      <c r="L173" s="32">
        <v>1</v>
      </c>
      <c r="M173" s="32" t="s">
        <v>1165</v>
      </c>
      <c r="P173" s="32" t="s">
        <v>182</v>
      </c>
      <c r="Q173" s="32" t="s">
        <v>371</v>
      </c>
      <c r="R173" s="32" t="s">
        <v>382</v>
      </c>
      <c r="S173" s="32" t="s">
        <v>383</v>
      </c>
      <c r="T173" s="32" t="s">
        <v>1166</v>
      </c>
      <c r="U173" s="32" t="s">
        <v>1167</v>
      </c>
      <c r="V173" s="32" t="s">
        <v>1168</v>
      </c>
      <c r="W173" s="32" t="s">
        <v>1169</v>
      </c>
      <c r="X173" s="32" t="s">
        <v>188</v>
      </c>
      <c r="Z173" s="32" t="s">
        <v>188</v>
      </c>
      <c r="AA173" s="32" t="s">
        <v>189</v>
      </c>
      <c r="AB173" s="32" t="s">
        <v>55</v>
      </c>
      <c r="AC173" s="32" t="s">
        <v>92</v>
      </c>
      <c r="AD173" s="32" t="s">
        <v>1170</v>
      </c>
      <c r="AE173" s="32">
        <v>20614402246</v>
      </c>
      <c r="AF173" s="32" t="s">
        <v>1171</v>
      </c>
      <c r="AG173" s="32" t="s">
        <v>1172</v>
      </c>
      <c r="AH173" s="32" t="s">
        <v>193</v>
      </c>
      <c r="AI173" s="32" t="s">
        <v>1173</v>
      </c>
      <c r="AJ173" s="32" t="s">
        <v>1174</v>
      </c>
      <c r="AK173" s="32" t="s">
        <v>1175</v>
      </c>
      <c r="AL173" s="32" t="s">
        <v>491</v>
      </c>
      <c r="AM173" s="32" t="s">
        <v>278</v>
      </c>
      <c r="AN173" s="32" t="s">
        <v>278</v>
      </c>
      <c r="AO173" s="32" t="s">
        <v>491</v>
      </c>
      <c r="AP173" s="32" t="s">
        <v>491</v>
      </c>
      <c r="AQ173" s="32" t="s">
        <v>491</v>
      </c>
      <c r="AR173" s="32" t="s">
        <v>491</v>
      </c>
      <c r="AS173" s="32" t="s">
        <v>63</v>
      </c>
      <c r="AT173" s="32" t="s">
        <v>388</v>
      </c>
      <c r="AU173" s="56">
        <v>46219.583333333336</v>
      </c>
      <c r="AV173" s="56">
        <v>46219.576388888891</v>
      </c>
      <c r="AW173" s="56">
        <v>46219.603472222225</v>
      </c>
      <c r="AX173" s="56">
        <v>46219.605555555558</v>
      </c>
      <c r="AY173" s="56">
        <v>46220.61041666667</v>
      </c>
      <c r="AZ173" s="56">
        <v>46220.708333333336</v>
      </c>
      <c r="BA173" s="56">
        <v>46220.387499999997</v>
      </c>
      <c r="BB173" s="56">
        <v>46220.388888888891</v>
      </c>
      <c r="BC173" s="56">
        <v>46220.392361111109</v>
      </c>
      <c r="BD173" s="56">
        <v>46220.396527777775</v>
      </c>
      <c r="BE173" s="56">
        <v>46220.520833333336</v>
      </c>
      <c r="BG173" s="56">
        <v>46220.569444444445</v>
      </c>
      <c r="BH173" s="56">
        <v>46220.61041666667</v>
      </c>
      <c r="BI173" s="32" t="s">
        <v>65</v>
      </c>
      <c r="BJ173" s="56">
        <v>46221.5</v>
      </c>
      <c r="BK173" s="56">
        <v>46221.502083333333</v>
      </c>
      <c r="BL173" s="56">
        <v>46221.519444444442</v>
      </c>
      <c r="BM173" s="56">
        <v>46221.524305555555</v>
      </c>
      <c r="BN173" s="56">
        <v>46221.536111111112</v>
      </c>
    </row>
    <row r="174" spans="1:66" x14ac:dyDescent="0.35">
      <c r="A174" t="s">
        <v>176</v>
      </c>
      <c r="B174" s="32">
        <v>28</v>
      </c>
      <c r="C174" s="32">
        <v>29</v>
      </c>
      <c r="D174" s="32" t="s">
        <v>177</v>
      </c>
      <c r="E174" s="32" t="s">
        <v>178</v>
      </c>
      <c r="F174" s="54">
        <v>46222</v>
      </c>
      <c r="G174" s="54">
        <v>46223</v>
      </c>
      <c r="H174" s="55">
        <v>0.41666666666666669</v>
      </c>
      <c r="I174" s="55">
        <v>0.33333333333333331</v>
      </c>
      <c r="J174" s="32" t="s">
        <v>53</v>
      </c>
      <c r="K174" s="32" t="s">
        <v>179</v>
      </c>
      <c r="L174" s="32">
        <v>1</v>
      </c>
      <c r="M174" s="32" t="s">
        <v>1176</v>
      </c>
      <c r="P174" s="32" t="s">
        <v>182</v>
      </c>
      <c r="Q174" s="32" t="s">
        <v>371</v>
      </c>
      <c r="R174" s="32" t="s">
        <v>556</v>
      </c>
      <c r="S174" s="32" t="s">
        <v>631</v>
      </c>
      <c r="T174" s="32" t="s">
        <v>1177</v>
      </c>
      <c r="U174" s="32" t="s">
        <v>1178</v>
      </c>
      <c r="V174" s="32" t="s">
        <v>1179</v>
      </c>
      <c r="W174" s="32" t="s">
        <v>1180</v>
      </c>
      <c r="X174" s="32" t="s">
        <v>187</v>
      </c>
      <c r="Z174" s="32" t="s">
        <v>188</v>
      </c>
      <c r="AA174" s="32" t="s">
        <v>189</v>
      </c>
      <c r="AB174" s="32" t="s">
        <v>55</v>
      </c>
      <c r="AC174" s="32" t="s">
        <v>56</v>
      </c>
      <c r="AD174" s="32" t="s">
        <v>57</v>
      </c>
      <c r="AE174" s="32">
        <v>20513040718</v>
      </c>
      <c r="AF174" s="32" t="s">
        <v>1181</v>
      </c>
      <c r="AG174" s="32" t="s">
        <v>1182</v>
      </c>
      <c r="AH174" s="32" t="s">
        <v>193</v>
      </c>
      <c r="AI174" s="32" t="s">
        <v>1183</v>
      </c>
      <c r="AJ174" s="32" t="s">
        <v>1184</v>
      </c>
      <c r="AK174" s="32" t="s">
        <v>1185</v>
      </c>
      <c r="AL174" s="32" t="s">
        <v>491</v>
      </c>
      <c r="AM174" s="32" t="s">
        <v>278</v>
      </c>
      <c r="AN174" s="32" t="s">
        <v>278</v>
      </c>
      <c r="AO174" s="32" t="s">
        <v>491</v>
      </c>
      <c r="AP174" s="32" t="s">
        <v>491</v>
      </c>
      <c r="AQ174" s="32" t="s">
        <v>491</v>
      </c>
      <c r="AR174" s="32" t="s">
        <v>491</v>
      </c>
      <c r="AS174" s="32" t="s">
        <v>63</v>
      </c>
      <c r="AT174" s="32" t="s">
        <v>64</v>
      </c>
      <c r="AU174" s="56">
        <v>46222.416666666664</v>
      </c>
      <c r="AV174" s="56">
        <v>46222.439583333333</v>
      </c>
      <c r="AW174" s="56">
        <v>46222.449305555558</v>
      </c>
      <c r="AX174" s="56">
        <v>46222.451388888891</v>
      </c>
      <c r="AY174" s="56">
        <v>46222.515277777777</v>
      </c>
      <c r="AZ174" s="56">
        <v>46220.75</v>
      </c>
      <c r="BA174" s="56">
        <v>46223.397916666669</v>
      </c>
      <c r="BB174" s="56">
        <v>46223.399305555555</v>
      </c>
      <c r="BC174" s="56">
        <v>46223.402777777781</v>
      </c>
      <c r="BD174" s="56">
        <v>46223.406944444447</v>
      </c>
      <c r="BE174" s="56">
        <v>46223.597222222219</v>
      </c>
      <c r="BG174" s="56">
        <v>46223.659722222219</v>
      </c>
      <c r="BH174" s="56">
        <v>46223.695833333331</v>
      </c>
      <c r="BI174" s="32" t="s">
        <v>65</v>
      </c>
      <c r="BJ174" s="56">
        <v>46224.541666666664</v>
      </c>
      <c r="BK174" s="56">
        <v>46224.554861111108</v>
      </c>
      <c r="BL174" s="56">
        <v>46224.565972222219</v>
      </c>
      <c r="BM174" s="56">
        <v>46224.569444444445</v>
      </c>
      <c r="BN174" s="56">
        <v>46224.582638888889</v>
      </c>
    </row>
    <row r="175" spans="1:66" x14ac:dyDescent="0.35">
      <c r="A175" t="s">
        <v>176</v>
      </c>
      <c r="B175" s="32">
        <v>29</v>
      </c>
      <c r="C175" s="32">
        <v>29</v>
      </c>
      <c r="D175" s="32" t="s">
        <v>177</v>
      </c>
      <c r="E175" s="32" t="s">
        <v>178</v>
      </c>
      <c r="F175" s="54">
        <v>46222</v>
      </c>
      <c r="G175" s="54">
        <v>46223</v>
      </c>
      <c r="H175" s="55">
        <v>0.41666666666666669</v>
      </c>
      <c r="I175" s="55">
        <v>0.33333333333333331</v>
      </c>
      <c r="J175" s="32" t="s">
        <v>53</v>
      </c>
      <c r="K175" s="32" t="s">
        <v>179</v>
      </c>
      <c r="L175" s="32">
        <v>1</v>
      </c>
      <c r="M175" s="32" t="s">
        <v>1186</v>
      </c>
      <c r="P175" s="32" t="s">
        <v>182</v>
      </c>
      <c r="Q175" s="32" t="s">
        <v>371</v>
      </c>
      <c r="R175" s="32" t="s">
        <v>183</v>
      </c>
      <c r="S175" s="32" t="s">
        <v>184</v>
      </c>
      <c r="T175" s="32" t="s">
        <v>1187</v>
      </c>
      <c r="U175" s="32" t="s">
        <v>1188</v>
      </c>
      <c r="V175" s="32" t="s">
        <v>1189</v>
      </c>
      <c r="W175" s="32" t="s">
        <v>1190</v>
      </c>
      <c r="X175" s="32" t="s">
        <v>187</v>
      </c>
      <c r="Z175" s="32" t="s">
        <v>188</v>
      </c>
      <c r="AA175" s="32" t="s">
        <v>189</v>
      </c>
      <c r="AB175" s="32" t="s">
        <v>55</v>
      </c>
      <c r="AC175" s="32" t="s">
        <v>56</v>
      </c>
      <c r="AD175" s="32" t="s">
        <v>57</v>
      </c>
      <c r="AE175" s="32">
        <v>20513040718</v>
      </c>
      <c r="AF175" s="32" t="s">
        <v>1053</v>
      </c>
      <c r="AG175" s="32" t="s">
        <v>1054</v>
      </c>
      <c r="AH175" s="32" t="s">
        <v>193</v>
      </c>
      <c r="AI175" s="32" t="s">
        <v>1055</v>
      </c>
      <c r="AJ175" s="32" t="s">
        <v>1056</v>
      </c>
      <c r="AK175" s="32" t="s">
        <v>1191</v>
      </c>
      <c r="AL175" s="32" t="s">
        <v>491</v>
      </c>
      <c r="AM175" s="32" t="s">
        <v>278</v>
      </c>
      <c r="AN175" s="32" t="s">
        <v>278</v>
      </c>
      <c r="AO175" s="32" t="s">
        <v>491</v>
      </c>
      <c r="AP175" s="32" t="s">
        <v>491</v>
      </c>
      <c r="AQ175" s="32" t="s">
        <v>491</v>
      </c>
      <c r="AR175" s="32" t="s">
        <v>491</v>
      </c>
      <c r="AS175" s="32" t="s">
        <v>63</v>
      </c>
      <c r="AT175" s="32" t="s">
        <v>64</v>
      </c>
      <c r="AU175" s="56">
        <v>46222.458333333336</v>
      </c>
      <c r="AV175" s="56">
        <v>46222.45</v>
      </c>
      <c r="AW175" s="56">
        <v>46222.46597222222</v>
      </c>
      <c r="AX175" s="56">
        <v>46222.46875</v>
      </c>
      <c r="AY175" s="56">
        <v>46222.536805555559</v>
      </c>
      <c r="AZ175" s="56">
        <v>46222.791666666664</v>
      </c>
      <c r="BA175" s="56">
        <v>46223.395833333336</v>
      </c>
      <c r="BB175" s="56">
        <v>46223.399305555555</v>
      </c>
      <c r="BC175" s="56">
        <v>46223.402777777781</v>
      </c>
      <c r="BD175" s="56">
        <v>46223.406944444447</v>
      </c>
      <c r="BE175" s="56">
        <v>46223.534722222219</v>
      </c>
      <c r="BG175" s="56">
        <v>46223.576388888891</v>
      </c>
      <c r="BH175" s="56">
        <v>46223.590277777781</v>
      </c>
      <c r="BI175" s="32" t="s">
        <v>65</v>
      </c>
      <c r="BJ175" s="56">
        <v>46224.416666666664</v>
      </c>
      <c r="BK175" s="56">
        <v>46224.415277777778</v>
      </c>
      <c r="BL175" s="56">
        <v>46224.438888888886</v>
      </c>
      <c r="BM175" s="56">
        <v>46224.444444444445</v>
      </c>
      <c r="BN175" s="56">
        <v>46224.447222222225</v>
      </c>
    </row>
    <row r="176" spans="1:66" x14ac:dyDescent="0.35">
      <c r="A176" t="s">
        <v>176</v>
      </c>
      <c r="B176" s="32">
        <v>30</v>
      </c>
      <c r="C176" s="32">
        <v>29</v>
      </c>
      <c r="D176" s="32" t="s">
        <v>177</v>
      </c>
      <c r="E176" s="32" t="s">
        <v>178</v>
      </c>
      <c r="F176" s="54">
        <v>46223</v>
      </c>
      <c r="G176" s="54">
        <v>46224</v>
      </c>
      <c r="H176" s="55">
        <v>0.41666666666666669</v>
      </c>
      <c r="I176" s="55">
        <v>0.33333333333333331</v>
      </c>
      <c r="J176" s="32" t="s">
        <v>53</v>
      </c>
      <c r="K176" s="32" t="s">
        <v>179</v>
      </c>
      <c r="L176" s="32">
        <v>1</v>
      </c>
      <c r="M176" s="32" t="s">
        <v>1192</v>
      </c>
      <c r="P176" s="32" t="s">
        <v>182</v>
      </c>
      <c r="Q176" s="32" t="s">
        <v>371</v>
      </c>
      <c r="R176" s="32" t="s">
        <v>183</v>
      </c>
      <c r="S176" s="32" t="s">
        <v>184</v>
      </c>
      <c r="T176" s="32" t="s">
        <v>1193</v>
      </c>
      <c r="U176" s="32" t="s">
        <v>1194</v>
      </c>
      <c r="V176" s="32" t="s">
        <v>1195</v>
      </c>
      <c r="W176" s="32" t="s">
        <v>1196</v>
      </c>
      <c r="X176" s="32" t="s">
        <v>187</v>
      </c>
      <c r="Z176" s="32" t="s">
        <v>188</v>
      </c>
      <c r="AA176" s="32" t="s">
        <v>189</v>
      </c>
      <c r="AB176" s="32" t="s">
        <v>55</v>
      </c>
      <c r="AC176" s="32" t="s">
        <v>56</v>
      </c>
      <c r="AD176" s="32" t="s">
        <v>57</v>
      </c>
      <c r="AE176" s="32">
        <v>20513040718</v>
      </c>
      <c r="AF176" s="32" t="s">
        <v>1069</v>
      </c>
      <c r="AG176" s="32" t="s">
        <v>1070</v>
      </c>
      <c r="AH176" s="32" t="s">
        <v>193</v>
      </c>
      <c r="AI176" s="32" t="s">
        <v>1071</v>
      </c>
      <c r="AJ176" s="32" t="s">
        <v>1072</v>
      </c>
      <c r="AK176" s="32" t="s">
        <v>1197</v>
      </c>
      <c r="AL176" s="32" t="s">
        <v>491</v>
      </c>
      <c r="AM176" s="32" t="s">
        <v>278</v>
      </c>
      <c r="AN176" s="32" t="s">
        <v>278</v>
      </c>
      <c r="AO176" s="32" t="s">
        <v>491</v>
      </c>
      <c r="AP176" s="32" t="s">
        <v>491</v>
      </c>
      <c r="AQ176" s="32" t="s">
        <v>491</v>
      </c>
      <c r="AR176" s="32" t="s">
        <v>491</v>
      </c>
      <c r="AS176" s="32" t="s">
        <v>63</v>
      </c>
      <c r="AT176" s="32" t="s">
        <v>64</v>
      </c>
      <c r="AU176" s="56">
        <v>46223.5</v>
      </c>
      <c r="AV176" s="56">
        <v>46223.46875</v>
      </c>
      <c r="AW176" s="56">
        <v>46223.511111111111</v>
      </c>
      <c r="AX176" s="56">
        <v>46223.513888888891</v>
      </c>
      <c r="AY176" s="56">
        <v>46223.547222222223</v>
      </c>
      <c r="AZ176" s="56">
        <v>46223.708333333336</v>
      </c>
      <c r="BA176" s="56">
        <v>46224.394444444442</v>
      </c>
      <c r="BB176" s="56">
        <v>46224.399305555555</v>
      </c>
      <c r="BC176" s="56">
        <v>46224.402777777781</v>
      </c>
      <c r="BD176" s="56">
        <v>46224.406944444447</v>
      </c>
      <c r="BE176" s="56">
        <v>46224.604166666664</v>
      </c>
      <c r="BG176" s="56">
        <v>46224.645833333336</v>
      </c>
      <c r="BH176" s="56">
        <v>46224.692361111112</v>
      </c>
      <c r="BI176" s="32" t="s">
        <v>65</v>
      </c>
      <c r="BJ176" s="56">
        <v>46225.5</v>
      </c>
      <c r="BK176" s="56">
        <v>46225.492361111108</v>
      </c>
      <c r="BL176" s="56">
        <v>46225.5</v>
      </c>
      <c r="BM176" s="56">
        <v>46225.503472222219</v>
      </c>
      <c r="BN176" s="56">
        <v>46225.51458333333</v>
      </c>
    </row>
    <row r="177" spans="1:66" x14ac:dyDescent="0.35">
      <c r="A177" t="s">
        <v>176</v>
      </c>
      <c r="B177" s="32">
        <v>31</v>
      </c>
      <c r="C177" s="32">
        <v>29</v>
      </c>
      <c r="D177" s="32" t="s">
        <v>177</v>
      </c>
      <c r="E177" s="32" t="s">
        <v>178</v>
      </c>
      <c r="F177" s="54">
        <v>46223</v>
      </c>
      <c r="G177" s="54">
        <v>46224</v>
      </c>
      <c r="H177" s="55">
        <v>0.41666666666666669</v>
      </c>
      <c r="I177" s="55">
        <v>0.33333333333333331</v>
      </c>
      <c r="J177" s="32" t="s">
        <v>53</v>
      </c>
      <c r="K177" s="32" t="s">
        <v>179</v>
      </c>
      <c r="L177" s="32">
        <v>1</v>
      </c>
      <c r="M177" s="32" t="s">
        <v>1198</v>
      </c>
      <c r="P177" s="32" t="s">
        <v>182</v>
      </c>
      <c r="Q177" s="32" t="s">
        <v>371</v>
      </c>
      <c r="R177" s="32" t="s">
        <v>183</v>
      </c>
      <c r="S177" s="32" t="s">
        <v>184</v>
      </c>
      <c r="T177" s="32" t="s">
        <v>1199</v>
      </c>
      <c r="U177" s="32" t="s">
        <v>1200</v>
      </c>
      <c r="V177" s="32" t="s">
        <v>1201</v>
      </c>
      <c r="W177" s="32" t="s">
        <v>1202</v>
      </c>
      <c r="X177" s="32" t="s">
        <v>187</v>
      </c>
      <c r="Z177" s="32" t="s">
        <v>188</v>
      </c>
      <c r="AA177" s="32" t="s">
        <v>189</v>
      </c>
      <c r="AB177" s="32" t="s">
        <v>55</v>
      </c>
      <c r="AC177" s="32" t="s">
        <v>56</v>
      </c>
      <c r="AD177" s="32" t="s">
        <v>57</v>
      </c>
      <c r="AE177" s="32">
        <v>20513040718</v>
      </c>
      <c r="AF177" s="32" t="s">
        <v>1043</v>
      </c>
      <c r="AG177" s="32" t="s">
        <v>1044</v>
      </c>
      <c r="AH177" s="32" t="s">
        <v>193</v>
      </c>
      <c r="AI177" s="32" t="s">
        <v>1045</v>
      </c>
      <c r="AJ177" s="32" t="s">
        <v>1046</v>
      </c>
      <c r="AK177" s="32" t="s">
        <v>1203</v>
      </c>
      <c r="AL177" s="32" t="s">
        <v>491</v>
      </c>
      <c r="AM177" s="32" t="s">
        <v>278</v>
      </c>
      <c r="AN177" s="32" t="s">
        <v>278</v>
      </c>
      <c r="AO177" s="32" t="s">
        <v>491</v>
      </c>
      <c r="AP177" s="32" t="s">
        <v>491</v>
      </c>
      <c r="AQ177" s="32" t="s">
        <v>491</v>
      </c>
      <c r="AR177" s="32" t="s">
        <v>491</v>
      </c>
      <c r="AS177" s="32" t="s">
        <v>63</v>
      </c>
      <c r="AT177" s="32" t="s">
        <v>64</v>
      </c>
      <c r="AU177" s="56">
        <v>46223.5</v>
      </c>
      <c r="AV177" s="56">
        <v>46223.466666666667</v>
      </c>
      <c r="AW177" s="56">
        <v>46223.508333333331</v>
      </c>
      <c r="AX177" s="56">
        <v>46223.510416666664</v>
      </c>
      <c r="AY177" s="56">
        <v>46223.563194444447</v>
      </c>
      <c r="AZ177" s="56">
        <v>46223.708333333336</v>
      </c>
      <c r="BA177" s="56">
        <v>46224.395833333336</v>
      </c>
      <c r="BB177" s="56">
        <v>46224.399305555555</v>
      </c>
      <c r="BC177" s="56">
        <v>46224.402777777781</v>
      </c>
      <c r="BD177" s="56">
        <v>46224.406944444447</v>
      </c>
      <c r="BE177" s="56">
        <v>46224.402777777781</v>
      </c>
      <c r="BG177" s="56">
        <v>46224.597222222219</v>
      </c>
      <c r="BH177" s="56">
        <v>46224.697916666664</v>
      </c>
      <c r="BI177" s="32" t="s">
        <v>65</v>
      </c>
      <c r="BJ177" s="56">
        <v>46225.458333333336</v>
      </c>
      <c r="BK177" s="56">
        <v>46225.456944444442</v>
      </c>
      <c r="BL177" s="56">
        <v>46225.456944444442</v>
      </c>
      <c r="BM177" s="56">
        <v>46225.461111111108</v>
      </c>
      <c r="BN177" s="56">
        <v>46225.46875</v>
      </c>
    </row>
    <row r="178" spans="1:66" x14ac:dyDescent="0.35">
      <c r="A178" t="s">
        <v>176</v>
      </c>
      <c r="B178" s="32">
        <v>32</v>
      </c>
      <c r="C178" s="32">
        <v>29</v>
      </c>
      <c r="D178" s="32" t="s">
        <v>177</v>
      </c>
      <c r="E178" s="32" t="s">
        <v>178</v>
      </c>
      <c r="F178" s="54">
        <v>46223</v>
      </c>
      <c r="G178" s="54">
        <v>46224</v>
      </c>
      <c r="H178" s="55">
        <v>0.41666666666666669</v>
      </c>
      <c r="I178" s="55">
        <v>0.33333333333333331</v>
      </c>
      <c r="J178" s="32" t="s">
        <v>53</v>
      </c>
      <c r="K178" s="32" t="s">
        <v>179</v>
      </c>
      <c r="L178" s="32">
        <v>1</v>
      </c>
      <c r="M178" s="32" t="s">
        <v>1204</v>
      </c>
      <c r="P178" s="32" t="s">
        <v>182</v>
      </c>
      <c r="Q178" s="32" t="s">
        <v>371</v>
      </c>
      <c r="R178" s="32" t="s">
        <v>183</v>
      </c>
      <c r="S178" s="32" t="s">
        <v>184</v>
      </c>
      <c r="T178" s="32" t="s">
        <v>1205</v>
      </c>
      <c r="U178" s="32" t="s">
        <v>1206</v>
      </c>
      <c r="V178" s="32" t="s">
        <v>1207</v>
      </c>
      <c r="W178" s="32" t="s">
        <v>1208</v>
      </c>
      <c r="X178" s="32" t="s">
        <v>187</v>
      </c>
      <c r="Z178" s="32" t="s">
        <v>188</v>
      </c>
      <c r="AA178" s="32" t="s">
        <v>189</v>
      </c>
      <c r="AB178" s="32" t="s">
        <v>55</v>
      </c>
      <c r="AC178" s="32" t="s">
        <v>92</v>
      </c>
      <c r="AD178" s="32" t="s">
        <v>1125</v>
      </c>
      <c r="AE178" s="32">
        <v>20612886921</v>
      </c>
      <c r="AF178" s="32" t="s">
        <v>1209</v>
      </c>
      <c r="AG178" s="32" t="s">
        <v>1210</v>
      </c>
      <c r="AH178" s="32" t="s">
        <v>193</v>
      </c>
      <c r="AI178" s="32" t="s">
        <v>1211</v>
      </c>
      <c r="AJ178" s="32" t="s">
        <v>1212</v>
      </c>
      <c r="AK178" s="32" t="s">
        <v>1213</v>
      </c>
      <c r="AL178" s="32" t="s">
        <v>491</v>
      </c>
      <c r="AM178" s="32" t="s">
        <v>278</v>
      </c>
      <c r="AN178" s="32" t="s">
        <v>278</v>
      </c>
      <c r="AO178" s="32" t="s">
        <v>491</v>
      </c>
      <c r="AP178" s="32" t="s">
        <v>491</v>
      </c>
      <c r="AQ178" s="32" t="s">
        <v>491</v>
      </c>
      <c r="AR178" s="32" t="s">
        <v>491</v>
      </c>
      <c r="AS178" s="32" t="s">
        <v>63</v>
      </c>
      <c r="AT178" s="32" t="s">
        <v>64</v>
      </c>
      <c r="AU178" s="56">
        <v>46223.458333333336</v>
      </c>
      <c r="AV178" s="56">
        <v>46223.475694444445</v>
      </c>
      <c r="AW178" s="56">
        <v>46223.482638888891</v>
      </c>
      <c r="AX178" s="56">
        <v>46223.486111111109</v>
      </c>
      <c r="AY178" s="56">
        <v>46223.521527777775</v>
      </c>
      <c r="AZ178" s="56">
        <v>46223.701388888891</v>
      </c>
      <c r="BA178" s="56">
        <v>46224.265972222223</v>
      </c>
      <c r="BB178" s="56">
        <v>46224.267361111109</v>
      </c>
      <c r="BC178" s="56">
        <v>46224.270833333336</v>
      </c>
      <c r="BD178" s="56">
        <v>46224.275000000001</v>
      </c>
      <c r="BE178" s="56">
        <v>46224.597222222219</v>
      </c>
      <c r="BG178" s="56">
        <v>46224.673611111109</v>
      </c>
      <c r="BH178" s="56">
        <v>46224.697916666664</v>
      </c>
      <c r="BI178" s="32" t="s">
        <v>65</v>
      </c>
      <c r="BJ178" s="56">
        <v>46225.375</v>
      </c>
      <c r="BK178" s="56">
        <v>46225.384722222225</v>
      </c>
      <c r="BL178" s="56">
        <v>46225.397222222222</v>
      </c>
      <c r="BM178" s="56">
        <v>46225.399305555555</v>
      </c>
      <c r="BN178" s="56">
        <v>46225.411111111112</v>
      </c>
    </row>
    <row r="179" spans="1:66" x14ac:dyDescent="0.35">
      <c r="A179" t="s">
        <v>176</v>
      </c>
      <c r="B179" s="32">
        <v>33</v>
      </c>
      <c r="C179" s="32">
        <v>29</v>
      </c>
      <c r="D179" s="32" t="s">
        <v>368</v>
      </c>
      <c r="E179" s="32" t="s">
        <v>178</v>
      </c>
      <c r="F179" s="54">
        <v>46223</v>
      </c>
      <c r="G179" s="54">
        <v>46224</v>
      </c>
      <c r="H179" s="55">
        <v>0.41666666666666669</v>
      </c>
      <c r="I179" s="55">
        <v>0.33333333333333331</v>
      </c>
      <c r="J179" s="32" t="s">
        <v>369</v>
      </c>
      <c r="K179" s="32" t="s">
        <v>179</v>
      </c>
      <c r="L179" s="32">
        <v>1</v>
      </c>
      <c r="M179" s="32" t="s">
        <v>1214</v>
      </c>
      <c r="P179" s="32" t="s">
        <v>182</v>
      </c>
      <c r="Q179" s="32" t="s">
        <v>371</v>
      </c>
      <c r="R179" s="32" t="s">
        <v>183</v>
      </c>
      <c r="S179" s="32" t="s">
        <v>184</v>
      </c>
      <c r="T179" s="32" t="s">
        <v>1215</v>
      </c>
      <c r="U179" s="32" t="s">
        <v>1216</v>
      </c>
      <c r="V179" s="32" t="s">
        <v>1217</v>
      </c>
      <c r="W179" s="32" t="s">
        <v>1218</v>
      </c>
      <c r="X179" s="32" t="s">
        <v>187</v>
      </c>
      <c r="Z179" s="32" t="s">
        <v>188</v>
      </c>
      <c r="AA179" s="32" t="s">
        <v>189</v>
      </c>
      <c r="AB179" s="32" t="s">
        <v>55</v>
      </c>
      <c r="AC179" s="32" t="s">
        <v>92</v>
      </c>
      <c r="AD179" s="32" t="s">
        <v>1219</v>
      </c>
      <c r="AE179" s="32">
        <v>20482013423</v>
      </c>
      <c r="AF179" s="32" t="s">
        <v>1220</v>
      </c>
      <c r="AG179" s="32" t="s">
        <v>1221</v>
      </c>
      <c r="AH179" s="32" t="s">
        <v>193</v>
      </c>
      <c r="AI179" s="32" t="s">
        <v>1222</v>
      </c>
      <c r="AJ179" s="32" t="s">
        <v>1223</v>
      </c>
      <c r="AK179" s="32" t="s">
        <v>1224</v>
      </c>
      <c r="AL179" s="32" t="s">
        <v>491</v>
      </c>
      <c r="AM179" s="32" t="s">
        <v>278</v>
      </c>
      <c r="AN179" s="32" t="s">
        <v>278</v>
      </c>
      <c r="AO179" s="32" t="s">
        <v>491</v>
      </c>
      <c r="AP179" s="32" t="s">
        <v>491</v>
      </c>
      <c r="AQ179" s="32" t="s">
        <v>491</v>
      </c>
      <c r="AR179" s="32" t="s">
        <v>491</v>
      </c>
      <c r="AS179" s="32" t="s">
        <v>63</v>
      </c>
      <c r="AT179" s="32" t="s">
        <v>64</v>
      </c>
      <c r="AU179" s="56">
        <v>46223.458333333336</v>
      </c>
      <c r="AV179" s="56">
        <v>46223.484722222223</v>
      </c>
      <c r="AW179" s="56">
        <v>46223.489583333336</v>
      </c>
      <c r="AX179" s="56">
        <v>46223.493055555555</v>
      </c>
      <c r="AY179" s="56">
        <v>46223.523611111108</v>
      </c>
      <c r="AZ179" s="56">
        <v>46223.708333333336</v>
      </c>
      <c r="BA179" s="56">
        <v>46224.296527777777</v>
      </c>
      <c r="BB179" s="56">
        <v>46224.298611111109</v>
      </c>
      <c r="BC179" s="56">
        <v>46224.302083333336</v>
      </c>
      <c r="BD179" s="56">
        <v>46224.306250000001</v>
      </c>
      <c r="BE179" s="56">
        <v>46224.444444444445</v>
      </c>
      <c r="BG179" s="56">
        <v>46224.493055555555</v>
      </c>
      <c r="BH179" s="56">
        <v>46224.519444444442</v>
      </c>
      <c r="BI179" s="32" t="s">
        <v>65</v>
      </c>
      <c r="BJ179" s="56">
        <v>46224.708333333336</v>
      </c>
      <c r="BK179" s="56">
        <v>46224.740277777775</v>
      </c>
      <c r="BL179" s="56">
        <v>46224.746527777781</v>
      </c>
      <c r="BM179" s="56">
        <v>46224.748611111114</v>
      </c>
      <c r="BN179" s="56">
        <v>46224.753472222219</v>
      </c>
    </row>
    <row r="180" spans="1:66" x14ac:dyDescent="0.35">
      <c r="A180" t="s">
        <v>176</v>
      </c>
      <c r="B180" s="32">
        <v>34</v>
      </c>
      <c r="C180" s="32">
        <v>30</v>
      </c>
      <c r="D180" s="32" t="s">
        <v>368</v>
      </c>
      <c r="E180" s="32" t="s">
        <v>178</v>
      </c>
      <c r="F180" s="54">
        <v>46224</v>
      </c>
      <c r="G180" s="54">
        <v>46225</v>
      </c>
      <c r="H180" s="55">
        <v>0.58333333333333337</v>
      </c>
      <c r="I180" s="55">
        <v>0.5</v>
      </c>
      <c r="J180" s="32" t="s">
        <v>369</v>
      </c>
      <c r="K180" s="32" t="s">
        <v>179</v>
      </c>
      <c r="L180" s="32">
        <v>1</v>
      </c>
      <c r="M180" s="32" t="s">
        <v>1225</v>
      </c>
      <c r="P180" s="32" t="s">
        <v>182</v>
      </c>
      <c r="Q180" s="32" t="s">
        <v>371</v>
      </c>
      <c r="R180" s="32" t="s">
        <v>183</v>
      </c>
      <c r="S180" s="32" t="s">
        <v>460</v>
      </c>
      <c r="T180" s="32" t="s">
        <v>1226</v>
      </c>
      <c r="U180" s="32" t="s">
        <v>1227</v>
      </c>
      <c r="V180" s="32" t="s">
        <v>1228</v>
      </c>
      <c r="W180" s="32" t="s">
        <v>1229</v>
      </c>
      <c r="X180" s="32" t="s">
        <v>187</v>
      </c>
      <c r="Z180" s="32" t="s">
        <v>188</v>
      </c>
      <c r="AA180" s="32" t="s">
        <v>189</v>
      </c>
      <c r="AB180" s="32" t="s">
        <v>55</v>
      </c>
      <c r="AC180" s="32" t="s">
        <v>56</v>
      </c>
      <c r="AD180" s="32" t="s">
        <v>57</v>
      </c>
      <c r="AE180" s="32">
        <v>20513040718</v>
      </c>
      <c r="AF180" s="32" t="s">
        <v>1000</v>
      </c>
      <c r="AG180" s="32" t="s">
        <v>1001</v>
      </c>
      <c r="AH180" s="32" t="s">
        <v>193</v>
      </c>
      <c r="AI180" s="32" t="s">
        <v>69</v>
      </c>
      <c r="AJ180" s="32" t="s">
        <v>70</v>
      </c>
      <c r="AK180" s="32" t="s">
        <v>1230</v>
      </c>
      <c r="AL180" s="32" t="s">
        <v>491</v>
      </c>
      <c r="AM180" s="32" t="s">
        <v>278</v>
      </c>
      <c r="AN180" s="32" t="s">
        <v>278</v>
      </c>
      <c r="AO180" s="32" t="s">
        <v>491</v>
      </c>
      <c r="AP180" s="32" t="s">
        <v>491</v>
      </c>
      <c r="AQ180" s="32" t="s">
        <v>491</v>
      </c>
      <c r="AR180" s="32" t="s">
        <v>491</v>
      </c>
      <c r="AS180" s="32" t="s">
        <v>63</v>
      </c>
      <c r="AT180" s="32" t="s">
        <v>64</v>
      </c>
      <c r="AU180" s="56">
        <v>46224.5</v>
      </c>
      <c r="AV180" s="56">
        <v>46224.481249999997</v>
      </c>
      <c r="AW180" s="56">
        <v>46224.5</v>
      </c>
      <c r="AX180" s="56">
        <v>46224.503472222219</v>
      </c>
      <c r="AY180" s="56">
        <v>46224.664583333331</v>
      </c>
      <c r="AZ180" s="56">
        <v>46224.75</v>
      </c>
      <c r="BA180" s="56">
        <v>46225.385416666664</v>
      </c>
      <c r="BB180" s="56">
        <v>46225.388888888891</v>
      </c>
      <c r="BC180" s="56">
        <v>46225.392361111109</v>
      </c>
      <c r="BD180" s="56">
        <v>46225.396527777775</v>
      </c>
      <c r="BE180" s="56">
        <v>46225.652777777781</v>
      </c>
      <c r="BG180" s="56">
        <v>46225.6875</v>
      </c>
      <c r="BH180" s="56">
        <v>46225.711805555555</v>
      </c>
      <c r="BI180" s="32" t="s">
        <v>65</v>
      </c>
      <c r="BJ180" s="56">
        <v>46225.916666666664</v>
      </c>
      <c r="BK180" s="56">
        <v>46225.922222222223</v>
      </c>
      <c r="BL180" s="56">
        <v>46225.927083333336</v>
      </c>
      <c r="BM180" s="56">
        <v>46225.929166666669</v>
      </c>
      <c r="BN180" s="56">
        <v>46225.93472222222</v>
      </c>
    </row>
    <row r="181" spans="1:66" x14ac:dyDescent="0.35">
      <c r="A181" t="s">
        <v>176</v>
      </c>
      <c r="B181" s="32">
        <v>35</v>
      </c>
      <c r="C181" s="32">
        <v>30</v>
      </c>
      <c r="D181" s="32" t="s">
        <v>177</v>
      </c>
      <c r="E181" s="32" t="s">
        <v>178</v>
      </c>
      <c r="F181" s="54">
        <v>46226</v>
      </c>
      <c r="G181" s="54">
        <v>46227</v>
      </c>
      <c r="H181" s="55">
        <v>0.41666666666666669</v>
      </c>
      <c r="I181" s="55">
        <v>0.33333333333333331</v>
      </c>
      <c r="J181" s="32" t="s">
        <v>53</v>
      </c>
      <c r="K181" s="32" t="s">
        <v>179</v>
      </c>
      <c r="L181" s="32">
        <v>1</v>
      </c>
      <c r="M181" s="32" t="s">
        <v>1231</v>
      </c>
      <c r="P181" s="32" t="s">
        <v>182</v>
      </c>
      <c r="Q181" s="32" t="s">
        <v>371</v>
      </c>
      <c r="R181" s="32" t="s">
        <v>382</v>
      </c>
      <c r="S181" s="32" t="s">
        <v>383</v>
      </c>
      <c r="T181" s="32" t="s">
        <v>1232</v>
      </c>
      <c r="U181" s="32" t="s">
        <v>1233</v>
      </c>
      <c r="V181" s="32" t="s">
        <v>1234</v>
      </c>
      <c r="W181" s="32" t="s">
        <v>1235</v>
      </c>
      <c r="X181" s="32" t="s">
        <v>188</v>
      </c>
      <c r="Z181" s="32" t="s">
        <v>188</v>
      </c>
      <c r="AA181" s="32" t="s">
        <v>189</v>
      </c>
      <c r="AB181" s="32" t="s">
        <v>55</v>
      </c>
      <c r="AC181" s="32" t="s">
        <v>56</v>
      </c>
      <c r="AD181" s="32" t="s">
        <v>57</v>
      </c>
      <c r="AE181" s="32">
        <v>20513040718</v>
      </c>
      <c r="AF181" s="32" t="s">
        <v>67</v>
      </c>
      <c r="AG181" s="32" t="s">
        <v>68</v>
      </c>
      <c r="AH181" s="32" t="s">
        <v>193</v>
      </c>
      <c r="AI181" s="32" t="s">
        <v>73</v>
      </c>
      <c r="AJ181" s="32" t="s">
        <v>74</v>
      </c>
      <c r="AK181" s="32" t="s">
        <v>1236</v>
      </c>
      <c r="AL181" s="32" t="s">
        <v>491</v>
      </c>
      <c r="AM181" s="32" t="s">
        <v>278</v>
      </c>
      <c r="AN181" s="32" t="s">
        <v>278</v>
      </c>
      <c r="AO181" s="32" t="s">
        <v>491</v>
      </c>
      <c r="AP181" s="32" t="s">
        <v>491</v>
      </c>
      <c r="AQ181" s="32" t="s">
        <v>491</v>
      </c>
      <c r="AR181" s="32" t="s">
        <v>491</v>
      </c>
      <c r="AS181" s="32" t="s">
        <v>63</v>
      </c>
      <c r="AT181" s="32" t="s">
        <v>388</v>
      </c>
      <c r="AU181" s="56">
        <v>46226.458333333336</v>
      </c>
      <c r="AV181" s="56">
        <v>46226.468055555553</v>
      </c>
      <c r="AW181" s="56">
        <v>46226.474999999999</v>
      </c>
      <c r="AX181" s="56">
        <v>46226.481944444444</v>
      </c>
      <c r="AY181" s="56">
        <v>46226.56527777778</v>
      </c>
      <c r="AZ181" s="56">
        <v>46226.606944444444</v>
      </c>
      <c r="BA181" s="56">
        <v>46227.341666666667</v>
      </c>
      <c r="BB181" s="56">
        <v>46227.348611111112</v>
      </c>
      <c r="BC181" s="56">
        <v>46227.368055555555</v>
      </c>
      <c r="BD181" s="56">
        <v>46227.37222222222</v>
      </c>
      <c r="BE181" s="56">
        <v>46227.409722222219</v>
      </c>
      <c r="BG181" s="56">
        <v>46227.567361111112</v>
      </c>
      <c r="BH181" s="56">
        <v>46227.574305555558</v>
      </c>
      <c r="BI181" s="32" t="s">
        <v>65</v>
      </c>
      <c r="BJ181" s="56">
        <v>46228.375</v>
      </c>
      <c r="BK181" s="56">
        <v>46228.410416666666</v>
      </c>
      <c r="BL181" s="56">
        <v>46228.416666666664</v>
      </c>
      <c r="BM181" s="56">
        <v>46228.418055555558</v>
      </c>
      <c r="BN181" s="56">
        <v>46228.425694444442</v>
      </c>
    </row>
    <row r="182" spans="1:66" x14ac:dyDescent="0.35">
      <c r="A182" t="s">
        <v>176</v>
      </c>
      <c r="B182" s="32">
        <v>36</v>
      </c>
      <c r="C182" s="32">
        <v>30</v>
      </c>
      <c r="D182" s="32" t="s">
        <v>177</v>
      </c>
      <c r="E182" s="32" t="s">
        <v>178</v>
      </c>
      <c r="F182" s="54">
        <v>46227</v>
      </c>
      <c r="G182" s="54">
        <v>46228</v>
      </c>
      <c r="H182" s="55">
        <v>0.41666666666666669</v>
      </c>
      <c r="I182" s="55">
        <v>0.33333333333333331</v>
      </c>
      <c r="J182" s="32" t="s">
        <v>53</v>
      </c>
      <c r="K182" s="32" t="s">
        <v>179</v>
      </c>
      <c r="L182" s="32">
        <v>1</v>
      </c>
      <c r="M182" s="32" t="s">
        <v>1237</v>
      </c>
      <c r="P182" s="32" t="s">
        <v>182</v>
      </c>
      <c r="Q182" s="32" t="s">
        <v>371</v>
      </c>
      <c r="R182" s="32" t="s">
        <v>183</v>
      </c>
      <c r="S182" s="32" t="s">
        <v>184</v>
      </c>
      <c r="T182" s="32" t="s">
        <v>1238</v>
      </c>
      <c r="U182" s="32" t="s">
        <v>1239</v>
      </c>
      <c r="V182" s="32" t="s">
        <v>1240</v>
      </c>
      <c r="W182" s="32" t="s">
        <v>1241</v>
      </c>
      <c r="X182" s="32" t="s">
        <v>187</v>
      </c>
      <c r="Z182" s="32" t="s">
        <v>188</v>
      </c>
      <c r="AA182" s="32" t="s">
        <v>189</v>
      </c>
      <c r="AB182" s="32" t="s">
        <v>55</v>
      </c>
      <c r="AC182" s="32" t="s">
        <v>56</v>
      </c>
      <c r="AD182" s="32" t="s">
        <v>57</v>
      </c>
      <c r="AE182" s="32">
        <v>20513040718</v>
      </c>
      <c r="AF182" s="32" t="s">
        <v>1242</v>
      </c>
      <c r="AG182" s="32" t="s">
        <v>1243</v>
      </c>
      <c r="AH182" s="32" t="s">
        <v>193</v>
      </c>
      <c r="AI182" s="32" t="s">
        <v>1244</v>
      </c>
      <c r="AJ182" s="32" t="s">
        <v>1245</v>
      </c>
      <c r="AK182" s="32" t="s">
        <v>1246</v>
      </c>
      <c r="AL182" s="32" t="s">
        <v>491</v>
      </c>
      <c r="AM182" s="32" t="s">
        <v>278</v>
      </c>
      <c r="AN182" s="32" t="s">
        <v>278</v>
      </c>
      <c r="AO182" s="32" t="s">
        <v>491</v>
      </c>
      <c r="AP182" s="32" t="s">
        <v>491</v>
      </c>
      <c r="AQ182" s="32" t="s">
        <v>491</v>
      </c>
      <c r="AR182" s="32" t="s">
        <v>491</v>
      </c>
      <c r="AS182" s="32" t="s">
        <v>63</v>
      </c>
      <c r="AT182" s="32" t="s">
        <v>64</v>
      </c>
      <c r="AU182" s="56">
        <v>46227.458333333336</v>
      </c>
      <c r="AV182" s="56">
        <v>46227.489583333336</v>
      </c>
      <c r="AW182" s="56">
        <v>46227.513194444444</v>
      </c>
      <c r="AX182" s="56">
        <v>46227.520138888889</v>
      </c>
      <c r="AY182" s="56">
        <v>46227.646527777775</v>
      </c>
      <c r="AZ182" s="56">
        <v>46227.688194444447</v>
      </c>
      <c r="BA182" s="56">
        <v>46228.583333333336</v>
      </c>
      <c r="BB182" s="56">
        <v>46228.590277777781</v>
      </c>
      <c r="BC182" s="56">
        <v>46228.611111111109</v>
      </c>
      <c r="BD182" s="56">
        <v>46228.615277777775</v>
      </c>
      <c r="BE182" s="56">
        <v>46228.652777777781</v>
      </c>
      <c r="BG182" s="56">
        <v>46228.71597222222</v>
      </c>
      <c r="BH182" s="56">
        <v>46228.722916666666</v>
      </c>
      <c r="BI182" s="32" t="s">
        <v>65</v>
      </c>
      <c r="BJ182" s="56">
        <v>46229.416666666664</v>
      </c>
      <c r="BK182" s="56">
        <v>46229.442361111112</v>
      </c>
      <c r="BL182" s="56">
        <v>46229.445833333331</v>
      </c>
      <c r="BM182" s="56">
        <v>46229.448611111111</v>
      </c>
      <c r="BN182" s="56">
        <v>46229.456944444442</v>
      </c>
    </row>
    <row r="183" spans="1:66" x14ac:dyDescent="0.35">
      <c r="A183" t="s">
        <v>176</v>
      </c>
      <c r="B183" s="32">
        <v>37</v>
      </c>
      <c r="C183" s="32">
        <v>30</v>
      </c>
      <c r="D183" s="32" t="s">
        <v>177</v>
      </c>
      <c r="E183" s="32" t="s">
        <v>178</v>
      </c>
      <c r="F183" s="54">
        <v>46227</v>
      </c>
      <c r="G183" s="54">
        <v>46228</v>
      </c>
      <c r="H183" s="55">
        <v>0.41666666666666669</v>
      </c>
      <c r="I183" s="55">
        <v>0.33333333333333331</v>
      </c>
      <c r="J183" s="32" t="s">
        <v>53</v>
      </c>
      <c r="K183" s="32" t="s">
        <v>179</v>
      </c>
      <c r="L183" s="32">
        <v>1</v>
      </c>
      <c r="M183" s="32" t="s">
        <v>1247</v>
      </c>
      <c r="P183" s="32" t="s">
        <v>182</v>
      </c>
      <c r="Q183" s="32" t="s">
        <v>371</v>
      </c>
      <c r="R183" s="32" t="s">
        <v>183</v>
      </c>
      <c r="S183" s="32" t="s">
        <v>184</v>
      </c>
      <c r="T183" s="32" t="s">
        <v>1248</v>
      </c>
      <c r="U183" s="32" t="s">
        <v>1249</v>
      </c>
      <c r="V183" s="32" t="s">
        <v>1250</v>
      </c>
      <c r="W183" s="32" t="s">
        <v>1251</v>
      </c>
      <c r="X183" s="32" t="s">
        <v>187</v>
      </c>
      <c r="Z183" s="32" t="s">
        <v>188</v>
      </c>
      <c r="AA183" s="32" t="s">
        <v>189</v>
      </c>
      <c r="AB183" s="32" t="s">
        <v>55</v>
      </c>
      <c r="AC183" s="32" t="s">
        <v>56</v>
      </c>
      <c r="AD183" s="32" t="s">
        <v>57</v>
      </c>
      <c r="AE183" s="32">
        <v>20513040718</v>
      </c>
      <c r="AF183" s="32" t="s">
        <v>1252</v>
      </c>
      <c r="AG183" s="32" t="s">
        <v>1253</v>
      </c>
      <c r="AH183" s="32" t="s">
        <v>193</v>
      </c>
      <c r="AI183" s="32" t="s">
        <v>1254</v>
      </c>
      <c r="AJ183" s="32" t="s">
        <v>1255</v>
      </c>
      <c r="AK183" s="32" t="s">
        <v>1256</v>
      </c>
      <c r="AL183" s="32" t="s">
        <v>491</v>
      </c>
      <c r="AM183" s="32" t="s">
        <v>278</v>
      </c>
      <c r="AN183" s="32" t="s">
        <v>278</v>
      </c>
      <c r="AO183" s="32" t="s">
        <v>491</v>
      </c>
      <c r="AP183" s="32" t="s">
        <v>491</v>
      </c>
      <c r="AQ183" s="32" t="s">
        <v>491</v>
      </c>
      <c r="AR183" s="32" t="s">
        <v>491</v>
      </c>
      <c r="AS183" s="32" t="s">
        <v>63</v>
      </c>
      <c r="AT183" s="32" t="s">
        <v>64</v>
      </c>
      <c r="AU183" s="56">
        <v>46227.458333333336</v>
      </c>
      <c r="AV183" s="56">
        <v>46227.47152777778</v>
      </c>
      <c r="AW183" s="56">
        <v>46227.484722222223</v>
      </c>
      <c r="AX183" s="56">
        <v>46227.491666666669</v>
      </c>
      <c r="AY183" s="56">
        <v>46227.581250000003</v>
      </c>
      <c r="AZ183" s="56">
        <v>46227.622916666667</v>
      </c>
      <c r="BA183" s="56">
        <v>46228.570833333331</v>
      </c>
      <c r="BB183" s="56">
        <v>46228.577777777777</v>
      </c>
      <c r="BC183" s="56">
        <v>46228.597222222219</v>
      </c>
      <c r="BD183" s="56">
        <v>46228.601388888892</v>
      </c>
      <c r="BE183" s="56">
        <v>46228.638888888891</v>
      </c>
      <c r="BG183" s="56">
        <v>46228.708333333336</v>
      </c>
      <c r="BH183" s="56">
        <v>46228.713194444441</v>
      </c>
      <c r="BI183" s="32" t="s">
        <v>65</v>
      </c>
      <c r="BJ183" s="56">
        <v>46229.416666666664</v>
      </c>
      <c r="BK183" s="56">
        <v>46229.452777777777</v>
      </c>
      <c r="BL183" s="56">
        <v>46229.456250000003</v>
      </c>
      <c r="BM183" s="56">
        <v>46229.458333333336</v>
      </c>
      <c r="BN183" s="56">
        <v>46229.463194444441</v>
      </c>
    </row>
    <row r="184" spans="1:66" x14ac:dyDescent="0.35">
      <c r="A184" t="s">
        <v>176</v>
      </c>
      <c r="B184" s="32">
        <v>38</v>
      </c>
      <c r="C184" s="32">
        <v>30</v>
      </c>
      <c r="D184" s="32" t="s">
        <v>177</v>
      </c>
      <c r="E184" s="32" t="s">
        <v>178</v>
      </c>
      <c r="F184" s="54">
        <v>46227</v>
      </c>
      <c r="G184" s="54">
        <v>46228</v>
      </c>
      <c r="H184" s="55">
        <v>0.41666666666666669</v>
      </c>
      <c r="I184" s="55">
        <v>0.33333333333333331</v>
      </c>
      <c r="J184" s="32" t="s">
        <v>53</v>
      </c>
      <c r="K184" s="32" t="s">
        <v>179</v>
      </c>
      <c r="L184" s="32">
        <v>1</v>
      </c>
      <c r="M184" s="32" t="s">
        <v>1257</v>
      </c>
      <c r="P184" s="32" t="s">
        <v>182</v>
      </c>
      <c r="Q184" s="32" t="s">
        <v>371</v>
      </c>
      <c r="R184" s="32" t="s">
        <v>556</v>
      </c>
      <c r="S184" s="32" t="s">
        <v>631</v>
      </c>
      <c r="T184" s="32" t="s">
        <v>1258</v>
      </c>
      <c r="U184" s="32" t="s">
        <v>1259</v>
      </c>
      <c r="V184" s="32" t="s">
        <v>1260</v>
      </c>
      <c r="W184" s="32" t="s">
        <v>1261</v>
      </c>
      <c r="X184" s="32" t="s">
        <v>187</v>
      </c>
      <c r="Z184" s="32" t="s">
        <v>188</v>
      </c>
      <c r="AA184" s="32" t="s">
        <v>189</v>
      </c>
      <c r="AB184" s="32" t="s">
        <v>55</v>
      </c>
      <c r="AC184" s="32" t="s">
        <v>92</v>
      </c>
      <c r="AD184" s="32" t="s">
        <v>1125</v>
      </c>
      <c r="AE184" s="32">
        <v>20612886921</v>
      </c>
      <c r="AF184" s="32" t="s">
        <v>1126</v>
      </c>
      <c r="AG184" s="32" t="s">
        <v>1127</v>
      </c>
      <c r="AH184" s="32" t="s">
        <v>193</v>
      </c>
      <c r="AI184" s="32" t="s">
        <v>1128</v>
      </c>
      <c r="AJ184" s="32" t="s">
        <v>1129</v>
      </c>
      <c r="AK184" s="32" t="s">
        <v>1262</v>
      </c>
      <c r="AL184" s="32" t="s">
        <v>491</v>
      </c>
      <c r="AM184" s="32" t="s">
        <v>278</v>
      </c>
      <c r="AN184" s="32" t="s">
        <v>278</v>
      </c>
      <c r="AO184" s="32" t="s">
        <v>491</v>
      </c>
      <c r="AP184" s="32" t="s">
        <v>491</v>
      </c>
      <c r="AQ184" s="32" t="s">
        <v>491</v>
      </c>
      <c r="AR184" s="32" t="s">
        <v>491</v>
      </c>
      <c r="AS184" s="32" t="s">
        <v>63</v>
      </c>
      <c r="AT184" s="32" t="s">
        <v>64</v>
      </c>
      <c r="AU184" s="56">
        <v>46228.458333333336</v>
      </c>
      <c r="AV184" s="56">
        <v>46228.463888888888</v>
      </c>
      <c r="AW184" s="56">
        <v>46228.46875</v>
      </c>
      <c r="AX184" s="56">
        <v>46228.475694444445</v>
      </c>
      <c r="AY184" s="56">
        <v>46228.621527777781</v>
      </c>
      <c r="AZ184" s="56">
        <v>46228.663194444445</v>
      </c>
      <c r="BA184" s="56">
        <v>46229.315972222219</v>
      </c>
      <c r="BB184" s="56">
        <v>46229.322916666664</v>
      </c>
      <c r="BC184" s="56">
        <v>46229.340277777781</v>
      </c>
      <c r="BD184" s="56">
        <v>46229.344444444447</v>
      </c>
      <c r="BE184" s="56">
        <v>46229.381944444445</v>
      </c>
      <c r="BG184" s="56">
        <v>46229.736805555556</v>
      </c>
      <c r="BH184" s="56">
        <v>46229.729861111111</v>
      </c>
      <c r="BI184" s="32" t="s">
        <v>65</v>
      </c>
      <c r="BJ184" s="56">
        <v>46230.375</v>
      </c>
      <c r="BK184" s="56">
        <v>46230.404861111114</v>
      </c>
      <c r="BL184" s="56">
        <v>46230.413194444445</v>
      </c>
      <c r="BM184" s="56">
        <v>46230.416666666664</v>
      </c>
      <c r="BN184" s="56">
        <v>46230.42083333333</v>
      </c>
    </row>
    <row r="185" spans="1:66" x14ac:dyDescent="0.35">
      <c r="A185" t="s">
        <v>176</v>
      </c>
      <c r="B185" s="32">
        <v>39</v>
      </c>
      <c r="C185" s="32">
        <v>30</v>
      </c>
      <c r="D185" s="32" t="s">
        <v>177</v>
      </c>
      <c r="E185" s="32" t="s">
        <v>178</v>
      </c>
      <c r="F185" s="54">
        <v>46227</v>
      </c>
      <c r="G185" s="54">
        <v>46228</v>
      </c>
      <c r="H185" s="55">
        <v>0.41666666666666669</v>
      </c>
      <c r="I185" s="55">
        <v>0.33333333333333331</v>
      </c>
      <c r="J185" s="32" t="s">
        <v>53</v>
      </c>
      <c r="K185" s="32" t="s">
        <v>179</v>
      </c>
      <c r="L185" s="32">
        <v>1</v>
      </c>
      <c r="M185" s="32" t="s">
        <v>1263</v>
      </c>
      <c r="P185" s="32" t="s">
        <v>182</v>
      </c>
      <c r="Q185" s="32" t="s">
        <v>371</v>
      </c>
      <c r="R185" s="32" t="s">
        <v>556</v>
      </c>
      <c r="S185" s="32" t="s">
        <v>631</v>
      </c>
      <c r="T185" s="32" t="s">
        <v>1264</v>
      </c>
      <c r="U185" s="32" t="s">
        <v>1265</v>
      </c>
      <c r="V185" s="32" t="s">
        <v>1266</v>
      </c>
      <c r="W185" s="32" t="s">
        <v>1267</v>
      </c>
      <c r="X185" s="32" t="s">
        <v>187</v>
      </c>
      <c r="Z185" s="32" t="s">
        <v>188</v>
      </c>
      <c r="AA185" s="32" t="s">
        <v>189</v>
      </c>
      <c r="AB185" s="32" t="s">
        <v>55</v>
      </c>
      <c r="AC185" s="32" t="s">
        <v>92</v>
      </c>
      <c r="AD185" s="32" t="s">
        <v>1268</v>
      </c>
      <c r="AE185" s="32">
        <v>20611958651</v>
      </c>
      <c r="AF185" s="32" t="s">
        <v>1269</v>
      </c>
      <c r="AG185" s="32" t="s">
        <v>1270</v>
      </c>
      <c r="AH185" s="32" t="s">
        <v>193</v>
      </c>
      <c r="AI185" s="32" t="s">
        <v>1271</v>
      </c>
      <c r="AJ185" s="32" t="s">
        <v>1272</v>
      </c>
      <c r="AK185" s="32" t="s">
        <v>1273</v>
      </c>
      <c r="AL185" s="32" t="s">
        <v>491</v>
      </c>
      <c r="AM185" s="32" t="s">
        <v>278</v>
      </c>
      <c r="AN185" s="32" t="s">
        <v>278</v>
      </c>
      <c r="AO185" s="32" t="s">
        <v>491</v>
      </c>
      <c r="AP185" s="32" t="s">
        <v>491</v>
      </c>
      <c r="AQ185" s="32" t="s">
        <v>491</v>
      </c>
      <c r="AR185" s="32" t="s">
        <v>491</v>
      </c>
      <c r="AS185" s="32" t="s">
        <v>63</v>
      </c>
      <c r="AT185" s="32" t="s">
        <v>64</v>
      </c>
      <c r="AU185" s="56">
        <v>46228.458333333336</v>
      </c>
      <c r="AV185" s="56">
        <v>46228.458333333336</v>
      </c>
      <c r="AW185" s="56">
        <v>46228.493750000001</v>
      </c>
      <c r="AX185" s="56">
        <v>46228.5</v>
      </c>
      <c r="AY185" s="56">
        <v>46228.529861111114</v>
      </c>
      <c r="AZ185" s="56">
        <v>46228.571527777778</v>
      </c>
      <c r="BA185" s="56">
        <v>46229.524305555555</v>
      </c>
      <c r="BB185" s="56">
        <v>46229.53125</v>
      </c>
      <c r="BC185" s="56">
        <v>46229.548611111109</v>
      </c>
      <c r="BD185" s="56">
        <v>46229.552777777775</v>
      </c>
      <c r="BE185" s="56">
        <v>46229.590277777781</v>
      </c>
      <c r="BG185" s="56">
        <v>46229.743055555555</v>
      </c>
      <c r="BH185" s="56">
        <v>46229.736111111109</v>
      </c>
      <c r="BI185" s="32" t="s">
        <v>65</v>
      </c>
      <c r="BJ185" s="56">
        <v>46230.375</v>
      </c>
      <c r="BK185" s="56">
        <v>46230.382638888892</v>
      </c>
      <c r="BL185" s="56">
        <v>46230.38958333333</v>
      </c>
      <c r="BM185" s="56">
        <v>46230.396527777775</v>
      </c>
      <c r="BN185" s="56">
        <v>46230.414583333331</v>
      </c>
    </row>
    <row r="186" spans="1:66" x14ac:dyDescent="0.35">
      <c r="A186" t="s">
        <v>176</v>
      </c>
      <c r="B186" s="32">
        <v>40</v>
      </c>
      <c r="C186" s="32">
        <v>30</v>
      </c>
      <c r="D186" s="32" t="s">
        <v>177</v>
      </c>
      <c r="E186" s="32" t="s">
        <v>178</v>
      </c>
      <c r="F186" s="54">
        <v>46227</v>
      </c>
      <c r="G186" s="54">
        <v>46228</v>
      </c>
      <c r="H186" s="55">
        <v>0.41666666666666669</v>
      </c>
      <c r="I186" s="55">
        <v>0.33333333333333331</v>
      </c>
      <c r="J186" s="32" t="s">
        <v>53</v>
      </c>
      <c r="K186" s="32" t="s">
        <v>179</v>
      </c>
      <c r="L186" s="32">
        <v>1</v>
      </c>
      <c r="M186" s="32" t="s">
        <v>1274</v>
      </c>
      <c r="P186" s="32" t="s">
        <v>182</v>
      </c>
      <c r="Q186" s="32" t="s">
        <v>371</v>
      </c>
      <c r="R186" s="32" t="s">
        <v>183</v>
      </c>
      <c r="S186" s="32" t="s">
        <v>184</v>
      </c>
      <c r="T186" s="32" t="s">
        <v>1275</v>
      </c>
      <c r="U186" s="32" t="s">
        <v>1276</v>
      </c>
      <c r="V186" s="32" t="s">
        <v>1277</v>
      </c>
      <c r="W186" s="32" t="s">
        <v>1278</v>
      </c>
      <c r="X186" s="32" t="s">
        <v>187</v>
      </c>
      <c r="Z186" s="32" t="s">
        <v>188</v>
      </c>
      <c r="AA186" s="32" t="s">
        <v>189</v>
      </c>
      <c r="AB186" s="32" t="s">
        <v>55</v>
      </c>
      <c r="AC186" s="32" t="s">
        <v>56</v>
      </c>
      <c r="AD186" s="32" t="s">
        <v>57</v>
      </c>
      <c r="AE186" s="32">
        <v>20513040718</v>
      </c>
      <c r="AF186" s="32" t="s">
        <v>673</v>
      </c>
      <c r="AG186" s="32" t="s">
        <v>674</v>
      </c>
      <c r="AH186" s="32" t="s">
        <v>193</v>
      </c>
      <c r="AI186" s="32" t="s">
        <v>1095</v>
      </c>
      <c r="AJ186" s="32" t="s">
        <v>1096</v>
      </c>
      <c r="AK186" s="32" t="s">
        <v>1279</v>
      </c>
      <c r="AL186" s="32" t="s">
        <v>491</v>
      </c>
      <c r="AM186" s="32" t="s">
        <v>278</v>
      </c>
      <c r="AN186" s="32" t="s">
        <v>278</v>
      </c>
      <c r="AO186" s="32" t="s">
        <v>491</v>
      </c>
      <c r="AP186" s="32" t="s">
        <v>491</v>
      </c>
      <c r="AQ186" s="32" t="s">
        <v>491</v>
      </c>
      <c r="AR186" s="32" t="s">
        <v>491</v>
      </c>
      <c r="AS186" s="32" t="s">
        <v>63</v>
      </c>
      <c r="AT186" s="32" t="s">
        <v>64</v>
      </c>
      <c r="AU186" s="56">
        <v>46227.458333333336</v>
      </c>
      <c r="AV186" s="56">
        <v>46227.475694444445</v>
      </c>
      <c r="AW186" s="56">
        <v>46227.481249999997</v>
      </c>
      <c r="AX186" s="56">
        <v>46227.488194444442</v>
      </c>
      <c r="AY186" s="56">
        <v>46227.591666666667</v>
      </c>
      <c r="AZ186" s="56">
        <v>46227.633333333331</v>
      </c>
      <c r="BA186" s="56">
        <v>46228.366666666669</v>
      </c>
      <c r="BB186" s="56">
        <v>46228.373611111114</v>
      </c>
      <c r="BC186" s="56">
        <v>46228.388888888891</v>
      </c>
      <c r="BD186" s="56">
        <v>46228.393055555556</v>
      </c>
      <c r="BE186" s="56">
        <v>46228.430555555555</v>
      </c>
      <c r="BG186" s="56">
        <v>46228.708333333336</v>
      </c>
      <c r="BH186" s="56">
        <v>46228.71875</v>
      </c>
      <c r="BI186" s="32" t="s">
        <v>65</v>
      </c>
      <c r="BJ186" s="56">
        <v>46229.416666666664</v>
      </c>
      <c r="BK186" s="56">
        <v>46229.427777777775</v>
      </c>
      <c r="BL186" s="56">
        <v>46229.432638888888</v>
      </c>
      <c r="BM186" s="56">
        <v>46229.4375</v>
      </c>
      <c r="BN186" s="56">
        <v>46229.438888888886</v>
      </c>
    </row>
    <row r="187" spans="1:66" x14ac:dyDescent="0.35">
      <c r="A187" t="s">
        <v>176</v>
      </c>
      <c r="B187" s="32">
        <v>41</v>
      </c>
      <c r="C187" s="32">
        <v>30</v>
      </c>
      <c r="D187" s="32" t="s">
        <v>368</v>
      </c>
      <c r="E187" s="32" t="s">
        <v>178</v>
      </c>
      <c r="F187" s="54">
        <v>46227</v>
      </c>
      <c r="G187" s="54">
        <v>46228</v>
      </c>
      <c r="H187" s="55">
        <v>0.41666666666666669</v>
      </c>
      <c r="I187" s="55">
        <v>0.33333333333333331</v>
      </c>
      <c r="J187" s="32" t="s">
        <v>369</v>
      </c>
      <c r="K187" s="32" t="s">
        <v>179</v>
      </c>
      <c r="L187" s="32">
        <v>1</v>
      </c>
      <c r="M187" s="32" t="s">
        <v>1280</v>
      </c>
      <c r="P187" s="32" t="s">
        <v>182</v>
      </c>
      <c r="Q187" s="32" t="s">
        <v>371</v>
      </c>
      <c r="R187" s="32" t="s">
        <v>183</v>
      </c>
      <c r="S187" s="32" t="s">
        <v>184</v>
      </c>
      <c r="T187" s="32" t="s">
        <v>1281</v>
      </c>
      <c r="U187" s="32" t="s">
        <v>1282</v>
      </c>
      <c r="V187" s="32" t="s">
        <v>1283</v>
      </c>
      <c r="W187" s="32" t="s">
        <v>1284</v>
      </c>
      <c r="X187" s="32" t="s">
        <v>187</v>
      </c>
      <c r="Z187" s="32" t="s">
        <v>188</v>
      </c>
      <c r="AA187" s="32" t="s">
        <v>189</v>
      </c>
      <c r="AB187" s="32" t="s">
        <v>55</v>
      </c>
      <c r="AC187" s="32" t="s">
        <v>92</v>
      </c>
      <c r="AD187" s="32" t="s">
        <v>1285</v>
      </c>
      <c r="AE187" s="32">
        <v>20614402246</v>
      </c>
      <c r="AF187" s="32" t="s">
        <v>1171</v>
      </c>
      <c r="AG187" s="32" t="s">
        <v>1172</v>
      </c>
      <c r="AH187" s="32" t="s">
        <v>193</v>
      </c>
      <c r="AI187" s="32" t="s">
        <v>1173</v>
      </c>
      <c r="AJ187" s="32" t="s">
        <v>1174</v>
      </c>
      <c r="AK187" s="32" t="s">
        <v>1073</v>
      </c>
      <c r="AL187" s="32" t="s">
        <v>491</v>
      </c>
      <c r="AM187" s="32" t="s">
        <v>278</v>
      </c>
      <c r="AN187" s="32" t="s">
        <v>278</v>
      </c>
      <c r="AO187" s="32" t="s">
        <v>491</v>
      </c>
      <c r="AP187" s="32" t="s">
        <v>491</v>
      </c>
      <c r="AQ187" s="32" t="s">
        <v>491</v>
      </c>
      <c r="AR187" s="32" t="s">
        <v>491</v>
      </c>
      <c r="AS187" s="32" t="s">
        <v>63</v>
      </c>
      <c r="AT187" s="32" t="s">
        <v>64</v>
      </c>
      <c r="AU187" s="56">
        <v>46227.583333333336</v>
      </c>
      <c r="AV187" s="56">
        <v>46227.621527777781</v>
      </c>
      <c r="AW187" s="56">
        <v>46227.659722222219</v>
      </c>
      <c r="AX187" s="56">
        <v>46227.666666666664</v>
      </c>
      <c r="AY187" s="56">
        <v>46227.697222222225</v>
      </c>
      <c r="AZ187" s="56">
        <v>46227.738888888889</v>
      </c>
      <c r="BA187" s="56">
        <v>46228.434027777781</v>
      </c>
      <c r="BB187" s="56">
        <v>46228.440972222219</v>
      </c>
      <c r="BC187" s="56">
        <v>46228.458333333336</v>
      </c>
      <c r="BD187" s="56">
        <v>46228.462500000001</v>
      </c>
      <c r="BE187" s="56">
        <v>46228.5</v>
      </c>
      <c r="BG187" s="56">
        <v>46228.708333333336</v>
      </c>
      <c r="BH187" s="56">
        <v>46228.713194444441</v>
      </c>
      <c r="BI187" s="32" t="s">
        <v>65</v>
      </c>
      <c r="BJ187" s="56">
        <v>46229.5</v>
      </c>
      <c r="BK187" s="56">
        <v>46229.507638888892</v>
      </c>
      <c r="BL187" s="56">
        <v>46229.519444444442</v>
      </c>
      <c r="BM187" s="56">
        <v>46229.524305555555</v>
      </c>
      <c r="BN187" s="56">
        <v>46229.52847222222</v>
      </c>
    </row>
    <row r="188" spans="1:66" x14ac:dyDescent="0.35">
      <c r="A188" t="s">
        <v>176</v>
      </c>
      <c r="B188" s="32">
        <v>42</v>
      </c>
      <c r="C188" s="32">
        <v>30</v>
      </c>
      <c r="D188" s="32" t="s">
        <v>177</v>
      </c>
      <c r="E188" s="32" t="s">
        <v>178</v>
      </c>
      <c r="F188" s="54">
        <v>46225</v>
      </c>
      <c r="G188" s="54">
        <v>46226</v>
      </c>
      <c r="H188" s="55">
        <v>0.41666666666666669</v>
      </c>
      <c r="I188" s="55">
        <v>0.33333333333333331</v>
      </c>
      <c r="J188" s="32" t="s">
        <v>53</v>
      </c>
      <c r="K188" s="32" t="s">
        <v>179</v>
      </c>
      <c r="L188" s="32">
        <v>0.5</v>
      </c>
      <c r="M188" s="32" t="s">
        <v>1286</v>
      </c>
      <c r="P188" s="32" t="s">
        <v>182</v>
      </c>
      <c r="Q188" s="32" t="s">
        <v>371</v>
      </c>
      <c r="R188" s="32" t="s">
        <v>382</v>
      </c>
      <c r="S188" s="32" t="s">
        <v>383</v>
      </c>
      <c r="T188" s="32" t="s">
        <v>1287</v>
      </c>
      <c r="U188" s="32" t="s">
        <v>1288</v>
      </c>
      <c r="V188" s="32" t="s">
        <v>1289</v>
      </c>
      <c r="W188" s="32" t="s">
        <v>1290</v>
      </c>
      <c r="X188" s="32" t="s">
        <v>188</v>
      </c>
      <c r="Z188" s="32" t="s">
        <v>188</v>
      </c>
      <c r="AA188" s="32" t="s">
        <v>189</v>
      </c>
      <c r="AB188" s="32" t="s">
        <v>55</v>
      </c>
      <c r="AC188" s="32" t="s">
        <v>56</v>
      </c>
      <c r="AD188" s="32" t="s">
        <v>57</v>
      </c>
      <c r="AE188" s="32">
        <v>20513040718</v>
      </c>
      <c r="AF188" s="32" t="s">
        <v>1181</v>
      </c>
      <c r="AG188" s="32" t="s">
        <v>1182</v>
      </c>
      <c r="AH188" s="32" t="s">
        <v>193</v>
      </c>
      <c r="AI188" s="32" t="s">
        <v>1183</v>
      </c>
      <c r="AJ188" s="32" t="s">
        <v>1184</v>
      </c>
      <c r="AK188" s="32" t="s">
        <v>1291</v>
      </c>
      <c r="AL188" s="32" t="s">
        <v>491</v>
      </c>
      <c r="AM188" s="32" t="s">
        <v>278</v>
      </c>
      <c r="AN188" s="32" t="s">
        <v>278</v>
      </c>
      <c r="AO188" s="32" t="s">
        <v>491</v>
      </c>
      <c r="AP188" s="32" t="s">
        <v>491</v>
      </c>
      <c r="AQ188" s="32" t="s">
        <v>491</v>
      </c>
      <c r="AR188" s="32" t="s">
        <v>491</v>
      </c>
      <c r="AS188" s="32" t="s">
        <v>63</v>
      </c>
      <c r="AT188" s="32" t="s">
        <v>388</v>
      </c>
      <c r="AU188" s="56">
        <v>46225.583333333336</v>
      </c>
      <c r="AV188" s="56">
        <v>46225.616666666669</v>
      </c>
      <c r="AW188" s="56">
        <v>46225.656944444447</v>
      </c>
      <c r="AX188" s="56">
        <v>46225.663194444445</v>
      </c>
      <c r="AY188" s="56">
        <v>46225.753472222219</v>
      </c>
      <c r="AZ188" s="56">
        <v>46225.795138888891</v>
      </c>
      <c r="BA188" s="56">
        <v>46226.52847222222</v>
      </c>
      <c r="BB188" s="56">
        <v>46226.535416666666</v>
      </c>
      <c r="BC188" s="56">
        <v>46226.552083333336</v>
      </c>
      <c r="BD188" s="56">
        <v>46226.556250000001</v>
      </c>
      <c r="BE188" s="56">
        <v>46226.572916666664</v>
      </c>
      <c r="BG188" s="56">
        <v>46226.65625</v>
      </c>
      <c r="BH188" s="56">
        <v>46226.663194444445</v>
      </c>
      <c r="BI188" s="32" t="s">
        <v>65</v>
      </c>
      <c r="BJ188" s="56">
        <v>46227.958333333336</v>
      </c>
      <c r="BK188" s="56">
        <v>46227.964583333334</v>
      </c>
      <c r="BL188" s="56">
        <v>46227.970833333333</v>
      </c>
      <c r="BM188" s="56">
        <v>46227.975694444445</v>
      </c>
      <c r="BN188" s="56">
        <v>46227.979861111111</v>
      </c>
    </row>
    <row r="189" spans="1:66" x14ac:dyDescent="0.35">
      <c r="A189" t="s">
        <v>176</v>
      </c>
      <c r="B189" s="32">
        <v>43</v>
      </c>
      <c r="C189" s="32">
        <v>30</v>
      </c>
      <c r="D189" s="32" t="s">
        <v>368</v>
      </c>
      <c r="E189" s="32" t="s">
        <v>178</v>
      </c>
      <c r="F189" s="54">
        <v>46225</v>
      </c>
      <c r="G189" s="54">
        <v>46227</v>
      </c>
      <c r="H189" s="55">
        <v>0.41666666666666669</v>
      </c>
      <c r="I189" s="55">
        <v>0.33333333333333331</v>
      </c>
      <c r="J189" s="32" t="s">
        <v>369</v>
      </c>
      <c r="K189" s="32" t="s">
        <v>179</v>
      </c>
      <c r="L189" s="32">
        <v>0.5</v>
      </c>
      <c r="M189" s="32" t="s">
        <v>1286</v>
      </c>
      <c r="P189" s="32" t="s">
        <v>182</v>
      </c>
      <c r="Q189" s="32" t="s">
        <v>371</v>
      </c>
      <c r="R189" s="32" t="s">
        <v>382</v>
      </c>
      <c r="S189" s="32" t="s">
        <v>383</v>
      </c>
      <c r="T189" s="32" t="s">
        <v>1287</v>
      </c>
      <c r="U189" s="32" t="s">
        <v>1288</v>
      </c>
      <c r="V189" s="32" t="s">
        <v>1289</v>
      </c>
      <c r="W189" s="32" t="s">
        <v>1290</v>
      </c>
      <c r="X189" s="32" t="s">
        <v>188</v>
      </c>
      <c r="Z189" s="32" t="s">
        <v>188</v>
      </c>
      <c r="AA189" s="32" t="s">
        <v>189</v>
      </c>
      <c r="AB189" s="32" t="s">
        <v>55</v>
      </c>
      <c r="AC189" s="32" t="s">
        <v>56</v>
      </c>
      <c r="AD189" s="32" t="s">
        <v>57</v>
      </c>
      <c r="AE189" s="32">
        <v>20513040718</v>
      </c>
      <c r="AF189" s="32" t="s">
        <v>1181</v>
      </c>
      <c r="AG189" s="32" t="s">
        <v>1182</v>
      </c>
      <c r="AH189" s="32" t="s">
        <v>193</v>
      </c>
      <c r="AI189" s="32" t="s">
        <v>1183</v>
      </c>
      <c r="AJ189" s="32" t="s">
        <v>1184</v>
      </c>
      <c r="AK189" s="32" t="s">
        <v>1291</v>
      </c>
      <c r="AL189" s="32" t="s">
        <v>491</v>
      </c>
      <c r="AM189" s="32" t="s">
        <v>278</v>
      </c>
      <c r="AN189" s="32" t="s">
        <v>278</v>
      </c>
      <c r="AO189" s="32" t="s">
        <v>491</v>
      </c>
      <c r="AP189" s="32" t="s">
        <v>491</v>
      </c>
      <c r="AQ189" s="32" t="s">
        <v>491</v>
      </c>
      <c r="AR189" s="32" t="s">
        <v>491</v>
      </c>
      <c r="AS189" s="32" t="s">
        <v>63</v>
      </c>
      <c r="AT189" s="32" t="s">
        <v>388</v>
      </c>
      <c r="AU189" s="56">
        <v>46225.583333333336</v>
      </c>
      <c r="AV189" s="56">
        <v>46225.616666666669</v>
      </c>
      <c r="AW189" s="56">
        <v>46225.656944444447</v>
      </c>
      <c r="AX189" s="56">
        <v>46225.663194444445</v>
      </c>
      <c r="AY189" s="56">
        <v>46225.753472222219</v>
      </c>
      <c r="AZ189" s="56">
        <v>46225.795138888891</v>
      </c>
      <c r="BA189" s="56">
        <v>46227.404166666667</v>
      </c>
      <c r="BB189" s="56">
        <v>46227.404166666667</v>
      </c>
      <c r="BC189" s="56">
        <v>46227.458333333336</v>
      </c>
      <c r="BD189" s="56">
        <v>46227.462500000001</v>
      </c>
      <c r="BE189" s="56">
        <v>46227.5625</v>
      </c>
      <c r="BG189" s="56">
        <v>46227.588888888888</v>
      </c>
      <c r="BH189" s="56">
        <v>46227.625</v>
      </c>
      <c r="BI189" s="32" t="s">
        <v>65</v>
      </c>
      <c r="BJ189" s="56">
        <v>46227.958333333336</v>
      </c>
      <c r="BK189" s="56">
        <v>46227.964583333334</v>
      </c>
      <c r="BL189" s="56">
        <v>46227.970833333333</v>
      </c>
      <c r="BM189" s="56">
        <v>46227.975694444445</v>
      </c>
      <c r="BN189" s="56">
        <v>46227.979861111111</v>
      </c>
    </row>
    <row r="190" spans="1:66" x14ac:dyDescent="0.35">
      <c r="A190" t="s">
        <v>176</v>
      </c>
      <c r="B190" s="32">
        <v>44</v>
      </c>
      <c r="C190" s="32">
        <v>30</v>
      </c>
      <c r="D190" s="32" t="s">
        <v>177</v>
      </c>
      <c r="E190" s="32" t="s">
        <v>178</v>
      </c>
      <c r="F190" s="54">
        <v>46225</v>
      </c>
      <c r="G190" s="54">
        <v>46226</v>
      </c>
      <c r="H190" s="55">
        <v>0.41666666666666669</v>
      </c>
      <c r="I190" s="55">
        <v>0.33333333333333331</v>
      </c>
      <c r="J190" s="32" t="s">
        <v>53</v>
      </c>
      <c r="K190" s="32" t="s">
        <v>179</v>
      </c>
      <c r="L190" s="32">
        <v>1</v>
      </c>
      <c r="M190" s="32" t="s">
        <v>1292</v>
      </c>
      <c r="P190" s="32" t="s">
        <v>182</v>
      </c>
      <c r="Q190" s="32" t="s">
        <v>371</v>
      </c>
      <c r="R190" s="32" t="s">
        <v>382</v>
      </c>
      <c r="S190" s="32" t="s">
        <v>383</v>
      </c>
      <c r="T190" s="32" t="s">
        <v>1293</v>
      </c>
      <c r="U190" s="32" t="s">
        <v>1294</v>
      </c>
      <c r="V190" s="32" t="s">
        <v>1295</v>
      </c>
      <c r="W190" s="32" t="s">
        <v>1296</v>
      </c>
      <c r="X190" s="32" t="s">
        <v>188</v>
      </c>
      <c r="Z190" s="32" t="s">
        <v>188</v>
      </c>
      <c r="AA190" s="32" t="s">
        <v>189</v>
      </c>
      <c r="AB190" s="32" t="s">
        <v>55</v>
      </c>
      <c r="AC190" s="32" t="s">
        <v>56</v>
      </c>
      <c r="AD190" s="32" t="s">
        <v>57</v>
      </c>
      <c r="AE190" s="32" t="s">
        <v>1096</v>
      </c>
      <c r="AF190" s="32" t="s">
        <v>673</v>
      </c>
      <c r="AG190" s="32" t="s">
        <v>674</v>
      </c>
      <c r="AH190" s="32" t="s">
        <v>193</v>
      </c>
      <c r="AI190" s="32" t="s">
        <v>1095</v>
      </c>
      <c r="AJ190" s="32" t="s">
        <v>1096</v>
      </c>
      <c r="AK190" s="32" t="s">
        <v>1279</v>
      </c>
      <c r="AL190" s="32" t="s">
        <v>491</v>
      </c>
      <c r="AM190" s="32" t="s">
        <v>278</v>
      </c>
      <c r="AN190" s="32" t="s">
        <v>278</v>
      </c>
      <c r="AO190" s="32" t="s">
        <v>491</v>
      </c>
      <c r="AP190" s="32" t="s">
        <v>491</v>
      </c>
      <c r="AQ190" s="32" t="s">
        <v>491</v>
      </c>
      <c r="AR190" s="32" t="s">
        <v>491</v>
      </c>
      <c r="AS190" s="32" t="s">
        <v>63</v>
      </c>
      <c r="AT190" s="32" t="s">
        <v>388</v>
      </c>
      <c r="AU190" s="56">
        <v>46225.583333333336</v>
      </c>
      <c r="AV190" s="56">
        <v>46225.604166666664</v>
      </c>
      <c r="AW190" s="56">
        <v>46225.604166666664</v>
      </c>
      <c r="AX190" s="56">
        <v>46225.614583333336</v>
      </c>
      <c r="AY190" s="56">
        <v>46225.665972222225</v>
      </c>
      <c r="AZ190" s="56">
        <v>46225.708333333336</v>
      </c>
      <c r="BA190" s="56">
        <v>46226.326388888891</v>
      </c>
      <c r="BB190" s="56">
        <v>46226.333333333336</v>
      </c>
      <c r="BC190" s="56">
        <v>46226.347222222219</v>
      </c>
      <c r="BD190" s="56">
        <v>46226.351388888892</v>
      </c>
      <c r="BE190" s="56">
        <v>46226.361111111109</v>
      </c>
      <c r="BG190" s="56">
        <v>46226.681944444441</v>
      </c>
      <c r="BH190" s="56">
        <v>46226.688888888886</v>
      </c>
      <c r="BI190" s="32" t="s">
        <v>65</v>
      </c>
      <c r="BJ190" s="56">
        <v>46227.416666666664</v>
      </c>
      <c r="BK190" s="56">
        <v>46227.438194444447</v>
      </c>
      <c r="BL190" s="56">
        <v>46227.442361111112</v>
      </c>
      <c r="BM190" s="56">
        <v>46227.447916666664</v>
      </c>
      <c r="BN190" s="56">
        <v>46227.453472222223</v>
      </c>
    </row>
    <row r="191" spans="1:66" x14ac:dyDescent="0.35">
      <c r="A191" t="s">
        <v>176</v>
      </c>
      <c r="B191" s="32">
        <v>45</v>
      </c>
      <c r="C191" s="32">
        <v>30</v>
      </c>
      <c r="D191" s="32" t="s">
        <v>177</v>
      </c>
      <c r="E191" s="32" t="s">
        <v>178</v>
      </c>
      <c r="F191" s="54">
        <v>46232</v>
      </c>
      <c r="G191" s="54">
        <v>46233</v>
      </c>
      <c r="H191" s="55">
        <v>0.54166666666666663</v>
      </c>
      <c r="I191" s="55">
        <v>0.45833333333333331</v>
      </c>
      <c r="J191" s="32" t="s">
        <v>53</v>
      </c>
      <c r="K191" s="32" t="s">
        <v>179</v>
      </c>
      <c r="L191" s="32">
        <v>1</v>
      </c>
      <c r="M191" s="32" t="s">
        <v>1297</v>
      </c>
      <c r="P191" s="32" t="s">
        <v>182</v>
      </c>
      <c r="Q191" s="32" t="s">
        <v>371</v>
      </c>
      <c r="R191" s="32" t="s">
        <v>183</v>
      </c>
      <c r="S191" s="32" t="s">
        <v>460</v>
      </c>
      <c r="T191" s="32" t="s">
        <v>1298</v>
      </c>
      <c r="U191" s="32" t="s">
        <v>1299</v>
      </c>
      <c r="V191" s="32" t="s">
        <v>1266</v>
      </c>
      <c r="W191" s="32" t="s">
        <v>1300</v>
      </c>
      <c r="X191" s="32" t="s">
        <v>187</v>
      </c>
      <c r="Z191" s="32" t="s">
        <v>188</v>
      </c>
      <c r="AA191" s="32" t="s">
        <v>189</v>
      </c>
      <c r="AB191" s="32" t="s">
        <v>55</v>
      </c>
      <c r="AC191" s="32" t="s">
        <v>56</v>
      </c>
      <c r="AD191" s="32" t="s">
        <v>1125</v>
      </c>
      <c r="AE191" s="32">
        <v>20612886921</v>
      </c>
      <c r="AF191" s="32" t="s">
        <v>1301</v>
      </c>
      <c r="AG191" s="32" t="s">
        <v>1302</v>
      </c>
      <c r="AH191" s="32" t="s">
        <v>193</v>
      </c>
      <c r="AI191" s="32" t="s">
        <v>1303</v>
      </c>
      <c r="AJ191" s="32" t="s">
        <v>1304</v>
      </c>
      <c r="AK191" s="32" t="s">
        <v>1291</v>
      </c>
      <c r="AL191" s="32" t="s">
        <v>491</v>
      </c>
      <c r="AM191" s="32" t="s">
        <v>278</v>
      </c>
      <c r="AN191" s="32" t="s">
        <v>278</v>
      </c>
      <c r="AO191" s="32" t="s">
        <v>491</v>
      </c>
      <c r="AP191" s="32" t="s">
        <v>491</v>
      </c>
      <c r="AQ191" s="32" t="s">
        <v>491</v>
      </c>
      <c r="AR191" s="32" t="s">
        <v>491</v>
      </c>
      <c r="AS191" s="32" t="s">
        <v>63</v>
      </c>
      <c r="AT191" s="32" t="s">
        <v>64</v>
      </c>
      <c r="AU191" s="56">
        <v>46232.583333333336</v>
      </c>
      <c r="AV191" s="56">
        <v>46232.611805555556</v>
      </c>
      <c r="AW191" s="56">
        <v>46232.620833333334</v>
      </c>
      <c r="AX191" s="56">
        <v>46232.625</v>
      </c>
      <c r="AY191" s="56">
        <v>46232.675000000003</v>
      </c>
      <c r="AZ191" s="56">
        <v>46232.716666666667</v>
      </c>
      <c r="BA191" s="56">
        <v>46233.338194444441</v>
      </c>
      <c r="BB191" s="56">
        <v>46233.345138888886</v>
      </c>
      <c r="BC191" s="56">
        <v>46233.365972222222</v>
      </c>
      <c r="BD191" s="56">
        <v>46233.370138888888</v>
      </c>
      <c r="BE191" s="56">
        <v>46233.385416666664</v>
      </c>
      <c r="BG191" s="56">
        <v>46233.557638888888</v>
      </c>
      <c r="BH191" s="56">
        <v>46233.564583333333</v>
      </c>
      <c r="BI191" s="32" t="s">
        <v>65</v>
      </c>
      <c r="BJ191" s="56">
        <v>46234.333333333336</v>
      </c>
      <c r="BK191" s="56">
        <v>46234.368750000001</v>
      </c>
      <c r="BL191" s="56">
        <v>46234.375</v>
      </c>
      <c r="BM191" s="56">
        <v>46234.376388888886</v>
      </c>
      <c r="BN191" s="56">
        <v>46234.379861111112</v>
      </c>
    </row>
    <row r="192" spans="1:66" x14ac:dyDescent="0.35">
      <c r="A192" t="s">
        <v>176</v>
      </c>
      <c r="B192" s="32">
        <v>46</v>
      </c>
      <c r="C192" s="32">
        <v>31</v>
      </c>
      <c r="D192" s="32" t="s">
        <v>177</v>
      </c>
      <c r="E192" s="32" t="s">
        <v>178</v>
      </c>
      <c r="F192" s="54">
        <v>46233</v>
      </c>
      <c r="G192" s="54">
        <v>46234</v>
      </c>
      <c r="H192" s="55">
        <v>0.41666666666666669</v>
      </c>
      <c r="I192" s="55">
        <v>0.33333333333333331</v>
      </c>
      <c r="J192" s="32" t="s">
        <v>53</v>
      </c>
      <c r="K192" s="32" t="s">
        <v>179</v>
      </c>
      <c r="L192" s="32">
        <v>1</v>
      </c>
      <c r="M192" s="32" t="s">
        <v>1305</v>
      </c>
      <c r="P192" s="32" t="s">
        <v>182</v>
      </c>
      <c r="Q192" s="32" t="s">
        <v>371</v>
      </c>
      <c r="R192" s="32" t="s">
        <v>382</v>
      </c>
      <c r="S192" s="32" t="s">
        <v>383</v>
      </c>
      <c r="T192" s="32" t="s">
        <v>1306</v>
      </c>
      <c r="U192" s="32" t="s">
        <v>1307</v>
      </c>
      <c r="V192" s="32" t="s">
        <v>1277</v>
      </c>
      <c r="W192" s="32" t="s">
        <v>1308</v>
      </c>
      <c r="X192" s="32" t="s">
        <v>188</v>
      </c>
      <c r="Z192" s="32" t="s">
        <v>188</v>
      </c>
      <c r="AA192" s="32" t="s">
        <v>189</v>
      </c>
      <c r="AB192" s="32" t="s">
        <v>55</v>
      </c>
      <c r="AC192" s="32" t="s">
        <v>92</v>
      </c>
      <c r="AD192" s="32" t="s">
        <v>78</v>
      </c>
      <c r="AE192" s="32">
        <v>20513040718</v>
      </c>
      <c r="AF192" s="32" t="s">
        <v>1181</v>
      </c>
      <c r="AG192" s="32" t="s">
        <v>1182</v>
      </c>
      <c r="AH192" s="32" t="s">
        <v>193</v>
      </c>
      <c r="AI192" s="32" t="s">
        <v>1183</v>
      </c>
      <c r="AJ192" s="32" t="s">
        <v>1184</v>
      </c>
      <c r="AK192" s="32" t="s">
        <v>1291</v>
      </c>
      <c r="AL192" s="32" t="s">
        <v>491</v>
      </c>
      <c r="AM192" s="32" t="s">
        <v>278</v>
      </c>
      <c r="AN192" s="32" t="s">
        <v>278</v>
      </c>
      <c r="AO192" s="32" t="s">
        <v>491</v>
      </c>
      <c r="AP192" s="32" t="s">
        <v>491</v>
      </c>
      <c r="AQ192" s="32" t="s">
        <v>491</v>
      </c>
      <c r="AR192" s="32" t="s">
        <v>491</v>
      </c>
      <c r="AS192" s="32" t="s">
        <v>63</v>
      </c>
      <c r="AT192" s="32" t="s">
        <v>388</v>
      </c>
      <c r="AU192" s="56">
        <v>46233.5</v>
      </c>
      <c r="AV192" s="56">
        <v>46233.493055555555</v>
      </c>
      <c r="AW192" s="56">
        <v>46233.50277777778</v>
      </c>
      <c r="AX192" s="56">
        <v>46233.53125</v>
      </c>
      <c r="AY192" s="56">
        <v>46233.570138888892</v>
      </c>
      <c r="AZ192" s="56">
        <v>46233.604166666664</v>
      </c>
      <c r="BA192" s="56">
        <v>46234.362500000003</v>
      </c>
      <c r="BB192" s="56">
        <v>46234.365277777775</v>
      </c>
      <c r="BC192" s="56">
        <v>46234.368055555555</v>
      </c>
      <c r="BD192" s="56">
        <v>46234.37222222222</v>
      </c>
      <c r="BE192" s="56">
        <v>46234.5</v>
      </c>
      <c r="BG192" s="56">
        <v>46234.581944444442</v>
      </c>
      <c r="BH192" s="56">
        <v>46234.586111111108</v>
      </c>
      <c r="BI192" s="32" t="s">
        <v>65</v>
      </c>
      <c r="BJ192" s="56">
        <v>46235.416666666664</v>
      </c>
      <c r="BK192" s="56">
        <v>46235.379166666666</v>
      </c>
      <c r="BL192" s="56">
        <v>46235.384027777778</v>
      </c>
      <c r="BM192" s="56">
        <v>46235.388888888891</v>
      </c>
      <c r="BN192" s="56">
        <v>46235.393055555556</v>
      </c>
    </row>
    <row r="193" spans="1:66" x14ac:dyDescent="0.35">
      <c r="A193" t="s">
        <v>176</v>
      </c>
      <c r="B193" s="32">
        <v>47</v>
      </c>
      <c r="C193" s="32">
        <v>31</v>
      </c>
      <c r="D193" s="32" t="s">
        <v>177</v>
      </c>
      <c r="E193" s="32" t="s">
        <v>178</v>
      </c>
      <c r="F193" s="54">
        <v>46236</v>
      </c>
      <c r="G193" s="54">
        <v>46237</v>
      </c>
      <c r="H193" s="55">
        <v>0.41666666666666669</v>
      </c>
      <c r="I193" s="55">
        <v>0.33333333333333331</v>
      </c>
      <c r="J193" s="32" t="s">
        <v>53</v>
      </c>
      <c r="K193" s="32" t="s">
        <v>179</v>
      </c>
      <c r="L193" s="32">
        <v>1</v>
      </c>
      <c r="M193" s="32" t="s">
        <v>1309</v>
      </c>
      <c r="P193" s="32" t="s">
        <v>182</v>
      </c>
      <c r="Q193" s="32" t="s">
        <v>371</v>
      </c>
      <c r="R193" s="32" t="s">
        <v>556</v>
      </c>
      <c r="S193" s="32" t="s">
        <v>631</v>
      </c>
      <c r="T193" s="32" t="s">
        <v>1310</v>
      </c>
      <c r="U193" s="32" t="s">
        <v>1311</v>
      </c>
      <c r="V193" s="32" t="s">
        <v>1283</v>
      </c>
      <c r="W193" s="32" t="s">
        <v>1312</v>
      </c>
      <c r="X193" s="32" t="s">
        <v>187</v>
      </c>
      <c r="Z193" s="32" t="s">
        <v>188</v>
      </c>
      <c r="AA193" s="32" t="s">
        <v>189</v>
      </c>
      <c r="AB193" s="32" t="s">
        <v>55</v>
      </c>
      <c r="AC193" s="32" t="s">
        <v>56</v>
      </c>
      <c r="AD193" s="32" t="s">
        <v>1125</v>
      </c>
      <c r="AE193" s="32">
        <v>20612886921</v>
      </c>
      <c r="AF193" s="32" t="s">
        <v>1313</v>
      </c>
      <c r="AG193" s="32" t="s">
        <v>1314</v>
      </c>
      <c r="AH193" s="32" t="s">
        <v>193</v>
      </c>
      <c r="AI193" s="32" t="s">
        <v>1315</v>
      </c>
      <c r="AJ193" s="32" t="s">
        <v>1830</v>
      </c>
      <c r="AK193" s="32" t="s">
        <v>1316</v>
      </c>
      <c r="AL193" s="32" t="s">
        <v>491</v>
      </c>
      <c r="AM193" s="32" t="s">
        <v>278</v>
      </c>
      <c r="AN193" s="32" t="s">
        <v>278</v>
      </c>
      <c r="AO193" s="32" t="s">
        <v>491</v>
      </c>
      <c r="AP193" s="32" t="s">
        <v>491</v>
      </c>
      <c r="AQ193" s="32" t="s">
        <v>491</v>
      </c>
      <c r="AR193" s="32" t="s">
        <v>491</v>
      </c>
      <c r="AS193" s="32" t="s">
        <v>63</v>
      </c>
      <c r="AT193" s="32" t="s">
        <v>64</v>
      </c>
      <c r="AU193" s="56">
        <v>46236.5</v>
      </c>
      <c r="AV193" s="56">
        <v>46236.487500000003</v>
      </c>
      <c r="AW193" s="56">
        <v>46236.489583333336</v>
      </c>
      <c r="AX193" s="56">
        <v>46236.559027777781</v>
      </c>
      <c r="AY193" s="56">
        <v>46236.595833333333</v>
      </c>
      <c r="AZ193" s="56">
        <v>46236.638888888891</v>
      </c>
      <c r="BA193" s="56">
        <v>46237.338888888888</v>
      </c>
      <c r="BB193" s="56">
        <v>46237.34097222222</v>
      </c>
      <c r="BC193" s="56">
        <v>46237.354166666664</v>
      </c>
      <c r="BD193" s="56">
        <v>46237.35833333333</v>
      </c>
      <c r="BE193" s="56">
        <v>46237.666666666664</v>
      </c>
      <c r="BG193" s="56">
        <v>46237.708333333336</v>
      </c>
      <c r="BH193" s="56">
        <v>46237.716666666667</v>
      </c>
      <c r="BI193" s="32" t="s">
        <v>65</v>
      </c>
      <c r="BJ193" s="56">
        <v>46238.416666666664</v>
      </c>
      <c r="BK193" s="56">
        <v>46238.37777777778</v>
      </c>
      <c r="BL193" s="56">
        <v>46238.383333333331</v>
      </c>
      <c r="BM193" s="56">
        <v>46238.385416666664</v>
      </c>
      <c r="BN193" s="56">
        <v>46238.388194444444</v>
      </c>
    </row>
    <row r="194" spans="1:66" x14ac:dyDescent="0.35">
      <c r="A194" t="s">
        <v>176</v>
      </c>
      <c r="B194" s="32">
        <v>48</v>
      </c>
      <c r="C194" s="32">
        <v>31</v>
      </c>
      <c r="D194" s="32" t="s">
        <v>177</v>
      </c>
      <c r="E194" s="32" t="s">
        <v>178</v>
      </c>
      <c r="F194" s="54">
        <v>46236</v>
      </c>
      <c r="G194" s="54">
        <v>46237</v>
      </c>
      <c r="H194" s="55">
        <v>0.41666666666666669</v>
      </c>
      <c r="I194" s="55">
        <v>0.33333333333333331</v>
      </c>
      <c r="J194" s="32" t="s">
        <v>53</v>
      </c>
      <c r="K194" s="32" t="s">
        <v>179</v>
      </c>
      <c r="L194" s="32">
        <v>1</v>
      </c>
      <c r="M194" s="32" t="s">
        <v>1317</v>
      </c>
      <c r="P194" s="32" t="s">
        <v>182</v>
      </c>
      <c r="Q194" s="32" t="s">
        <v>371</v>
      </c>
      <c r="R194" s="32" t="s">
        <v>556</v>
      </c>
      <c r="S194" s="32" t="s">
        <v>631</v>
      </c>
      <c r="T194" s="32" t="s">
        <v>1318</v>
      </c>
      <c r="U194" s="32" t="s">
        <v>1319</v>
      </c>
      <c r="V194" s="32" t="s">
        <v>1289</v>
      </c>
      <c r="W194" s="32" t="s">
        <v>1320</v>
      </c>
      <c r="X194" s="32" t="s">
        <v>187</v>
      </c>
      <c r="Z194" s="32" t="s">
        <v>188</v>
      </c>
      <c r="AA194" s="32" t="s">
        <v>189</v>
      </c>
      <c r="AB194" s="32" t="s">
        <v>55</v>
      </c>
      <c r="AC194" s="32" t="s">
        <v>56</v>
      </c>
      <c r="AD194" s="32" t="s">
        <v>1321</v>
      </c>
      <c r="AE194" s="32">
        <v>20601368766</v>
      </c>
      <c r="AF194" s="32" t="s">
        <v>1322</v>
      </c>
      <c r="AG194" s="32" t="s">
        <v>1323</v>
      </c>
      <c r="AH194" s="32" t="s">
        <v>193</v>
      </c>
      <c r="AI194" s="32" t="s">
        <v>1324</v>
      </c>
      <c r="AJ194" s="32" t="s">
        <v>1325</v>
      </c>
      <c r="AK194" s="32" t="s">
        <v>1291</v>
      </c>
      <c r="AL194" s="32" t="s">
        <v>491</v>
      </c>
      <c r="AM194" s="32" t="s">
        <v>278</v>
      </c>
      <c r="AN194" s="32" t="s">
        <v>278</v>
      </c>
      <c r="AO194" s="32" t="s">
        <v>491</v>
      </c>
      <c r="AP194" s="32" t="s">
        <v>491</v>
      </c>
      <c r="AQ194" s="32" t="s">
        <v>491</v>
      </c>
      <c r="AR194" s="32" t="s">
        <v>491</v>
      </c>
      <c r="AS194" s="32" t="s">
        <v>63</v>
      </c>
      <c r="AT194" s="32" t="s">
        <v>64</v>
      </c>
      <c r="AU194" s="56">
        <v>46236.5</v>
      </c>
      <c r="AV194" s="56">
        <v>46236.484722222223</v>
      </c>
      <c r="AW194" s="56">
        <v>46236.488194444442</v>
      </c>
      <c r="AX194" s="56">
        <v>46236.518055555556</v>
      </c>
      <c r="AY194" s="56">
        <v>46236.568055555559</v>
      </c>
      <c r="AZ194" s="56">
        <v>46236.611111111109</v>
      </c>
      <c r="BA194" s="56">
        <v>46237.342361111114</v>
      </c>
      <c r="BB194" s="56">
        <v>46237.345138888886</v>
      </c>
      <c r="BC194" s="56">
        <v>46237.348611111112</v>
      </c>
      <c r="BD194" s="56">
        <v>46237.352777777778</v>
      </c>
      <c r="BE194" s="56">
        <v>46237.659722222219</v>
      </c>
      <c r="BG194" s="56">
        <v>46237.71875</v>
      </c>
      <c r="BH194" s="56">
        <v>46237.726388888892</v>
      </c>
      <c r="BI194" s="32" t="s">
        <v>65</v>
      </c>
      <c r="BJ194" s="56">
        <v>46238.458333333336</v>
      </c>
      <c r="BK194" s="56">
        <v>46238.425694444442</v>
      </c>
      <c r="BL194" s="56">
        <v>46238.432638888888</v>
      </c>
      <c r="BM194" s="56">
        <v>46238.447222222225</v>
      </c>
      <c r="BN194" s="56">
        <v>46238.451388888891</v>
      </c>
    </row>
    <row r="195" spans="1:66" x14ac:dyDescent="0.35">
      <c r="A195" t="s">
        <v>176</v>
      </c>
      <c r="B195" s="32">
        <v>49</v>
      </c>
      <c r="C195" s="32">
        <v>31</v>
      </c>
      <c r="D195" s="32" t="s">
        <v>177</v>
      </c>
      <c r="E195" s="32" t="s">
        <v>178</v>
      </c>
      <c r="F195" s="54">
        <v>46236</v>
      </c>
      <c r="G195" s="54">
        <v>46237</v>
      </c>
      <c r="H195" s="55">
        <v>0.41666666666666669</v>
      </c>
      <c r="I195" s="55">
        <v>0.33333333333333331</v>
      </c>
      <c r="J195" s="32" t="s">
        <v>53</v>
      </c>
      <c r="K195" s="32" t="s">
        <v>179</v>
      </c>
      <c r="L195" s="32">
        <v>1</v>
      </c>
      <c r="M195" s="32" t="s">
        <v>1326</v>
      </c>
      <c r="P195" s="32" t="s">
        <v>182</v>
      </c>
      <c r="Q195" s="32" t="s">
        <v>371</v>
      </c>
      <c r="R195" s="32" t="s">
        <v>183</v>
      </c>
      <c r="S195" s="32" t="s">
        <v>184</v>
      </c>
      <c r="T195" s="32" t="s">
        <v>1327</v>
      </c>
      <c r="U195" s="32" t="s">
        <v>1328</v>
      </c>
      <c r="V195" s="32" t="s">
        <v>1289</v>
      </c>
      <c r="W195" s="32" t="s">
        <v>1329</v>
      </c>
      <c r="X195" s="32" t="s">
        <v>187</v>
      </c>
      <c r="Z195" s="32" t="s">
        <v>188</v>
      </c>
      <c r="AA195" s="32" t="s">
        <v>189</v>
      </c>
      <c r="AB195" s="32" t="s">
        <v>55</v>
      </c>
      <c r="AC195" s="32" t="s">
        <v>56</v>
      </c>
      <c r="AD195" s="32" t="s">
        <v>1330</v>
      </c>
      <c r="AE195" s="32">
        <v>20614402246</v>
      </c>
      <c r="AF195" s="32" t="s">
        <v>1171</v>
      </c>
      <c r="AG195" s="32" t="s">
        <v>1331</v>
      </c>
      <c r="AH195" s="32" t="s">
        <v>193</v>
      </c>
      <c r="AI195" s="32" t="s">
        <v>1173</v>
      </c>
      <c r="AJ195" s="32" t="s">
        <v>1174</v>
      </c>
      <c r="AK195" s="32" t="s">
        <v>1291</v>
      </c>
      <c r="AL195" s="32" t="s">
        <v>491</v>
      </c>
      <c r="AM195" s="32" t="s">
        <v>278</v>
      </c>
      <c r="AN195" s="32" t="s">
        <v>278</v>
      </c>
      <c r="AO195" s="32" t="s">
        <v>491</v>
      </c>
      <c r="AP195" s="32" t="s">
        <v>491</v>
      </c>
      <c r="AQ195" s="32" t="s">
        <v>491</v>
      </c>
      <c r="AR195" s="32" t="s">
        <v>491</v>
      </c>
      <c r="AS195" s="32" t="s">
        <v>63</v>
      </c>
      <c r="AT195" s="32" t="s">
        <v>64</v>
      </c>
      <c r="AU195" s="56">
        <v>46236.458333333336</v>
      </c>
      <c r="AV195" s="56">
        <v>46236.451388888891</v>
      </c>
      <c r="AW195" s="56">
        <v>46236.487500000003</v>
      </c>
      <c r="AX195" s="56">
        <v>46236.506944444445</v>
      </c>
      <c r="AY195" s="56">
        <v>46236.552083333336</v>
      </c>
      <c r="AZ195" s="56">
        <v>46236.604166666664</v>
      </c>
      <c r="BA195" s="56">
        <v>46237.472222222219</v>
      </c>
      <c r="BB195" s="56">
        <v>46237.474305555559</v>
      </c>
      <c r="BC195" s="56">
        <v>46237.520833333336</v>
      </c>
      <c r="BD195" s="56">
        <v>46237.525000000001</v>
      </c>
      <c r="BE195" s="56">
        <v>46237.729166666664</v>
      </c>
      <c r="BG195" s="56">
        <v>46237.809027777781</v>
      </c>
      <c r="BH195" s="56">
        <v>46237.818055555559</v>
      </c>
      <c r="BI195" s="32" t="s">
        <v>65</v>
      </c>
      <c r="BJ195" s="56">
        <v>46238.583333333336</v>
      </c>
      <c r="BK195" s="56">
        <v>46238.561805555553</v>
      </c>
      <c r="BL195" s="56">
        <v>46238.566666666666</v>
      </c>
      <c r="BM195" s="56">
        <v>46238.574999999997</v>
      </c>
      <c r="BN195" s="56">
        <v>46238.578472222223</v>
      </c>
    </row>
    <row r="196" spans="1:66" x14ac:dyDescent="0.35">
      <c r="A196" t="s">
        <v>176</v>
      </c>
      <c r="B196" s="32">
        <v>50</v>
      </c>
      <c r="C196" s="32">
        <v>31</v>
      </c>
      <c r="D196" s="32" t="s">
        <v>177</v>
      </c>
      <c r="E196" s="32" t="s">
        <v>178</v>
      </c>
      <c r="F196" s="54">
        <v>46237</v>
      </c>
      <c r="G196" s="54">
        <v>46238</v>
      </c>
      <c r="H196" s="55">
        <v>0.41666666666666669</v>
      </c>
      <c r="I196" s="55">
        <v>0.33333333333333331</v>
      </c>
      <c r="J196" s="32" t="s">
        <v>53</v>
      </c>
      <c r="K196" s="32" t="s">
        <v>179</v>
      </c>
      <c r="L196" s="32">
        <v>1</v>
      </c>
      <c r="M196" s="32" t="s">
        <v>1332</v>
      </c>
      <c r="P196" s="32" t="s">
        <v>182</v>
      </c>
      <c r="Q196" s="32" t="s">
        <v>371</v>
      </c>
      <c r="R196" s="32" t="s">
        <v>183</v>
      </c>
      <c r="S196" s="32" t="s">
        <v>184</v>
      </c>
      <c r="T196" s="32" t="s">
        <v>1333</v>
      </c>
      <c r="U196" s="32" t="s">
        <v>1334</v>
      </c>
      <c r="V196" s="32" t="s">
        <v>1283</v>
      </c>
      <c r="W196" s="32" t="s">
        <v>1335</v>
      </c>
      <c r="X196" s="32" t="s">
        <v>187</v>
      </c>
      <c r="Z196" s="32" t="s">
        <v>188</v>
      </c>
      <c r="AA196" s="32" t="s">
        <v>189</v>
      </c>
      <c r="AB196" s="32" t="s">
        <v>55</v>
      </c>
      <c r="AC196" s="32" t="s">
        <v>56</v>
      </c>
      <c r="AD196" s="32" t="s">
        <v>78</v>
      </c>
      <c r="AE196" s="32">
        <v>20513040718</v>
      </c>
      <c r="AF196" s="32" t="s">
        <v>1242</v>
      </c>
      <c r="AG196" s="32" t="s">
        <v>1243</v>
      </c>
      <c r="AH196" s="32" t="s">
        <v>193</v>
      </c>
      <c r="AI196" s="32" t="s">
        <v>1244</v>
      </c>
      <c r="AJ196" s="32" t="s">
        <v>1245</v>
      </c>
      <c r="AK196" s="32" t="s">
        <v>1336</v>
      </c>
      <c r="AL196" s="32" t="s">
        <v>491</v>
      </c>
      <c r="AM196" s="32" t="s">
        <v>278</v>
      </c>
      <c r="AN196" s="32" t="s">
        <v>278</v>
      </c>
      <c r="AO196" s="32" t="s">
        <v>491</v>
      </c>
      <c r="AP196" s="32" t="s">
        <v>491</v>
      </c>
      <c r="AQ196" s="32" t="s">
        <v>491</v>
      </c>
      <c r="AR196" s="32" t="s">
        <v>491</v>
      </c>
      <c r="AS196" s="32" t="s">
        <v>63</v>
      </c>
      <c r="AT196" s="32" t="s">
        <v>64</v>
      </c>
      <c r="AU196" s="56">
        <v>46237.5</v>
      </c>
      <c r="AV196" s="56">
        <v>46237.493055555555</v>
      </c>
      <c r="AW196" s="56">
        <v>46237.609722222223</v>
      </c>
      <c r="AX196" s="56">
        <v>46237.621527777781</v>
      </c>
      <c r="AY196" s="56">
        <v>46237.654861111114</v>
      </c>
      <c r="AZ196" s="56">
        <v>46237.696527777778</v>
      </c>
      <c r="BA196" s="56">
        <v>46238.468055555553</v>
      </c>
      <c r="BB196" s="56">
        <v>46238.46875</v>
      </c>
      <c r="BC196" s="56">
        <v>46238.472222222219</v>
      </c>
      <c r="BD196" s="56">
        <v>46238.48333333333</v>
      </c>
      <c r="BE196" s="56">
        <v>46238.53402777778</v>
      </c>
      <c r="BG196" s="56">
        <v>46238.564583333333</v>
      </c>
      <c r="BH196" s="56">
        <v>46238.614583333336</v>
      </c>
      <c r="BI196" s="32" t="s">
        <v>65</v>
      </c>
      <c r="BJ196" s="56">
        <v>46239.458333333336</v>
      </c>
      <c r="BK196" s="56">
        <v>46239.431944444441</v>
      </c>
      <c r="BL196" s="56">
        <v>46239.44027777778</v>
      </c>
      <c r="BM196" s="56">
        <v>46239.443749999999</v>
      </c>
      <c r="BN196" s="56">
        <v>46239.45</v>
      </c>
    </row>
    <row r="197" spans="1:66" x14ac:dyDescent="0.35">
      <c r="A197" t="s">
        <v>176</v>
      </c>
      <c r="B197" s="32">
        <v>51</v>
      </c>
      <c r="C197" s="32">
        <v>31</v>
      </c>
      <c r="D197" s="32" t="s">
        <v>368</v>
      </c>
      <c r="E197" s="32" t="s">
        <v>178</v>
      </c>
      <c r="F197" s="54">
        <v>46237</v>
      </c>
      <c r="G197" s="54">
        <v>46238</v>
      </c>
      <c r="H197" s="55">
        <v>0.41666666666666669</v>
      </c>
      <c r="I197" s="55">
        <v>0.33333333333333331</v>
      </c>
      <c r="J197" s="32" t="s">
        <v>369</v>
      </c>
      <c r="K197" s="32" t="s">
        <v>179</v>
      </c>
      <c r="L197" s="32">
        <v>1</v>
      </c>
      <c r="M197" s="32" t="s">
        <v>1337</v>
      </c>
      <c r="P197" s="32" t="s">
        <v>182</v>
      </c>
      <c r="Q197" s="32" t="s">
        <v>371</v>
      </c>
      <c r="R197" s="32" t="s">
        <v>183</v>
      </c>
      <c r="S197" s="32" t="s">
        <v>184</v>
      </c>
      <c r="T197" s="32" t="s">
        <v>1338</v>
      </c>
      <c r="U197" s="32" t="s">
        <v>1339</v>
      </c>
      <c r="V197" s="32">
        <v>798453</v>
      </c>
      <c r="W197" s="32" t="s">
        <v>1340</v>
      </c>
      <c r="X197" s="32" t="s">
        <v>187</v>
      </c>
      <c r="Z197" s="32" t="s">
        <v>188</v>
      </c>
      <c r="AA197" s="32" t="s">
        <v>189</v>
      </c>
      <c r="AB197" s="32" t="s">
        <v>55</v>
      </c>
      <c r="AC197" s="32" t="s">
        <v>92</v>
      </c>
      <c r="AD197" s="32" t="s">
        <v>1268</v>
      </c>
      <c r="AE197" s="32">
        <v>20611958651</v>
      </c>
      <c r="AF197" s="32" t="s">
        <v>1269</v>
      </c>
      <c r="AG197" s="32" t="s">
        <v>1341</v>
      </c>
      <c r="AH197" s="32" t="s">
        <v>193</v>
      </c>
      <c r="AI197" s="32" t="s">
        <v>1271</v>
      </c>
      <c r="AJ197" s="32" t="s">
        <v>1272</v>
      </c>
      <c r="AK197" s="32" t="s">
        <v>1342</v>
      </c>
      <c r="AL197" s="32" t="s">
        <v>491</v>
      </c>
      <c r="AM197" s="32" t="s">
        <v>278</v>
      </c>
      <c r="AN197" s="32" t="s">
        <v>278</v>
      </c>
      <c r="AO197" s="32" t="s">
        <v>491</v>
      </c>
      <c r="AP197" s="32" t="s">
        <v>491</v>
      </c>
      <c r="AQ197" s="32" t="s">
        <v>491</v>
      </c>
      <c r="AR197" s="32" t="s">
        <v>491</v>
      </c>
      <c r="AS197" s="32" t="s">
        <v>63</v>
      </c>
      <c r="AT197" s="32" t="s">
        <v>64</v>
      </c>
      <c r="AU197" s="56">
        <v>46237.458333333336</v>
      </c>
      <c r="AV197" s="56">
        <v>46237.476388888892</v>
      </c>
      <c r="AW197" s="56">
        <v>46237.486111111109</v>
      </c>
      <c r="AX197" s="56">
        <v>46237.5</v>
      </c>
      <c r="AY197" s="56">
        <v>46237.519444444442</v>
      </c>
      <c r="AZ197" s="56">
        <v>46237.561111111114</v>
      </c>
      <c r="BA197" s="56">
        <v>46238.468055555553</v>
      </c>
      <c r="BB197" s="56">
        <v>46238.470833333333</v>
      </c>
      <c r="BC197" s="56">
        <v>46238.479166666664</v>
      </c>
      <c r="BD197" s="56">
        <v>46238.48333333333</v>
      </c>
      <c r="BE197" s="56">
        <v>46238.5</v>
      </c>
      <c r="BG197" s="56">
        <v>46238.541666666664</v>
      </c>
      <c r="BH197" s="56">
        <v>46233.564583333333</v>
      </c>
      <c r="BI197" s="32" t="s">
        <v>65</v>
      </c>
      <c r="BJ197" s="56">
        <v>46238.75</v>
      </c>
      <c r="BK197" s="56">
        <v>46238.786805555559</v>
      </c>
      <c r="BL197" s="56">
        <v>46238.79583333333</v>
      </c>
      <c r="BM197" s="56">
        <v>46238.798611111109</v>
      </c>
      <c r="BN197" s="56">
        <v>46238.806944444441</v>
      </c>
    </row>
    <row r="198" spans="1:66" x14ac:dyDescent="0.35">
      <c r="A198" t="s">
        <v>176</v>
      </c>
      <c r="B198" s="32">
        <v>52</v>
      </c>
      <c r="C198" s="32">
        <v>31</v>
      </c>
      <c r="D198" s="32" t="s">
        <v>177</v>
      </c>
      <c r="E198" s="32" t="s">
        <v>178</v>
      </c>
      <c r="F198" s="54">
        <v>46237</v>
      </c>
      <c r="G198" s="54">
        <v>46238</v>
      </c>
      <c r="H198" s="55">
        <v>0.58333333333333337</v>
      </c>
      <c r="I198" s="55">
        <v>0.5</v>
      </c>
      <c r="J198" s="32" t="s">
        <v>53</v>
      </c>
      <c r="K198" s="32" t="s">
        <v>179</v>
      </c>
      <c r="L198" s="32">
        <v>1</v>
      </c>
      <c r="M198" s="32" t="s">
        <v>1343</v>
      </c>
      <c r="P198" s="32" t="s">
        <v>182</v>
      </c>
      <c r="Q198" s="32" t="s">
        <v>371</v>
      </c>
      <c r="R198" s="32" t="s">
        <v>183</v>
      </c>
      <c r="S198" s="32" t="s">
        <v>184</v>
      </c>
      <c r="T198" s="32" t="s">
        <v>1344</v>
      </c>
      <c r="U198" s="32" t="s">
        <v>1345</v>
      </c>
      <c r="V198" s="32">
        <v>801820</v>
      </c>
      <c r="W198" s="32" t="s">
        <v>1346</v>
      </c>
      <c r="X198" s="32" t="s">
        <v>187</v>
      </c>
      <c r="Z198" s="32" t="s">
        <v>188</v>
      </c>
      <c r="AA198" s="32" t="s">
        <v>189</v>
      </c>
      <c r="AB198" s="32" t="s">
        <v>55</v>
      </c>
      <c r="AC198" s="32" t="s">
        <v>56</v>
      </c>
      <c r="AD198" s="32" t="s">
        <v>78</v>
      </c>
      <c r="AE198" s="32">
        <v>20513040718</v>
      </c>
      <c r="AF198" s="32" t="s">
        <v>1043</v>
      </c>
      <c r="AG198" s="32" t="s">
        <v>1044</v>
      </c>
      <c r="AH198" s="32" t="s">
        <v>193</v>
      </c>
      <c r="AI198" s="32" t="s">
        <v>1045</v>
      </c>
      <c r="AJ198" s="32" t="s">
        <v>1046</v>
      </c>
      <c r="AK198" s="32" t="s">
        <v>1347</v>
      </c>
      <c r="AL198" s="32" t="s">
        <v>491</v>
      </c>
      <c r="AM198" s="32" t="s">
        <v>278</v>
      </c>
      <c r="AN198" s="32" t="s">
        <v>278</v>
      </c>
      <c r="AO198" s="32" t="s">
        <v>491</v>
      </c>
      <c r="AP198" s="32" t="s">
        <v>491</v>
      </c>
      <c r="AQ198" s="32" t="s">
        <v>491</v>
      </c>
      <c r="AR198" s="32" t="s">
        <v>491</v>
      </c>
      <c r="AS198" s="32" t="s">
        <v>63</v>
      </c>
      <c r="AT198" s="32" t="s">
        <v>64</v>
      </c>
      <c r="AU198" s="56">
        <v>46237.458333333336</v>
      </c>
      <c r="AV198" s="56">
        <v>46237.46875</v>
      </c>
      <c r="AW198" s="56">
        <v>46237.472222222219</v>
      </c>
      <c r="AX198" s="56">
        <v>46237.482638888891</v>
      </c>
      <c r="AY198" s="56">
        <v>46237.5</v>
      </c>
      <c r="AZ198" s="56">
        <v>46237.575694444444</v>
      </c>
      <c r="BA198" s="56">
        <v>46238.411111111112</v>
      </c>
      <c r="BB198" s="56">
        <v>46238.413194444445</v>
      </c>
      <c r="BC198" s="56">
        <v>46238.427083333336</v>
      </c>
      <c r="BD198" s="56">
        <v>46238.431944444441</v>
      </c>
      <c r="BE198" s="56">
        <v>46238.444444444445</v>
      </c>
      <c r="BG198" s="56">
        <v>46238.520833333336</v>
      </c>
      <c r="BH198" s="56">
        <v>46238.543749999997</v>
      </c>
      <c r="BI198" s="32" t="s">
        <v>65</v>
      </c>
      <c r="BJ198" s="56">
        <v>46239.291666666664</v>
      </c>
      <c r="BK198" s="56">
        <v>46239.29791666667</v>
      </c>
      <c r="BL198" s="56">
        <v>46239.303472222222</v>
      </c>
      <c r="BM198" s="56">
        <v>46239.305555555555</v>
      </c>
      <c r="BN198" s="56">
        <v>46239.30972222222</v>
      </c>
    </row>
    <row r="199" spans="1:66" x14ac:dyDescent="0.35">
      <c r="A199" t="s">
        <v>176</v>
      </c>
      <c r="B199" s="32">
        <v>53</v>
      </c>
      <c r="C199" s="32">
        <v>31</v>
      </c>
      <c r="D199" s="32" t="s">
        <v>177</v>
      </c>
      <c r="E199" s="32" t="s">
        <v>178</v>
      </c>
      <c r="F199" s="54">
        <v>46237</v>
      </c>
      <c r="G199" s="54">
        <v>46238</v>
      </c>
      <c r="H199" s="55">
        <v>0.625</v>
      </c>
      <c r="I199" s="55">
        <v>0.54166666666666663</v>
      </c>
      <c r="J199" s="32" t="s">
        <v>53</v>
      </c>
      <c r="K199" s="32" t="s">
        <v>179</v>
      </c>
      <c r="L199" s="32">
        <v>1</v>
      </c>
      <c r="M199" s="32" t="s">
        <v>1348</v>
      </c>
      <c r="P199" s="32" t="s">
        <v>182</v>
      </c>
      <c r="Q199" s="32" t="s">
        <v>371</v>
      </c>
      <c r="R199" s="32" t="s">
        <v>183</v>
      </c>
      <c r="S199" s="32" t="s">
        <v>184</v>
      </c>
      <c r="T199" s="32" t="s">
        <v>1349</v>
      </c>
      <c r="U199" s="32" t="s">
        <v>1350</v>
      </c>
      <c r="V199" s="32">
        <v>801814</v>
      </c>
      <c r="W199" s="32" t="s">
        <v>1351</v>
      </c>
      <c r="X199" s="32" t="s">
        <v>187</v>
      </c>
      <c r="Z199" s="32" t="s">
        <v>188</v>
      </c>
      <c r="AA199" s="32" t="s">
        <v>189</v>
      </c>
      <c r="AB199" s="32" t="s">
        <v>55</v>
      </c>
      <c r="AC199" s="32" t="s">
        <v>56</v>
      </c>
      <c r="AD199" s="32" t="s">
        <v>78</v>
      </c>
      <c r="AE199" s="32">
        <v>20513040718</v>
      </c>
      <c r="AF199" s="32" t="s">
        <v>673</v>
      </c>
      <c r="AG199" s="32" t="s">
        <v>674</v>
      </c>
      <c r="AH199" s="32" t="s">
        <v>193</v>
      </c>
      <c r="AI199" s="32" t="s">
        <v>1095</v>
      </c>
      <c r="AJ199" s="32" t="s">
        <v>1096</v>
      </c>
      <c r="AK199" s="32">
        <v>977846820</v>
      </c>
      <c r="AL199" s="32" t="s">
        <v>491</v>
      </c>
      <c r="AM199" s="32" t="s">
        <v>278</v>
      </c>
      <c r="AN199" s="32" t="s">
        <v>278</v>
      </c>
      <c r="AO199" s="32" t="s">
        <v>491</v>
      </c>
      <c r="AP199" s="32" t="s">
        <v>491</v>
      </c>
      <c r="AQ199" s="32" t="s">
        <v>491</v>
      </c>
      <c r="AR199" s="32" t="s">
        <v>491</v>
      </c>
      <c r="AS199" s="32" t="s">
        <v>63</v>
      </c>
      <c r="AT199" s="32" t="s">
        <v>64</v>
      </c>
      <c r="AU199" s="56">
        <v>46237.458333333336</v>
      </c>
      <c r="AV199" s="56">
        <v>46237.473611111112</v>
      </c>
      <c r="AW199" s="56">
        <v>46237.477083333331</v>
      </c>
      <c r="AX199" s="56">
        <v>46237.503472222219</v>
      </c>
      <c r="AY199" s="56">
        <v>46237.520833333336</v>
      </c>
      <c r="AZ199" s="56">
        <v>46237.625</v>
      </c>
      <c r="BA199" s="56">
        <v>46238.466666666667</v>
      </c>
      <c r="BB199" s="56">
        <v>46238.46875</v>
      </c>
      <c r="BC199" s="56">
        <v>46238.479166666664</v>
      </c>
      <c r="BD199" s="56">
        <v>46238.484722222223</v>
      </c>
      <c r="BE199" s="56">
        <v>46238.5</v>
      </c>
      <c r="BG199" s="56">
        <v>46238.583333333336</v>
      </c>
      <c r="BH199" s="56">
        <v>46238.60833333333</v>
      </c>
      <c r="BI199" s="32" t="s">
        <v>65</v>
      </c>
      <c r="BJ199" s="56">
        <v>46239.416666666664</v>
      </c>
      <c r="BK199" s="56">
        <v>46239.432638888888</v>
      </c>
      <c r="BL199" s="56">
        <v>46239.436805555553</v>
      </c>
      <c r="BM199" s="56">
        <v>46239.440972222219</v>
      </c>
      <c r="BN199" s="56">
        <v>46239.464583333334</v>
      </c>
    </row>
    <row r="200" spans="1:66" x14ac:dyDescent="0.35">
      <c r="A200" t="s">
        <v>176</v>
      </c>
      <c r="B200" s="32">
        <v>54</v>
      </c>
      <c r="C200" s="32">
        <v>31</v>
      </c>
      <c r="D200" s="32" t="s">
        <v>177</v>
      </c>
      <c r="E200" s="32" t="s">
        <v>178</v>
      </c>
      <c r="F200" s="54">
        <v>46234</v>
      </c>
      <c r="G200" s="54">
        <v>46235</v>
      </c>
      <c r="H200" s="55">
        <v>0.58333333333333337</v>
      </c>
      <c r="I200" s="55">
        <v>0.5</v>
      </c>
      <c r="J200" s="32" t="s">
        <v>53</v>
      </c>
      <c r="K200" s="32" t="s">
        <v>179</v>
      </c>
      <c r="L200" s="32">
        <v>1</v>
      </c>
      <c r="M200" s="32" t="s">
        <v>1352</v>
      </c>
      <c r="P200" s="32" t="s">
        <v>182</v>
      </c>
      <c r="Q200" s="32" t="s">
        <v>371</v>
      </c>
      <c r="R200" s="32" t="s">
        <v>183</v>
      </c>
      <c r="S200" s="32" t="s">
        <v>184</v>
      </c>
      <c r="T200" s="32" t="s">
        <v>1353</v>
      </c>
      <c r="U200" s="32" t="s">
        <v>1354</v>
      </c>
      <c r="V200" s="32">
        <v>800898</v>
      </c>
      <c r="W200" s="32" t="s">
        <v>1355</v>
      </c>
      <c r="X200" s="32" t="s">
        <v>187</v>
      </c>
      <c r="Z200" s="32" t="s">
        <v>188</v>
      </c>
      <c r="AA200" s="32" t="s">
        <v>189</v>
      </c>
      <c r="AB200" s="32" t="s">
        <v>55</v>
      </c>
      <c r="AC200" s="32" t="s">
        <v>92</v>
      </c>
      <c r="AD200" s="32" t="s">
        <v>1125</v>
      </c>
      <c r="AE200" s="32">
        <v>20612886921</v>
      </c>
      <c r="AF200" s="32" t="s">
        <v>1209</v>
      </c>
      <c r="AG200" s="32" t="s">
        <v>1210</v>
      </c>
      <c r="AH200" s="32" t="s">
        <v>193</v>
      </c>
      <c r="AI200" s="32" t="s">
        <v>1211</v>
      </c>
      <c r="AJ200" s="32" t="s">
        <v>1212</v>
      </c>
      <c r="AK200" s="32">
        <v>980865741</v>
      </c>
      <c r="AL200" s="32" t="s">
        <v>491</v>
      </c>
      <c r="AM200" s="32" t="s">
        <v>278</v>
      </c>
      <c r="AN200" s="32" t="s">
        <v>278</v>
      </c>
      <c r="AO200" s="32" t="s">
        <v>491</v>
      </c>
      <c r="AP200" s="32" t="s">
        <v>491</v>
      </c>
      <c r="AQ200" s="32" t="s">
        <v>491</v>
      </c>
      <c r="AR200" s="32" t="s">
        <v>491</v>
      </c>
      <c r="AS200" s="32" t="s">
        <v>63</v>
      </c>
      <c r="AT200" s="32" t="s">
        <v>64</v>
      </c>
      <c r="AU200" s="56">
        <v>46234.583333333336</v>
      </c>
      <c r="AV200" s="56">
        <v>46234.586111111108</v>
      </c>
      <c r="AW200" s="56">
        <v>46234.590277777781</v>
      </c>
      <c r="AX200" s="56">
        <v>46234.665972222225</v>
      </c>
      <c r="AY200" s="56">
        <v>46234.6875</v>
      </c>
      <c r="AZ200" s="56">
        <v>46234.727083333331</v>
      </c>
      <c r="BA200" s="56">
        <v>46235.390972222223</v>
      </c>
      <c r="BB200" s="56">
        <v>46235.394444444442</v>
      </c>
      <c r="BC200" s="56">
        <v>46235.40625</v>
      </c>
      <c r="BD200" s="56">
        <v>46235.416666666664</v>
      </c>
      <c r="BE200" s="56">
        <v>46235.430555555555</v>
      </c>
      <c r="BG200" s="56">
        <v>46235.729166666664</v>
      </c>
      <c r="BH200" s="56">
        <v>46235.746527777781</v>
      </c>
      <c r="BI200" s="32" t="s">
        <v>65</v>
      </c>
      <c r="BJ200" s="56">
        <v>46236.375</v>
      </c>
      <c r="BK200" s="56">
        <v>46236.4</v>
      </c>
      <c r="BL200" s="56">
        <v>46236.404166666667</v>
      </c>
      <c r="BM200" s="56">
        <v>46236.40625</v>
      </c>
      <c r="BN200" s="56">
        <v>46236.424305555556</v>
      </c>
    </row>
    <row r="201" spans="1:66" x14ac:dyDescent="0.35">
      <c r="A201" t="s">
        <v>176</v>
      </c>
      <c r="B201" s="32">
        <v>55</v>
      </c>
      <c r="C201" s="32">
        <v>31</v>
      </c>
      <c r="D201" s="32" t="s">
        <v>177</v>
      </c>
      <c r="E201" s="32" t="s">
        <v>178</v>
      </c>
      <c r="F201" s="54">
        <v>46234</v>
      </c>
      <c r="G201" s="54">
        <v>46235</v>
      </c>
      <c r="H201" s="55">
        <v>0.41666666666666669</v>
      </c>
      <c r="I201" s="55">
        <v>0.33333333333333331</v>
      </c>
      <c r="J201" s="32" t="s">
        <v>53</v>
      </c>
      <c r="K201" s="32" t="s">
        <v>179</v>
      </c>
      <c r="L201" s="32">
        <v>1</v>
      </c>
      <c r="M201" s="32" t="s">
        <v>1356</v>
      </c>
      <c r="P201" s="32" t="s">
        <v>182</v>
      </c>
      <c r="Q201" s="32" t="s">
        <v>371</v>
      </c>
      <c r="R201" s="32" t="s">
        <v>183</v>
      </c>
      <c r="S201" s="32" t="s">
        <v>184</v>
      </c>
      <c r="T201" s="32" t="s">
        <v>1357</v>
      </c>
      <c r="U201" s="32" t="s">
        <v>1358</v>
      </c>
      <c r="W201" s="32" t="s">
        <v>1359</v>
      </c>
      <c r="X201" s="32" t="s">
        <v>187</v>
      </c>
      <c r="Z201" s="32" t="s">
        <v>188</v>
      </c>
      <c r="AA201" s="32" t="s">
        <v>189</v>
      </c>
      <c r="AB201" s="32" t="s">
        <v>55</v>
      </c>
      <c r="AC201" s="32" t="s">
        <v>56</v>
      </c>
      <c r="AD201" s="32" t="s">
        <v>78</v>
      </c>
      <c r="AE201" s="32">
        <v>20513040718</v>
      </c>
      <c r="AF201" s="32" t="s">
        <v>886</v>
      </c>
      <c r="AG201" s="32" t="s">
        <v>1011</v>
      </c>
      <c r="AH201" s="32" t="s">
        <v>193</v>
      </c>
      <c r="AI201" s="32" t="s">
        <v>1360</v>
      </c>
      <c r="AJ201" s="32" t="s">
        <v>1361</v>
      </c>
      <c r="AK201" s="32">
        <v>981163289</v>
      </c>
      <c r="AL201" s="32" t="s">
        <v>491</v>
      </c>
      <c r="AM201" s="32" t="s">
        <v>278</v>
      </c>
      <c r="AN201" s="32" t="s">
        <v>278</v>
      </c>
      <c r="AO201" s="32" t="s">
        <v>491</v>
      </c>
      <c r="AP201" s="32" t="s">
        <v>491</v>
      </c>
      <c r="AQ201" s="32" t="s">
        <v>491</v>
      </c>
      <c r="AR201" s="32" t="s">
        <v>491</v>
      </c>
      <c r="AS201" s="32" t="s">
        <v>63</v>
      </c>
      <c r="AT201" s="32" t="s">
        <v>64</v>
      </c>
      <c r="AU201" s="56">
        <v>46234.625</v>
      </c>
      <c r="AV201" s="56">
        <v>46234.657638888886</v>
      </c>
      <c r="AW201" s="56">
        <v>46234.661111111112</v>
      </c>
      <c r="AX201" s="56">
        <v>46234.666666666664</v>
      </c>
      <c r="AY201" s="56">
        <v>46234.6875</v>
      </c>
      <c r="AZ201" s="56">
        <v>46234.703472222223</v>
      </c>
      <c r="BA201" s="56">
        <v>46235.636111111111</v>
      </c>
      <c r="BB201" s="56">
        <v>46235.638888888891</v>
      </c>
      <c r="BC201" s="56">
        <v>46235.649305555555</v>
      </c>
      <c r="BD201" s="56">
        <v>46235.659722222219</v>
      </c>
      <c r="BE201" s="56">
        <v>46235.666666666664</v>
      </c>
      <c r="BG201" s="56">
        <v>46235.708333333336</v>
      </c>
      <c r="BH201" s="56">
        <v>46235.73541666667</v>
      </c>
      <c r="BI201" s="32" t="s">
        <v>65</v>
      </c>
      <c r="BJ201" s="56">
        <v>46236.458333333336</v>
      </c>
      <c r="BK201" s="56">
        <v>46236.484027777777</v>
      </c>
      <c r="BL201" s="56">
        <v>46236.489583333336</v>
      </c>
      <c r="BM201" s="56">
        <v>46236.496527777781</v>
      </c>
      <c r="BN201" s="56">
        <v>46236.506944444445</v>
      </c>
    </row>
    <row r="202" spans="1:66" x14ac:dyDescent="0.35">
      <c r="A202" t="s">
        <v>176</v>
      </c>
      <c r="B202" s="32">
        <v>56</v>
      </c>
      <c r="C202" s="32">
        <v>31</v>
      </c>
      <c r="D202" s="32" t="s">
        <v>177</v>
      </c>
      <c r="E202" s="32" t="s">
        <v>178</v>
      </c>
      <c r="F202" s="54">
        <v>46237</v>
      </c>
      <c r="G202" s="54">
        <v>46238</v>
      </c>
      <c r="H202" s="55">
        <v>0.41666666666666669</v>
      </c>
      <c r="I202" s="55">
        <v>0.33333333333333331</v>
      </c>
      <c r="J202" s="32" t="s">
        <v>53</v>
      </c>
      <c r="K202" s="32" t="s">
        <v>179</v>
      </c>
      <c r="L202" s="32">
        <v>1</v>
      </c>
      <c r="M202" s="32" t="s">
        <v>1362</v>
      </c>
      <c r="P202" s="32" t="s">
        <v>182</v>
      </c>
      <c r="Q202" s="32" t="s">
        <v>371</v>
      </c>
      <c r="R202" s="32" t="s">
        <v>183</v>
      </c>
      <c r="S202" s="32" t="s">
        <v>184</v>
      </c>
      <c r="T202" s="32" t="s">
        <v>1363</v>
      </c>
      <c r="U202" s="32" t="s">
        <v>1364</v>
      </c>
      <c r="V202" s="32">
        <v>801785</v>
      </c>
      <c r="W202" s="32" t="s">
        <v>1365</v>
      </c>
      <c r="X202" s="32" t="s">
        <v>187</v>
      </c>
      <c r="Z202" s="32" t="s">
        <v>188</v>
      </c>
      <c r="AA202" s="32" t="s">
        <v>189</v>
      </c>
      <c r="AB202" s="32" t="s">
        <v>55</v>
      </c>
      <c r="AC202" s="32" t="s">
        <v>56</v>
      </c>
      <c r="AD202" s="32" t="s">
        <v>78</v>
      </c>
      <c r="AE202" s="32">
        <v>20513040718</v>
      </c>
      <c r="AF202" s="32" t="s">
        <v>1103</v>
      </c>
      <c r="AG202" s="32" t="s">
        <v>1104</v>
      </c>
      <c r="AH202" s="32" t="s">
        <v>193</v>
      </c>
      <c r="AI202" s="32" t="s">
        <v>1105</v>
      </c>
      <c r="AJ202" s="32" t="s">
        <v>1106</v>
      </c>
      <c r="AK202" s="32">
        <v>938742706</v>
      </c>
      <c r="AL202" s="32" t="s">
        <v>491</v>
      </c>
      <c r="AM202" s="32" t="s">
        <v>278</v>
      </c>
      <c r="AN202" s="32" t="s">
        <v>278</v>
      </c>
      <c r="AO202" s="32" t="s">
        <v>491</v>
      </c>
      <c r="AP202" s="32" t="s">
        <v>491</v>
      </c>
      <c r="AQ202" s="32" t="s">
        <v>491</v>
      </c>
      <c r="AR202" s="32" t="s">
        <v>491</v>
      </c>
      <c r="AS202" s="32" t="s">
        <v>63</v>
      </c>
      <c r="AT202" s="32" t="s">
        <v>64</v>
      </c>
      <c r="AU202" s="56">
        <v>46237.416666666664</v>
      </c>
      <c r="AV202" s="56">
        <v>46237.454861111109</v>
      </c>
      <c r="AW202" s="56">
        <v>46237.458333333336</v>
      </c>
      <c r="AX202" s="56">
        <v>46237.466666666667</v>
      </c>
      <c r="AY202" s="56">
        <v>46237.489583333336</v>
      </c>
      <c r="AZ202" s="56">
        <v>46237.504166666666</v>
      </c>
      <c r="BA202" s="56">
        <v>46238.347916666666</v>
      </c>
      <c r="BB202" s="56">
        <v>46238.350694444445</v>
      </c>
      <c r="BC202" s="56">
        <v>46238.361111111109</v>
      </c>
      <c r="BD202" s="56">
        <v>46238.371527777781</v>
      </c>
      <c r="BE202" s="56">
        <v>46238.375</v>
      </c>
      <c r="BG202" s="56">
        <v>46238.506944444445</v>
      </c>
      <c r="BH202" s="56">
        <v>46238.52847222222</v>
      </c>
      <c r="BI202" s="32" t="s">
        <v>65</v>
      </c>
      <c r="BJ202" s="56">
        <v>46238.958333333336</v>
      </c>
      <c r="BK202" s="56">
        <v>46238.96597222222</v>
      </c>
      <c r="BL202" s="56">
        <v>46238.970138888886</v>
      </c>
      <c r="BM202" s="56">
        <v>46238.973611111112</v>
      </c>
      <c r="BN202" s="56">
        <v>46238.977083333331</v>
      </c>
    </row>
    <row r="203" spans="1:66" x14ac:dyDescent="0.35">
      <c r="A203" t="s">
        <v>176</v>
      </c>
      <c r="B203" s="32">
        <v>57</v>
      </c>
      <c r="C203" s="32">
        <v>31</v>
      </c>
      <c r="D203" s="32" t="s">
        <v>177</v>
      </c>
      <c r="E203" s="32" t="s">
        <v>178</v>
      </c>
      <c r="F203" s="54">
        <v>46234</v>
      </c>
      <c r="G203" s="54">
        <v>46235</v>
      </c>
      <c r="H203" s="55">
        <v>0.58333333333333337</v>
      </c>
      <c r="I203" s="55">
        <v>0.5</v>
      </c>
      <c r="J203" s="32" t="s">
        <v>53</v>
      </c>
      <c r="K203" s="32" t="s">
        <v>179</v>
      </c>
      <c r="L203" s="32">
        <v>1</v>
      </c>
      <c r="M203" s="32" t="s">
        <v>1366</v>
      </c>
      <c r="P203" s="32" t="s">
        <v>182</v>
      </c>
      <c r="Q203" s="32" t="s">
        <v>371</v>
      </c>
      <c r="R203" s="32" t="s">
        <v>183</v>
      </c>
      <c r="S203" s="32" t="s">
        <v>184</v>
      </c>
      <c r="T203" s="32" t="s">
        <v>1367</v>
      </c>
      <c r="U203" s="32" t="s">
        <v>1368</v>
      </c>
      <c r="V203" s="32">
        <v>800894</v>
      </c>
      <c r="W203" s="32" t="s">
        <v>1369</v>
      </c>
      <c r="X203" s="32" t="s">
        <v>187</v>
      </c>
      <c r="Z203" s="32" t="s">
        <v>188</v>
      </c>
      <c r="AA203" s="32" t="s">
        <v>189</v>
      </c>
      <c r="AB203" s="32" t="s">
        <v>55</v>
      </c>
      <c r="AC203" s="32" t="s">
        <v>92</v>
      </c>
      <c r="AD203" s="32" t="s">
        <v>1321</v>
      </c>
      <c r="AE203" s="32">
        <v>20601368766</v>
      </c>
      <c r="AF203" s="32" t="s">
        <v>1370</v>
      </c>
      <c r="AG203" s="32" t="s">
        <v>1371</v>
      </c>
      <c r="AH203" s="32" t="s">
        <v>193</v>
      </c>
      <c r="AI203" s="32" t="s">
        <v>1372</v>
      </c>
      <c r="AJ203" s="32" t="s">
        <v>1373</v>
      </c>
      <c r="AK203" s="32">
        <v>981143257</v>
      </c>
      <c r="AL203" s="32" t="s">
        <v>491</v>
      </c>
      <c r="AM203" s="32" t="s">
        <v>278</v>
      </c>
      <c r="AN203" s="32" t="s">
        <v>278</v>
      </c>
      <c r="AO203" s="32" t="s">
        <v>491</v>
      </c>
      <c r="AP203" s="32" t="s">
        <v>491</v>
      </c>
      <c r="AQ203" s="32" t="s">
        <v>491</v>
      </c>
      <c r="AR203" s="32" t="s">
        <v>491</v>
      </c>
      <c r="AS203" s="32" t="s">
        <v>63</v>
      </c>
      <c r="AT203" s="32" t="s">
        <v>64</v>
      </c>
      <c r="AU203" s="56">
        <v>46234.625</v>
      </c>
      <c r="AV203" s="56">
        <v>46234.645138888889</v>
      </c>
      <c r="AW203" s="56">
        <v>46234.647222222222</v>
      </c>
      <c r="AX203" s="56">
        <v>46234.668749999997</v>
      </c>
      <c r="AY203" s="56">
        <v>46234.6875</v>
      </c>
      <c r="AZ203" s="56">
        <v>46234.715277777781</v>
      </c>
      <c r="BA203" s="56">
        <v>46235.461805555555</v>
      </c>
      <c r="BB203" s="56">
        <v>46235.465277777781</v>
      </c>
      <c r="BC203" s="56">
        <v>46235.479166666664</v>
      </c>
      <c r="BD203" s="56">
        <v>46235.493055555555</v>
      </c>
      <c r="BE203" s="56">
        <v>46235.506944444445</v>
      </c>
      <c r="BG203" s="56">
        <v>46235.729166666664</v>
      </c>
      <c r="BH203" s="56">
        <v>46235.746527777781</v>
      </c>
      <c r="BI203" s="32" t="s">
        <v>65</v>
      </c>
      <c r="BJ203" s="56">
        <v>46236.5</v>
      </c>
      <c r="BK203" s="56">
        <v>46236.509027777778</v>
      </c>
      <c r="BL203" s="56">
        <v>46236.513194444444</v>
      </c>
      <c r="BM203" s="56">
        <v>46236.517361111109</v>
      </c>
      <c r="BN203" s="56">
        <v>46236.531944444447</v>
      </c>
    </row>
    <row r="204" spans="1:66" x14ac:dyDescent="0.35">
      <c r="A204" t="s">
        <v>176</v>
      </c>
      <c r="B204" s="32">
        <v>58</v>
      </c>
      <c r="C204" s="32">
        <v>31</v>
      </c>
      <c r="D204" s="32" t="s">
        <v>177</v>
      </c>
      <c r="E204" s="32" t="s">
        <v>178</v>
      </c>
      <c r="F204" s="54">
        <v>46234</v>
      </c>
      <c r="G204" s="54">
        <v>46235</v>
      </c>
      <c r="H204" s="55">
        <v>0.58333333333333337</v>
      </c>
      <c r="I204" s="55">
        <v>0.5</v>
      </c>
      <c r="J204" s="32" t="s">
        <v>53</v>
      </c>
      <c r="K204" s="32" t="s">
        <v>179</v>
      </c>
      <c r="L204" s="32">
        <v>1</v>
      </c>
      <c r="M204" s="32" t="s">
        <v>1374</v>
      </c>
      <c r="P204" s="32" t="s">
        <v>182</v>
      </c>
      <c r="Q204" s="32" t="s">
        <v>371</v>
      </c>
      <c r="R204" s="32" t="s">
        <v>183</v>
      </c>
      <c r="S204" s="32" t="s">
        <v>184</v>
      </c>
      <c r="T204" s="32" t="s">
        <v>1375</v>
      </c>
      <c r="U204" s="32" t="s">
        <v>1376</v>
      </c>
      <c r="V204" s="32">
        <v>800866</v>
      </c>
      <c r="W204" s="32" t="s">
        <v>1377</v>
      </c>
      <c r="X204" s="32" t="s">
        <v>187</v>
      </c>
      <c r="Z204" s="32" t="s">
        <v>188</v>
      </c>
      <c r="AA204" s="32" t="s">
        <v>189</v>
      </c>
      <c r="AB204" s="32" t="s">
        <v>55</v>
      </c>
      <c r="AC204" s="32" t="s">
        <v>56</v>
      </c>
      <c r="AD204" s="32" t="s">
        <v>78</v>
      </c>
      <c r="AE204" s="32">
        <v>20513040718</v>
      </c>
      <c r="AF204" s="32" t="s">
        <v>1033</v>
      </c>
      <c r="AG204" s="32" t="s">
        <v>1034</v>
      </c>
      <c r="AH204" s="32" t="s">
        <v>193</v>
      </c>
      <c r="AI204" s="32" t="s">
        <v>1035</v>
      </c>
      <c r="AJ204" s="32" t="s">
        <v>1036</v>
      </c>
      <c r="AK204" s="32" t="s">
        <v>1378</v>
      </c>
      <c r="AL204" s="32" t="s">
        <v>491</v>
      </c>
      <c r="AM204" s="32" t="s">
        <v>278</v>
      </c>
      <c r="AN204" s="32" t="s">
        <v>278</v>
      </c>
      <c r="AO204" s="32" t="s">
        <v>491</v>
      </c>
      <c r="AP204" s="32" t="s">
        <v>491</v>
      </c>
      <c r="AQ204" s="32" t="s">
        <v>491</v>
      </c>
      <c r="AR204" s="32" t="s">
        <v>491</v>
      </c>
      <c r="AS204" s="32" t="s">
        <v>63</v>
      </c>
      <c r="AT204" s="32" t="s">
        <v>64</v>
      </c>
      <c r="AU204" s="56">
        <v>46234.583333333336</v>
      </c>
      <c r="AV204" s="56">
        <v>46234.604861111111</v>
      </c>
      <c r="AW204" s="56">
        <v>46234.607638888891</v>
      </c>
      <c r="AX204" s="56">
        <v>46234.626388888886</v>
      </c>
      <c r="AY204" s="56">
        <v>46234.645833333336</v>
      </c>
      <c r="AZ204" s="56">
        <v>46234.68472222222</v>
      </c>
      <c r="BA204" s="56">
        <v>46235.547222222223</v>
      </c>
      <c r="BB204" s="56">
        <v>46235.550694444442</v>
      </c>
      <c r="BC204" s="56">
        <v>46235.5625</v>
      </c>
      <c r="BD204" s="56">
        <v>46235.576388888891</v>
      </c>
      <c r="BE204" s="56">
        <v>46235.590277777781</v>
      </c>
      <c r="BG204" s="56">
        <v>46235.729166666664</v>
      </c>
      <c r="BH204" s="56">
        <v>46235.738194444442</v>
      </c>
      <c r="BI204" s="32" t="s">
        <v>65</v>
      </c>
      <c r="BJ204" s="56">
        <v>46236.541666666664</v>
      </c>
      <c r="BK204" s="56">
        <v>46236.548611111109</v>
      </c>
      <c r="BL204" s="56">
        <v>46236.552083333336</v>
      </c>
      <c r="BM204" s="56">
        <v>46236.555555555555</v>
      </c>
      <c r="BN204" s="56">
        <v>46236.566666666666</v>
      </c>
    </row>
    <row r="205" spans="1:66" x14ac:dyDescent="0.35">
      <c r="A205" t="s">
        <v>176</v>
      </c>
      <c r="B205" s="32">
        <v>59</v>
      </c>
      <c r="C205" s="32">
        <v>32</v>
      </c>
      <c r="D205" s="32" t="s">
        <v>177</v>
      </c>
      <c r="E205" s="32" t="s">
        <v>178</v>
      </c>
      <c r="F205" s="54">
        <v>46239</v>
      </c>
      <c r="G205" s="54">
        <v>46240</v>
      </c>
      <c r="H205" s="55">
        <v>0.58333333333333337</v>
      </c>
      <c r="I205" s="55">
        <v>0.5</v>
      </c>
      <c r="J205" s="32" t="s">
        <v>53</v>
      </c>
      <c r="K205" s="32" t="s">
        <v>179</v>
      </c>
      <c r="L205" s="32">
        <v>1</v>
      </c>
      <c r="M205" s="32" t="s">
        <v>1379</v>
      </c>
      <c r="P205" s="32" t="s">
        <v>182</v>
      </c>
      <c r="Q205" s="32" t="s">
        <v>371</v>
      </c>
      <c r="R205" s="32" t="s">
        <v>382</v>
      </c>
      <c r="S205" s="32" t="s">
        <v>383</v>
      </c>
      <c r="T205" s="32" t="s">
        <v>1380</v>
      </c>
      <c r="U205" s="32" t="s">
        <v>1381</v>
      </c>
      <c r="V205" s="32">
        <v>7341</v>
      </c>
      <c r="W205" s="32" t="s">
        <v>1382</v>
      </c>
      <c r="X205" s="32" t="s">
        <v>188</v>
      </c>
      <c r="Z205" s="32" t="s">
        <v>188</v>
      </c>
      <c r="AA205" s="32" t="s">
        <v>189</v>
      </c>
      <c r="AB205" s="32" t="s">
        <v>55</v>
      </c>
      <c r="AC205" s="32" t="s">
        <v>92</v>
      </c>
      <c r="AD205" s="32" t="s">
        <v>1219</v>
      </c>
      <c r="AE205" s="32">
        <v>20482013423</v>
      </c>
      <c r="AF205" s="32" t="s">
        <v>1383</v>
      </c>
      <c r="AG205" s="32" t="s">
        <v>1384</v>
      </c>
      <c r="AH205" s="32" t="s">
        <v>193</v>
      </c>
      <c r="AI205" s="32" t="s">
        <v>1385</v>
      </c>
      <c r="AJ205" s="32" t="s">
        <v>1386</v>
      </c>
      <c r="AK205" s="32">
        <v>963812237</v>
      </c>
      <c r="AL205" s="32" t="s">
        <v>491</v>
      </c>
      <c r="AM205" s="32" t="s">
        <v>278</v>
      </c>
      <c r="AN205" s="32" t="s">
        <v>278</v>
      </c>
      <c r="AO205" s="32" t="s">
        <v>491</v>
      </c>
      <c r="AP205" s="32" t="s">
        <v>491</v>
      </c>
      <c r="AQ205" s="32" t="s">
        <v>491</v>
      </c>
      <c r="AR205" s="32" t="s">
        <v>491</v>
      </c>
      <c r="AS205" s="32" t="s">
        <v>63</v>
      </c>
      <c r="AT205" s="32" t="s">
        <v>388</v>
      </c>
      <c r="AU205" s="56">
        <v>46239.458333333336</v>
      </c>
      <c r="AV205" s="56">
        <v>46239.469444444447</v>
      </c>
      <c r="AW205" s="56">
        <v>46239.472222222219</v>
      </c>
      <c r="AX205" s="56">
        <v>46239.48541666667</v>
      </c>
      <c r="AY205" s="56">
        <v>46239.493055555555</v>
      </c>
      <c r="AZ205" s="56">
        <v>46239.545138888891</v>
      </c>
      <c r="BA205" s="56">
        <v>46240.345138888886</v>
      </c>
      <c r="BB205" s="56">
        <v>46240.347222222219</v>
      </c>
      <c r="BC205" s="56">
        <v>46240.361111111109</v>
      </c>
      <c r="BD205" s="56">
        <v>46240.375</v>
      </c>
      <c r="BE205" s="56">
        <v>46240.388888888891</v>
      </c>
      <c r="BG205" s="56">
        <v>46240.520833333336</v>
      </c>
      <c r="BH205" s="56">
        <v>46240.531944444447</v>
      </c>
      <c r="BI205" s="32" t="s">
        <v>65</v>
      </c>
      <c r="BJ205" s="56">
        <v>46241.25</v>
      </c>
      <c r="BK205" s="56">
        <v>46241.28402777778</v>
      </c>
      <c r="BL205" s="56">
        <v>46241.288888888892</v>
      </c>
      <c r="BM205" s="56">
        <v>46241.293055555558</v>
      </c>
      <c r="BN205" s="56">
        <v>46241.301388888889</v>
      </c>
    </row>
    <row r="206" spans="1:66" x14ac:dyDescent="0.35">
      <c r="A206" t="s">
        <v>176</v>
      </c>
      <c r="B206" s="32">
        <v>60</v>
      </c>
      <c r="C206" s="32">
        <v>32</v>
      </c>
      <c r="D206" s="32" t="s">
        <v>177</v>
      </c>
      <c r="E206" s="32" t="s">
        <v>178</v>
      </c>
      <c r="F206" s="54">
        <v>46239</v>
      </c>
      <c r="G206" s="54">
        <v>46240</v>
      </c>
      <c r="H206" s="55">
        <v>0.41666666666666669</v>
      </c>
      <c r="I206" s="55">
        <v>0.33333333333333331</v>
      </c>
      <c r="J206" s="32" t="s">
        <v>53</v>
      </c>
      <c r="K206" s="32" t="s">
        <v>179</v>
      </c>
      <c r="L206" s="32">
        <v>1</v>
      </c>
      <c r="M206" s="32" t="s">
        <v>1387</v>
      </c>
      <c r="P206" s="32" t="s">
        <v>182</v>
      </c>
      <c r="Q206" s="32" t="s">
        <v>371</v>
      </c>
      <c r="R206" s="32" t="s">
        <v>382</v>
      </c>
      <c r="S206" s="32" t="s">
        <v>383</v>
      </c>
      <c r="T206" s="32" t="s">
        <v>1388</v>
      </c>
      <c r="U206" s="32" t="s">
        <v>1389</v>
      </c>
      <c r="V206" s="32">
        <v>7351</v>
      </c>
      <c r="W206" s="32" t="s">
        <v>1390</v>
      </c>
      <c r="X206" s="32" t="s">
        <v>188</v>
      </c>
      <c r="Z206" s="32" t="s">
        <v>188</v>
      </c>
      <c r="AA206" s="32" t="s">
        <v>189</v>
      </c>
      <c r="AB206" s="32" t="s">
        <v>55</v>
      </c>
      <c r="AC206" s="32" t="s">
        <v>92</v>
      </c>
      <c r="AD206" s="32" t="s">
        <v>1125</v>
      </c>
      <c r="AE206" s="32">
        <v>20612886921</v>
      </c>
      <c r="AF206" s="32" t="s">
        <v>1301</v>
      </c>
      <c r="AG206" s="32" t="s">
        <v>1302</v>
      </c>
      <c r="AH206" s="32" t="s">
        <v>193</v>
      </c>
      <c r="AI206" s="32" t="s">
        <v>1303</v>
      </c>
      <c r="AJ206" s="32" t="s">
        <v>1304</v>
      </c>
      <c r="AK206" s="32">
        <v>922824613</v>
      </c>
      <c r="AL206" s="32" t="s">
        <v>491</v>
      </c>
      <c r="AM206" s="32" t="s">
        <v>278</v>
      </c>
      <c r="AN206" s="32" t="s">
        <v>278</v>
      </c>
      <c r="AO206" s="32" t="s">
        <v>491</v>
      </c>
      <c r="AP206" s="32" t="s">
        <v>491</v>
      </c>
      <c r="AQ206" s="32" t="s">
        <v>491</v>
      </c>
      <c r="AR206" s="32" t="s">
        <v>491</v>
      </c>
      <c r="AS206" s="32" t="s">
        <v>63</v>
      </c>
      <c r="AT206" s="32" t="s">
        <v>388</v>
      </c>
      <c r="AU206" s="56">
        <v>46239.458333333336</v>
      </c>
      <c r="AV206" s="56">
        <v>46239.47152777778</v>
      </c>
      <c r="AW206" s="56">
        <v>46239.473611111112</v>
      </c>
      <c r="AX206" s="56">
        <v>46239.484027777777</v>
      </c>
      <c r="AY206" s="56">
        <v>46239.5</v>
      </c>
      <c r="AZ206" s="56">
        <v>46239.587500000001</v>
      </c>
      <c r="BA206" s="56">
        <v>46240.378472222219</v>
      </c>
      <c r="BB206" s="56">
        <v>46240.388888888891</v>
      </c>
      <c r="BC206" s="56">
        <v>46240.402777777781</v>
      </c>
      <c r="BD206" s="56">
        <v>46240.416666666664</v>
      </c>
      <c r="BE206" s="56">
        <v>46240.430555555555</v>
      </c>
      <c r="BG206" s="56">
        <v>46240.53125</v>
      </c>
      <c r="BH206" s="56">
        <v>46240.549305555556</v>
      </c>
      <c r="BI206" s="32" t="s">
        <v>65</v>
      </c>
      <c r="BJ206" s="56">
        <v>46241.291666666664</v>
      </c>
      <c r="BK206" s="56">
        <v>46241.320833333331</v>
      </c>
      <c r="BL206" s="56">
        <v>46241.324999999997</v>
      </c>
      <c r="BM206" s="56">
        <v>46241.327777777777</v>
      </c>
      <c r="BN206" s="56">
        <v>46241.336805555555</v>
      </c>
    </row>
    <row r="207" spans="1:66" x14ac:dyDescent="0.35">
      <c r="A207" t="s">
        <v>176</v>
      </c>
      <c r="B207" s="32">
        <v>61</v>
      </c>
      <c r="C207" s="32">
        <v>32</v>
      </c>
      <c r="D207" s="32" t="s">
        <v>177</v>
      </c>
      <c r="E207" s="32" t="s">
        <v>178</v>
      </c>
      <c r="F207" s="54">
        <v>46239</v>
      </c>
      <c r="G207" s="54">
        <v>46240</v>
      </c>
      <c r="H207" s="55">
        <v>0.58333333333333337</v>
      </c>
      <c r="I207" s="55">
        <v>0.5</v>
      </c>
      <c r="J207" s="32" t="s">
        <v>53</v>
      </c>
      <c r="K207" s="32" t="s">
        <v>179</v>
      </c>
      <c r="L207" s="32">
        <v>1</v>
      </c>
      <c r="M207" s="32" t="s">
        <v>1391</v>
      </c>
      <c r="P207" s="32" t="s">
        <v>182</v>
      </c>
      <c r="Q207" s="32" t="s">
        <v>371</v>
      </c>
      <c r="R207" s="32" t="s">
        <v>382</v>
      </c>
      <c r="S207" s="32" t="s">
        <v>383</v>
      </c>
      <c r="T207" s="32" t="s">
        <v>1392</v>
      </c>
      <c r="U207" s="32" t="s">
        <v>1393</v>
      </c>
      <c r="V207" s="32">
        <v>7350</v>
      </c>
      <c r="W207" s="32" t="s">
        <v>1394</v>
      </c>
      <c r="X207" s="32" t="s">
        <v>188</v>
      </c>
      <c r="Z207" s="32" t="s">
        <v>188</v>
      </c>
      <c r="AA207" s="32" t="s">
        <v>189</v>
      </c>
      <c r="AB207" s="32" t="s">
        <v>55</v>
      </c>
      <c r="AC207" s="32" t="s">
        <v>92</v>
      </c>
      <c r="AD207" s="32" t="s">
        <v>1395</v>
      </c>
      <c r="AE207" s="32">
        <v>20526041845</v>
      </c>
      <c r="AF207" s="32" t="s">
        <v>1396</v>
      </c>
      <c r="AG207" s="32" t="s">
        <v>1397</v>
      </c>
      <c r="AH207" s="32" t="s">
        <v>193</v>
      </c>
      <c r="AI207" s="32" t="s">
        <v>1398</v>
      </c>
      <c r="AJ207" s="32" t="s">
        <v>1399</v>
      </c>
      <c r="AK207" s="32">
        <v>977252689</v>
      </c>
      <c r="AL207" s="32" t="s">
        <v>491</v>
      </c>
      <c r="AM207" s="32" t="s">
        <v>278</v>
      </c>
      <c r="AN207" s="32" t="s">
        <v>278</v>
      </c>
      <c r="AO207" s="32" t="s">
        <v>491</v>
      </c>
      <c r="AP207" s="32" t="s">
        <v>491</v>
      </c>
      <c r="AQ207" s="32" t="s">
        <v>491</v>
      </c>
      <c r="AR207" s="32" t="s">
        <v>491</v>
      </c>
      <c r="AS207" s="32" t="s">
        <v>63</v>
      </c>
      <c r="AT207" s="32" t="s">
        <v>388</v>
      </c>
      <c r="AU207" s="56">
        <v>46239.458333333336</v>
      </c>
      <c r="AV207" s="56">
        <v>46239.464583333334</v>
      </c>
      <c r="AW207" s="56">
        <v>46239.466666666667</v>
      </c>
      <c r="AX207" s="56">
        <v>46239.489583333336</v>
      </c>
      <c r="AY207" s="56">
        <v>46239.5</v>
      </c>
      <c r="AZ207" s="56">
        <v>46239.552777777775</v>
      </c>
      <c r="BA207" s="56">
        <v>46240.393055555556</v>
      </c>
      <c r="BB207" s="56">
        <v>46240.416666666664</v>
      </c>
      <c r="BC207" s="56">
        <v>46240.430555555555</v>
      </c>
      <c r="BD207" s="56">
        <v>46240.444444444445</v>
      </c>
      <c r="BE207" s="56">
        <v>46240.458333333336</v>
      </c>
      <c r="BG207" s="56">
        <v>46240.53125</v>
      </c>
      <c r="BH207" s="56">
        <v>46240.549305555556</v>
      </c>
      <c r="BI207" s="32" t="s">
        <v>65</v>
      </c>
      <c r="BJ207" s="56">
        <v>46241.083333333336</v>
      </c>
      <c r="BK207" s="56">
        <v>46241.09097222222</v>
      </c>
      <c r="BL207" s="56">
        <v>46241.1</v>
      </c>
      <c r="BM207" s="56">
        <v>46241.104166666664</v>
      </c>
      <c r="BN207" s="56">
        <v>46241.126388888886</v>
      </c>
    </row>
    <row r="208" spans="1:66" x14ac:dyDescent="0.35">
      <c r="A208" t="s">
        <v>176</v>
      </c>
      <c r="B208" s="32">
        <v>62</v>
      </c>
      <c r="C208" s="32">
        <v>32</v>
      </c>
      <c r="D208" s="32" t="s">
        <v>177</v>
      </c>
      <c r="E208" s="32" t="s">
        <v>178</v>
      </c>
      <c r="F208" s="54">
        <v>46242</v>
      </c>
      <c r="G208" s="54">
        <v>46243</v>
      </c>
      <c r="H208" s="55">
        <v>0.70833333333333337</v>
      </c>
      <c r="I208" s="55">
        <v>0.625</v>
      </c>
      <c r="J208" s="32" t="s">
        <v>53</v>
      </c>
      <c r="K208" s="32" t="s">
        <v>179</v>
      </c>
      <c r="L208" s="32">
        <v>1</v>
      </c>
      <c r="M208" s="32" t="s">
        <v>1400</v>
      </c>
      <c r="P208" s="32" t="s">
        <v>182</v>
      </c>
      <c r="Q208" s="32" t="s">
        <v>371</v>
      </c>
      <c r="R208" s="32" t="s">
        <v>556</v>
      </c>
      <c r="S208" s="32" t="s">
        <v>631</v>
      </c>
      <c r="T208" s="32" t="s">
        <v>1401</v>
      </c>
      <c r="U208" s="32" t="s">
        <v>1402</v>
      </c>
      <c r="V208" s="32">
        <v>803695</v>
      </c>
      <c r="W208" s="32" t="s">
        <v>1403</v>
      </c>
      <c r="X208" s="32" t="s">
        <v>187</v>
      </c>
      <c r="Z208" s="32" t="s">
        <v>188</v>
      </c>
      <c r="AA208" s="32" t="s">
        <v>189</v>
      </c>
      <c r="AB208" s="32" t="s">
        <v>55</v>
      </c>
      <c r="AC208" s="32" t="s">
        <v>92</v>
      </c>
      <c r="AD208" s="32" t="s">
        <v>1395</v>
      </c>
      <c r="AE208" s="32">
        <v>20526041845</v>
      </c>
      <c r="AF208" s="32" t="s">
        <v>1404</v>
      </c>
      <c r="AG208" s="32" t="s">
        <v>1405</v>
      </c>
      <c r="AH208" s="32" t="s">
        <v>193</v>
      </c>
      <c r="AI208" s="32" t="s">
        <v>1406</v>
      </c>
      <c r="AJ208" s="32" t="s">
        <v>1407</v>
      </c>
      <c r="AK208" s="32" t="s">
        <v>1408</v>
      </c>
      <c r="AL208" s="32" t="s">
        <v>491</v>
      </c>
      <c r="AM208" s="32" t="s">
        <v>278</v>
      </c>
      <c r="AN208" s="32" t="s">
        <v>278</v>
      </c>
      <c r="AO208" s="32" t="s">
        <v>491</v>
      </c>
      <c r="AP208" s="32" t="s">
        <v>491</v>
      </c>
      <c r="AQ208" s="32" t="s">
        <v>491</v>
      </c>
      <c r="AR208" s="32" t="s">
        <v>491</v>
      </c>
      <c r="AS208" s="32" t="s">
        <v>63</v>
      </c>
      <c r="AT208" s="32" t="s">
        <v>64</v>
      </c>
      <c r="AU208" s="56">
        <v>46242.458333333336</v>
      </c>
      <c r="AV208" s="56">
        <v>46242.462500000001</v>
      </c>
      <c r="AW208" s="56">
        <v>46242.465277777781</v>
      </c>
      <c r="AX208" s="56">
        <v>46242.47152777778</v>
      </c>
      <c r="AY208" s="56">
        <v>46242.479166666664</v>
      </c>
      <c r="AZ208" s="56">
        <v>46242.531944444447</v>
      </c>
      <c r="BA208" s="56">
        <v>46243.426388888889</v>
      </c>
      <c r="BB208" s="56">
        <v>46243.430555555555</v>
      </c>
      <c r="BC208" s="56">
        <v>46243.444444444445</v>
      </c>
      <c r="BD208" s="56">
        <v>46243.458333333336</v>
      </c>
      <c r="BE208" s="56">
        <v>46243.472222222219</v>
      </c>
      <c r="BG208" s="56">
        <v>46243.833333333336</v>
      </c>
      <c r="BH208" s="56">
        <v>46243.861111111109</v>
      </c>
      <c r="BI208" s="32" t="s">
        <v>65</v>
      </c>
      <c r="BJ208" s="56">
        <v>46244.458333333336</v>
      </c>
      <c r="BK208" s="56">
        <v>46244.477777777778</v>
      </c>
      <c r="BL208" s="56">
        <v>46244.480555555558</v>
      </c>
      <c r="BM208" s="56">
        <v>46244.484027777777</v>
      </c>
      <c r="BN208" s="56">
        <v>46244.495138888888</v>
      </c>
    </row>
    <row r="209" spans="1:66" x14ac:dyDescent="0.35">
      <c r="A209" t="s">
        <v>176</v>
      </c>
      <c r="B209" s="32">
        <v>63</v>
      </c>
      <c r="C209" s="32">
        <v>32</v>
      </c>
      <c r="D209" s="32" t="s">
        <v>177</v>
      </c>
      <c r="E209" s="32" t="s">
        <v>178</v>
      </c>
      <c r="F209" s="54">
        <v>46242</v>
      </c>
      <c r="G209" s="54">
        <v>46243</v>
      </c>
      <c r="H209" s="55">
        <v>0.70833333333333337</v>
      </c>
      <c r="I209" s="55">
        <v>0.625</v>
      </c>
      <c r="J209" s="32" t="s">
        <v>53</v>
      </c>
      <c r="K209" s="32" t="s">
        <v>179</v>
      </c>
      <c r="L209" s="32">
        <v>1</v>
      </c>
      <c r="M209" s="32" t="s">
        <v>1409</v>
      </c>
      <c r="P209" s="32" t="s">
        <v>182</v>
      </c>
      <c r="Q209" s="32" t="s">
        <v>371</v>
      </c>
      <c r="R209" s="32" t="s">
        <v>556</v>
      </c>
      <c r="S209" s="32" t="s">
        <v>631</v>
      </c>
      <c r="T209" s="32" t="s">
        <v>1410</v>
      </c>
      <c r="U209" s="32" t="s">
        <v>1411</v>
      </c>
      <c r="V209" s="32">
        <v>803735</v>
      </c>
      <c r="W209" s="32" t="s">
        <v>1412</v>
      </c>
      <c r="X209" s="32" t="s">
        <v>187</v>
      </c>
      <c r="Z209" s="32" t="s">
        <v>188</v>
      </c>
      <c r="AA209" s="32" t="s">
        <v>189</v>
      </c>
      <c r="AB209" s="32" t="s">
        <v>55</v>
      </c>
      <c r="AC209" s="32" t="s">
        <v>92</v>
      </c>
      <c r="AD209" s="32" t="s">
        <v>1125</v>
      </c>
      <c r="AE209" s="32">
        <v>20612886921</v>
      </c>
      <c r="AF209" s="32" t="s">
        <v>1142</v>
      </c>
      <c r="AG209" s="32" t="s">
        <v>1143</v>
      </c>
      <c r="AH209" s="32" t="s">
        <v>193</v>
      </c>
      <c r="AI209" s="32" t="s">
        <v>1144</v>
      </c>
      <c r="AJ209" s="32" t="s">
        <v>1145</v>
      </c>
      <c r="AK209" s="32">
        <v>944018002</v>
      </c>
      <c r="AL209" s="32" t="s">
        <v>491</v>
      </c>
      <c r="AM209" s="32" t="s">
        <v>278</v>
      </c>
      <c r="AN209" s="32" t="s">
        <v>278</v>
      </c>
      <c r="AO209" s="32" t="s">
        <v>491</v>
      </c>
      <c r="AP209" s="32" t="s">
        <v>491</v>
      </c>
      <c r="AQ209" s="32" t="s">
        <v>491</v>
      </c>
      <c r="AR209" s="32" t="s">
        <v>491</v>
      </c>
      <c r="AS209" s="32" t="s">
        <v>63</v>
      </c>
      <c r="AT209" s="32" t="s">
        <v>64</v>
      </c>
      <c r="AU209" s="56">
        <v>46242.458333333336</v>
      </c>
      <c r="AV209" s="56">
        <v>46242.460416666669</v>
      </c>
      <c r="AW209" s="56">
        <v>46242.462500000001</v>
      </c>
      <c r="AX209" s="56">
        <v>46242.46597222222</v>
      </c>
      <c r="AY209" s="56">
        <v>46242.479166666664</v>
      </c>
      <c r="AZ209" s="56">
        <v>46242.604166666664</v>
      </c>
      <c r="BA209" s="56">
        <v>46243.293749999997</v>
      </c>
      <c r="BB209" s="56">
        <v>46243.29583333333</v>
      </c>
      <c r="BC209" s="56">
        <v>46243.305555555555</v>
      </c>
      <c r="BD209" s="56">
        <v>46243.319444444445</v>
      </c>
      <c r="BE209" s="56">
        <v>46243.333333333336</v>
      </c>
      <c r="BG209" s="56">
        <v>46243.875</v>
      </c>
      <c r="BH209" s="56">
        <v>46243.899305555555</v>
      </c>
      <c r="BI209" s="32" t="s">
        <v>65</v>
      </c>
      <c r="BJ209" s="56">
        <v>46244.541666666664</v>
      </c>
      <c r="BK209" s="56">
        <v>46244.555555555555</v>
      </c>
      <c r="BL209" s="56">
        <v>46244.571527777778</v>
      </c>
      <c r="BM209" s="56">
        <v>46244.574999999997</v>
      </c>
      <c r="BN209" s="56">
        <v>46244.597222222219</v>
      </c>
    </row>
    <row r="210" spans="1:66" x14ac:dyDescent="0.35">
      <c r="A210" t="s">
        <v>176</v>
      </c>
      <c r="B210" s="32">
        <v>64</v>
      </c>
      <c r="C210" s="32">
        <v>32</v>
      </c>
      <c r="D210" s="32" t="s">
        <v>177</v>
      </c>
      <c r="E210" s="32" t="s">
        <v>178</v>
      </c>
      <c r="F210" s="54">
        <v>46242</v>
      </c>
      <c r="G210" s="54">
        <v>46243</v>
      </c>
      <c r="H210" s="55">
        <v>0.75</v>
      </c>
      <c r="I210" s="55">
        <v>0.66666666666666663</v>
      </c>
      <c r="J210" s="32" t="s">
        <v>53</v>
      </c>
      <c r="K210" s="32" t="s">
        <v>179</v>
      </c>
      <c r="L210" s="32">
        <v>1</v>
      </c>
      <c r="M210" s="32" t="s">
        <v>1413</v>
      </c>
      <c r="P210" s="32" t="s">
        <v>182</v>
      </c>
      <c r="Q210" s="32" t="s">
        <v>371</v>
      </c>
      <c r="R210" s="32" t="s">
        <v>556</v>
      </c>
      <c r="S210" s="32" t="s">
        <v>631</v>
      </c>
      <c r="T210" s="32" t="s">
        <v>1414</v>
      </c>
      <c r="U210" s="32" t="s">
        <v>1415</v>
      </c>
      <c r="V210" s="32">
        <v>803714</v>
      </c>
      <c r="W210" s="32" t="s">
        <v>1416</v>
      </c>
      <c r="X210" s="32" t="s">
        <v>187</v>
      </c>
      <c r="Z210" s="32" t="s">
        <v>188</v>
      </c>
      <c r="AA210" s="32" t="s">
        <v>189</v>
      </c>
      <c r="AB210" s="32" t="s">
        <v>55</v>
      </c>
      <c r="AC210" s="32" t="s">
        <v>92</v>
      </c>
      <c r="AD210" s="32" t="s">
        <v>1330</v>
      </c>
      <c r="AE210" s="32">
        <v>20614402246</v>
      </c>
      <c r="AF210" s="32" t="s">
        <v>1417</v>
      </c>
      <c r="AG210" s="32" t="s">
        <v>1172</v>
      </c>
      <c r="AH210" s="32" t="s">
        <v>193</v>
      </c>
      <c r="AI210" s="32" t="s">
        <v>1418</v>
      </c>
      <c r="AJ210" s="32" t="s">
        <v>1419</v>
      </c>
      <c r="AK210" s="32" t="s">
        <v>1420</v>
      </c>
      <c r="AL210" s="32" t="s">
        <v>491</v>
      </c>
      <c r="AM210" s="32" t="s">
        <v>278</v>
      </c>
      <c r="AN210" s="32" t="s">
        <v>278</v>
      </c>
      <c r="AO210" s="32" t="s">
        <v>491</v>
      </c>
      <c r="AP210" s="32" t="s">
        <v>491</v>
      </c>
      <c r="AQ210" s="32" t="s">
        <v>491</v>
      </c>
      <c r="AR210" s="32" t="s">
        <v>491</v>
      </c>
      <c r="AS210" s="32" t="s">
        <v>63</v>
      </c>
      <c r="AT210" s="32" t="s">
        <v>64</v>
      </c>
      <c r="AU210" s="56">
        <v>46242.416666666664</v>
      </c>
      <c r="AV210" s="56">
        <v>46242.436111111114</v>
      </c>
      <c r="AW210" s="56">
        <v>46242.438888888886</v>
      </c>
      <c r="AX210" s="56">
        <v>46242.453472222223</v>
      </c>
      <c r="AY210" s="56">
        <v>46242.46875</v>
      </c>
      <c r="AZ210" s="56">
        <v>46242.501388888886</v>
      </c>
      <c r="BA210" s="56">
        <v>46243.587500000001</v>
      </c>
      <c r="BB210" s="56">
        <v>46243.590277777781</v>
      </c>
      <c r="BC210" s="56">
        <v>46243.604166666664</v>
      </c>
      <c r="BD210" s="56">
        <v>46243.618055555555</v>
      </c>
      <c r="BE210" s="56">
        <v>46243.631944444445</v>
      </c>
      <c r="BG210" s="56">
        <v>46243.90625</v>
      </c>
      <c r="BH210" s="56">
        <v>46243.929166666669</v>
      </c>
      <c r="BI210" s="32" t="s">
        <v>65</v>
      </c>
      <c r="BJ210" s="56">
        <v>46244.5</v>
      </c>
      <c r="BK210" s="56">
        <v>46244.53125</v>
      </c>
      <c r="BL210" s="56">
        <v>46244.544444444444</v>
      </c>
      <c r="BM210" s="56">
        <v>46244.548611111109</v>
      </c>
      <c r="BN210" s="56">
        <v>46244.55972222222</v>
      </c>
    </row>
    <row r="211" spans="1:66" x14ac:dyDescent="0.35">
      <c r="A211" t="s">
        <v>176</v>
      </c>
      <c r="B211" s="32">
        <v>65</v>
      </c>
      <c r="C211" s="32">
        <v>32</v>
      </c>
      <c r="D211" s="32" t="s">
        <v>177</v>
      </c>
      <c r="E211" s="32" t="s">
        <v>178</v>
      </c>
      <c r="F211" s="54">
        <v>46243</v>
      </c>
      <c r="G211" s="54">
        <v>46244</v>
      </c>
      <c r="H211" s="55">
        <v>0.5</v>
      </c>
      <c r="I211" s="55">
        <v>0.41666666666666669</v>
      </c>
      <c r="J211" s="32" t="s">
        <v>53</v>
      </c>
      <c r="K211" s="32" t="s">
        <v>179</v>
      </c>
      <c r="L211" s="32">
        <v>1</v>
      </c>
      <c r="M211" s="32" t="s">
        <v>1421</v>
      </c>
      <c r="P211" s="32" t="s">
        <v>182</v>
      </c>
      <c r="Q211" s="32" t="s">
        <v>371</v>
      </c>
      <c r="R211" s="32" t="s">
        <v>183</v>
      </c>
      <c r="S211" s="32" t="s">
        <v>184</v>
      </c>
      <c r="T211" s="32" t="s">
        <v>1422</v>
      </c>
      <c r="U211" s="32" t="s">
        <v>1423</v>
      </c>
      <c r="V211" s="32">
        <v>803956</v>
      </c>
      <c r="W211" s="32" t="s">
        <v>1424</v>
      </c>
      <c r="X211" s="32" t="s">
        <v>187</v>
      </c>
      <c r="Z211" s="32" t="s">
        <v>188</v>
      </c>
      <c r="AA211" s="32" t="s">
        <v>189</v>
      </c>
      <c r="AB211" s="32" t="s">
        <v>55</v>
      </c>
      <c r="AC211" s="32" t="s">
        <v>92</v>
      </c>
      <c r="AD211" s="32" t="s">
        <v>1330</v>
      </c>
      <c r="AE211" s="32">
        <v>20614402246</v>
      </c>
      <c r="AF211" s="32" t="s">
        <v>1171</v>
      </c>
      <c r="AG211" s="32" t="s">
        <v>1331</v>
      </c>
      <c r="AH211" s="32" t="s">
        <v>193</v>
      </c>
      <c r="AI211" s="32" t="s">
        <v>1173</v>
      </c>
      <c r="AJ211" s="32" t="s">
        <v>1174</v>
      </c>
      <c r="AK211" s="32">
        <v>914113779</v>
      </c>
      <c r="AL211" s="32" t="s">
        <v>491</v>
      </c>
      <c r="AM211" s="32" t="s">
        <v>278</v>
      </c>
      <c r="AN211" s="32" t="s">
        <v>278</v>
      </c>
      <c r="AO211" s="32" t="s">
        <v>491</v>
      </c>
      <c r="AP211" s="32" t="s">
        <v>491</v>
      </c>
      <c r="AQ211" s="32" t="s">
        <v>491</v>
      </c>
      <c r="AR211" s="32" t="s">
        <v>491</v>
      </c>
      <c r="AS211" s="32" t="s">
        <v>63</v>
      </c>
      <c r="AT211" s="32" t="s">
        <v>64</v>
      </c>
      <c r="AU211" s="56">
        <v>46243.416666666664</v>
      </c>
      <c r="AV211" s="56">
        <v>46243.456944444442</v>
      </c>
      <c r="AW211" s="56">
        <v>46243.461805555555</v>
      </c>
      <c r="AX211" s="56">
        <v>46243.464583333334</v>
      </c>
      <c r="AY211" s="56">
        <v>46243.479166666664</v>
      </c>
      <c r="AZ211" s="56">
        <v>46243.518055555556</v>
      </c>
      <c r="BA211" s="56">
        <v>46244.393750000003</v>
      </c>
      <c r="BB211" s="56">
        <v>46244.395833333336</v>
      </c>
      <c r="BC211" s="56">
        <v>46244.409722222219</v>
      </c>
      <c r="BD211" s="56">
        <v>46244.423611111109</v>
      </c>
      <c r="BE211" s="56">
        <v>46244.4375</v>
      </c>
      <c r="BG211" s="56">
        <v>46244.666666666664</v>
      </c>
      <c r="BH211" s="56">
        <v>46244.6875</v>
      </c>
      <c r="BI211" s="32" t="s">
        <v>65</v>
      </c>
      <c r="BJ211" s="56">
        <v>46245.375</v>
      </c>
      <c r="BK211" s="56">
        <v>46245.413194444445</v>
      </c>
      <c r="BL211" s="56">
        <v>46245.436805555553</v>
      </c>
      <c r="BM211" s="56">
        <v>46245.440972222219</v>
      </c>
      <c r="BN211" s="56">
        <v>46245.464583333334</v>
      </c>
    </row>
    <row r="212" spans="1:66" x14ac:dyDescent="0.35">
      <c r="A212" t="s">
        <v>176</v>
      </c>
      <c r="B212" s="32">
        <v>66</v>
      </c>
      <c r="C212" s="32">
        <v>32</v>
      </c>
      <c r="D212" s="32" t="s">
        <v>177</v>
      </c>
      <c r="E212" s="32" t="s">
        <v>178</v>
      </c>
      <c r="F212" s="54">
        <v>46243</v>
      </c>
      <c r="G212" s="54">
        <v>46244</v>
      </c>
      <c r="H212" s="55">
        <v>0.66666666666666663</v>
      </c>
      <c r="I212" s="55">
        <v>0.58333333333333337</v>
      </c>
      <c r="J212" s="32" t="s">
        <v>53</v>
      </c>
      <c r="K212" s="32" t="s">
        <v>179</v>
      </c>
      <c r="L212" s="32">
        <v>1</v>
      </c>
      <c r="M212" s="32" t="s">
        <v>1425</v>
      </c>
      <c r="P212" s="32" t="s">
        <v>182</v>
      </c>
      <c r="Q212" s="32" t="s">
        <v>371</v>
      </c>
      <c r="R212" s="32" t="s">
        <v>183</v>
      </c>
      <c r="S212" s="32" t="s">
        <v>184</v>
      </c>
      <c r="T212" s="32" t="s">
        <v>1426</v>
      </c>
      <c r="U212" s="32" t="s">
        <v>1427</v>
      </c>
      <c r="V212" s="32">
        <v>803954</v>
      </c>
      <c r="W212" s="32" t="s">
        <v>1428</v>
      </c>
      <c r="X212" s="32" t="s">
        <v>187</v>
      </c>
      <c r="Z212" s="32" t="s">
        <v>188</v>
      </c>
      <c r="AA212" s="32" t="s">
        <v>189</v>
      </c>
      <c r="AB212" s="32" t="s">
        <v>55</v>
      </c>
      <c r="AC212" s="32" t="s">
        <v>92</v>
      </c>
      <c r="AD212" s="32" t="s">
        <v>1321</v>
      </c>
      <c r="AE212" s="32">
        <v>20601368766</v>
      </c>
      <c r="AF212" s="32" t="s">
        <v>1322</v>
      </c>
      <c r="AG212" s="32" t="s">
        <v>1323</v>
      </c>
      <c r="AH212" s="32" t="s">
        <v>193</v>
      </c>
      <c r="AI212" s="32" t="s">
        <v>1324</v>
      </c>
      <c r="AJ212" s="32" t="s">
        <v>1325</v>
      </c>
      <c r="AK212" s="32">
        <v>981143257</v>
      </c>
      <c r="AL212" s="32" t="s">
        <v>491</v>
      </c>
      <c r="AM212" s="32" t="s">
        <v>278</v>
      </c>
      <c r="AN212" s="32" t="s">
        <v>278</v>
      </c>
      <c r="AO212" s="32" t="s">
        <v>491</v>
      </c>
      <c r="AP212" s="32" t="s">
        <v>491</v>
      </c>
      <c r="AQ212" s="32" t="s">
        <v>491</v>
      </c>
      <c r="AR212" s="32" t="s">
        <v>491</v>
      </c>
      <c r="AS212" s="32" t="s">
        <v>63</v>
      </c>
      <c r="AT212" s="32" t="s">
        <v>64</v>
      </c>
      <c r="AU212" s="56">
        <v>46243.458333333336</v>
      </c>
      <c r="AV212" s="56">
        <v>46243.493750000001</v>
      </c>
      <c r="AW212" s="56">
        <v>46243.5</v>
      </c>
      <c r="AX212" s="56">
        <v>46243.503472222219</v>
      </c>
      <c r="AY212" s="56">
        <v>46243.557638888888</v>
      </c>
      <c r="AZ212" s="56">
        <v>46243.564583333333</v>
      </c>
      <c r="BA212" s="56">
        <v>46244.541666666664</v>
      </c>
      <c r="BB212" s="56">
        <v>46244.548611111109</v>
      </c>
      <c r="BC212" s="56">
        <v>46244.5625</v>
      </c>
      <c r="BD212" s="56">
        <v>46244.576388888891</v>
      </c>
      <c r="BE212" s="56">
        <v>46244.590277777781</v>
      </c>
      <c r="BG212" s="56">
        <v>46244.784722222219</v>
      </c>
      <c r="BH212" s="56">
        <v>46244.791666666664</v>
      </c>
      <c r="BI212" s="32" t="s">
        <v>65</v>
      </c>
      <c r="BJ212" s="56">
        <v>46245.541666666664</v>
      </c>
      <c r="BK212" s="56">
        <v>46245.561111111114</v>
      </c>
      <c r="BL212" s="56">
        <v>46245.56527777778</v>
      </c>
      <c r="BM212" s="56">
        <v>46245.572222222225</v>
      </c>
      <c r="BN212" s="56">
        <v>46245.589583333334</v>
      </c>
    </row>
    <row r="213" spans="1:66" x14ac:dyDescent="0.35">
      <c r="A213" t="s">
        <v>176</v>
      </c>
      <c r="B213" s="32">
        <v>67</v>
      </c>
      <c r="C213" s="32">
        <v>32</v>
      </c>
      <c r="D213" s="32" t="s">
        <v>177</v>
      </c>
      <c r="E213" s="32" t="s">
        <v>178</v>
      </c>
      <c r="F213" s="54">
        <v>46243</v>
      </c>
      <c r="G213" s="54">
        <v>46244</v>
      </c>
      <c r="H213" s="55">
        <v>0.66666666666666663</v>
      </c>
      <c r="I213" s="55">
        <v>0.58333333333333337</v>
      </c>
      <c r="J213" s="32" t="s">
        <v>53</v>
      </c>
      <c r="K213" s="32" t="s">
        <v>179</v>
      </c>
      <c r="L213" s="32">
        <v>1</v>
      </c>
      <c r="M213" s="32" t="s">
        <v>1429</v>
      </c>
      <c r="P213" s="32" t="s">
        <v>182</v>
      </c>
      <c r="Q213" s="32" t="s">
        <v>371</v>
      </c>
      <c r="R213" s="32" t="s">
        <v>183</v>
      </c>
      <c r="S213" s="32" t="s">
        <v>184</v>
      </c>
      <c r="T213" s="32" t="s">
        <v>1430</v>
      </c>
      <c r="U213" s="32" t="s">
        <v>1431</v>
      </c>
      <c r="V213" s="32">
        <v>803953</v>
      </c>
      <c r="W213" s="32" t="s">
        <v>1432</v>
      </c>
      <c r="X213" s="32" t="s">
        <v>187</v>
      </c>
      <c r="Z213" s="32" t="s">
        <v>188</v>
      </c>
      <c r="AA213" s="32" t="s">
        <v>189</v>
      </c>
      <c r="AB213" s="32" t="s">
        <v>55</v>
      </c>
      <c r="AC213" s="32" t="s">
        <v>92</v>
      </c>
      <c r="AD213" s="32" t="s">
        <v>1125</v>
      </c>
      <c r="AE213" s="32">
        <v>20612886921</v>
      </c>
      <c r="AF213" s="32" t="s">
        <v>1301</v>
      </c>
      <c r="AG213" s="32" t="s">
        <v>1302</v>
      </c>
      <c r="AH213" s="32" t="s">
        <v>193</v>
      </c>
      <c r="AI213" s="32" t="s">
        <v>1303</v>
      </c>
      <c r="AJ213" s="32" t="s">
        <v>1304</v>
      </c>
      <c r="AK213" s="32">
        <v>980865741</v>
      </c>
      <c r="AL213" s="32" t="s">
        <v>491</v>
      </c>
      <c r="AM213" s="32" t="s">
        <v>278</v>
      </c>
      <c r="AN213" s="32" t="s">
        <v>278</v>
      </c>
      <c r="AO213" s="32" t="s">
        <v>491</v>
      </c>
      <c r="AP213" s="32" t="s">
        <v>491</v>
      </c>
      <c r="AQ213" s="32" t="s">
        <v>491</v>
      </c>
      <c r="AR213" s="32" t="s">
        <v>491</v>
      </c>
      <c r="AS213" s="32" t="s">
        <v>63</v>
      </c>
      <c r="AT213" s="32" t="s">
        <v>64</v>
      </c>
      <c r="AU213" s="56">
        <v>46243.458333333336</v>
      </c>
      <c r="AV213" s="56">
        <v>46243.467361111114</v>
      </c>
      <c r="AW213" s="56">
        <v>46243.474305555559</v>
      </c>
      <c r="AX213" s="56">
        <v>46243.5</v>
      </c>
      <c r="AY213" s="56">
        <v>46243.566666666666</v>
      </c>
      <c r="AZ213" s="56">
        <v>46243.573611111111</v>
      </c>
      <c r="BA213" s="56">
        <v>46244.394444444442</v>
      </c>
      <c r="BB213" s="56">
        <v>46244.401388888888</v>
      </c>
      <c r="BC213" s="56">
        <v>46244.415277777778</v>
      </c>
      <c r="BD213" s="56">
        <v>46244.430555555555</v>
      </c>
      <c r="BE213" s="56">
        <v>46244.444444444445</v>
      </c>
      <c r="BG213" s="56">
        <v>46244.708333333336</v>
      </c>
      <c r="BH213" s="56">
        <v>46244.718055555553</v>
      </c>
      <c r="BI213" s="32" t="s">
        <v>65</v>
      </c>
      <c r="BJ213" s="56">
        <v>46245.416666666664</v>
      </c>
      <c r="BK213" s="56">
        <v>46245.450694444444</v>
      </c>
      <c r="BL213" s="56">
        <v>46245.459027777775</v>
      </c>
      <c r="BM213" s="56">
        <v>46245.46597222222</v>
      </c>
      <c r="BN213" s="56">
        <v>46245.470833333333</v>
      </c>
    </row>
    <row r="214" spans="1:66" x14ac:dyDescent="0.35">
      <c r="A214" t="s">
        <v>176</v>
      </c>
      <c r="B214" s="32">
        <v>68</v>
      </c>
      <c r="C214" s="32">
        <v>32</v>
      </c>
      <c r="D214" s="32" t="s">
        <v>177</v>
      </c>
      <c r="E214" s="32" t="s">
        <v>178</v>
      </c>
      <c r="F214" s="54">
        <v>46244</v>
      </c>
      <c r="G214" s="54">
        <v>46245</v>
      </c>
      <c r="H214" s="55">
        <v>0.41666666666666669</v>
      </c>
      <c r="I214" s="55">
        <v>0.33333333333333331</v>
      </c>
      <c r="J214" s="32" t="s">
        <v>53</v>
      </c>
      <c r="K214" s="32" t="s">
        <v>179</v>
      </c>
      <c r="L214" s="32">
        <v>1</v>
      </c>
      <c r="M214" s="32" t="s">
        <v>1433</v>
      </c>
      <c r="P214" s="32" t="s">
        <v>182</v>
      </c>
      <c r="Q214" s="32" t="s">
        <v>371</v>
      </c>
      <c r="R214" s="32" t="s">
        <v>183</v>
      </c>
      <c r="S214" s="32" t="s">
        <v>184</v>
      </c>
      <c r="T214" s="32" t="s">
        <v>1434</v>
      </c>
      <c r="U214" s="32" t="s">
        <v>1435</v>
      </c>
      <c r="V214" s="32">
        <v>804281</v>
      </c>
      <c r="W214" s="32" t="s">
        <v>1436</v>
      </c>
      <c r="X214" s="32" t="s">
        <v>187</v>
      </c>
      <c r="Z214" s="32" t="s">
        <v>188</v>
      </c>
      <c r="AA214" s="32" t="s">
        <v>189</v>
      </c>
      <c r="AB214" s="32" t="s">
        <v>55</v>
      </c>
      <c r="AC214" s="32" t="s">
        <v>56</v>
      </c>
      <c r="AD214" s="32" t="s">
        <v>78</v>
      </c>
      <c r="AE214" s="32">
        <v>20513040718</v>
      </c>
      <c r="AF214" s="32" t="s">
        <v>1079</v>
      </c>
      <c r="AG214" s="32" t="s">
        <v>1437</v>
      </c>
      <c r="AH214" s="32" t="s">
        <v>193</v>
      </c>
      <c r="AI214" s="32" t="s">
        <v>1081</v>
      </c>
      <c r="AJ214" s="32" t="s">
        <v>1082</v>
      </c>
      <c r="AK214" s="32" t="s">
        <v>978</v>
      </c>
      <c r="AL214" s="32" t="s">
        <v>491</v>
      </c>
      <c r="AM214" s="32" t="s">
        <v>278</v>
      </c>
      <c r="AN214" s="32" t="s">
        <v>278</v>
      </c>
      <c r="AO214" s="32" t="s">
        <v>491</v>
      </c>
      <c r="AP214" s="32" t="s">
        <v>491</v>
      </c>
      <c r="AQ214" s="32" t="s">
        <v>491</v>
      </c>
      <c r="AR214" s="32" t="s">
        <v>491</v>
      </c>
      <c r="AS214" s="32" t="s">
        <v>63</v>
      </c>
      <c r="AT214" s="32" t="s">
        <v>64</v>
      </c>
      <c r="AU214" s="56">
        <v>46244.5</v>
      </c>
      <c r="AV214" s="56">
        <v>46244.512499999997</v>
      </c>
      <c r="AW214" s="56">
        <v>46244.519444444442</v>
      </c>
      <c r="AX214" s="56">
        <v>46244.526388888888</v>
      </c>
      <c r="AY214" s="56">
        <v>46244.551388888889</v>
      </c>
      <c r="AZ214" s="56">
        <v>46244.593055555553</v>
      </c>
      <c r="BA214" s="56">
        <v>46245.334722222222</v>
      </c>
      <c r="BB214" s="56">
        <v>46245.341666666667</v>
      </c>
      <c r="BC214" s="56">
        <v>46245.348611111112</v>
      </c>
      <c r="BD214" s="56">
        <v>46245.362500000003</v>
      </c>
      <c r="BE214" s="56">
        <v>46245.369444444441</v>
      </c>
      <c r="BG214" s="56">
        <v>46246.666666666664</v>
      </c>
      <c r="BH214" s="56">
        <v>46246.677777777775</v>
      </c>
      <c r="BI214" s="32" t="s">
        <v>65</v>
      </c>
      <c r="BJ214" s="56">
        <v>46247.333333333336</v>
      </c>
      <c r="BK214" s="56">
        <v>46247.361111111109</v>
      </c>
      <c r="BL214" s="56">
        <v>46247.362500000003</v>
      </c>
      <c r="BM214" s="56">
        <v>46247.369444444441</v>
      </c>
      <c r="BN214" s="56">
        <v>46247.394444444442</v>
      </c>
    </row>
    <row r="215" spans="1:66" x14ac:dyDescent="0.35">
      <c r="A215" t="s">
        <v>176</v>
      </c>
      <c r="B215" s="32">
        <v>69</v>
      </c>
      <c r="C215" s="32">
        <v>32</v>
      </c>
      <c r="D215" s="32" t="s">
        <v>177</v>
      </c>
      <c r="E215" s="32" t="s">
        <v>178</v>
      </c>
      <c r="F215" s="54">
        <v>46244</v>
      </c>
      <c r="G215" s="54">
        <v>46245</v>
      </c>
      <c r="H215" s="55">
        <v>0.41666666666666669</v>
      </c>
      <c r="I215" s="55">
        <v>0.33333333333333331</v>
      </c>
      <c r="J215" s="32" t="s">
        <v>53</v>
      </c>
      <c r="K215" s="32" t="s">
        <v>179</v>
      </c>
      <c r="L215" s="32">
        <v>1</v>
      </c>
      <c r="M215" s="32" t="s">
        <v>1438</v>
      </c>
      <c r="P215" s="32" t="s">
        <v>182</v>
      </c>
      <c r="Q215" s="32" t="s">
        <v>371</v>
      </c>
      <c r="R215" s="32" t="s">
        <v>183</v>
      </c>
      <c r="S215" s="32" t="s">
        <v>184</v>
      </c>
      <c r="T215" s="32" t="s">
        <v>1439</v>
      </c>
      <c r="U215" s="32" t="s">
        <v>1440</v>
      </c>
      <c r="V215" s="32">
        <v>804382</v>
      </c>
      <c r="W215" s="32" t="s">
        <v>1441</v>
      </c>
      <c r="X215" s="32" t="s">
        <v>187</v>
      </c>
      <c r="Z215" s="32" t="s">
        <v>188</v>
      </c>
      <c r="AA215" s="32" t="s">
        <v>189</v>
      </c>
      <c r="AB215" s="32" t="s">
        <v>55</v>
      </c>
      <c r="AC215" s="32" t="s">
        <v>56</v>
      </c>
      <c r="AD215" s="32" t="s">
        <v>78</v>
      </c>
      <c r="AE215" s="32">
        <v>20513040718</v>
      </c>
      <c r="AF215" s="32" t="s">
        <v>1043</v>
      </c>
      <c r="AG215" s="32" t="s">
        <v>1044</v>
      </c>
      <c r="AH215" s="32" t="s">
        <v>193</v>
      </c>
      <c r="AI215" s="32" t="s">
        <v>1045</v>
      </c>
      <c r="AJ215" s="32" t="s">
        <v>1046</v>
      </c>
      <c r="AK215" s="32" t="s">
        <v>1073</v>
      </c>
      <c r="AL215" s="32" t="s">
        <v>491</v>
      </c>
      <c r="AM215" s="32" t="s">
        <v>278</v>
      </c>
      <c r="AN215" s="32" t="s">
        <v>278</v>
      </c>
      <c r="AO215" s="32" t="s">
        <v>491</v>
      </c>
      <c r="AP215" s="32" t="s">
        <v>491</v>
      </c>
      <c r="AQ215" s="32" t="s">
        <v>491</v>
      </c>
      <c r="AR215" s="32" t="s">
        <v>491</v>
      </c>
      <c r="AS215" s="32" t="s">
        <v>63</v>
      </c>
      <c r="AT215" s="32" t="s">
        <v>64</v>
      </c>
      <c r="AU215" s="56">
        <v>46244.541666666664</v>
      </c>
      <c r="AV215" s="56">
        <v>46244.554861111108</v>
      </c>
      <c r="AW215" s="56">
        <v>46244.561805555553</v>
      </c>
      <c r="AX215" s="56">
        <v>46244.568749999999</v>
      </c>
      <c r="AY215" s="56">
        <v>46244.712500000001</v>
      </c>
      <c r="AZ215" s="56">
        <v>46244.754166666666</v>
      </c>
      <c r="BA215" s="56">
        <v>46245.366666666669</v>
      </c>
      <c r="BB215" s="56">
        <v>46245.373611111114</v>
      </c>
      <c r="BC215" s="56">
        <v>46245.380555555559</v>
      </c>
      <c r="BD215" s="56">
        <v>46245.394444444442</v>
      </c>
      <c r="BE215" s="56">
        <v>46245.401388888888</v>
      </c>
      <c r="BG215" s="56">
        <v>46246.6875</v>
      </c>
      <c r="BH215" s="56">
        <v>46246.694444444445</v>
      </c>
      <c r="BI215" s="32" t="s">
        <v>65</v>
      </c>
      <c r="BJ215" s="56">
        <v>46247.333333333336</v>
      </c>
      <c r="BK215" s="56">
        <v>46247.36041666667</v>
      </c>
      <c r="BL215" s="56">
        <v>46247.400694444441</v>
      </c>
      <c r="BM215" s="56">
        <v>46247.407638888886</v>
      </c>
      <c r="BN215" s="56">
        <v>46247.61041666667</v>
      </c>
    </row>
    <row r="216" spans="1:66" x14ac:dyDescent="0.35">
      <c r="A216" t="s">
        <v>176</v>
      </c>
      <c r="B216" s="32">
        <v>70</v>
      </c>
      <c r="C216" s="32">
        <v>33</v>
      </c>
      <c r="D216" s="32" t="s">
        <v>177</v>
      </c>
      <c r="E216" s="32" t="s">
        <v>178</v>
      </c>
      <c r="F216" s="54">
        <v>46246</v>
      </c>
      <c r="G216" s="54">
        <v>46247</v>
      </c>
      <c r="H216" s="55">
        <v>0.66666666666666663</v>
      </c>
      <c r="I216" s="55">
        <v>0.58333333333333337</v>
      </c>
      <c r="J216" s="32" t="s">
        <v>53</v>
      </c>
      <c r="K216" s="32" t="s">
        <v>179</v>
      </c>
      <c r="L216" s="32">
        <v>1</v>
      </c>
      <c r="M216" s="32" t="s">
        <v>1379</v>
      </c>
      <c r="P216" s="32" t="s">
        <v>182</v>
      </c>
      <c r="Q216" s="32" t="s">
        <v>371</v>
      </c>
      <c r="R216" s="32" t="s">
        <v>382</v>
      </c>
      <c r="S216" s="32" t="s">
        <v>383</v>
      </c>
      <c r="T216" s="32" t="s">
        <v>1442</v>
      </c>
      <c r="U216" s="32" t="s">
        <v>1443</v>
      </c>
      <c r="V216" s="32">
        <v>7439</v>
      </c>
      <c r="W216" s="32" t="s">
        <v>1444</v>
      </c>
      <c r="X216" s="32" t="s">
        <v>188</v>
      </c>
      <c r="Z216" s="32" t="s">
        <v>188</v>
      </c>
      <c r="AA216" s="32" t="s">
        <v>189</v>
      </c>
      <c r="AB216" s="32" t="s">
        <v>55</v>
      </c>
      <c r="AC216" s="32" t="s">
        <v>92</v>
      </c>
      <c r="AD216" s="32" t="s">
        <v>1330</v>
      </c>
      <c r="AE216" s="32">
        <v>20614402246</v>
      </c>
      <c r="AF216" s="32" t="s">
        <v>1171</v>
      </c>
      <c r="AG216" s="32" t="s">
        <v>1331</v>
      </c>
      <c r="AH216" s="32" t="s">
        <v>193</v>
      </c>
      <c r="AI216" s="32" t="s">
        <v>1173</v>
      </c>
      <c r="AJ216" s="32" t="s">
        <v>1174</v>
      </c>
      <c r="AK216" s="32">
        <v>914113779</v>
      </c>
      <c r="AL216" s="32" t="s">
        <v>491</v>
      </c>
      <c r="AM216" s="32" t="s">
        <v>278</v>
      </c>
      <c r="AN216" s="32" t="s">
        <v>278</v>
      </c>
      <c r="AO216" s="32" t="s">
        <v>491</v>
      </c>
      <c r="AP216" s="32" t="s">
        <v>491</v>
      </c>
      <c r="AQ216" s="32" t="s">
        <v>491</v>
      </c>
      <c r="AR216" s="32" t="s">
        <v>491</v>
      </c>
      <c r="AS216" s="32" t="s">
        <v>63</v>
      </c>
      <c r="AT216" s="32" t="s">
        <v>388</v>
      </c>
      <c r="AU216" s="56">
        <v>46246.583333333336</v>
      </c>
      <c r="AV216" s="56">
        <v>46246.590277777781</v>
      </c>
      <c r="AW216" s="56">
        <v>46246.599305555559</v>
      </c>
      <c r="AX216" s="56">
        <v>46246.606249999997</v>
      </c>
      <c r="AY216" s="56">
        <v>46246.713194444441</v>
      </c>
      <c r="AZ216" s="56">
        <v>46246.754861111112</v>
      </c>
      <c r="BA216" s="56">
        <v>46247.583333333336</v>
      </c>
      <c r="BB216" s="56">
        <v>46247.590277777781</v>
      </c>
      <c r="BC216" s="56">
        <v>46247.597222222219</v>
      </c>
      <c r="BD216" s="56">
        <v>46247.611111111109</v>
      </c>
      <c r="BE216" s="56">
        <v>46247.621527777781</v>
      </c>
      <c r="BG216" s="56">
        <v>46247.708333333336</v>
      </c>
      <c r="BH216" s="56">
        <v>46247.713888888888</v>
      </c>
      <c r="BI216" s="32" t="s">
        <v>65</v>
      </c>
      <c r="BJ216" s="56">
        <v>46248.5</v>
      </c>
      <c r="BK216" s="56">
        <v>46248.506944444445</v>
      </c>
      <c r="BL216" s="56">
        <v>46248.524305555555</v>
      </c>
      <c r="BM216" s="56">
        <v>46248.53125</v>
      </c>
      <c r="BN216" s="56">
        <v>46248.54791666667</v>
      </c>
    </row>
    <row r="217" spans="1:66" x14ac:dyDescent="0.35">
      <c r="A217" t="s">
        <v>176</v>
      </c>
      <c r="B217" s="32">
        <v>71</v>
      </c>
      <c r="C217" s="32">
        <v>33</v>
      </c>
      <c r="D217" s="32" t="s">
        <v>177</v>
      </c>
      <c r="E217" s="32" t="s">
        <v>178</v>
      </c>
      <c r="F217" s="54">
        <v>46247</v>
      </c>
      <c r="G217" s="54">
        <v>46248</v>
      </c>
      <c r="H217" s="55">
        <v>0.41666666666666669</v>
      </c>
      <c r="I217" s="55">
        <v>0.33333333333333331</v>
      </c>
      <c r="J217" s="32" t="s">
        <v>53</v>
      </c>
      <c r="K217" s="32" t="s">
        <v>179</v>
      </c>
      <c r="L217" s="32">
        <v>1</v>
      </c>
      <c r="M217" s="32" t="s">
        <v>1445</v>
      </c>
      <c r="P217" s="32" t="s">
        <v>182</v>
      </c>
      <c r="Q217" s="32" t="s">
        <v>371</v>
      </c>
      <c r="R217" s="32" t="s">
        <v>382</v>
      </c>
      <c r="S217" s="32" t="s">
        <v>383</v>
      </c>
      <c r="T217" s="32" t="s">
        <v>1446</v>
      </c>
      <c r="U217" s="32" t="s">
        <v>1447</v>
      </c>
      <c r="V217" s="32">
        <v>7438</v>
      </c>
      <c r="W217" s="32" t="s">
        <v>1448</v>
      </c>
      <c r="X217" s="32" t="s">
        <v>188</v>
      </c>
      <c r="Z217" s="32" t="s">
        <v>188</v>
      </c>
      <c r="AA217" s="32" t="s">
        <v>189</v>
      </c>
      <c r="AB217" s="32" t="s">
        <v>55</v>
      </c>
      <c r="AC217" s="32" t="s">
        <v>92</v>
      </c>
      <c r="AD217" s="32" t="s">
        <v>1449</v>
      </c>
      <c r="AE217" s="32">
        <v>20601962102</v>
      </c>
      <c r="AF217" s="32" t="s">
        <v>1153</v>
      </c>
      <c r="AG217" s="32" t="s">
        <v>1450</v>
      </c>
      <c r="AH217" s="32" t="s">
        <v>193</v>
      </c>
      <c r="AI217" s="32" t="s">
        <v>1155</v>
      </c>
      <c r="AJ217" s="32" t="s">
        <v>1156</v>
      </c>
      <c r="AK217" s="32">
        <v>982701637</v>
      </c>
      <c r="AL217" s="32" t="s">
        <v>491</v>
      </c>
      <c r="AM217" s="32" t="s">
        <v>278</v>
      </c>
      <c r="AN217" s="32" t="s">
        <v>278</v>
      </c>
      <c r="AO217" s="32" t="s">
        <v>491</v>
      </c>
      <c r="AP217" s="32" t="s">
        <v>491</v>
      </c>
      <c r="AQ217" s="32" t="s">
        <v>491</v>
      </c>
      <c r="AR217" s="32" t="s">
        <v>491</v>
      </c>
      <c r="AS217" s="32" t="s">
        <v>63</v>
      </c>
      <c r="AT217" s="32" t="s">
        <v>388</v>
      </c>
      <c r="AU217" s="56">
        <v>46247.416666666664</v>
      </c>
      <c r="AV217" s="56">
        <v>46247.454861111109</v>
      </c>
      <c r="AW217" s="56">
        <v>46247.465277777781</v>
      </c>
      <c r="AX217" s="56">
        <v>46247.472222222219</v>
      </c>
      <c r="AY217" s="56">
        <v>46247.515277777777</v>
      </c>
      <c r="AZ217" s="56">
        <v>46247.556944444441</v>
      </c>
      <c r="BA217" s="56">
        <v>46248.319444444445</v>
      </c>
      <c r="BB217" s="56">
        <v>46248.326388888891</v>
      </c>
      <c r="BC217" s="56">
        <v>46248.333333333336</v>
      </c>
      <c r="BD217" s="56">
        <v>46248.347222222219</v>
      </c>
      <c r="BE217" s="56">
        <v>46248.361111111109</v>
      </c>
      <c r="BG217" s="56">
        <v>46248.513888888891</v>
      </c>
      <c r="BH217" s="56">
        <v>46248.525000000001</v>
      </c>
      <c r="BI217" s="32" t="s">
        <v>65</v>
      </c>
      <c r="BJ217" s="56">
        <v>46249.083333333336</v>
      </c>
      <c r="BK217" s="56">
        <v>46249.104861111111</v>
      </c>
      <c r="BL217" s="56">
        <v>46249.118055555555</v>
      </c>
      <c r="BM217" s="56">
        <v>46249.119444444441</v>
      </c>
      <c r="BN217" s="56">
        <v>46249.122916666667</v>
      </c>
    </row>
    <row r="218" spans="1:66" x14ac:dyDescent="0.35">
      <c r="A218" t="s">
        <v>176</v>
      </c>
      <c r="B218" s="32">
        <v>72</v>
      </c>
      <c r="C218" s="32">
        <v>33</v>
      </c>
      <c r="D218" s="32" t="s">
        <v>177</v>
      </c>
      <c r="E218" s="32" t="s">
        <v>178</v>
      </c>
      <c r="F218" s="54">
        <v>46247</v>
      </c>
      <c r="G218" s="54">
        <v>46248</v>
      </c>
      <c r="H218" s="55">
        <v>0.41666666666666669</v>
      </c>
      <c r="I218" s="55">
        <v>0.33333333333333331</v>
      </c>
      <c r="J218" s="32" t="s">
        <v>53</v>
      </c>
      <c r="K218" s="32" t="s">
        <v>179</v>
      </c>
      <c r="L218" s="32">
        <v>1</v>
      </c>
      <c r="M218" s="32" t="s">
        <v>1451</v>
      </c>
      <c r="P218" s="32" t="s">
        <v>182</v>
      </c>
      <c r="Q218" s="32" t="s">
        <v>371</v>
      </c>
      <c r="R218" s="32" t="s">
        <v>382</v>
      </c>
      <c r="S218" s="32" t="s">
        <v>383</v>
      </c>
      <c r="T218" s="32" t="s">
        <v>1452</v>
      </c>
      <c r="U218" s="32" t="s">
        <v>1453</v>
      </c>
      <c r="V218" s="32">
        <v>7441</v>
      </c>
      <c r="W218" s="32" t="s">
        <v>1454</v>
      </c>
      <c r="X218" s="32" t="s">
        <v>188</v>
      </c>
      <c r="Z218" s="32" t="s">
        <v>188</v>
      </c>
      <c r="AA218" s="32" t="s">
        <v>189</v>
      </c>
      <c r="AB218" s="32" t="s">
        <v>55</v>
      </c>
      <c r="AC218" s="32" t="s">
        <v>92</v>
      </c>
      <c r="AD218" s="32" t="s">
        <v>1455</v>
      </c>
      <c r="AE218" s="32">
        <v>20526125356</v>
      </c>
      <c r="AF218" s="32" t="s">
        <v>1456</v>
      </c>
      <c r="AG218" s="32" t="s">
        <v>1457</v>
      </c>
      <c r="AH218" s="32" t="s">
        <v>193</v>
      </c>
      <c r="AI218" s="32" t="s">
        <v>1458</v>
      </c>
      <c r="AJ218" s="32" t="s">
        <v>1459</v>
      </c>
      <c r="AL218" s="32" t="s">
        <v>491</v>
      </c>
      <c r="AM218" s="32" t="s">
        <v>278</v>
      </c>
      <c r="AN218" s="32" t="s">
        <v>278</v>
      </c>
      <c r="AO218" s="32" t="s">
        <v>491</v>
      </c>
      <c r="AP218" s="32" t="s">
        <v>491</v>
      </c>
      <c r="AQ218" s="32" t="s">
        <v>491</v>
      </c>
      <c r="AR218" s="32" t="s">
        <v>491</v>
      </c>
      <c r="AS218" s="32" t="s">
        <v>63</v>
      </c>
      <c r="AT218" s="32" t="s">
        <v>388</v>
      </c>
      <c r="AU218" s="56">
        <v>46247.458333333336</v>
      </c>
      <c r="AV218" s="56">
        <v>46247.48333333333</v>
      </c>
      <c r="AW218" s="56">
        <v>46247.490277777775</v>
      </c>
      <c r="AX218" s="56">
        <v>46247.49722222222</v>
      </c>
      <c r="AY218" s="56">
        <v>46247.563888888886</v>
      </c>
      <c r="AZ218" s="56">
        <v>46247.605555555558</v>
      </c>
      <c r="BA218" s="56">
        <v>46248.363194444442</v>
      </c>
      <c r="BB218" s="56">
        <v>46248.370138888888</v>
      </c>
      <c r="BC218" s="56">
        <v>46248.375</v>
      </c>
      <c r="BD218" s="56">
        <v>46248.388888888891</v>
      </c>
      <c r="BE218" s="56">
        <v>46248.402777777781</v>
      </c>
      <c r="BG218" s="56">
        <v>46248.5</v>
      </c>
      <c r="BH218" s="56">
        <v>46248.511111111111</v>
      </c>
      <c r="BI218" s="32" t="s">
        <v>65</v>
      </c>
      <c r="BJ218" s="56">
        <v>46249.125</v>
      </c>
      <c r="BK218" s="56">
        <v>46249.143055555556</v>
      </c>
      <c r="BL218" s="56">
        <v>46249.143055555556</v>
      </c>
      <c r="BM218" s="56">
        <v>46249.145833333336</v>
      </c>
      <c r="BN218" s="56">
        <v>46249.156944444447</v>
      </c>
    </row>
    <row r="219" spans="1:66" x14ac:dyDescent="0.35">
      <c r="A219" t="s">
        <v>176</v>
      </c>
      <c r="B219" s="32">
        <v>73</v>
      </c>
      <c r="C219" s="32">
        <v>33</v>
      </c>
      <c r="D219" s="32" t="s">
        <v>177</v>
      </c>
      <c r="E219" s="32" t="s">
        <v>178</v>
      </c>
      <c r="F219" s="54">
        <v>46248</v>
      </c>
      <c r="G219" s="54">
        <v>46249</v>
      </c>
      <c r="H219" s="55">
        <v>0.58333333333333337</v>
      </c>
      <c r="I219" s="55">
        <v>0.5</v>
      </c>
      <c r="J219" s="32" t="s">
        <v>53</v>
      </c>
      <c r="K219" s="32" t="s">
        <v>179</v>
      </c>
      <c r="L219" s="32">
        <v>1</v>
      </c>
      <c r="M219" s="32" t="s">
        <v>1460</v>
      </c>
      <c r="P219" s="32" t="s">
        <v>182</v>
      </c>
      <c r="Q219" s="32" t="s">
        <v>371</v>
      </c>
      <c r="R219" s="32" t="s">
        <v>183</v>
      </c>
      <c r="S219" s="32" t="s">
        <v>184</v>
      </c>
      <c r="T219" s="32" t="s">
        <v>1461</v>
      </c>
      <c r="U219" s="32" t="s">
        <v>1462</v>
      </c>
      <c r="V219" s="32">
        <v>805912</v>
      </c>
      <c r="W219" s="32" t="s">
        <v>1463</v>
      </c>
      <c r="X219" s="32" t="s">
        <v>187</v>
      </c>
      <c r="Z219" s="32" t="s">
        <v>188</v>
      </c>
      <c r="AA219" s="32" t="s">
        <v>189</v>
      </c>
      <c r="AB219" s="32" t="s">
        <v>55</v>
      </c>
      <c r="AC219" s="32" t="s">
        <v>56</v>
      </c>
      <c r="AD219" s="32" t="s">
        <v>78</v>
      </c>
      <c r="AE219" s="32">
        <v>20513040718</v>
      </c>
      <c r="AF219" s="32" t="s">
        <v>1023</v>
      </c>
      <c r="AG219" s="32" t="s">
        <v>1024</v>
      </c>
      <c r="AH219" s="32" t="s">
        <v>193</v>
      </c>
      <c r="AI219" s="32" t="s">
        <v>1025</v>
      </c>
      <c r="AJ219" s="32" t="s">
        <v>1026</v>
      </c>
      <c r="AK219" s="32">
        <v>948666455</v>
      </c>
      <c r="AL219" s="32" t="s">
        <v>491</v>
      </c>
      <c r="AM219" s="32" t="s">
        <v>278</v>
      </c>
      <c r="AN219" s="32" t="s">
        <v>278</v>
      </c>
      <c r="AO219" s="32" t="s">
        <v>491</v>
      </c>
      <c r="AP219" s="32" t="s">
        <v>491</v>
      </c>
      <c r="AQ219" s="32" t="s">
        <v>491</v>
      </c>
      <c r="AR219" s="32" t="s">
        <v>491</v>
      </c>
      <c r="AS219" s="32" t="s">
        <v>63</v>
      </c>
      <c r="AT219" s="32" t="s">
        <v>64</v>
      </c>
      <c r="AU219" s="56">
        <v>46248.458333333336</v>
      </c>
      <c r="AV219" s="56">
        <v>46248.477777777778</v>
      </c>
      <c r="AW219" s="56">
        <v>46248.484722222223</v>
      </c>
      <c r="AX219" s="56">
        <v>46248.491666666669</v>
      </c>
      <c r="AY219" s="56">
        <v>46248.52847222222</v>
      </c>
      <c r="AZ219" s="56">
        <v>46248.570138888892</v>
      </c>
      <c r="BA219" s="56">
        <v>46249.5</v>
      </c>
      <c r="BB219" s="56">
        <v>46249.506944444445</v>
      </c>
      <c r="BC219" s="56">
        <v>46249.513888888891</v>
      </c>
      <c r="BD219" s="56">
        <v>46249.527777777781</v>
      </c>
      <c r="BE219" s="56">
        <v>46249.540277777778</v>
      </c>
      <c r="BG219" s="56">
        <v>46249.65625</v>
      </c>
      <c r="BH219" s="56">
        <v>46249.707638888889</v>
      </c>
      <c r="BI219" s="32" t="s">
        <v>65</v>
      </c>
      <c r="BJ219" s="56">
        <v>46250.375</v>
      </c>
      <c r="BK219" s="56">
        <v>46250.379861111112</v>
      </c>
      <c r="BL219" s="56">
        <v>46250.386805555558</v>
      </c>
      <c r="BM219" s="56">
        <v>46250.388888888891</v>
      </c>
      <c r="BN219" s="56">
        <v>46250.393055555556</v>
      </c>
    </row>
    <row r="220" spans="1:66" x14ac:dyDescent="0.35">
      <c r="A220" t="s">
        <v>176</v>
      </c>
      <c r="B220" s="32">
        <v>74</v>
      </c>
      <c r="C220" s="32">
        <v>33</v>
      </c>
      <c r="D220" s="32" t="s">
        <v>177</v>
      </c>
      <c r="E220" s="32" t="s">
        <v>178</v>
      </c>
      <c r="F220" s="54">
        <v>46250</v>
      </c>
      <c r="G220" s="54">
        <v>46251</v>
      </c>
      <c r="H220" s="55">
        <v>0.41666666666666669</v>
      </c>
      <c r="I220" s="55">
        <v>0.33333333333333331</v>
      </c>
      <c r="J220" s="32" t="s">
        <v>53</v>
      </c>
      <c r="K220" s="32" t="s">
        <v>179</v>
      </c>
      <c r="L220" s="32">
        <v>1</v>
      </c>
      <c r="M220" s="32" t="s">
        <v>1464</v>
      </c>
      <c r="P220" s="32" t="s">
        <v>182</v>
      </c>
      <c r="Q220" s="32" t="s">
        <v>371</v>
      </c>
      <c r="R220" s="32" t="s">
        <v>556</v>
      </c>
      <c r="S220" s="32" t="s">
        <v>631</v>
      </c>
      <c r="T220" s="32" t="s">
        <v>1465</v>
      </c>
      <c r="U220" s="32" t="s">
        <v>1466</v>
      </c>
      <c r="V220" s="32">
        <v>806773</v>
      </c>
      <c r="W220" s="32" t="s">
        <v>1467</v>
      </c>
      <c r="X220" s="32" t="s">
        <v>187</v>
      </c>
      <c r="Z220" s="32" t="s">
        <v>188</v>
      </c>
      <c r="AA220" s="32" t="s">
        <v>189</v>
      </c>
      <c r="AB220" s="32" t="s">
        <v>55</v>
      </c>
      <c r="AC220" s="32" t="s">
        <v>92</v>
      </c>
      <c r="AD220" s="32" t="s">
        <v>1321</v>
      </c>
      <c r="AE220" s="32">
        <v>20601368766</v>
      </c>
      <c r="AF220" s="32" t="s">
        <v>1468</v>
      </c>
      <c r="AG220" s="32" t="s">
        <v>1469</v>
      </c>
      <c r="AH220" s="32" t="s">
        <v>193</v>
      </c>
      <c r="AI220" s="32" t="s">
        <v>1470</v>
      </c>
      <c r="AJ220" s="32" t="s">
        <v>1471</v>
      </c>
      <c r="AK220" s="32">
        <v>917059103</v>
      </c>
      <c r="AL220" s="32" t="s">
        <v>491</v>
      </c>
      <c r="AM220" s="32" t="s">
        <v>278</v>
      </c>
      <c r="AN220" s="32" t="s">
        <v>278</v>
      </c>
      <c r="AO220" s="32" t="s">
        <v>491</v>
      </c>
      <c r="AP220" s="32" t="s">
        <v>491</v>
      </c>
      <c r="AQ220" s="32" t="s">
        <v>491</v>
      </c>
      <c r="AR220" s="32" t="s">
        <v>491</v>
      </c>
      <c r="AS220" s="32" t="s">
        <v>63</v>
      </c>
      <c r="AT220" s="32" t="s">
        <v>64</v>
      </c>
      <c r="AU220" s="56">
        <v>46250.416666666664</v>
      </c>
      <c r="AV220" s="56">
        <v>46250.447916666664</v>
      </c>
      <c r="AW220" s="56">
        <v>46250.451388888891</v>
      </c>
      <c r="AX220" s="56">
        <v>46250.481944444444</v>
      </c>
      <c r="AY220" s="56">
        <v>46250.510416666664</v>
      </c>
      <c r="AZ220" s="56">
        <v>46250.556944444441</v>
      </c>
      <c r="BA220" s="56">
        <v>46251.3125</v>
      </c>
      <c r="BB220" s="56">
        <v>46251.315972222219</v>
      </c>
      <c r="BC220" s="56">
        <v>46251.326388888891</v>
      </c>
      <c r="BD220" s="56">
        <v>46251.340277777781</v>
      </c>
      <c r="BE220" s="56">
        <v>46251.354166666664</v>
      </c>
      <c r="BG220" s="56">
        <v>46251.53125</v>
      </c>
      <c r="BH220" s="56">
        <v>46251.552083333336</v>
      </c>
      <c r="BI220" s="32" t="s">
        <v>65</v>
      </c>
      <c r="BJ220" s="56">
        <v>46252</v>
      </c>
      <c r="BK220" s="56">
        <v>46252.027777777781</v>
      </c>
      <c r="BL220" s="56">
        <v>46252.036111111112</v>
      </c>
      <c r="BM220" s="56">
        <v>46252.038194444445</v>
      </c>
      <c r="BN220" s="56">
        <v>46252.041666666664</v>
      </c>
    </row>
    <row r="221" spans="1:66" x14ac:dyDescent="0.35">
      <c r="A221" t="s">
        <v>176</v>
      </c>
      <c r="B221" s="32">
        <v>75</v>
      </c>
      <c r="C221" s="32">
        <v>33</v>
      </c>
      <c r="D221" s="32" t="s">
        <v>177</v>
      </c>
      <c r="E221" s="32" t="s">
        <v>178</v>
      </c>
      <c r="F221" s="54">
        <v>46250</v>
      </c>
      <c r="G221" s="54">
        <v>46251</v>
      </c>
      <c r="H221" s="55">
        <v>0.41666666666666669</v>
      </c>
      <c r="I221" s="55">
        <v>0.33333333333333331</v>
      </c>
      <c r="J221" s="32" t="s">
        <v>53</v>
      </c>
      <c r="K221" s="32" t="s">
        <v>179</v>
      </c>
      <c r="L221" s="32">
        <v>1</v>
      </c>
      <c r="M221" s="32" t="s">
        <v>1472</v>
      </c>
      <c r="P221" s="32" t="s">
        <v>182</v>
      </c>
      <c r="Q221" s="32" t="s">
        <v>371</v>
      </c>
      <c r="R221" s="32" t="s">
        <v>556</v>
      </c>
      <c r="S221" s="32" t="s">
        <v>631</v>
      </c>
      <c r="T221" s="32" t="s">
        <v>1473</v>
      </c>
      <c r="U221" s="32" t="s">
        <v>1474</v>
      </c>
      <c r="V221" s="32">
        <v>806752</v>
      </c>
      <c r="W221" s="32" t="s">
        <v>1475</v>
      </c>
      <c r="X221" s="32" t="s">
        <v>187</v>
      </c>
      <c r="Z221" s="32" t="s">
        <v>188</v>
      </c>
      <c r="AA221" s="32" t="s">
        <v>189</v>
      </c>
      <c r="AB221" s="32" t="s">
        <v>55</v>
      </c>
      <c r="AC221" s="32" t="s">
        <v>92</v>
      </c>
      <c r="AD221" s="32" t="s">
        <v>1476</v>
      </c>
      <c r="AE221" s="32">
        <v>20601962102</v>
      </c>
      <c r="AF221" s="32" t="s">
        <v>1153</v>
      </c>
      <c r="AG221" s="32" t="s">
        <v>1450</v>
      </c>
      <c r="AH221" s="32" t="s">
        <v>193</v>
      </c>
      <c r="AI221" s="32" t="s">
        <v>1155</v>
      </c>
      <c r="AJ221" s="32" t="s">
        <v>1156</v>
      </c>
      <c r="AK221" s="32">
        <v>982701637</v>
      </c>
      <c r="AL221" s="32" t="s">
        <v>491</v>
      </c>
      <c r="AM221" s="32" t="s">
        <v>278</v>
      </c>
      <c r="AN221" s="32" t="s">
        <v>278</v>
      </c>
      <c r="AO221" s="32" t="s">
        <v>491</v>
      </c>
      <c r="AP221" s="32" t="s">
        <v>491</v>
      </c>
      <c r="AQ221" s="32" t="s">
        <v>491</v>
      </c>
      <c r="AR221" s="32" t="s">
        <v>491</v>
      </c>
      <c r="AS221" s="32" t="s">
        <v>63</v>
      </c>
      <c r="AT221" s="32" t="s">
        <v>64</v>
      </c>
      <c r="AU221" s="56">
        <v>46250.458333333336</v>
      </c>
      <c r="AV221" s="56">
        <v>46250.458333333336</v>
      </c>
      <c r="AW221" s="56">
        <v>46250.461805555555</v>
      </c>
      <c r="AX221" s="56">
        <v>46250.478472222225</v>
      </c>
      <c r="AY221" s="56">
        <v>46250.493055555555</v>
      </c>
      <c r="AZ221" s="56">
        <v>46250.570833333331</v>
      </c>
      <c r="BA221" s="56">
        <v>46251.303472222222</v>
      </c>
      <c r="BB221" s="56">
        <v>46251.3125</v>
      </c>
      <c r="BC221" s="56">
        <v>46251.326388888891</v>
      </c>
      <c r="BD221" s="56">
        <v>46251.340277777781</v>
      </c>
      <c r="BE221" s="56">
        <v>46251.354166666664</v>
      </c>
      <c r="BG221" s="56">
        <v>46251.541666666664</v>
      </c>
      <c r="BH221" s="56">
        <v>46251.561111111114</v>
      </c>
      <c r="BI221" s="32" t="s">
        <v>65</v>
      </c>
      <c r="BJ221" s="56">
        <v>46252.125</v>
      </c>
      <c r="BK221" s="56">
        <v>46252.127083333333</v>
      </c>
      <c r="BL221" s="56">
        <v>46252.138888888891</v>
      </c>
      <c r="BM221" s="56">
        <v>46252.142361111109</v>
      </c>
      <c r="BN221" s="56">
        <v>46252.147222222222</v>
      </c>
    </row>
    <row r="222" spans="1:66" x14ac:dyDescent="0.35">
      <c r="A222" t="s">
        <v>176</v>
      </c>
      <c r="B222" s="32">
        <v>76</v>
      </c>
      <c r="C222" s="32">
        <v>33</v>
      </c>
      <c r="D222" s="32" t="s">
        <v>177</v>
      </c>
      <c r="E222" s="32" t="s">
        <v>178</v>
      </c>
      <c r="F222" s="54">
        <v>46250</v>
      </c>
      <c r="G222" s="54">
        <v>46251</v>
      </c>
      <c r="H222" s="55">
        <v>0.58333333333333337</v>
      </c>
      <c r="I222" s="55">
        <v>0.5</v>
      </c>
      <c r="J222" s="32" t="s">
        <v>53</v>
      </c>
      <c r="K222" s="32" t="s">
        <v>179</v>
      </c>
      <c r="L222" s="32">
        <v>1</v>
      </c>
      <c r="M222" s="32" t="s">
        <v>1477</v>
      </c>
      <c r="P222" s="32" t="s">
        <v>182</v>
      </c>
      <c r="Q222" s="32" t="s">
        <v>371</v>
      </c>
      <c r="R222" s="32" t="s">
        <v>556</v>
      </c>
      <c r="S222" s="32" t="s">
        <v>631</v>
      </c>
      <c r="T222" s="32" t="s">
        <v>1478</v>
      </c>
      <c r="U222" s="32" t="s">
        <v>1479</v>
      </c>
      <c r="V222" s="32">
        <v>806828</v>
      </c>
      <c r="W222" s="32" t="s">
        <v>1480</v>
      </c>
      <c r="X222" s="32" t="s">
        <v>187</v>
      </c>
      <c r="Z222" s="32" t="s">
        <v>188</v>
      </c>
      <c r="AA222" s="32" t="s">
        <v>189</v>
      </c>
      <c r="AB222" s="32" t="s">
        <v>55</v>
      </c>
      <c r="AC222" s="32" t="s">
        <v>92</v>
      </c>
      <c r="AD222" s="32" t="s">
        <v>1481</v>
      </c>
      <c r="AE222" s="32">
        <v>20608822098</v>
      </c>
      <c r="AF222" s="32" t="s">
        <v>1482</v>
      </c>
      <c r="AG222" s="32" t="s">
        <v>1483</v>
      </c>
      <c r="AH222" s="32" t="s">
        <v>193</v>
      </c>
      <c r="AI222" s="32" t="s">
        <v>1484</v>
      </c>
      <c r="AJ222" s="32" t="s">
        <v>1485</v>
      </c>
      <c r="AK222" s="32">
        <v>922823089</v>
      </c>
      <c r="AL222" s="32" t="s">
        <v>491</v>
      </c>
      <c r="AM222" s="32" t="s">
        <v>278</v>
      </c>
      <c r="AN222" s="32" t="s">
        <v>278</v>
      </c>
      <c r="AO222" s="32" t="s">
        <v>491</v>
      </c>
      <c r="AP222" s="32" t="s">
        <v>491</v>
      </c>
      <c r="AQ222" s="32" t="s">
        <v>491</v>
      </c>
      <c r="AR222" s="32" t="s">
        <v>491</v>
      </c>
      <c r="AS222" s="32" t="s">
        <v>63</v>
      </c>
      <c r="AT222" s="32" t="s">
        <v>64</v>
      </c>
      <c r="AU222" s="56">
        <v>46250.666666666664</v>
      </c>
      <c r="AV222" s="56">
        <v>46250.695833333331</v>
      </c>
      <c r="AW222" s="56">
        <v>46250.697916666664</v>
      </c>
      <c r="AX222" s="56">
        <v>46250.713888888888</v>
      </c>
      <c r="AY222" s="56">
        <v>46250.729166666664</v>
      </c>
      <c r="AZ222" s="56">
        <v>46250.866666666669</v>
      </c>
      <c r="BA222" s="56">
        <v>46251.5</v>
      </c>
      <c r="BB222" s="56">
        <v>46251.517361111109</v>
      </c>
      <c r="BC222" s="56">
        <v>46251.541666666664</v>
      </c>
      <c r="BD222" s="56">
        <v>46251.541666666664</v>
      </c>
      <c r="BE222" s="56">
        <v>46251.555555555555</v>
      </c>
      <c r="BG222" s="56">
        <v>46251.666666666664</v>
      </c>
      <c r="BH222" s="56">
        <v>46251.682638888888</v>
      </c>
      <c r="BI222" s="32" t="s">
        <v>65</v>
      </c>
      <c r="BJ222" s="56">
        <v>46252.416666666664</v>
      </c>
      <c r="BK222" s="56">
        <v>46252.443055555559</v>
      </c>
      <c r="BL222" s="56">
        <v>46252.446527777778</v>
      </c>
      <c r="BM222" s="56">
        <v>46252.448611111111</v>
      </c>
      <c r="BN222" s="56">
        <v>46252.453472222223</v>
      </c>
    </row>
    <row r="223" spans="1:66" x14ac:dyDescent="0.35">
      <c r="A223" t="s">
        <v>176</v>
      </c>
      <c r="B223" s="32">
        <v>77</v>
      </c>
      <c r="C223" s="32">
        <v>33</v>
      </c>
      <c r="D223" s="32" t="s">
        <v>177</v>
      </c>
      <c r="E223" s="32" t="s">
        <v>178</v>
      </c>
      <c r="F223" s="54">
        <v>46251</v>
      </c>
      <c r="G223" s="54">
        <v>46252</v>
      </c>
      <c r="H223" s="55">
        <v>0.41666666666666669</v>
      </c>
      <c r="I223" s="55">
        <v>0.33333333333333331</v>
      </c>
      <c r="J223" s="32" t="s">
        <v>53</v>
      </c>
      <c r="K223" s="32" t="s">
        <v>179</v>
      </c>
      <c r="L223" s="32">
        <v>1</v>
      </c>
      <c r="M223" s="32" t="s">
        <v>1486</v>
      </c>
      <c r="P223" s="32" t="s">
        <v>182</v>
      </c>
      <c r="Q223" s="32" t="s">
        <v>371</v>
      </c>
      <c r="R223" s="32" t="s">
        <v>183</v>
      </c>
      <c r="S223" s="32" t="s">
        <v>184</v>
      </c>
      <c r="T223" s="32" t="s">
        <v>1487</v>
      </c>
      <c r="U223" s="32" t="s">
        <v>1488</v>
      </c>
      <c r="V223" s="32">
        <v>807151</v>
      </c>
      <c r="W223" s="32" t="s">
        <v>1489</v>
      </c>
      <c r="X223" s="32" t="s">
        <v>187</v>
      </c>
      <c r="Z223" s="32" t="s">
        <v>188</v>
      </c>
      <c r="AA223" s="32" t="s">
        <v>189</v>
      </c>
      <c r="AB223" s="32" t="s">
        <v>55</v>
      </c>
      <c r="AC223" s="32" t="s">
        <v>92</v>
      </c>
      <c r="AD223" s="32" t="s">
        <v>1268</v>
      </c>
      <c r="AE223" s="32">
        <v>20611958651</v>
      </c>
      <c r="AF223" s="32" t="s">
        <v>1490</v>
      </c>
      <c r="AG223" s="32" t="s">
        <v>1270</v>
      </c>
      <c r="AH223" s="32" t="s">
        <v>193</v>
      </c>
      <c r="AI223" s="32" t="s">
        <v>1491</v>
      </c>
      <c r="AJ223" s="32" t="s">
        <v>1492</v>
      </c>
      <c r="AK223" s="32">
        <v>952102899</v>
      </c>
      <c r="AL223" s="32" t="s">
        <v>491</v>
      </c>
      <c r="AM223" s="32" t="s">
        <v>278</v>
      </c>
      <c r="AN223" s="32" t="s">
        <v>278</v>
      </c>
      <c r="AO223" s="32" t="s">
        <v>491</v>
      </c>
      <c r="AP223" s="32" t="s">
        <v>491</v>
      </c>
      <c r="AQ223" s="32" t="s">
        <v>491</v>
      </c>
      <c r="AR223" s="32" t="s">
        <v>491</v>
      </c>
      <c r="AS223" s="32" t="s">
        <v>63</v>
      </c>
      <c r="AT223" s="32" t="s">
        <v>64</v>
      </c>
      <c r="AU223" s="56">
        <v>46251.458333333336</v>
      </c>
      <c r="AV223" s="56">
        <v>46251.474999999999</v>
      </c>
      <c r="AW223" s="56">
        <v>46251.479166666664</v>
      </c>
      <c r="AX223" s="56">
        <v>46251.495833333334</v>
      </c>
      <c r="AY223" s="56">
        <v>46251.513888888891</v>
      </c>
      <c r="AZ223" s="56">
        <v>46251.543749999997</v>
      </c>
      <c r="BA223" s="56">
        <v>46252.272916666669</v>
      </c>
      <c r="BB223" s="56">
        <v>46252.277777777781</v>
      </c>
      <c r="BC223" s="56">
        <v>46252.291666666664</v>
      </c>
      <c r="BD223" s="56">
        <v>46252.305555555555</v>
      </c>
      <c r="BE223" s="56">
        <v>46252.319444444445</v>
      </c>
      <c r="BG223" s="56">
        <v>46252.520833333336</v>
      </c>
      <c r="BH223" s="56">
        <v>46252.529861111114</v>
      </c>
      <c r="BI223" s="32" t="s">
        <v>65</v>
      </c>
      <c r="BJ223" s="56">
        <v>46253.041666666664</v>
      </c>
      <c r="BK223" s="56">
        <v>46253.053472222222</v>
      </c>
      <c r="BL223" s="56">
        <v>46253.061111111114</v>
      </c>
      <c r="BM223" s="56">
        <v>46253.063888888886</v>
      </c>
      <c r="BN223" s="56">
        <v>46253.077777777777</v>
      </c>
    </row>
    <row r="224" spans="1:66" x14ac:dyDescent="0.35">
      <c r="A224" t="s">
        <v>176</v>
      </c>
      <c r="B224" s="32">
        <v>78</v>
      </c>
      <c r="C224" s="32">
        <v>33</v>
      </c>
      <c r="D224" s="32" t="s">
        <v>177</v>
      </c>
      <c r="E224" s="32" t="s">
        <v>178</v>
      </c>
      <c r="F224" s="54">
        <v>46251</v>
      </c>
      <c r="G224" s="54">
        <v>46252</v>
      </c>
      <c r="H224" s="55">
        <v>0.41666666666666669</v>
      </c>
      <c r="I224" s="55">
        <v>0.33333333333333331</v>
      </c>
      <c r="J224" s="32" t="s">
        <v>53</v>
      </c>
      <c r="K224" s="32" t="s">
        <v>179</v>
      </c>
      <c r="L224" s="32">
        <v>1</v>
      </c>
      <c r="M224" s="32" t="s">
        <v>1493</v>
      </c>
      <c r="P224" s="32" t="s">
        <v>182</v>
      </c>
      <c r="Q224" s="32" t="s">
        <v>371</v>
      </c>
      <c r="R224" s="32" t="s">
        <v>183</v>
      </c>
      <c r="S224" s="32" t="s">
        <v>184</v>
      </c>
      <c r="T224" s="32" t="s">
        <v>1494</v>
      </c>
      <c r="U224" s="32" t="s">
        <v>1495</v>
      </c>
      <c r="V224" s="32">
        <v>807135</v>
      </c>
      <c r="W224" s="32" t="s">
        <v>1496</v>
      </c>
      <c r="X224" s="32" t="s">
        <v>187</v>
      </c>
      <c r="Z224" s="32" t="s">
        <v>188</v>
      </c>
      <c r="AA224" s="32" t="s">
        <v>189</v>
      </c>
      <c r="AB224" s="32" t="s">
        <v>55</v>
      </c>
      <c r="AC224" s="32" t="s">
        <v>92</v>
      </c>
      <c r="AD224" s="32" t="s">
        <v>1330</v>
      </c>
      <c r="AE224" s="32">
        <v>20614402246</v>
      </c>
      <c r="AF224" s="32" t="s">
        <v>1171</v>
      </c>
      <c r="AG224" s="32" t="s">
        <v>1331</v>
      </c>
      <c r="AH224" s="32" t="s">
        <v>193</v>
      </c>
      <c r="AI224" s="32" t="s">
        <v>1173</v>
      </c>
      <c r="AJ224" s="32" t="s">
        <v>1174</v>
      </c>
      <c r="AK224" s="32">
        <v>914113779</v>
      </c>
      <c r="AL224" s="32" t="s">
        <v>491</v>
      </c>
      <c r="AM224" s="32" t="s">
        <v>278</v>
      </c>
      <c r="AN224" s="32" t="s">
        <v>278</v>
      </c>
      <c r="AO224" s="32" t="s">
        <v>491</v>
      </c>
      <c r="AP224" s="32" t="s">
        <v>491</v>
      </c>
      <c r="AQ224" s="32" t="s">
        <v>491</v>
      </c>
      <c r="AR224" s="32" t="s">
        <v>491</v>
      </c>
      <c r="AS224" s="32" t="s">
        <v>63</v>
      </c>
      <c r="AT224" s="32" t="s">
        <v>64</v>
      </c>
      <c r="AU224" s="56">
        <v>46251.458333333336</v>
      </c>
      <c r="AV224" s="56">
        <v>46251.486111111109</v>
      </c>
      <c r="AW224" s="56">
        <v>46251.489583333336</v>
      </c>
      <c r="AX224" s="56">
        <v>46251.499305555553</v>
      </c>
      <c r="AY224" s="56">
        <v>46251.513888888891</v>
      </c>
      <c r="AZ224" s="56">
        <v>46251.551388888889</v>
      </c>
      <c r="BA224" s="56">
        <v>46252.372916666667</v>
      </c>
      <c r="BB224" s="56">
        <v>46252.375</v>
      </c>
      <c r="BC224" s="56">
        <v>46252.388888888891</v>
      </c>
      <c r="BD224" s="56">
        <v>46252.409722222219</v>
      </c>
      <c r="BE224" s="56">
        <v>46252.423611111109</v>
      </c>
      <c r="BG224" s="56">
        <v>46252.520833333336</v>
      </c>
      <c r="BH224" s="56">
        <v>46252.53402777778</v>
      </c>
      <c r="BI224" s="32" t="s">
        <v>65</v>
      </c>
      <c r="BJ224" s="56">
        <v>46253.291666666664</v>
      </c>
      <c r="BK224" s="56">
        <v>46253.311805555553</v>
      </c>
      <c r="BL224" s="56">
        <v>46253.318055555559</v>
      </c>
      <c r="BM224" s="56">
        <v>46253.320833333331</v>
      </c>
      <c r="BN224" s="56">
        <v>46253.322916666664</v>
      </c>
    </row>
    <row r="225" spans="1:66" x14ac:dyDescent="0.35">
      <c r="A225" t="s">
        <v>176</v>
      </c>
      <c r="B225" s="32">
        <v>79</v>
      </c>
      <c r="C225" s="32">
        <v>34</v>
      </c>
      <c r="D225" s="32" t="s">
        <v>177</v>
      </c>
      <c r="E225" s="32" t="s">
        <v>178</v>
      </c>
      <c r="F225" s="54">
        <v>46251</v>
      </c>
      <c r="G225" s="54">
        <v>46252</v>
      </c>
      <c r="H225" s="55">
        <v>0.625</v>
      </c>
      <c r="I225" s="55">
        <v>0.54166666666666663</v>
      </c>
      <c r="J225" s="32" t="s">
        <v>53</v>
      </c>
      <c r="K225" s="32" t="s">
        <v>179</v>
      </c>
      <c r="L225" s="32">
        <v>1</v>
      </c>
      <c r="M225" s="32" t="s">
        <v>1497</v>
      </c>
      <c r="P225" s="32" t="s">
        <v>182</v>
      </c>
      <c r="Q225" s="32" t="s">
        <v>371</v>
      </c>
      <c r="R225" s="32" t="s">
        <v>1498</v>
      </c>
      <c r="S225" s="32" t="s">
        <v>1499</v>
      </c>
      <c r="T225" s="32">
        <v>275833094</v>
      </c>
      <c r="U225" s="32" t="s">
        <v>1500</v>
      </c>
      <c r="W225" s="32" t="s">
        <v>1501</v>
      </c>
      <c r="X225" s="32" t="s">
        <v>187</v>
      </c>
      <c r="Z225" s="32" t="s">
        <v>188</v>
      </c>
      <c r="AA225" s="32" t="s">
        <v>189</v>
      </c>
      <c r="AB225" s="32" t="s">
        <v>55</v>
      </c>
      <c r="AL225" s="32" t="s">
        <v>491</v>
      </c>
      <c r="AM225" s="32" t="s">
        <v>278</v>
      </c>
      <c r="AN225" s="32" t="s">
        <v>278</v>
      </c>
      <c r="AO225" s="32" t="s">
        <v>491</v>
      </c>
      <c r="AP225" s="32" t="s">
        <v>491</v>
      </c>
      <c r="AQ225" s="32" t="s">
        <v>491</v>
      </c>
      <c r="AR225" s="32" t="s">
        <v>491</v>
      </c>
      <c r="AS225" s="32" t="s">
        <v>63</v>
      </c>
      <c r="BI225" s="32" t="s">
        <v>65</v>
      </c>
    </row>
    <row r="226" spans="1:66" x14ac:dyDescent="0.35">
      <c r="A226" t="s">
        <v>176</v>
      </c>
      <c r="B226" s="32">
        <v>80</v>
      </c>
      <c r="C226" s="32">
        <v>34</v>
      </c>
      <c r="D226" s="32" t="s">
        <v>368</v>
      </c>
      <c r="E226" s="32" t="s">
        <v>178</v>
      </c>
      <c r="F226" s="54">
        <v>46251</v>
      </c>
      <c r="G226" s="54">
        <v>46253</v>
      </c>
      <c r="H226" s="55">
        <v>0.41666666666666669</v>
      </c>
      <c r="I226" s="55">
        <v>0.33333333333333331</v>
      </c>
      <c r="J226" s="32" t="s">
        <v>369</v>
      </c>
      <c r="K226" s="32" t="s">
        <v>179</v>
      </c>
      <c r="L226" s="32">
        <v>1</v>
      </c>
      <c r="M226" s="32" t="s">
        <v>1497</v>
      </c>
      <c r="P226" s="32" t="s">
        <v>182</v>
      </c>
      <c r="Q226" s="32" t="s">
        <v>371</v>
      </c>
      <c r="R226" s="32" t="s">
        <v>1498</v>
      </c>
      <c r="S226" s="32" t="s">
        <v>1499</v>
      </c>
      <c r="T226" s="32">
        <v>275833094</v>
      </c>
      <c r="U226" s="32" t="s">
        <v>1500</v>
      </c>
      <c r="W226" s="32" t="s">
        <v>1501</v>
      </c>
      <c r="X226" s="32" t="s">
        <v>187</v>
      </c>
      <c r="Z226" s="32" t="s">
        <v>188</v>
      </c>
      <c r="AA226" s="32" t="s">
        <v>189</v>
      </c>
      <c r="AB226" s="32" t="s">
        <v>55</v>
      </c>
      <c r="AL226" s="32" t="s">
        <v>491</v>
      </c>
      <c r="AM226" s="32" t="s">
        <v>278</v>
      </c>
      <c r="AN226" s="32" t="s">
        <v>278</v>
      </c>
      <c r="AO226" s="32" t="s">
        <v>491</v>
      </c>
      <c r="AP226" s="32" t="s">
        <v>491</v>
      </c>
      <c r="AQ226" s="32" t="s">
        <v>491</v>
      </c>
      <c r="AR226" s="32" t="s">
        <v>491</v>
      </c>
      <c r="AS226" s="32" t="s">
        <v>63</v>
      </c>
      <c r="BI226" s="32" t="s">
        <v>65</v>
      </c>
    </row>
    <row r="227" spans="1:66" x14ac:dyDescent="0.35">
      <c r="A227" t="s">
        <v>176</v>
      </c>
      <c r="B227" s="32">
        <v>1</v>
      </c>
      <c r="C227" s="32">
        <v>28</v>
      </c>
      <c r="D227" s="32" t="s">
        <v>177</v>
      </c>
      <c r="E227" s="32" t="s">
        <v>178</v>
      </c>
      <c r="F227" s="54">
        <v>46211</v>
      </c>
      <c r="G227" s="54">
        <v>46212</v>
      </c>
      <c r="H227" s="55"/>
      <c r="I227" s="55">
        <v>0.33333333333333331</v>
      </c>
      <c r="J227" s="32" t="s">
        <v>53</v>
      </c>
      <c r="K227" s="32" t="s">
        <v>179</v>
      </c>
      <c r="L227" s="32">
        <v>1</v>
      </c>
      <c r="M227" s="32" t="s">
        <v>1502</v>
      </c>
      <c r="N227" s="32" t="s">
        <v>181</v>
      </c>
      <c r="O227" s="32" t="s">
        <v>181</v>
      </c>
      <c r="P227" s="32" t="s">
        <v>182</v>
      </c>
      <c r="Q227" s="32" t="s">
        <v>84</v>
      </c>
      <c r="R227" s="32" t="s">
        <v>183</v>
      </c>
      <c r="S227" s="32" t="s">
        <v>184</v>
      </c>
      <c r="T227" s="32">
        <v>274024236</v>
      </c>
      <c r="U227" s="32" t="s">
        <v>1503</v>
      </c>
      <c r="V227" s="32" t="s">
        <v>1504</v>
      </c>
      <c r="W227" s="32" t="s">
        <v>1505</v>
      </c>
      <c r="X227" s="32" t="s">
        <v>187</v>
      </c>
      <c r="Y227" s="32" t="s">
        <v>188</v>
      </c>
      <c r="Z227" s="32" t="s">
        <v>188</v>
      </c>
      <c r="AA227" s="32" t="s">
        <v>189</v>
      </c>
      <c r="AB227" s="32" t="s">
        <v>1499</v>
      </c>
      <c r="AC227" s="32" t="s">
        <v>56</v>
      </c>
      <c r="AD227" s="32" t="s">
        <v>1507</v>
      </c>
      <c r="AE227" s="32">
        <v>20107012011</v>
      </c>
      <c r="AF227" s="32" t="s">
        <v>1508</v>
      </c>
      <c r="AG227" s="32" t="s">
        <v>1509</v>
      </c>
      <c r="AH227" s="32" t="s">
        <v>193</v>
      </c>
      <c r="AI227" s="32" t="s">
        <v>1510</v>
      </c>
      <c r="AJ227" s="32" t="s">
        <v>1511</v>
      </c>
      <c r="AL227" s="32" t="s">
        <v>491</v>
      </c>
      <c r="AM227" s="32" t="s">
        <v>278</v>
      </c>
      <c r="AN227" s="32" t="s">
        <v>278</v>
      </c>
      <c r="AO227" s="32" t="s">
        <v>491</v>
      </c>
      <c r="AP227" s="32" t="s">
        <v>491</v>
      </c>
      <c r="AQ227" s="32" t="s">
        <v>491</v>
      </c>
      <c r="AR227" s="32" t="s">
        <v>491</v>
      </c>
      <c r="AS227" s="32" t="s">
        <v>84</v>
      </c>
      <c r="AT227" s="32" t="s">
        <v>1512</v>
      </c>
      <c r="AU227" s="56">
        <v>46211.625</v>
      </c>
      <c r="AV227" s="56">
        <v>46211.64166666667</v>
      </c>
      <c r="AW227" s="56">
        <v>46211.682638888888</v>
      </c>
      <c r="AX227" s="56">
        <v>46211.6875</v>
      </c>
      <c r="AY227" s="56">
        <v>46211.699305555558</v>
      </c>
      <c r="AZ227" s="56">
        <v>46211.8125</v>
      </c>
      <c r="BA227" s="56">
        <v>46212.416666666664</v>
      </c>
      <c r="BB227" s="56">
        <v>46212.422222222223</v>
      </c>
      <c r="BC227" s="56">
        <v>46212.446527777778</v>
      </c>
      <c r="BE227" s="56">
        <v>46212.479166666664</v>
      </c>
      <c r="BG227" s="56">
        <v>46212.605555555558</v>
      </c>
      <c r="BH227" s="56">
        <v>46212.625</v>
      </c>
      <c r="BI227" s="32" t="s">
        <v>795</v>
      </c>
      <c r="BJ227" s="56">
        <v>46213.25</v>
      </c>
      <c r="BK227" s="56">
        <v>46213.25</v>
      </c>
      <c r="BL227" s="56">
        <v>46213.341666666667</v>
      </c>
      <c r="BM227" s="56">
        <v>46213.347222222219</v>
      </c>
      <c r="BN227" s="56">
        <v>46213.352083333331</v>
      </c>
    </row>
    <row r="228" spans="1:66" x14ac:dyDescent="0.35">
      <c r="A228" t="s">
        <v>176</v>
      </c>
      <c r="B228" s="32">
        <v>2</v>
      </c>
      <c r="C228" s="32">
        <v>28</v>
      </c>
      <c r="D228" s="32" t="s">
        <v>177</v>
      </c>
      <c r="E228" s="32" t="s">
        <v>178</v>
      </c>
      <c r="F228" s="54">
        <v>46212</v>
      </c>
      <c r="G228" s="54">
        <v>46213</v>
      </c>
      <c r="H228" s="55"/>
      <c r="I228" s="55">
        <v>0.54166666666666663</v>
      </c>
      <c r="J228" s="32" t="s">
        <v>53</v>
      </c>
      <c r="K228" s="32" t="s">
        <v>179</v>
      </c>
      <c r="L228" s="32">
        <v>1</v>
      </c>
      <c r="M228" s="32" t="s">
        <v>1513</v>
      </c>
      <c r="P228" s="32" t="s">
        <v>182</v>
      </c>
      <c r="Q228" s="32" t="s">
        <v>84</v>
      </c>
      <c r="T228" s="32">
        <v>751600038522</v>
      </c>
      <c r="U228" s="32" t="s">
        <v>1514</v>
      </c>
      <c r="V228" s="32" t="s">
        <v>1515</v>
      </c>
      <c r="W228" s="32" t="s">
        <v>1516</v>
      </c>
      <c r="Z228" s="32" t="s">
        <v>188</v>
      </c>
      <c r="AA228" s="32" t="s">
        <v>189</v>
      </c>
      <c r="AB228" s="32" t="s">
        <v>1499</v>
      </c>
      <c r="AC228" s="32" t="s">
        <v>56</v>
      </c>
      <c r="AD228" s="32" t="s">
        <v>1507</v>
      </c>
      <c r="AE228" s="32">
        <v>20107012011</v>
      </c>
      <c r="AF228" s="32" t="s">
        <v>1517</v>
      </c>
      <c r="AG228" s="32" t="s">
        <v>1518</v>
      </c>
      <c r="AH228" s="32" t="s">
        <v>193</v>
      </c>
      <c r="AI228" s="32" t="s">
        <v>1519</v>
      </c>
      <c r="AJ228" s="32" t="s">
        <v>1520</v>
      </c>
      <c r="AL228" s="32" t="s">
        <v>491</v>
      </c>
      <c r="AM228" s="32" t="s">
        <v>278</v>
      </c>
      <c r="AN228" s="32" t="s">
        <v>278</v>
      </c>
      <c r="AO228" s="32" t="s">
        <v>491</v>
      </c>
      <c r="AP228" s="32" t="s">
        <v>491</v>
      </c>
      <c r="AQ228" s="32" t="s">
        <v>491</v>
      </c>
      <c r="AR228" s="32" t="s">
        <v>491</v>
      </c>
      <c r="AS228" s="32" t="s">
        <v>84</v>
      </c>
      <c r="AT228" s="32" t="s">
        <v>64</v>
      </c>
      <c r="AU228" s="56">
        <v>46212.583333333336</v>
      </c>
      <c r="AV228" s="56">
        <v>46212.557638888888</v>
      </c>
      <c r="AW228" s="56">
        <v>46212.593055555553</v>
      </c>
      <c r="AX228" s="56">
        <v>46212.598611111112</v>
      </c>
      <c r="AY228" s="56">
        <v>46212.654166666667</v>
      </c>
      <c r="AZ228" s="56">
        <v>46212.668055555558</v>
      </c>
      <c r="BA228" s="56">
        <v>46213.263888888891</v>
      </c>
      <c r="BB228" s="56">
        <v>46213.354166666664</v>
      </c>
      <c r="BC228" s="56">
        <v>46213.384722222225</v>
      </c>
      <c r="BE228" s="56">
        <v>46213.420138888891</v>
      </c>
      <c r="BG228" s="56">
        <v>46213.725694444445</v>
      </c>
      <c r="BH228" s="56">
        <v>46213.743055555555</v>
      </c>
      <c r="BI228" s="32" t="s">
        <v>64</v>
      </c>
      <c r="BJ228" s="56">
        <v>46214.333333333336</v>
      </c>
      <c r="BK228" s="56">
        <v>46214.34652777778</v>
      </c>
      <c r="BL228" s="56">
        <v>46214.355555555558</v>
      </c>
      <c r="BM228" s="56">
        <v>46214.364583333336</v>
      </c>
      <c r="BN228" s="56">
        <v>46214.372916666667</v>
      </c>
    </row>
    <row r="229" spans="1:66" x14ac:dyDescent="0.35">
      <c r="A229" t="s">
        <v>176</v>
      </c>
      <c r="B229" s="32">
        <v>3</v>
      </c>
      <c r="C229" s="32">
        <v>28</v>
      </c>
      <c r="D229" s="32" t="s">
        <v>177</v>
      </c>
      <c r="E229" s="32" t="s">
        <v>178</v>
      </c>
      <c r="F229" s="54">
        <v>46214</v>
      </c>
      <c r="G229" s="54">
        <v>46215</v>
      </c>
      <c r="H229" s="55"/>
      <c r="I229" s="55">
        <v>0.33333333333333331</v>
      </c>
      <c r="J229" s="32" t="s">
        <v>53</v>
      </c>
      <c r="K229" s="32" t="s">
        <v>179</v>
      </c>
      <c r="L229" s="32">
        <v>1</v>
      </c>
      <c r="M229" s="32" t="s">
        <v>1521</v>
      </c>
      <c r="P229" s="32" t="s">
        <v>182</v>
      </c>
      <c r="Q229" s="32" t="s">
        <v>84</v>
      </c>
      <c r="T229" s="32">
        <v>751600038726</v>
      </c>
      <c r="U229" s="32" t="s">
        <v>1522</v>
      </c>
      <c r="V229" s="32" t="s">
        <v>1523</v>
      </c>
      <c r="W229" s="32" t="s">
        <v>1516</v>
      </c>
      <c r="Z229" s="32" t="s">
        <v>188</v>
      </c>
      <c r="AA229" s="32" t="s">
        <v>189</v>
      </c>
      <c r="AB229" s="32" t="s">
        <v>1499</v>
      </c>
      <c r="AC229" s="32" t="s">
        <v>56</v>
      </c>
      <c r="AD229" s="32" t="s">
        <v>1507</v>
      </c>
      <c r="AE229" s="32">
        <v>20107012011</v>
      </c>
      <c r="AF229" s="32" t="s">
        <v>1524</v>
      </c>
      <c r="AG229" s="32" t="s">
        <v>1525</v>
      </c>
      <c r="AH229" s="32" t="s">
        <v>193</v>
      </c>
      <c r="AI229" s="32" t="s">
        <v>1526</v>
      </c>
      <c r="AJ229" s="32" t="s">
        <v>1527</v>
      </c>
      <c r="AL229" s="32" t="s">
        <v>491</v>
      </c>
      <c r="AM229" s="32" t="s">
        <v>278</v>
      </c>
      <c r="AN229" s="32" t="s">
        <v>278</v>
      </c>
      <c r="AO229" s="32" t="s">
        <v>491</v>
      </c>
      <c r="AP229" s="32" t="s">
        <v>491</v>
      </c>
      <c r="AQ229" s="32" t="s">
        <v>491</v>
      </c>
      <c r="AR229" s="32" t="s">
        <v>491</v>
      </c>
      <c r="AS229" s="32" t="s">
        <v>84</v>
      </c>
      <c r="AT229" s="32" t="s">
        <v>285</v>
      </c>
      <c r="AU229" s="56">
        <v>46214.625</v>
      </c>
      <c r="AV229" s="56">
        <v>46214.628472222219</v>
      </c>
      <c r="AW229" s="56">
        <v>46214.645833333336</v>
      </c>
      <c r="AX229" s="56">
        <v>46214.663888888892</v>
      </c>
      <c r="AY229" s="56">
        <v>46214.74722222222</v>
      </c>
      <c r="AZ229" s="56">
        <v>46214.995833333334</v>
      </c>
      <c r="BA229" s="56">
        <v>46215.495833333334</v>
      </c>
      <c r="BB229" s="56">
        <v>46215.504166666666</v>
      </c>
      <c r="BC229" s="56">
        <v>46215.509722222225</v>
      </c>
      <c r="BE229" s="56">
        <v>46215.552083333336</v>
      </c>
      <c r="BG229" s="56">
        <v>194.72222222222223</v>
      </c>
      <c r="BH229" s="56">
        <v>46215.746527777781</v>
      </c>
      <c r="BI229" s="32" t="s">
        <v>64</v>
      </c>
      <c r="BJ229" s="56">
        <v>46216.208333333336</v>
      </c>
      <c r="BK229" s="56">
        <v>46216.195833333331</v>
      </c>
      <c r="BL229" s="56">
        <v>46216.202777777777</v>
      </c>
      <c r="BM229" s="56">
        <v>46216.206944444442</v>
      </c>
      <c r="BN229" s="56">
        <v>46216.215277777781</v>
      </c>
    </row>
    <row r="230" spans="1:66" x14ac:dyDescent="0.35">
      <c r="A230" t="s">
        <v>176</v>
      </c>
      <c r="B230" s="32">
        <v>4</v>
      </c>
      <c r="C230" s="32">
        <v>28</v>
      </c>
      <c r="D230" s="32" t="s">
        <v>177</v>
      </c>
      <c r="E230" s="32" t="s">
        <v>178</v>
      </c>
      <c r="F230" s="54">
        <v>46214</v>
      </c>
      <c r="G230" s="54">
        <v>46215</v>
      </c>
      <c r="H230" s="55"/>
      <c r="I230" s="55">
        <v>0.33333333333333331</v>
      </c>
      <c r="J230" s="32" t="s">
        <v>53</v>
      </c>
      <c r="K230" s="32" t="s">
        <v>179</v>
      </c>
      <c r="L230" s="32">
        <v>1</v>
      </c>
      <c r="M230" s="32" t="s">
        <v>1528</v>
      </c>
      <c r="P230" s="32" t="s">
        <v>182</v>
      </c>
      <c r="Q230" s="32" t="s">
        <v>84</v>
      </c>
      <c r="T230" s="32">
        <v>751600038742</v>
      </c>
      <c r="U230" s="32" t="s">
        <v>1529</v>
      </c>
      <c r="V230" s="32" t="s">
        <v>1530</v>
      </c>
      <c r="W230" s="32" t="s">
        <v>1516</v>
      </c>
      <c r="Z230" s="32" t="s">
        <v>188</v>
      </c>
      <c r="AA230" s="32" t="s">
        <v>189</v>
      </c>
      <c r="AB230" s="32" t="s">
        <v>1499</v>
      </c>
      <c r="AC230" s="32" t="s">
        <v>56</v>
      </c>
      <c r="AD230" s="32" t="s">
        <v>1507</v>
      </c>
      <c r="AE230" s="32">
        <v>20107012011</v>
      </c>
      <c r="AF230" s="32" t="s">
        <v>1531</v>
      </c>
      <c r="AG230" s="32" t="s">
        <v>1532</v>
      </c>
      <c r="AH230" s="32" t="s">
        <v>193</v>
      </c>
      <c r="AI230" s="32" t="s">
        <v>1533</v>
      </c>
      <c r="AJ230" s="32" t="s">
        <v>1534</v>
      </c>
      <c r="AL230" s="32" t="s">
        <v>491</v>
      </c>
      <c r="AM230" s="32" t="s">
        <v>278</v>
      </c>
      <c r="AN230" s="32" t="s">
        <v>278</v>
      </c>
      <c r="AO230" s="32" t="s">
        <v>491</v>
      </c>
      <c r="AP230" s="32" t="s">
        <v>491</v>
      </c>
      <c r="AQ230" s="32" t="s">
        <v>491</v>
      </c>
      <c r="AR230" s="32" t="s">
        <v>491</v>
      </c>
      <c r="AS230" s="32" t="s">
        <v>84</v>
      </c>
      <c r="AT230" s="32" t="s">
        <v>285</v>
      </c>
      <c r="AU230" s="56">
        <v>46214.625</v>
      </c>
      <c r="AV230" s="56">
        <v>46214.7</v>
      </c>
      <c r="AW230" s="56">
        <v>46214.706250000003</v>
      </c>
      <c r="AX230" s="56">
        <v>46214.713888888888</v>
      </c>
      <c r="AY230" s="56">
        <v>46214.878472222219</v>
      </c>
      <c r="AZ230" s="56">
        <v>46214.989583333336</v>
      </c>
      <c r="BA230" s="56">
        <v>46215.493055555555</v>
      </c>
      <c r="BB230" s="56">
        <v>46215.5</v>
      </c>
      <c r="BC230" s="56">
        <v>46215.506944444445</v>
      </c>
      <c r="BE230" s="56">
        <v>46215.545138888891</v>
      </c>
      <c r="BG230" s="56">
        <v>46215.736111111109</v>
      </c>
      <c r="BH230" s="56">
        <v>46215.763194444444</v>
      </c>
      <c r="BI230" s="32" t="s">
        <v>64</v>
      </c>
      <c r="BJ230" s="56">
        <v>46216.25</v>
      </c>
      <c r="BK230" s="56">
        <v>46216.306944444441</v>
      </c>
      <c r="BL230" s="56">
        <v>46216.324999999997</v>
      </c>
      <c r="BM230" s="56">
        <v>46216.327777777777</v>
      </c>
      <c r="BN230" s="56">
        <v>46216.335416666669</v>
      </c>
    </row>
    <row r="231" spans="1:66" x14ac:dyDescent="0.35">
      <c r="A231" t="s">
        <v>176</v>
      </c>
      <c r="B231" s="32">
        <v>5</v>
      </c>
      <c r="C231" s="32">
        <v>28</v>
      </c>
      <c r="D231" s="32" t="s">
        <v>177</v>
      </c>
      <c r="E231" s="32" t="s">
        <v>178</v>
      </c>
      <c r="F231" s="54">
        <v>46214</v>
      </c>
      <c r="G231" s="54">
        <v>46216</v>
      </c>
      <c r="H231" s="55"/>
      <c r="I231" s="55">
        <v>0.33333333333333331</v>
      </c>
      <c r="J231" s="32" t="s">
        <v>53</v>
      </c>
      <c r="K231" s="32" t="s">
        <v>179</v>
      </c>
      <c r="L231" s="32">
        <v>1</v>
      </c>
      <c r="M231" s="32" t="s">
        <v>1535</v>
      </c>
      <c r="P231" s="32" t="s">
        <v>182</v>
      </c>
      <c r="Q231" s="32" t="s">
        <v>84</v>
      </c>
      <c r="T231" s="32">
        <v>751600038751</v>
      </c>
      <c r="U231" s="32" t="s">
        <v>1536</v>
      </c>
      <c r="V231" s="32" t="s">
        <v>1537</v>
      </c>
      <c r="W231" s="32" t="s">
        <v>1516</v>
      </c>
      <c r="Z231" s="32" t="s">
        <v>188</v>
      </c>
      <c r="AA231" s="32" t="s">
        <v>189</v>
      </c>
      <c r="AB231" s="32" t="s">
        <v>1499</v>
      </c>
      <c r="AC231" s="32" t="s">
        <v>56</v>
      </c>
      <c r="AD231" s="32" t="s">
        <v>1507</v>
      </c>
      <c r="AE231" s="32">
        <v>20107012011</v>
      </c>
      <c r="AF231" s="32" t="s">
        <v>1517</v>
      </c>
      <c r="AG231" s="32" t="s">
        <v>1518</v>
      </c>
      <c r="AH231" s="32" t="s">
        <v>193</v>
      </c>
      <c r="AI231" s="32" t="s">
        <v>1538</v>
      </c>
      <c r="AJ231" s="32" t="s">
        <v>1539</v>
      </c>
      <c r="AL231" s="32" t="s">
        <v>491</v>
      </c>
      <c r="AM231" s="32" t="s">
        <v>278</v>
      </c>
      <c r="AN231" s="32" t="s">
        <v>278</v>
      </c>
      <c r="AO231" s="32" t="s">
        <v>491</v>
      </c>
      <c r="AP231" s="32" t="s">
        <v>491</v>
      </c>
      <c r="AQ231" s="32" t="s">
        <v>491</v>
      </c>
      <c r="AR231" s="32" t="s">
        <v>491</v>
      </c>
      <c r="AS231" s="32" t="s">
        <v>84</v>
      </c>
      <c r="AT231" s="32" t="s">
        <v>285</v>
      </c>
      <c r="AU231" s="56">
        <v>46214.666666666664</v>
      </c>
      <c r="AV231" s="56">
        <v>46214.665277777778</v>
      </c>
      <c r="AW231" s="56">
        <v>46214.67083333333</v>
      </c>
      <c r="AX231" s="56">
        <v>46214.683333333334</v>
      </c>
      <c r="AY231" s="56">
        <v>46214.800694444442</v>
      </c>
      <c r="AZ231" s="56">
        <v>46214.802777777775</v>
      </c>
      <c r="BA231" s="56">
        <v>46216.222222222219</v>
      </c>
      <c r="BB231" s="56">
        <v>46216.28125</v>
      </c>
      <c r="BC231" s="56">
        <v>46216.311805555553</v>
      </c>
      <c r="BE231" s="56">
        <v>46216.354166666664</v>
      </c>
      <c r="BG231" s="56">
        <v>46216.739583333336</v>
      </c>
      <c r="BH231" s="56">
        <v>46216.768055555556</v>
      </c>
      <c r="BI231" s="32" t="s">
        <v>64</v>
      </c>
      <c r="BJ231" s="56">
        <v>46217.291666666664</v>
      </c>
      <c r="BK231" s="56">
        <v>46217.343055555553</v>
      </c>
      <c r="BL231" s="56">
        <v>46217.347222222219</v>
      </c>
      <c r="BM231" s="56">
        <v>46217.361111111109</v>
      </c>
      <c r="BN231" s="56">
        <v>46217.368750000001</v>
      </c>
    </row>
    <row r="232" spans="1:66" x14ac:dyDescent="0.35">
      <c r="A232" t="s">
        <v>176</v>
      </c>
      <c r="B232" s="32">
        <v>6</v>
      </c>
      <c r="C232" s="32">
        <v>28</v>
      </c>
      <c r="D232" s="32" t="s">
        <v>177</v>
      </c>
      <c r="E232" s="32" t="s">
        <v>178</v>
      </c>
      <c r="F232" s="54">
        <v>46215</v>
      </c>
      <c r="G232" s="54">
        <v>46216</v>
      </c>
      <c r="H232" s="55"/>
      <c r="I232" s="55">
        <v>0.33333333333333331</v>
      </c>
      <c r="J232" s="32" t="s">
        <v>53</v>
      </c>
      <c r="K232" s="32" t="s">
        <v>179</v>
      </c>
      <c r="L232" s="32">
        <v>1</v>
      </c>
      <c r="M232" s="32" t="s">
        <v>1540</v>
      </c>
      <c r="P232" s="32" t="s">
        <v>182</v>
      </c>
      <c r="Q232" s="32" t="s">
        <v>84</v>
      </c>
      <c r="T232" s="32">
        <v>751600038548</v>
      </c>
      <c r="U232" s="32" t="s">
        <v>1541</v>
      </c>
      <c r="V232" s="32" t="s">
        <v>1542</v>
      </c>
      <c r="W232" s="32" t="s">
        <v>1516</v>
      </c>
      <c r="Z232" s="32" t="s">
        <v>188</v>
      </c>
      <c r="AA232" s="32" t="s">
        <v>189</v>
      </c>
      <c r="AB232" s="32" t="s">
        <v>1499</v>
      </c>
      <c r="AC232" s="32" t="s">
        <v>56</v>
      </c>
      <c r="AD232" s="32" t="s">
        <v>1507</v>
      </c>
      <c r="AE232" s="32">
        <v>20107012011</v>
      </c>
      <c r="AF232" s="32" t="s">
        <v>1543</v>
      </c>
      <c r="AG232" s="32" t="s">
        <v>1544</v>
      </c>
      <c r="AH232" s="32" t="s">
        <v>193</v>
      </c>
      <c r="AI232" s="32" t="s">
        <v>1545</v>
      </c>
      <c r="AJ232" s="32" t="s">
        <v>1546</v>
      </c>
      <c r="AL232" s="32" t="s">
        <v>491</v>
      </c>
      <c r="AM232" s="32" t="s">
        <v>278</v>
      </c>
      <c r="AN232" s="32" t="s">
        <v>278</v>
      </c>
      <c r="AO232" s="32" t="s">
        <v>491</v>
      </c>
      <c r="AP232" s="32" t="s">
        <v>491</v>
      </c>
      <c r="AQ232" s="32" t="s">
        <v>491</v>
      </c>
      <c r="AR232" s="32" t="s">
        <v>491</v>
      </c>
      <c r="AS232" s="32" t="s">
        <v>84</v>
      </c>
      <c r="AT232" s="32" t="s">
        <v>64</v>
      </c>
      <c r="AU232" s="56">
        <v>46215.583333333336</v>
      </c>
      <c r="AV232" s="56">
        <v>46215.458333333336</v>
      </c>
      <c r="AW232" s="56">
        <v>46215.55</v>
      </c>
      <c r="AX232" s="56">
        <v>46215.588888888888</v>
      </c>
      <c r="AY232" s="56">
        <v>46215.661111111112</v>
      </c>
      <c r="AZ232" s="56">
        <v>46215.936805555553</v>
      </c>
      <c r="BA232" s="56">
        <v>46216.362500000003</v>
      </c>
      <c r="BB232" s="56">
        <v>46216.458333333336</v>
      </c>
      <c r="BC232" s="56">
        <v>46216.474305555559</v>
      </c>
      <c r="BE232" s="56">
        <v>46216.510416666664</v>
      </c>
      <c r="BG232" s="56">
        <v>46216.819444444445</v>
      </c>
      <c r="BH232" s="56">
        <v>46216.851388888892</v>
      </c>
      <c r="BI232" s="32" t="s">
        <v>64</v>
      </c>
      <c r="BJ232" s="56">
        <v>46217.375</v>
      </c>
      <c r="BK232" s="56">
        <v>46217.39166666667</v>
      </c>
      <c r="BL232" s="56">
        <v>46217.407638888886</v>
      </c>
      <c r="BM232" s="56">
        <v>46217.4375</v>
      </c>
      <c r="BN232" s="56">
        <v>46217.449305555558</v>
      </c>
    </row>
    <row r="233" spans="1:66" x14ac:dyDescent="0.35">
      <c r="A233" t="s">
        <v>176</v>
      </c>
      <c r="B233" s="32">
        <v>7</v>
      </c>
      <c r="C233" s="32">
        <v>28</v>
      </c>
      <c r="D233" s="32" t="s">
        <v>177</v>
      </c>
      <c r="E233" s="32" t="s">
        <v>178</v>
      </c>
      <c r="F233" s="54">
        <v>46215</v>
      </c>
      <c r="G233" s="54">
        <v>46216</v>
      </c>
      <c r="H233" s="55"/>
      <c r="I233" s="55">
        <v>0.33333333333333331</v>
      </c>
      <c r="J233" s="32" t="s">
        <v>53</v>
      </c>
      <c r="K233" s="32" t="s">
        <v>179</v>
      </c>
      <c r="L233" s="32">
        <v>1</v>
      </c>
      <c r="M233" s="32" t="s">
        <v>1547</v>
      </c>
      <c r="P233" s="32" t="s">
        <v>182</v>
      </c>
      <c r="Q233" s="32" t="s">
        <v>84</v>
      </c>
      <c r="T233" s="32">
        <v>751600038556</v>
      </c>
      <c r="U233" s="32" t="s">
        <v>1548</v>
      </c>
      <c r="V233" s="32" t="s">
        <v>1549</v>
      </c>
      <c r="W233" s="32" t="s">
        <v>1516</v>
      </c>
      <c r="Z233" s="32" t="s">
        <v>188</v>
      </c>
      <c r="AA233" s="32" t="s">
        <v>189</v>
      </c>
      <c r="AB233" s="32" t="s">
        <v>1499</v>
      </c>
      <c r="AC233" s="32" t="s">
        <v>56</v>
      </c>
      <c r="AD233" s="32" t="s">
        <v>1507</v>
      </c>
      <c r="AE233" s="32">
        <v>20107012011</v>
      </c>
      <c r="AF233" s="32" t="s">
        <v>1550</v>
      </c>
      <c r="AG233" s="32" t="s">
        <v>1551</v>
      </c>
      <c r="AH233" s="32" t="s">
        <v>193</v>
      </c>
      <c r="AI233" s="32" t="s">
        <v>1552</v>
      </c>
      <c r="AJ233" s="32" t="s">
        <v>1553</v>
      </c>
      <c r="AL233" s="32" t="s">
        <v>491</v>
      </c>
      <c r="AM233" s="32" t="s">
        <v>278</v>
      </c>
      <c r="AN233" s="32" t="s">
        <v>278</v>
      </c>
      <c r="AO233" s="32" t="s">
        <v>491</v>
      </c>
      <c r="AP233" s="32" t="s">
        <v>491</v>
      </c>
      <c r="AQ233" s="32" t="s">
        <v>491</v>
      </c>
      <c r="AR233" s="32" t="s">
        <v>491</v>
      </c>
      <c r="AS233" s="32" t="s">
        <v>84</v>
      </c>
      <c r="AT233" s="32" t="s">
        <v>64</v>
      </c>
      <c r="AU233" s="56">
        <v>46215.541666666664</v>
      </c>
      <c r="AV233" s="56">
        <v>46215.513888888891</v>
      </c>
      <c r="AW233" s="56">
        <v>46215.568055555559</v>
      </c>
      <c r="AX233" s="56">
        <v>46215.636805555558</v>
      </c>
      <c r="AY233" s="56">
        <v>46215.76458333333</v>
      </c>
      <c r="AZ233" s="56">
        <v>46215.877083333333</v>
      </c>
      <c r="BA233" s="56">
        <v>46216.299305555556</v>
      </c>
      <c r="BB233" s="56">
        <v>46216.336805555555</v>
      </c>
      <c r="BC233" s="56">
        <v>46216.36041666667</v>
      </c>
      <c r="BE233" s="56">
        <v>46216.402777777781</v>
      </c>
      <c r="BG233" s="56">
        <v>46216.873611111114</v>
      </c>
      <c r="BH233" s="56">
        <v>46216.897916666669</v>
      </c>
      <c r="BI233" s="32" t="s">
        <v>64</v>
      </c>
      <c r="BJ233" s="56">
        <v>46216.458333333336</v>
      </c>
      <c r="BK233" s="56">
        <v>46217.4</v>
      </c>
      <c r="BL233" s="56">
        <v>44026.412499999999</v>
      </c>
      <c r="BM233" s="56">
        <v>46217.420138888891</v>
      </c>
      <c r="BN233" s="56">
        <v>46217.433333333334</v>
      </c>
    </row>
    <row r="234" spans="1:66" x14ac:dyDescent="0.35">
      <c r="A234" t="s">
        <v>176</v>
      </c>
      <c r="B234" s="32">
        <v>8</v>
      </c>
      <c r="C234" s="32">
        <v>29</v>
      </c>
      <c r="D234" s="32" t="s">
        <v>177</v>
      </c>
      <c r="E234" s="32" t="s">
        <v>178</v>
      </c>
      <c r="F234" s="54">
        <v>46218</v>
      </c>
      <c r="G234" s="54">
        <v>46219</v>
      </c>
      <c r="H234" s="55"/>
      <c r="I234" s="55">
        <v>0.33333333333333331</v>
      </c>
      <c r="J234" s="32" t="s">
        <v>53</v>
      </c>
      <c r="K234" s="32" t="s">
        <v>179</v>
      </c>
      <c r="L234" s="32">
        <v>1</v>
      </c>
      <c r="M234" s="32" t="s">
        <v>1554</v>
      </c>
      <c r="P234" s="32" t="s">
        <v>182</v>
      </c>
      <c r="Q234" s="32" t="s">
        <v>83</v>
      </c>
      <c r="T234" s="32">
        <v>6508150050</v>
      </c>
      <c r="U234" s="32" t="s">
        <v>1555</v>
      </c>
      <c r="V234" s="32" t="s">
        <v>1556</v>
      </c>
      <c r="W234" s="32" t="s">
        <v>1557</v>
      </c>
      <c r="Z234" s="32" t="s">
        <v>188</v>
      </c>
      <c r="AA234" s="32" t="s">
        <v>189</v>
      </c>
      <c r="AB234" s="32" t="s">
        <v>1499</v>
      </c>
      <c r="AC234" s="32" t="s">
        <v>92</v>
      </c>
      <c r="AD234" s="32" t="s">
        <v>1558</v>
      </c>
      <c r="AE234" s="32">
        <v>20604847142</v>
      </c>
      <c r="AF234" s="32" t="s">
        <v>1559</v>
      </c>
      <c r="AG234" s="32" t="s">
        <v>1560</v>
      </c>
      <c r="AH234" s="32" t="s">
        <v>193</v>
      </c>
      <c r="AI234" s="32" t="s">
        <v>1561</v>
      </c>
      <c r="AJ234" s="32" t="s">
        <v>1562</v>
      </c>
      <c r="AL234" s="32" t="s">
        <v>491</v>
      </c>
      <c r="AM234" s="32" t="s">
        <v>278</v>
      </c>
      <c r="AN234" s="32" t="s">
        <v>278</v>
      </c>
      <c r="AO234" s="32" t="s">
        <v>491</v>
      </c>
      <c r="AP234" s="32" t="s">
        <v>491</v>
      </c>
      <c r="AQ234" s="32" t="s">
        <v>491</v>
      </c>
      <c r="AR234" s="32" t="s">
        <v>491</v>
      </c>
      <c r="AS234" s="32" t="s">
        <v>83</v>
      </c>
      <c r="AT234" s="32" t="s">
        <v>248</v>
      </c>
      <c r="AU234" s="56">
        <v>46218.666666666664</v>
      </c>
      <c r="AV234" s="56">
        <v>46218.84375</v>
      </c>
      <c r="AW234" s="56">
        <v>46218.854166666664</v>
      </c>
      <c r="AX234" s="56">
        <v>46218.870138888888</v>
      </c>
      <c r="AY234" s="56">
        <v>46218.92291666667</v>
      </c>
      <c r="AZ234" s="56">
        <v>46218.94027777778</v>
      </c>
      <c r="BA234" s="56">
        <v>46219.425694444442</v>
      </c>
      <c r="BB234" s="56">
        <v>46219.426388888889</v>
      </c>
      <c r="BC234" s="56">
        <v>46219.427083333336</v>
      </c>
      <c r="BE234" s="56">
        <v>46219.465277777781</v>
      </c>
      <c r="BG234" s="56">
        <v>46219.675000000003</v>
      </c>
      <c r="BH234" s="56">
        <v>46219.702777777777</v>
      </c>
      <c r="BI234" s="32" t="s">
        <v>248</v>
      </c>
      <c r="BK234" s="56">
        <v>39280.268750000003</v>
      </c>
      <c r="BL234" s="56">
        <v>46220.284722222219</v>
      </c>
      <c r="BM234" s="56">
        <v>46220.291666666664</v>
      </c>
      <c r="BN234" s="56">
        <v>46220.29791666667</v>
      </c>
    </row>
    <row r="235" spans="1:66" x14ac:dyDescent="0.35">
      <c r="A235" t="s">
        <v>176</v>
      </c>
      <c r="B235" s="32">
        <v>9</v>
      </c>
      <c r="C235" s="32">
        <v>29</v>
      </c>
      <c r="D235" s="32" t="s">
        <v>177</v>
      </c>
      <c r="E235" s="32" t="s">
        <v>178</v>
      </c>
      <c r="F235" s="54">
        <v>46218</v>
      </c>
      <c r="G235" s="54">
        <v>46219</v>
      </c>
      <c r="H235" s="55"/>
      <c r="I235" s="55">
        <v>0.33333333333333331</v>
      </c>
      <c r="J235" s="32" t="s">
        <v>53</v>
      </c>
      <c r="K235" s="32" t="s">
        <v>179</v>
      </c>
      <c r="L235" s="32">
        <v>1</v>
      </c>
      <c r="M235" s="32" t="s">
        <v>1563</v>
      </c>
      <c r="P235" s="32" t="s">
        <v>182</v>
      </c>
      <c r="Q235" s="32" t="s">
        <v>83</v>
      </c>
      <c r="T235" s="32">
        <v>6508149950</v>
      </c>
      <c r="U235" s="32" t="s">
        <v>1564</v>
      </c>
      <c r="V235" s="32" t="s">
        <v>1565</v>
      </c>
      <c r="W235" s="32" t="s">
        <v>1566</v>
      </c>
      <c r="Z235" s="32" t="s">
        <v>188</v>
      </c>
      <c r="AA235" s="32" t="s">
        <v>189</v>
      </c>
      <c r="AB235" s="32" t="s">
        <v>1499</v>
      </c>
      <c r="AC235" s="32" t="s">
        <v>92</v>
      </c>
      <c r="AD235" s="32" t="s">
        <v>1558</v>
      </c>
      <c r="AE235" s="32">
        <v>20604847142</v>
      </c>
      <c r="AF235" s="32" t="s">
        <v>1567</v>
      </c>
      <c r="AG235" s="32" t="s">
        <v>1568</v>
      </c>
      <c r="AH235" s="32" t="s">
        <v>193</v>
      </c>
      <c r="AI235" s="32" t="s">
        <v>1831</v>
      </c>
      <c r="AJ235" s="32" t="s">
        <v>1569</v>
      </c>
      <c r="AL235" s="32" t="s">
        <v>491</v>
      </c>
      <c r="AM235" s="32" t="s">
        <v>278</v>
      </c>
      <c r="AN235" s="32" t="s">
        <v>278</v>
      </c>
      <c r="AO235" s="32" t="s">
        <v>491</v>
      </c>
      <c r="AP235" s="32" t="s">
        <v>491</v>
      </c>
      <c r="AQ235" s="32" t="s">
        <v>491</v>
      </c>
      <c r="AR235" s="32" t="s">
        <v>491</v>
      </c>
      <c r="AS235" s="32" t="s">
        <v>83</v>
      </c>
      <c r="AT235" s="32" t="s">
        <v>248</v>
      </c>
      <c r="AU235" s="56">
        <v>46218.666666666664</v>
      </c>
      <c r="AV235" s="56">
        <v>46218.765972222223</v>
      </c>
      <c r="AW235" s="56">
        <v>46218.774305555555</v>
      </c>
      <c r="AX235" s="56">
        <v>46218.787499999999</v>
      </c>
      <c r="AY235" s="56">
        <v>46218.856944444444</v>
      </c>
      <c r="AZ235" s="56">
        <v>46218.87222222222</v>
      </c>
      <c r="BA235" s="56">
        <v>46219.480555555558</v>
      </c>
      <c r="BB235" s="56">
        <v>46219.493055555555</v>
      </c>
      <c r="BC235" s="56">
        <v>46219.510416666664</v>
      </c>
      <c r="BE235" s="56">
        <v>46219.552083333336</v>
      </c>
      <c r="BG235" s="56">
        <v>46219.673611111109</v>
      </c>
      <c r="BH235" s="56">
        <v>46219.70208333333</v>
      </c>
      <c r="BI235" s="32" t="s">
        <v>248</v>
      </c>
      <c r="BK235" s="56">
        <v>46220.263194444444</v>
      </c>
      <c r="BL235" s="56">
        <v>46220.286111111112</v>
      </c>
      <c r="BM235" s="56">
        <v>46220.290277777778</v>
      </c>
      <c r="BN235" s="56">
        <v>46220.295138888891</v>
      </c>
    </row>
    <row r="236" spans="1:66" x14ac:dyDescent="0.35">
      <c r="A236" t="s">
        <v>176</v>
      </c>
      <c r="B236" s="32">
        <v>10</v>
      </c>
      <c r="C236" s="32">
        <v>29</v>
      </c>
      <c r="D236" s="32" t="s">
        <v>177</v>
      </c>
      <c r="E236" s="32" t="s">
        <v>178</v>
      </c>
      <c r="F236" s="54">
        <v>46218</v>
      </c>
      <c r="G236" s="54">
        <v>46219</v>
      </c>
      <c r="H236" s="55"/>
      <c r="I236" s="55">
        <v>0.5</v>
      </c>
      <c r="J236" s="32" t="s">
        <v>53</v>
      </c>
      <c r="K236" s="32" t="s">
        <v>179</v>
      </c>
      <c r="L236" s="32">
        <v>1</v>
      </c>
      <c r="M236" s="32" t="s">
        <v>1570</v>
      </c>
      <c r="P236" s="32" t="s">
        <v>182</v>
      </c>
      <c r="Q236" s="32" t="s">
        <v>83</v>
      </c>
      <c r="T236" s="32">
        <v>6508149930</v>
      </c>
      <c r="U236" s="32" t="s">
        <v>1571</v>
      </c>
      <c r="V236" s="32" t="s">
        <v>1572</v>
      </c>
      <c r="W236" s="32" t="s">
        <v>1573</v>
      </c>
      <c r="Z236" s="32" t="s">
        <v>188</v>
      </c>
      <c r="AA236" s="32" t="s">
        <v>189</v>
      </c>
      <c r="AB236" s="32" t="s">
        <v>1499</v>
      </c>
      <c r="AC236" s="32" t="s">
        <v>92</v>
      </c>
      <c r="AD236" s="32" t="s">
        <v>1574</v>
      </c>
      <c r="AE236" s="32">
        <v>20606818930</v>
      </c>
      <c r="AF236" s="32" t="s">
        <v>1575</v>
      </c>
      <c r="AG236" s="32" t="s">
        <v>1576</v>
      </c>
      <c r="AH236" s="32" t="s">
        <v>193</v>
      </c>
      <c r="AI236" s="32" t="s">
        <v>1832</v>
      </c>
      <c r="AJ236" s="32" t="s">
        <v>1577</v>
      </c>
      <c r="AL236" s="32" t="s">
        <v>491</v>
      </c>
      <c r="AM236" s="32" t="s">
        <v>278</v>
      </c>
      <c r="AN236" s="32" t="s">
        <v>278</v>
      </c>
      <c r="AO236" s="32" t="s">
        <v>491</v>
      </c>
      <c r="AP236" s="32" t="s">
        <v>491</v>
      </c>
      <c r="AQ236" s="32" t="s">
        <v>491</v>
      </c>
      <c r="AR236" s="32" t="s">
        <v>491</v>
      </c>
      <c r="AS236" s="32" t="s">
        <v>83</v>
      </c>
      <c r="AT236" s="32" t="s">
        <v>248</v>
      </c>
      <c r="AU236" s="56">
        <v>46218.666666666664</v>
      </c>
      <c r="AV236" s="56">
        <v>46218.925694444442</v>
      </c>
      <c r="AW236" s="56">
        <v>46218.947916666664</v>
      </c>
      <c r="AX236" s="56">
        <v>46218.95208333333</v>
      </c>
      <c r="AY236" s="56">
        <v>46218.96875</v>
      </c>
      <c r="AZ236" s="56">
        <v>46219.027777777781</v>
      </c>
      <c r="BA236" s="56">
        <v>46219.600694444445</v>
      </c>
      <c r="BB236" s="56">
        <v>46219.637499999997</v>
      </c>
      <c r="BC236" s="56">
        <v>46219.643750000003</v>
      </c>
      <c r="BE236" s="56">
        <v>46219.680555555555</v>
      </c>
      <c r="BG236" s="56">
        <v>46219.739583333336</v>
      </c>
      <c r="BH236" s="56">
        <v>46219.761111111111</v>
      </c>
      <c r="BI236" s="32" t="s">
        <v>248</v>
      </c>
      <c r="BK236" s="56">
        <v>46220.393750000003</v>
      </c>
      <c r="BL236" s="56">
        <v>46220.411805555559</v>
      </c>
      <c r="BM236" s="56">
        <v>46220.417361111111</v>
      </c>
      <c r="BN236" s="56">
        <v>46220.42291666667</v>
      </c>
    </row>
    <row r="237" spans="1:66" x14ac:dyDescent="0.35">
      <c r="A237" t="s">
        <v>176</v>
      </c>
      <c r="B237" s="32">
        <v>11</v>
      </c>
      <c r="C237" s="32">
        <v>29</v>
      </c>
      <c r="D237" s="32" t="s">
        <v>177</v>
      </c>
      <c r="E237" s="32" t="s">
        <v>178</v>
      </c>
      <c r="F237" s="54">
        <v>46221</v>
      </c>
      <c r="G237" s="54">
        <v>46222</v>
      </c>
      <c r="H237" s="55"/>
      <c r="I237" s="55">
        <v>0.33333333333333331</v>
      </c>
      <c r="J237" s="32" t="s">
        <v>53</v>
      </c>
      <c r="K237" s="32" t="s">
        <v>179</v>
      </c>
      <c r="L237" s="32">
        <v>1</v>
      </c>
      <c r="M237" s="32" t="s">
        <v>1578</v>
      </c>
      <c r="P237" s="32" t="s">
        <v>182</v>
      </c>
      <c r="Q237" s="32" t="s">
        <v>84</v>
      </c>
      <c r="T237" s="32">
        <v>751600040135</v>
      </c>
      <c r="U237" s="32" t="s">
        <v>1579</v>
      </c>
      <c r="V237" s="32" t="s">
        <v>1580</v>
      </c>
      <c r="W237" s="32" t="s">
        <v>1516</v>
      </c>
      <c r="Z237" s="32" t="s">
        <v>188</v>
      </c>
      <c r="AA237" s="32" t="s">
        <v>189</v>
      </c>
      <c r="AB237" s="32" t="s">
        <v>1499</v>
      </c>
      <c r="AC237" s="32" t="s">
        <v>56</v>
      </c>
      <c r="AD237" s="32" t="s">
        <v>1507</v>
      </c>
      <c r="AE237" s="32">
        <v>20107012011</v>
      </c>
      <c r="AF237" s="32" t="s">
        <v>1543</v>
      </c>
      <c r="AG237" s="32" t="s">
        <v>1544</v>
      </c>
      <c r="AH237" s="32" t="s">
        <v>193</v>
      </c>
      <c r="AI237" s="32" t="s">
        <v>1545</v>
      </c>
      <c r="AJ237" s="32" t="s">
        <v>1546</v>
      </c>
      <c r="AL237" s="32" t="s">
        <v>491</v>
      </c>
      <c r="AM237" s="32" t="s">
        <v>278</v>
      </c>
      <c r="AN237" s="32" t="s">
        <v>278</v>
      </c>
      <c r="AO237" s="32" t="s">
        <v>491</v>
      </c>
      <c r="AP237" s="32" t="s">
        <v>491</v>
      </c>
      <c r="AQ237" s="32" t="s">
        <v>491</v>
      </c>
      <c r="AR237" s="32" t="s">
        <v>491</v>
      </c>
      <c r="AS237" s="32" t="s">
        <v>84</v>
      </c>
      <c r="AT237" s="32" t="s">
        <v>285</v>
      </c>
      <c r="AU237" s="56">
        <v>46221.625</v>
      </c>
      <c r="AV237" s="56">
        <v>46221.815972222219</v>
      </c>
      <c r="AW237" s="56">
        <v>46221.897916666669</v>
      </c>
      <c r="AX237" s="56">
        <v>46221.925000000003</v>
      </c>
      <c r="AY237" s="56">
        <v>46222.015277777777</v>
      </c>
      <c r="AZ237" s="56">
        <v>46222.069444444445</v>
      </c>
      <c r="BA237" s="56">
        <v>46222.451388888891</v>
      </c>
      <c r="BB237" s="56">
        <v>46222.524305555555</v>
      </c>
      <c r="BC237" s="56">
        <v>46222.534722222219</v>
      </c>
      <c r="BE237" s="56">
        <v>46222.572916666664</v>
      </c>
      <c r="BG237" s="56">
        <v>46222.672222222223</v>
      </c>
      <c r="BH237" s="56">
        <v>46222.695138888892</v>
      </c>
      <c r="BI237" s="32" t="s">
        <v>64</v>
      </c>
      <c r="BJ237" s="56">
        <v>46223.333333333336</v>
      </c>
      <c r="BK237" s="56">
        <v>46223.257638888892</v>
      </c>
      <c r="BL237" s="56">
        <v>46223.284722222219</v>
      </c>
      <c r="BM237" s="56">
        <v>46223.322916666664</v>
      </c>
      <c r="BN237" s="56">
        <v>46223.333333333336</v>
      </c>
    </row>
    <row r="238" spans="1:66" x14ac:dyDescent="0.35">
      <c r="A238" t="s">
        <v>176</v>
      </c>
      <c r="B238" s="32">
        <v>12</v>
      </c>
      <c r="C238" s="32">
        <v>29</v>
      </c>
      <c r="D238" s="32" t="s">
        <v>177</v>
      </c>
      <c r="E238" s="32" t="s">
        <v>178</v>
      </c>
      <c r="F238" s="54">
        <v>46221</v>
      </c>
      <c r="G238" s="54">
        <v>46222</v>
      </c>
      <c r="H238" s="55"/>
      <c r="I238" s="55">
        <v>0.33333333333333331</v>
      </c>
      <c r="J238" s="32" t="s">
        <v>53</v>
      </c>
      <c r="K238" s="32" t="s">
        <v>179</v>
      </c>
      <c r="L238" s="32">
        <v>1</v>
      </c>
      <c r="M238" s="32" t="s">
        <v>1581</v>
      </c>
      <c r="P238" s="32" t="s">
        <v>182</v>
      </c>
      <c r="Q238" s="32" t="s">
        <v>84</v>
      </c>
      <c r="T238" s="32">
        <v>751600040143</v>
      </c>
      <c r="U238" s="32" t="s">
        <v>1582</v>
      </c>
      <c r="V238" s="32" t="s">
        <v>1583</v>
      </c>
      <c r="W238" s="32" t="s">
        <v>1516</v>
      </c>
      <c r="Z238" s="32" t="s">
        <v>188</v>
      </c>
      <c r="AA238" s="32" t="s">
        <v>189</v>
      </c>
      <c r="AB238" s="32" t="s">
        <v>1499</v>
      </c>
      <c r="AC238" s="32" t="s">
        <v>56</v>
      </c>
      <c r="AD238" s="32" t="s">
        <v>1507</v>
      </c>
      <c r="AE238" s="32">
        <v>20107012011</v>
      </c>
      <c r="AF238" s="32" t="s">
        <v>1584</v>
      </c>
      <c r="AG238" s="32" t="s">
        <v>1585</v>
      </c>
      <c r="AH238" s="32" t="s">
        <v>193</v>
      </c>
      <c r="AI238" s="32" t="s">
        <v>1586</v>
      </c>
      <c r="AJ238" s="32" t="s">
        <v>1587</v>
      </c>
      <c r="AL238" s="32" t="s">
        <v>491</v>
      </c>
      <c r="AM238" s="32" t="s">
        <v>278</v>
      </c>
      <c r="AN238" s="32" t="s">
        <v>278</v>
      </c>
      <c r="AO238" s="32" t="s">
        <v>491</v>
      </c>
      <c r="AP238" s="32" t="s">
        <v>491</v>
      </c>
      <c r="AQ238" s="32" t="s">
        <v>491</v>
      </c>
      <c r="AR238" s="32" t="s">
        <v>491</v>
      </c>
      <c r="AS238" s="32" t="s">
        <v>84</v>
      </c>
      <c r="AT238" s="32" t="s">
        <v>285</v>
      </c>
      <c r="AU238" s="56">
        <v>46221.625</v>
      </c>
      <c r="AV238" s="56">
        <v>46221.673611111109</v>
      </c>
      <c r="AW238" s="56">
        <v>46221.791666666664</v>
      </c>
      <c r="AX238" s="56">
        <v>46221.853472222225</v>
      </c>
      <c r="AY238" s="56">
        <v>46221.907638888886</v>
      </c>
      <c r="AZ238" s="56">
        <v>46222.020833333336</v>
      </c>
      <c r="BA238" s="56">
        <v>46222.455555555556</v>
      </c>
      <c r="BB238" s="56">
        <v>46222.510416666664</v>
      </c>
      <c r="BC238" s="56">
        <v>46222.531944444447</v>
      </c>
      <c r="BE238" s="56">
        <v>46222.576388888891</v>
      </c>
      <c r="BG238" s="56">
        <v>46222.673611111109</v>
      </c>
      <c r="BH238" s="56">
        <v>46222.697916666664</v>
      </c>
      <c r="BI238" s="32" t="s">
        <v>64</v>
      </c>
      <c r="BJ238" s="56">
        <v>46223.291666666664</v>
      </c>
      <c r="BK238" s="56">
        <v>46223.209722222222</v>
      </c>
      <c r="BL238" s="56">
        <v>46223.229166666664</v>
      </c>
      <c r="BM238" s="56">
        <v>46223.237500000003</v>
      </c>
      <c r="BN238" s="56">
        <v>46223.244444444441</v>
      </c>
    </row>
    <row r="239" spans="1:66" x14ac:dyDescent="0.35">
      <c r="A239" t="s">
        <v>176</v>
      </c>
      <c r="B239" s="32">
        <v>13</v>
      </c>
      <c r="C239" s="32">
        <v>30</v>
      </c>
      <c r="D239" s="32" t="s">
        <v>177</v>
      </c>
      <c r="E239" s="32" t="s">
        <v>178</v>
      </c>
      <c r="F239" s="54">
        <v>46225</v>
      </c>
      <c r="G239" s="54">
        <v>46226</v>
      </c>
      <c r="H239" s="55"/>
      <c r="I239" s="55">
        <v>0.33333333333333331</v>
      </c>
      <c r="J239" s="32" t="s">
        <v>53</v>
      </c>
      <c r="K239" s="32" t="s">
        <v>179</v>
      </c>
      <c r="L239" s="32">
        <v>1</v>
      </c>
      <c r="M239" s="32" t="s">
        <v>1588</v>
      </c>
      <c r="P239" s="32" t="s">
        <v>182</v>
      </c>
      <c r="Q239" s="32" t="s">
        <v>84</v>
      </c>
      <c r="T239" s="32">
        <v>274512926</v>
      </c>
      <c r="U239" s="32" t="s">
        <v>1589</v>
      </c>
      <c r="V239" s="32">
        <v>4707262</v>
      </c>
      <c r="W239" s="32" t="s">
        <v>1590</v>
      </c>
      <c r="Z239" s="32" t="s">
        <v>188</v>
      </c>
      <c r="AA239" s="32" t="s">
        <v>189</v>
      </c>
      <c r="AB239" s="32" t="s">
        <v>1499</v>
      </c>
      <c r="AC239" s="32" t="s">
        <v>56</v>
      </c>
      <c r="AD239" s="32" t="s">
        <v>1507</v>
      </c>
      <c r="AE239" s="32">
        <v>20107012011</v>
      </c>
      <c r="AF239" s="32" t="s">
        <v>1591</v>
      </c>
      <c r="AG239" s="32" t="s">
        <v>1592</v>
      </c>
      <c r="AH239" s="32" t="s">
        <v>193</v>
      </c>
      <c r="AI239" s="32" t="s">
        <v>1593</v>
      </c>
      <c r="AJ239" s="32" t="s">
        <v>1594</v>
      </c>
      <c r="AL239" s="32" t="s">
        <v>491</v>
      </c>
      <c r="AM239" s="32" t="s">
        <v>278</v>
      </c>
      <c r="AN239" s="32" t="s">
        <v>278</v>
      </c>
      <c r="AO239" s="32" t="s">
        <v>491</v>
      </c>
      <c r="AP239" s="32" t="s">
        <v>491</v>
      </c>
      <c r="AQ239" s="32" t="s">
        <v>491</v>
      </c>
      <c r="AR239" s="32" t="s">
        <v>491</v>
      </c>
      <c r="AS239" s="32" t="s">
        <v>84</v>
      </c>
      <c r="AT239" s="32" t="s">
        <v>1512</v>
      </c>
      <c r="AU239" s="56">
        <v>46225.583333333336</v>
      </c>
      <c r="AV239" s="56">
        <v>46225.576388888891</v>
      </c>
      <c r="AW239" s="56">
        <v>46225.584027777775</v>
      </c>
      <c r="AY239" s="56">
        <v>46225.652777777781</v>
      </c>
      <c r="AZ239" s="56">
        <v>46225.715277777781</v>
      </c>
      <c r="BA239" s="56">
        <v>46226.263194444444</v>
      </c>
      <c r="BB239" s="56">
        <v>46226.338888888888</v>
      </c>
      <c r="BC239" s="56">
        <v>46226.347222222219</v>
      </c>
      <c r="BE239" s="56">
        <v>46226.387499999997</v>
      </c>
      <c r="BG239" s="56">
        <v>46226.520833333336</v>
      </c>
      <c r="BH239" s="56">
        <v>46226.554166666669</v>
      </c>
      <c r="BI239" s="32" t="s">
        <v>795</v>
      </c>
      <c r="BJ239" s="56">
        <v>46227.041666666664</v>
      </c>
      <c r="BK239" s="56">
        <v>46227.043055555558</v>
      </c>
      <c r="BL239" s="56">
        <v>46227.145833333336</v>
      </c>
      <c r="BM239" s="56">
        <v>46227.15625</v>
      </c>
      <c r="BN239" s="56">
        <v>46227.169444444444</v>
      </c>
    </row>
    <row r="240" spans="1:66" x14ac:dyDescent="0.35">
      <c r="A240" t="s">
        <v>176</v>
      </c>
      <c r="B240" s="32">
        <v>14</v>
      </c>
      <c r="C240" s="32">
        <v>30</v>
      </c>
      <c r="D240" s="32" t="s">
        <v>177</v>
      </c>
      <c r="E240" s="32" t="s">
        <v>178</v>
      </c>
      <c r="F240" s="54">
        <v>46228</v>
      </c>
      <c r="G240" s="54">
        <v>46229</v>
      </c>
      <c r="H240" s="55"/>
      <c r="I240" s="55">
        <v>0.33333333333333331</v>
      </c>
      <c r="J240" s="32" t="s">
        <v>53</v>
      </c>
      <c r="K240" s="32" t="s">
        <v>179</v>
      </c>
      <c r="L240" s="32">
        <v>1</v>
      </c>
      <c r="M240" s="32" t="s">
        <v>1595</v>
      </c>
      <c r="P240" s="32" t="s">
        <v>182</v>
      </c>
      <c r="Q240" s="32" t="s">
        <v>84</v>
      </c>
      <c r="T240" s="32">
        <v>751600040780</v>
      </c>
      <c r="U240" s="32" t="s">
        <v>1596</v>
      </c>
      <c r="V240" s="32">
        <v>799040</v>
      </c>
      <c r="W240" s="32" t="s">
        <v>1516</v>
      </c>
      <c r="Z240" s="32" t="s">
        <v>188</v>
      </c>
      <c r="AA240" s="32" t="s">
        <v>189</v>
      </c>
      <c r="AB240" s="32" t="s">
        <v>1499</v>
      </c>
      <c r="AC240" s="32" t="s">
        <v>56</v>
      </c>
      <c r="AD240" s="32" t="s">
        <v>1507</v>
      </c>
      <c r="AE240" s="32">
        <v>20107012011</v>
      </c>
      <c r="AF240" s="32" t="s">
        <v>1591</v>
      </c>
      <c r="AG240" s="32" t="s">
        <v>1597</v>
      </c>
      <c r="AH240" s="32" t="s">
        <v>193</v>
      </c>
      <c r="AI240" s="32" t="s">
        <v>1598</v>
      </c>
      <c r="AJ240" s="32" t="s">
        <v>1599</v>
      </c>
      <c r="AL240" s="32" t="s">
        <v>491</v>
      </c>
      <c r="AM240" s="32" t="s">
        <v>278</v>
      </c>
      <c r="AN240" s="32" t="s">
        <v>278</v>
      </c>
      <c r="AO240" s="32" t="s">
        <v>491</v>
      </c>
      <c r="AP240" s="32" t="s">
        <v>491</v>
      </c>
      <c r="AQ240" s="32" t="s">
        <v>491</v>
      </c>
      <c r="AR240" s="32" t="s">
        <v>491</v>
      </c>
      <c r="AS240" s="32" t="s">
        <v>84</v>
      </c>
      <c r="AT240" s="32" t="s">
        <v>64</v>
      </c>
      <c r="AU240" s="56">
        <v>46228.666666666664</v>
      </c>
      <c r="AV240" s="56">
        <v>46228.65347222222</v>
      </c>
      <c r="AW240" s="56">
        <v>46228.657638888886</v>
      </c>
      <c r="AX240" s="56">
        <v>46228.668055555558</v>
      </c>
      <c r="AY240" s="56">
        <v>46228.706944444442</v>
      </c>
      <c r="AZ240" s="56">
        <v>46228.840277777781</v>
      </c>
      <c r="BA240" s="56">
        <v>46229.354861111111</v>
      </c>
      <c r="BB240" s="56">
        <v>46229.413194444445</v>
      </c>
      <c r="BC240" s="56">
        <v>46229.448611111111</v>
      </c>
      <c r="BE240" s="56">
        <v>46229.493055555555</v>
      </c>
      <c r="BG240" s="56">
        <v>46229.777777777781</v>
      </c>
      <c r="BH240" s="56">
        <v>46229.803472222222</v>
      </c>
      <c r="BI240" s="32" t="s">
        <v>64</v>
      </c>
      <c r="BJ240" s="56">
        <v>46230.416666666664</v>
      </c>
      <c r="BK240" s="56">
        <v>46230.345138888886</v>
      </c>
      <c r="BL240" s="56">
        <v>46230.510416666664</v>
      </c>
      <c r="BM240" s="56">
        <v>46230.515972222223</v>
      </c>
      <c r="BN240" s="56">
        <v>46230.529166666667</v>
      </c>
    </row>
    <row r="241" spans="1:66" x14ac:dyDescent="0.35">
      <c r="A241" t="s">
        <v>176</v>
      </c>
      <c r="B241" s="32">
        <v>15</v>
      </c>
      <c r="C241" s="32">
        <v>31</v>
      </c>
      <c r="D241" s="32" t="s">
        <v>177</v>
      </c>
      <c r="E241" s="32" t="s">
        <v>178</v>
      </c>
      <c r="F241" s="54">
        <v>46232</v>
      </c>
      <c r="G241" s="54">
        <v>46233</v>
      </c>
      <c r="H241" s="55">
        <v>0.69444444444444442</v>
      </c>
      <c r="I241" s="55">
        <v>0.41666666666666669</v>
      </c>
      <c r="J241" s="32" t="s">
        <v>53</v>
      </c>
      <c r="K241" s="32" t="s">
        <v>179</v>
      </c>
      <c r="L241" s="32">
        <v>1</v>
      </c>
      <c r="M241" s="32" t="s">
        <v>1600</v>
      </c>
      <c r="P241" s="32" t="s">
        <v>182</v>
      </c>
      <c r="Q241" s="32" t="s">
        <v>84</v>
      </c>
      <c r="R241" s="32" t="s">
        <v>1621</v>
      </c>
      <c r="S241" s="32" t="s">
        <v>1506</v>
      </c>
      <c r="T241" s="32">
        <v>274926136</v>
      </c>
      <c r="U241" s="32" t="s">
        <v>1601</v>
      </c>
      <c r="V241" s="32" t="s">
        <v>1602</v>
      </c>
      <c r="W241" s="32" t="s">
        <v>1603</v>
      </c>
      <c r="X241" s="32" t="s">
        <v>187</v>
      </c>
      <c r="Y241" s="32" t="s">
        <v>188</v>
      </c>
      <c r="Z241" s="32" t="s">
        <v>188</v>
      </c>
      <c r="AA241" s="32" t="s">
        <v>189</v>
      </c>
      <c r="AB241" s="32" t="s">
        <v>1499</v>
      </c>
      <c r="AC241" s="32" t="s">
        <v>56</v>
      </c>
      <c r="AD241" s="32" t="s">
        <v>1507</v>
      </c>
      <c r="AE241" s="32">
        <v>20107012011</v>
      </c>
      <c r="AF241" s="32" t="s">
        <v>1604</v>
      </c>
      <c r="AG241" s="32" t="s">
        <v>1605</v>
      </c>
      <c r="AH241" s="32" t="s">
        <v>193</v>
      </c>
      <c r="AI241" s="32" t="s">
        <v>1833</v>
      </c>
      <c r="AJ241" s="32" t="s">
        <v>1606</v>
      </c>
      <c r="AL241" s="32" t="s">
        <v>491</v>
      </c>
      <c r="AM241" s="32" t="s">
        <v>278</v>
      </c>
      <c r="AN241" s="32" t="s">
        <v>278</v>
      </c>
      <c r="AO241" s="32" t="s">
        <v>491</v>
      </c>
      <c r="AP241" s="32" t="s">
        <v>491</v>
      </c>
      <c r="AQ241" s="32" t="s">
        <v>491</v>
      </c>
      <c r="AR241" s="32" t="s">
        <v>491</v>
      </c>
      <c r="AS241" s="32" t="s">
        <v>84</v>
      </c>
      <c r="AT241" s="32" t="s">
        <v>1512</v>
      </c>
      <c r="AU241" s="56">
        <v>46232.583333333336</v>
      </c>
      <c r="AV241" s="56">
        <v>46232.879861111112</v>
      </c>
      <c r="AW241" s="56">
        <v>46232.993055555555</v>
      </c>
      <c r="AX241" s="56">
        <v>46233.008333333331</v>
      </c>
      <c r="AY241" s="56">
        <v>46233.035416666666</v>
      </c>
      <c r="AZ241" s="56">
        <v>46233.050694444442</v>
      </c>
      <c r="BA241" s="56">
        <v>46233.565972222219</v>
      </c>
      <c r="BB241" s="56">
        <v>46233.597222222219</v>
      </c>
      <c r="BC241" s="56">
        <v>46233.675000000003</v>
      </c>
      <c r="BD241" s="56">
        <v>46233.684027777781</v>
      </c>
      <c r="BE241" s="56">
        <v>46233.694444444445</v>
      </c>
      <c r="BG241" s="56">
        <v>46233.739583333336</v>
      </c>
      <c r="BH241" s="56">
        <v>46233.75277777778</v>
      </c>
      <c r="BI241" s="32" t="s">
        <v>795</v>
      </c>
      <c r="BJ241" s="56">
        <v>46234.416666666664</v>
      </c>
      <c r="BK241" s="56">
        <v>46234.3125</v>
      </c>
      <c r="BL241" s="56">
        <v>46234.392361111109</v>
      </c>
      <c r="BM241" s="56">
        <v>46234.408333333333</v>
      </c>
      <c r="BN241" s="56">
        <v>46234.417361111111</v>
      </c>
    </row>
    <row r="242" spans="1:66" x14ac:dyDescent="0.35">
      <c r="A242" t="s">
        <v>176</v>
      </c>
      <c r="B242" s="32">
        <v>16</v>
      </c>
      <c r="C242" s="32">
        <v>31</v>
      </c>
      <c r="D242" s="32" t="s">
        <v>177</v>
      </c>
      <c r="E242" s="32" t="s">
        <v>178</v>
      </c>
      <c r="F242" s="54">
        <v>46235</v>
      </c>
      <c r="G242" s="54">
        <v>46236</v>
      </c>
      <c r="H242" s="55">
        <v>0.52638888888888891</v>
      </c>
      <c r="I242" s="55">
        <v>0.41666666666666669</v>
      </c>
      <c r="J242" s="32" t="s">
        <v>53</v>
      </c>
      <c r="K242" s="32" t="s">
        <v>179</v>
      </c>
      <c r="L242" s="32">
        <v>1</v>
      </c>
      <c r="M242" s="32" t="s">
        <v>1607</v>
      </c>
      <c r="P242" s="32" t="s">
        <v>182</v>
      </c>
      <c r="Q242" s="32" t="s">
        <v>84</v>
      </c>
      <c r="R242" s="32" t="s">
        <v>947</v>
      </c>
      <c r="S242" s="32" t="s">
        <v>1636</v>
      </c>
      <c r="T242" s="32">
        <v>6509439020</v>
      </c>
      <c r="U242" s="32" t="s">
        <v>1608</v>
      </c>
      <c r="V242" s="32" t="s">
        <v>1609</v>
      </c>
      <c r="W242" s="32" t="s">
        <v>1610</v>
      </c>
      <c r="X242" s="32" t="s">
        <v>187</v>
      </c>
      <c r="Y242" s="32" t="s">
        <v>949</v>
      </c>
      <c r="Z242" s="32" t="s">
        <v>188</v>
      </c>
      <c r="AA242" s="32" t="s">
        <v>189</v>
      </c>
      <c r="AB242" s="32" t="s">
        <v>1499</v>
      </c>
      <c r="AC242" s="32" t="s">
        <v>56</v>
      </c>
      <c r="AD242" s="32" t="s">
        <v>1507</v>
      </c>
      <c r="AE242" s="32">
        <v>20107012011</v>
      </c>
      <c r="AF242" s="32" t="s">
        <v>1508</v>
      </c>
      <c r="AG242" s="32" t="s">
        <v>1509</v>
      </c>
      <c r="AH242" s="32" t="s">
        <v>193</v>
      </c>
      <c r="AI242" s="32" t="s">
        <v>1611</v>
      </c>
      <c r="AJ242" s="32" t="s">
        <v>1612</v>
      </c>
      <c r="AL242" s="32" t="s">
        <v>491</v>
      </c>
      <c r="AM242" s="32" t="s">
        <v>278</v>
      </c>
      <c r="AN242" s="32" t="s">
        <v>278</v>
      </c>
      <c r="AO242" s="32" t="s">
        <v>491</v>
      </c>
      <c r="AP242" s="32" t="s">
        <v>491</v>
      </c>
      <c r="AQ242" s="32" t="s">
        <v>491</v>
      </c>
      <c r="AR242" s="32" t="s">
        <v>491</v>
      </c>
      <c r="AS242" s="32" t="s">
        <v>84</v>
      </c>
      <c r="AT242" s="32" t="s">
        <v>303</v>
      </c>
      <c r="AU242" s="56">
        <v>46235.708333333336</v>
      </c>
      <c r="AV242" s="56">
        <v>46235.734027777777</v>
      </c>
      <c r="AW242" s="56">
        <v>46235.743055555555</v>
      </c>
      <c r="AX242" s="56">
        <v>46235.758333333331</v>
      </c>
      <c r="AY242" s="56">
        <v>46235.781944444447</v>
      </c>
      <c r="AZ242" s="56">
        <v>46235.847222222219</v>
      </c>
      <c r="BA242" s="56">
        <v>46236.4</v>
      </c>
      <c r="BB242" s="56">
        <v>46236.422222222223</v>
      </c>
      <c r="BC242" s="56">
        <v>46236.482638888891</v>
      </c>
      <c r="BD242" s="56">
        <v>46236.503472222219</v>
      </c>
      <c r="BE242" s="56">
        <v>46236.526388888888</v>
      </c>
      <c r="BG242" s="56">
        <v>46236.675000000003</v>
      </c>
      <c r="BH242" s="56">
        <v>46236.699305555558</v>
      </c>
      <c r="BI242" s="32" t="s">
        <v>248</v>
      </c>
      <c r="BK242" s="56">
        <v>46237.138194444444</v>
      </c>
      <c r="BL242" s="56">
        <v>46237.184027777781</v>
      </c>
      <c r="BM242" s="56">
        <v>46237.195833333331</v>
      </c>
      <c r="BN242" s="56">
        <v>46237.214583333334</v>
      </c>
    </row>
    <row r="243" spans="1:66" x14ac:dyDescent="0.35">
      <c r="A243" t="s">
        <v>176</v>
      </c>
      <c r="B243" s="32">
        <v>17</v>
      </c>
      <c r="C243" s="32">
        <v>31</v>
      </c>
      <c r="D243" s="32" t="s">
        <v>177</v>
      </c>
      <c r="E243" s="32" t="s">
        <v>178</v>
      </c>
      <c r="F243" s="54">
        <v>46235</v>
      </c>
      <c r="G243" s="54">
        <v>46236</v>
      </c>
      <c r="H243" s="55">
        <v>0.52430555555555558</v>
      </c>
      <c r="I243" s="55">
        <v>0.41666666666666669</v>
      </c>
      <c r="J243" s="32" t="s">
        <v>53</v>
      </c>
      <c r="K243" s="32" t="s">
        <v>179</v>
      </c>
      <c r="L243" s="32">
        <v>1</v>
      </c>
      <c r="M243" s="32" t="s">
        <v>1613</v>
      </c>
      <c r="P243" s="32" t="s">
        <v>182</v>
      </c>
      <c r="Q243" s="32" t="s">
        <v>84</v>
      </c>
      <c r="R243" s="32" t="s">
        <v>947</v>
      </c>
      <c r="S243" s="32" t="s">
        <v>1636</v>
      </c>
      <c r="T243" s="32">
        <v>6509439010</v>
      </c>
      <c r="U243" s="32" t="s">
        <v>1614</v>
      </c>
      <c r="V243" s="32" t="s">
        <v>1615</v>
      </c>
      <c r="W243" s="32" t="s">
        <v>1616</v>
      </c>
      <c r="X243" s="32" t="s">
        <v>187</v>
      </c>
      <c r="Y243" s="32" t="s">
        <v>949</v>
      </c>
      <c r="Z243" s="32" t="s">
        <v>188</v>
      </c>
      <c r="AA243" s="32" t="s">
        <v>189</v>
      </c>
      <c r="AB243" s="32" t="s">
        <v>1499</v>
      </c>
      <c r="AC243" s="32" t="s">
        <v>56</v>
      </c>
      <c r="AD243" s="32" t="s">
        <v>1507</v>
      </c>
      <c r="AE243" s="32">
        <v>20107012011</v>
      </c>
      <c r="AF243" s="32" t="s">
        <v>1617</v>
      </c>
      <c r="AG243" s="32" t="s">
        <v>1618</v>
      </c>
      <c r="AH243" s="32" t="s">
        <v>193</v>
      </c>
      <c r="AI243" s="32" t="s">
        <v>1834</v>
      </c>
      <c r="AJ243" s="32" t="s">
        <v>1619</v>
      </c>
      <c r="AL243" s="32" t="s">
        <v>491</v>
      </c>
      <c r="AM243" s="32" t="s">
        <v>278</v>
      </c>
      <c r="AN243" s="32" t="s">
        <v>278</v>
      </c>
      <c r="AO243" s="32" t="s">
        <v>491</v>
      </c>
      <c r="AP243" s="32" t="s">
        <v>491</v>
      </c>
      <c r="AQ243" s="32" t="s">
        <v>491</v>
      </c>
      <c r="AR243" s="32" t="s">
        <v>491</v>
      </c>
      <c r="AS243" s="32" t="s">
        <v>84</v>
      </c>
      <c r="AT243" s="32" t="s">
        <v>303</v>
      </c>
      <c r="AU243" s="56">
        <v>46235.708333333336</v>
      </c>
      <c r="AV243" s="56">
        <v>46235.734027777777</v>
      </c>
      <c r="AW243" s="56">
        <v>46235.742361111108</v>
      </c>
      <c r="AX243" s="56">
        <v>46235.770833333336</v>
      </c>
      <c r="AY243" s="56">
        <v>46235.931250000001</v>
      </c>
      <c r="AZ243" s="56">
        <v>46235.958333333336</v>
      </c>
      <c r="BA243" s="56">
        <v>46236.390277777777</v>
      </c>
      <c r="BB243" s="56">
        <v>46236.415277777778</v>
      </c>
      <c r="BC243" s="56">
        <v>46236.481944444444</v>
      </c>
      <c r="BD243" s="56">
        <v>46236.503472222219</v>
      </c>
      <c r="BE243" s="56">
        <v>46236.524305555555</v>
      </c>
      <c r="BG243" s="56">
        <v>46236.679166666669</v>
      </c>
      <c r="BH243" s="56">
        <v>46236.705555555556</v>
      </c>
      <c r="BI243" s="32" t="s">
        <v>248</v>
      </c>
      <c r="BK243" s="56">
        <v>46237.138194444444</v>
      </c>
      <c r="BL243" s="56">
        <v>46237.178472222222</v>
      </c>
      <c r="BM243" s="56">
        <v>46237.190972222219</v>
      </c>
      <c r="BN243" s="56">
        <v>46237.207638888889</v>
      </c>
    </row>
    <row r="244" spans="1:66" x14ac:dyDescent="0.35">
      <c r="A244" t="s">
        <v>176</v>
      </c>
      <c r="B244" s="32">
        <v>18</v>
      </c>
      <c r="C244" s="32">
        <v>32</v>
      </c>
      <c r="D244" s="32" t="s">
        <v>177</v>
      </c>
      <c r="E244" s="32" t="s">
        <v>178</v>
      </c>
      <c r="F244" s="54">
        <v>46239</v>
      </c>
      <c r="G244" s="54">
        <v>46240</v>
      </c>
      <c r="H244" s="55">
        <v>0.66527777777777775</v>
      </c>
      <c r="I244" s="55">
        <v>0.5</v>
      </c>
      <c r="J244" s="32" t="s">
        <v>53</v>
      </c>
      <c r="K244" s="32" t="s">
        <v>179</v>
      </c>
      <c r="L244" s="32">
        <v>1</v>
      </c>
      <c r="M244" s="32" t="s">
        <v>1620</v>
      </c>
      <c r="P244" s="32" t="s">
        <v>182</v>
      </c>
      <c r="Q244" s="32" t="s">
        <v>84</v>
      </c>
      <c r="R244" s="32" t="s">
        <v>1621</v>
      </c>
      <c r="S244" s="32" t="s">
        <v>1506</v>
      </c>
      <c r="T244" s="32">
        <v>275171571</v>
      </c>
      <c r="U244" s="32" t="s">
        <v>1622</v>
      </c>
      <c r="V244" s="32" t="s">
        <v>1623</v>
      </c>
      <c r="W244" s="32" t="s">
        <v>1624</v>
      </c>
      <c r="X244" s="32" t="s">
        <v>187</v>
      </c>
      <c r="Y244" s="32" t="s">
        <v>188</v>
      </c>
      <c r="Z244" s="32" t="s">
        <v>188</v>
      </c>
      <c r="AA244" s="32" t="s">
        <v>189</v>
      </c>
      <c r="AB244" s="32" t="s">
        <v>1499</v>
      </c>
      <c r="AC244" s="32" t="s">
        <v>56</v>
      </c>
      <c r="AD244" s="32" t="s">
        <v>1507</v>
      </c>
      <c r="AE244" s="32">
        <v>20107012011</v>
      </c>
      <c r="AF244" s="32" t="s">
        <v>1625</v>
      </c>
      <c r="AG244" s="32" t="s">
        <v>1626</v>
      </c>
      <c r="AH244" s="32" t="s">
        <v>193</v>
      </c>
      <c r="AI244" s="32" t="s">
        <v>1627</v>
      </c>
      <c r="AJ244" s="32" t="s">
        <v>1628</v>
      </c>
      <c r="AL244" s="32" t="s">
        <v>491</v>
      </c>
      <c r="AM244" s="32" t="s">
        <v>278</v>
      </c>
      <c r="AN244" s="32" t="s">
        <v>278</v>
      </c>
      <c r="AO244" s="32" t="s">
        <v>491</v>
      </c>
      <c r="AP244" s="32" t="s">
        <v>491</v>
      </c>
      <c r="AQ244" s="32" t="s">
        <v>491</v>
      </c>
      <c r="AR244" s="32" t="s">
        <v>491</v>
      </c>
      <c r="AS244" s="32" t="s">
        <v>84</v>
      </c>
      <c r="AT244" s="32" t="s">
        <v>1512</v>
      </c>
      <c r="AU244" s="56">
        <v>46239.583333333336</v>
      </c>
      <c r="AV244" s="56">
        <v>46239.788194444445</v>
      </c>
      <c r="AW244" s="56">
        <v>46239.887499999997</v>
      </c>
      <c r="AX244" s="56">
        <v>46239.916666666664</v>
      </c>
      <c r="AY244" s="56">
        <v>46240.065972222219</v>
      </c>
      <c r="AZ244" s="56">
        <v>46240.070138888892</v>
      </c>
      <c r="BA244" s="56">
        <v>46240.588194444441</v>
      </c>
      <c r="BB244" s="56">
        <v>46240.62777777778</v>
      </c>
      <c r="BC244" s="56">
        <v>46240.638888888891</v>
      </c>
      <c r="BD244" s="56">
        <v>46240.652777777781</v>
      </c>
      <c r="BE244" s="56">
        <v>46240.665277777778</v>
      </c>
      <c r="BG244" s="56">
        <v>46240.708333333336</v>
      </c>
      <c r="BH244" s="56">
        <v>46240.731249999997</v>
      </c>
      <c r="BI244" s="32" t="s">
        <v>795</v>
      </c>
      <c r="BJ244" s="56">
        <v>46241.166666666664</v>
      </c>
      <c r="BK244" s="56">
        <v>46241.211111111108</v>
      </c>
      <c r="BL244" s="56">
        <v>46241.214583333334</v>
      </c>
      <c r="BM244" s="56">
        <v>46241.21875</v>
      </c>
      <c r="BN244" s="56">
        <v>46241.234027777777</v>
      </c>
    </row>
    <row r="245" spans="1:66" x14ac:dyDescent="0.35">
      <c r="A245" t="s">
        <v>176</v>
      </c>
      <c r="B245" s="32">
        <v>19</v>
      </c>
      <c r="C245" s="32">
        <v>32</v>
      </c>
      <c r="D245" s="32" t="s">
        <v>177</v>
      </c>
      <c r="E245" s="32" t="s">
        <v>178</v>
      </c>
      <c r="F245" s="54">
        <v>46239</v>
      </c>
      <c r="G245" s="54">
        <v>46240</v>
      </c>
      <c r="H245" s="55">
        <v>0.72222222222222221</v>
      </c>
      <c r="I245" s="55">
        <v>0.5</v>
      </c>
      <c r="J245" s="32" t="s">
        <v>53</v>
      </c>
      <c r="K245" s="32" t="s">
        <v>179</v>
      </c>
      <c r="L245" s="32">
        <v>1</v>
      </c>
      <c r="M245" s="32" t="s">
        <v>1629</v>
      </c>
      <c r="P245" s="32" t="s">
        <v>182</v>
      </c>
      <c r="Q245" s="32" t="s">
        <v>84</v>
      </c>
      <c r="R245" s="32" t="s">
        <v>1621</v>
      </c>
      <c r="S245" s="32" t="s">
        <v>1506</v>
      </c>
      <c r="T245" s="32">
        <v>275171607</v>
      </c>
      <c r="U245" s="32" t="s">
        <v>1630</v>
      </c>
      <c r="V245" s="32" t="s">
        <v>1631</v>
      </c>
      <c r="W245" s="32" t="s">
        <v>1632</v>
      </c>
      <c r="X245" s="32" t="s">
        <v>187</v>
      </c>
      <c r="Y245" s="32" t="s">
        <v>188</v>
      </c>
      <c r="Z245" s="32" t="s">
        <v>188</v>
      </c>
      <c r="AA245" s="32" t="s">
        <v>189</v>
      </c>
      <c r="AB245" s="32" t="s">
        <v>1499</v>
      </c>
      <c r="AC245" s="32" t="s">
        <v>56</v>
      </c>
      <c r="AD245" s="32" t="s">
        <v>1507</v>
      </c>
      <c r="AE245" s="32">
        <v>20107012011</v>
      </c>
      <c r="AF245" s="32" t="s">
        <v>1591</v>
      </c>
      <c r="AG245" s="32" t="s">
        <v>1597</v>
      </c>
      <c r="AH245" s="32" t="s">
        <v>193</v>
      </c>
      <c r="AI245" s="32" t="s">
        <v>1633</v>
      </c>
      <c r="AJ245" s="32" t="s">
        <v>1634</v>
      </c>
      <c r="AL245" s="32" t="s">
        <v>491</v>
      </c>
      <c r="AM245" s="32" t="s">
        <v>278</v>
      </c>
      <c r="AN245" s="32" t="s">
        <v>278</v>
      </c>
      <c r="AO245" s="32" t="s">
        <v>491</v>
      </c>
      <c r="AP245" s="32" t="s">
        <v>491</v>
      </c>
      <c r="AQ245" s="32" t="s">
        <v>491</v>
      </c>
      <c r="AR245" s="32" t="s">
        <v>491</v>
      </c>
      <c r="AS245" s="32" t="s">
        <v>84</v>
      </c>
      <c r="AT245" s="32" t="s">
        <v>1512</v>
      </c>
      <c r="AU245" s="56">
        <v>46239.583333333336</v>
      </c>
      <c r="AV245" s="56">
        <v>46240.045138888891</v>
      </c>
      <c r="AW245" s="56">
        <v>46240.140277777777</v>
      </c>
      <c r="AX245" s="56">
        <v>46240.15625</v>
      </c>
      <c r="AY245" s="56">
        <v>46240.166666666664</v>
      </c>
      <c r="AZ245" s="56">
        <v>46240.23541666667</v>
      </c>
      <c r="BA245" s="56">
        <v>46240.686111111114</v>
      </c>
      <c r="BB245" s="56">
        <v>46240.695833333331</v>
      </c>
      <c r="BC245" s="56">
        <v>46240.708333333336</v>
      </c>
      <c r="BD245" s="56">
        <v>46240.71875</v>
      </c>
      <c r="BE245" s="56">
        <v>46240.722222222219</v>
      </c>
      <c r="BG245" s="56">
        <v>46240.760416666664</v>
      </c>
      <c r="BH245" s="56">
        <v>46240.779166666667</v>
      </c>
      <c r="BI245" s="32" t="s">
        <v>795</v>
      </c>
      <c r="BJ245" s="56">
        <v>46241.5</v>
      </c>
      <c r="BK245" s="56">
        <v>46241.460416666669</v>
      </c>
      <c r="BL245" s="56">
        <v>46241.463888888888</v>
      </c>
      <c r="BM245" s="56">
        <v>46241.468055555553</v>
      </c>
      <c r="BN245" s="56">
        <v>46241.481249999997</v>
      </c>
    </row>
    <row r="246" spans="1:66" x14ac:dyDescent="0.35">
      <c r="A246" t="s">
        <v>176</v>
      </c>
      <c r="B246" s="32">
        <v>20</v>
      </c>
      <c r="C246" s="32">
        <v>32</v>
      </c>
      <c r="D246" s="32" t="s">
        <v>177</v>
      </c>
      <c r="E246" s="32" t="s">
        <v>178</v>
      </c>
      <c r="F246" s="54">
        <v>46242</v>
      </c>
      <c r="G246" s="54">
        <v>46243</v>
      </c>
      <c r="H246" s="55">
        <v>0.61805555555555558</v>
      </c>
      <c r="I246" s="55">
        <v>0.58333333333333337</v>
      </c>
      <c r="J246" s="32" t="s">
        <v>53</v>
      </c>
      <c r="K246" s="32" t="s">
        <v>179</v>
      </c>
      <c r="L246" s="32">
        <v>1</v>
      </c>
      <c r="M246" s="32" t="s">
        <v>1635</v>
      </c>
      <c r="P246" s="32" t="s">
        <v>182</v>
      </c>
      <c r="Q246" s="32" t="s">
        <v>84</v>
      </c>
      <c r="R246" s="32" t="s">
        <v>947</v>
      </c>
      <c r="S246" s="32" t="s">
        <v>1636</v>
      </c>
      <c r="T246" s="32">
        <v>6461847770</v>
      </c>
      <c r="U246" s="32" t="s">
        <v>1637</v>
      </c>
      <c r="V246" s="32" t="s">
        <v>1638</v>
      </c>
      <c r="W246" s="32">
        <v>32970745</v>
      </c>
      <c r="X246" s="32" t="s">
        <v>187</v>
      </c>
      <c r="Y246" s="32" t="s">
        <v>949</v>
      </c>
      <c r="Z246" s="32" t="s">
        <v>188</v>
      </c>
      <c r="AA246" s="32" t="s">
        <v>189</v>
      </c>
      <c r="AB246" s="32" t="s">
        <v>1499</v>
      </c>
      <c r="AC246" s="32" t="s">
        <v>92</v>
      </c>
      <c r="AD246" s="32" t="s">
        <v>1639</v>
      </c>
      <c r="AE246" s="32">
        <v>20615410544</v>
      </c>
      <c r="AF246" s="32" t="s">
        <v>1640</v>
      </c>
      <c r="AG246" s="32" t="s">
        <v>1641</v>
      </c>
      <c r="AH246" s="32" t="s">
        <v>193</v>
      </c>
      <c r="AI246" s="32" t="s">
        <v>1835</v>
      </c>
      <c r="AJ246" s="32" t="s">
        <v>1642</v>
      </c>
      <c r="AL246" s="32" t="s">
        <v>491</v>
      </c>
      <c r="AM246" s="32" t="s">
        <v>278</v>
      </c>
      <c r="AN246" s="32" t="s">
        <v>278</v>
      </c>
      <c r="AO246" s="32" t="s">
        <v>491</v>
      </c>
      <c r="AP246" s="32" t="s">
        <v>491</v>
      </c>
      <c r="AQ246" s="32" t="s">
        <v>491</v>
      </c>
      <c r="AR246" s="32" t="s">
        <v>491</v>
      </c>
      <c r="AS246" s="32" t="s">
        <v>84</v>
      </c>
      <c r="AT246" s="32" t="s">
        <v>303</v>
      </c>
      <c r="AU246" s="56">
        <v>46242.708333333336</v>
      </c>
      <c r="AV246" s="56">
        <v>46242.725694444445</v>
      </c>
      <c r="AW246" s="56">
        <v>46242.731944444444</v>
      </c>
      <c r="AX246" s="56">
        <v>46242.739583333336</v>
      </c>
      <c r="AY246" s="56">
        <v>46242.765277777777</v>
      </c>
      <c r="AZ246" s="56">
        <v>46242.925694444442</v>
      </c>
      <c r="BA246" s="56">
        <v>46243.579861111109</v>
      </c>
      <c r="BB246" s="56">
        <v>46243.584027777775</v>
      </c>
      <c r="BC246" s="56">
        <v>46243.595138888886</v>
      </c>
      <c r="BD246" s="56">
        <v>46243.607638888891</v>
      </c>
      <c r="BE246" s="56">
        <v>46243.618055555555</v>
      </c>
      <c r="BG246" s="56">
        <v>46243.753472222219</v>
      </c>
      <c r="BH246" s="56">
        <v>46243.775000000001</v>
      </c>
      <c r="BI246" s="32" t="s">
        <v>248</v>
      </c>
      <c r="BK246" s="56">
        <v>46244.489583333336</v>
      </c>
      <c r="BL246" s="56">
        <v>46244.493055555555</v>
      </c>
      <c r="BM246" s="56">
        <v>46244.5</v>
      </c>
      <c r="BN246" s="56">
        <v>46244.515277777777</v>
      </c>
    </row>
    <row r="247" spans="1:66" x14ac:dyDescent="0.35">
      <c r="A247" t="s">
        <v>176</v>
      </c>
      <c r="B247" s="32">
        <v>21</v>
      </c>
      <c r="C247" s="32">
        <v>32</v>
      </c>
      <c r="D247" s="32" t="s">
        <v>177</v>
      </c>
      <c r="E247" s="32" t="s">
        <v>178</v>
      </c>
      <c r="F247" s="54">
        <v>46242</v>
      </c>
      <c r="G247" s="54">
        <v>46243</v>
      </c>
      <c r="H247" s="55">
        <v>0.85416666666666663</v>
      </c>
      <c r="I247" s="55">
        <v>0.58333333333333337</v>
      </c>
      <c r="J247" s="32" t="s">
        <v>53</v>
      </c>
      <c r="K247" s="32" t="s">
        <v>179</v>
      </c>
      <c r="L247" s="32">
        <v>1</v>
      </c>
      <c r="M247" s="32" t="s">
        <v>1643</v>
      </c>
      <c r="P247" s="32" t="s">
        <v>182</v>
      </c>
      <c r="Q247" s="32" t="s">
        <v>84</v>
      </c>
      <c r="R247" s="32" t="s">
        <v>947</v>
      </c>
      <c r="S247" s="32" t="s">
        <v>1636</v>
      </c>
      <c r="T247" s="32">
        <v>6461847730</v>
      </c>
      <c r="U247" s="32" t="s">
        <v>1644</v>
      </c>
      <c r="V247" s="32" t="s">
        <v>1645</v>
      </c>
      <c r="W247" s="32">
        <v>32970746</v>
      </c>
      <c r="X247" s="32" t="s">
        <v>187</v>
      </c>
      <c r="Y247" s="32" t="s">
        <v>949</v>
      </c>
      <c r="Z247" s="32" t="s">
        <v>188</v>
      </c>
      <c r="AA247" s="32" t="s">
        <v>189</v>
      </c>
      <c r="AB247" s="32" t="s">
        <v>1499</v>
      </c>
      <c r="AC247" s="32" t="s">
        <v>92</v>
      </c>
      <c r="AD247" s="32" t="s">
        <v>1646</v>
      </c>
      <c r="AE247" s="32">
        <v>20609553376</v>
      </c>
      <c r="AF247" s="32" t="s">
        <v>1647</v>
      </c>
      <c r="AG247" s="32" t="s">
        <v>1648</v>
      </c>
      <c r="AH247" s="32" t="s">
        <v>193</v>
      </c>
      <c r="AI247" s="32" t="s">
        <v>1649</v>
      </c>
      <c r="AJ247" s="32" t="s">
        <v>1650</v>
      </c>
      <c r="AL247" s="32" t="s">
        <v>491</v>
      </c>
      <c r="AM247" s="32" t="s">
        <v>278</v>
      </c>
      <c r="AN247" s="32" t="s">
        <v>278</v>
      </c>
      <c r="AO247" s="32" t="s">
        <v>491</v>
      </c>
      <c r="AP247" s="32" t="s">
        <v>491</v>
      </c>
      <c r="AQ247" s="32" t="s">
        <v>491</v>
      </c>
      <c r="AR247" s="32" t="s">
        <v>491</v>
      </c>
      <c r="AS247" s="32" t="s">
        <v>84</v>
      </c>
      <c r="AT247" s="32" t="s">
        <v>303</v>
      </c>
      <c r="AU247" s="56">
        <v>46242.666666666664</v>
      </c>
      <c r="AV247" s="56">
        <v>46242.683333333334</v>
      </c>
      <c r="AW247" s="56">
        <v>46242.6875</v>
      </c>
      <c r="AX247" s="56">
        <v>46242.737500000003</v>
      </c>
      <c r="AY247" s="56">
        <v>46242.847916666666</v>
      </c>
      <c r="AZ247" s="56">
        <v>46242.943749999999</v>
      </c>
      <c r="BA247" s="56">
        <v>46243.634722222225</v>
      </c>
      <c r="BB247" s="56">
        <v>46243.834027777775</v>
      </c>
      <c r="BC247" s="56">
        <v>46243.842361111114</v>
      </c>
      <c r="BD247" s="56">
        <v>46243.852777777778</v>
      </c>
      <c r="BE247" s="56">
        <v>46243.854166666664</v>
      </c>
      <c r="BG247" s="56">
        <v>46243.880555555559</v>
      </c>
      <c r="BH247" s="56">
        <v>46243.897916666669</v>
      </c>
      <c r="BI247" s="32" t="s">
        <v>248</v>
      </c>
      <c r="BK247" s="56">
        <v>46244.513888888891</v>
      </c>
      <c r="BL247" s="56">
        <v>46244.51666666667</v>
      </c>
      <c r="BM247" s="56">
        <v>46244.520833333336</v>
      </c>
      <c r="BN247" s="56">
        <v>46244.527777777781</v>
      </c>
    </row>
    <row r="248" spans="1:66" x14ac:dyDescent="0.35">
      <c r="A248" t="s">
        <v>176</v>
      </c>
      <c r="B248" s="32">
        <v>22</v>
      </c>
      <c r="C248" s="32">
        <v>33</v>
      </c>
      <c r="D248" s="32" t="s">
        <v>177</v>
      </c>
      <c r="E248" s="32" t="s">
        <v>178</v>
      </c>
      <c r="F248" s="54">
        <v>46247</v>
      </c>
      <c r="G248" s="54">
        <v>46247</v>
      </c>
      <c r="H248" s="55">
        <v>0.95486111111111116</v>
      </c>
      <c r="I248" s="55">
        <v>0.41666666666666669</v>
      </c>
      <c r="J248" s="32" t="s">
        <v>53</v>
      </c>
      <c r="K248" s="32" t="s">
        <v>179</v>
      </c>
      <c r="L248" s="32">
        <v>1</v>
      </c>
      <c r="M248" s="32" t="s">
        <v>1651</v>
      </c>
      <c r="P248" s="32" t="s">
        <v>182</v>
      </c>
      <c r="Q248" s="32" t="s">
        <v>84</v>
      </c>
      <c r="R248" s="32" t="s">
        <v>1621</v>
      </c>
      <c r="S248" s="32" t="s">
        <v>1506</v>
      </c>
      <c r="T248" s="32">
        <v>275501236</v>
      </c>
      <c r="U248" s="32" t="s">
        <v>1652</v>
      </c>
      <c r="V248" s="32" t="s">
        <v>1653</v>
      </c>
      <c r="W248" s="32" t="s">
        <v>1654</v>
      </c>
      <c r="X248" s="32" t="s">
        <v>187</v>
      </c>
      <c r="Y248" s="32" t="s">
        <v>188</v>
      </c>
      <c r="Z248" s="32" t="s">
        <v>188</v>
      </c>
      <c r="AA248" s="32" t="s">
        <v>189</v>
      </c>
      <c r="AB248" s="32" t="s">
        <v>1499</v>
      </c>
      <c r="AC248" s="32" t="s">
        <v>56</v>
      </c>
      <c r="AD248" s="32" t="s">
        <v>1655</v>
      </c>
      <c r="AE248" s="32">
        <v>20107012011</v>
      </c>
      <c r="AF248" s="32" t="s">
        <v>1584</v>
      </c>
      <c r="AG248" s="32" t="s">
        <v>1585</v>
      </c>
      <c r="AH248" s="32" t="s">
        <v>193</v>
      </c>
      <c r="AI248" s="32" t="s">
        <v>1656</v>
      </c>
      <c r="AJ248" s="32" t="s">
        <v>1836</v>
      </c>
      <c r="AL248" s="32" t="s">
        <v>491</v>
      </c>
      <c r="AM248" s="32" t="s">
        <v>278</v>
      </c>
      <c r="AN248" s="32" t="s">
        <v>278</v>
      </c>
      <c r="AO248" s="32" t="s">
        <v>491</v>
      </c>
      <c r="AP248" s="32" t="s">
        <v>491</v>
      </c>
      <c r="AQ248" s="32" t="s">
        <v>491</v>
      </c>
      <c r="AR248" s="32" t="s">
        <v>491</v>
      </c>
      <c r="AS248" s="32" t="s">
        <v>84</v>
      </c>
      <c r="AT248" s="32" t="s">
        <v>1512</v>
      </c>
      <c r="AU248" s="56">
        <v>46247.166666666664</v>
      </c>
      <c r="AV248" s="56">
        <v>46247.076388888891</v>
      </c>
      <c r="AW248" s="56">
        <v>46247.378472222219</v>
      </c>
      <c r="AX248" s="56">
        <v>46247.388888888891</v>
      </c>
      <c r="AY248" s="56">
        <v>46247.413194444445</v>
      </c>
      <c r="AZ248" s="56">
        <v>46247.426388888889</v>
      </c>
      <c r="BA248" s="56">
        <v>46247.92083333333</v>
      </c>
      <c r="BB248" s="56">
        <v>46247.936111111114</v>
      </c>
      <c r="BC248" s="56">
        <v>46247.944444444445</v>
      </c>
      <c r="BD248" s="56">
        <v>46247.952777777777</v>
      </c>
      <c r="BE248" s="56">
        <v>46247.954861111109</v>
      </c>
      <c r="BG248" s="56">
        <v>46248.04791666667</v>
      </c>
      <c r="BH248" s="56">
        <v>46248.072916666664</v>
      </c>
      <c r="BI248" s="32" t="s">
        <v>795</v>
      </c>
      <c r="BK248" s="56">
        <v>46248.552777777775</v>
      </c>
      <c r="BL248" s="56">
        <v>46248.559027777781</v>
      </c>
      <c r="BM248" s="56">
        <v>46248.574999999997</v>
      </c>
      <c r="BN248" s="56">
        <v>46248.673611111109</v>
      </c>
    </row>
    <row r="249" spans="1:66" x14ac:dyDescent="0.35">
      <c r="A249" t="s">
        <v>176</v>
      </c>
      <c r="B249" s="32">
        <v>23</v>
      </c>
      <c r="C249" s="32">
        <v>33</v>
      </c>
      <c r="D249" s="32" t="s">
        <v>177</v>
      </c>
      <c r="E249" s="32" t="s">
        <v>178</v>
      </c>
      <c r="F249" s="54">
        <v>46246</v>
      </c>
      <c r="G249" s="54">
        <v>46247</v>
      </c>
      <c r="H249" s="55">
        <v>0.63888888888888884</v>
      </c>
      <c r="I249" s="55">
        <v>0.5</v>
      </c>
      <c r="J249" s="32" t="s">
        <v>53</v>
      </c>
      <c r="K249" s="32" t="s">
        <v>179</v>
      </c>
      <c r="L249" s="32">
        <v>1</v>
      </c>
      <c r="M249" s="32" t="s">
        <v>1657</v>
      </c>
      <c r="P249" s="32" t="s">
        <v>182</v>
      </c>
      <c r="Q249" s="32" t="s">
        <v>84</v>
      </c>
      <c r="R249" s="32" t="s">
        <v>947</v>
      </c>
      <c r="S249" s="32" t="s">
        <v>1636</v>
      </c>
      <c r="T249" s="32">
        <v>6462784200</v>
      </c>
      <c r="U249" s="32" t="s">
        <v>1658</v>
      </c>
      <c r="V249" s="32" t="s">
        <v>1659</v>
      </c>
      <c r="W249" s="32">
        <v>32975631</v>
      </c>
      <c r="X249" s="32" t="s">
        <v>187</v>
      </c>
      <c r="Y249" s="32" t="s">
        <v>187</v>
      </c>
      <c r="Z249" s="32" t="s">
        <v>188</v>
      </c>
      <c r="AA249" s="32" t="s">
        <v>189</v>
      </c>
      <c r="AB249" s="32" t="s">
        <v>1499</v>
      </c>
      <c r="AC249" s="32" t="s">
        <v>92</v>
      </c>
      <c r="AD249" s="32" t="s">
        <v>1646</v>
      </c>
      <c r="AE249" s="32">
        <v>20609553376</v>
      </c>
      <c r="AF249" s="32" t="s">
        <v>1660</v>
      </c>
      <c r="AG249" s="32" t="s">
        <v>1661</v>
      </c>
      <c r="AH249" s="32" t="s">
        <v>193</v>
      </c>
      <c r="AI249" s="32" t="s">
        <v>1662</v>
      </c>
      <c r="AJ249" s="32" t="s">
        <v>1663</v>
      </c>
      <c r="AL249" s="32" t="s">
        <v>491</v>
      </c>
      <c r="AM249" s="32" t="s">
        <v>278</v>
      </c>
      <c r="AN249" s="32" t="s">
        <v>278</v>
      </c>
      <c r="AO249" s="32" t="s">
        <v>491</v>
      </c>
      <c r="AP249" s="32" t="s">
        <v>491</v>
      </c>
      <c r="AQ249" s="32" t="s">
        <v>491</v>
      </c>
      <c r="AR249" s="32" t="s">
        <v>491</v>
      </c>
      <c r="AS249" s="32" t="s">
        <v>83</v>
      </c>
      <c r="AT249" s="32" t="s">
        <v>83</v>
      </c>
      <c r="AU249" s="56">
        <v>46246.791666666664</v>
      </c>
      <c r="AV249" s="56">
        <v>46246.856249999997</v>
      </c>
      <c r="AW249" s="56">
        <v>46246.886111111111</v>
      </c>
      <c r="AX249" s="56">
        <v>46246.895833333336</v>
      </c>
      <c r="AY249" s="56">
        <v>46246.925000000003</v>
      </c>
      <c r="AZ249" s="56">
        <v>46246.9375</v>
      </c>
      <c r="BA249" s="56">
        <v>46247.597222222219</v>
      </c>
      <c r="BB249" s="56">
        <v>46247.613888888889</v>
      </c>
      <c r="BC249" s="56">
        <v>46247.625</v>
      </c>
      <c r="BD249" s="56">
        <v>46247.637499999997</v>
      </c>
      <c r="BE249" s="56">
        <v>46247.638888888891</v>
      </c>
      <c r="BG249" s="56">
        <v>46247.690972222219</v>
      </c>
      <c r="BH249" s="56">
        <v>46247.716666666667</v>
      </c>
      <c r="BI249" s="32" t="s">
        <v>248</v>
      </c>
      <c r="BK249" s="56">
        <v>46248.119444444441</v>
      </c>
      <c r="BL249" s="56">
        <v>46248.124305555553</v>
      </c>
      <c r="BM249" s="56">
        <v>46248.130555555559</v>
      </c>
      <c r="BN249" s="56">
        <v>46248.143055555556</v>
      </c>
    </row>
    <row r="250" spans="1:66" x14ac:dyDescent="0.35">
      <c r="A250" t="s">
        <v>176</v>
      </c>
      <c r="B250" s="32">
        <v>24</v>
      </c>
      <c r="C250" s="32">
        <v>34</v>
      </c>
      <c r="D250" s="32" t="s">
        <v>177</v>
      </c>
      <c r="E250" s="32" t="s">
        <v>178</v>
      </c>
      <c r="F250" s="54">
        <v>46252</v>
      </c>
      <c r="G250" s="54">
        <v>46253</v>
      </c>
      <c r="H250" s="55">
        <v>0.44444444444444442</v>
      </c>
      <c r="I250" s="55">
        <v>0.5</v>
      </c>
      <c r="J250" s="32" t="s">
        <v>53</v>
      </c>
      <c r="K250" s="32" t="s">
        <v>179</v>
      </c>
      <c r="L250" s="32">
        <v>1</v>
      </c>
      <c r="M250" s="32" t="s">
        <v>1664</v>
      </c>
      <c r="P250" s="32" t="s">
        <v>182</v>
      </c>
      <c r="Q250" s="32" t="s">
        <v>84</v>
      </c>
      <c r="R250" s="32" t="s">
        <v>1621</v>
      </c>
      <c r="S250" s="32" t="s">
        <v>1506</v>
      </c>
      <c r="T250" s="32" t="s">
        <v>1665</v>
      </c>
      <c r="U250" s="32" t="s">
        <v>1666</v>
      </c>
      <c r="V250" s="32" t="s">
        <v>1667</v>
      </c>
      <c r="W250" s="32" t="s">
        <v>1668</v>
      </c>
      <c r="X250" s="32" t="s">
        <v>187</v>
      </c>
      <c r="Y250" s="32" t="s">
        <v>188</v>
      </c>
      <c r="Z250" s="32" t="s">
        <v>188</v>
      </c>
      <c r="AA250" s="32" t="s">
        <v>189</v>
      </c>
      <c r="AB250" s="32" t="s">
        <v>1499</v>
      </c>
      <c r="AC250" s="32" t="s">
        <v>56</v>
      </c>
      <c r="AD250" s="32" t="s">
        <v>1507</v>
      </c>
      <c r="AE250" s="32">
        <v>20107012011</v>
      </c>
      <c r="AF250" s="32" t="s">
        <v>1669</v>
      </c>
      <c r="AG250" s="32" t="s">
        <v>1670</v>
      </c>
      <c r="AH250" s="32" t="s">
        <v>193</v>
      </c>
      <c r="AI250" s="32" t="s">
        <v>1837</v>
      </c>
      <c r="AJ250" s="32" t="s">
        <v>1671</v>
      </c>
      <c r="AL250" s="32" t="s">
        <v>491</v>
      </c>
      <c r="AM250" s="32" t="s">
        <v>278</v>
      </c>
      <c r="AN250" s="32" t="s">
        <v>278</v>
      </c>
      <c r="AO250" s="32" t="s">
        <v>491</v>
      </c>
      <c r="AP250" s="32" t="s">
        <v>491</v>
      </c>
      <c r="AQ250" s="32" t="s">
        <v>491</v>
      </c>
      <c r="AR250" s="32" t="s">
        <v>491</v>
      </c>
      <c r="AS250" s="32" t="s">
        <v>84</v>
      </c>
      <c r="AT250" s="32" t="s">
        <v>1512</v>
      </c>
      <c r="AU250" s="56">
        <v>46252.583333333336</v>
      </c>
      <c r="AV250" s="56">
        <v>46252.640972222223</v>
      </c>
      <c r="AW250" s="56">
        <v>46252.71875</v>
      </c>
      <c r="AX250" s="56">
        <v>46252.76458333333</v>
      </c>
      <c r="AY250" s="56">
        <v>46252.820833333331</v>
      </c>
      <c r="AZ250" s="56">
        <v>46252.833333333336</v>
      </c>
      <c r="BA250" s="56">
        <v>46253.392361111109</v>
      </c>
      <c r="BB250" s="56">
        <v>46253.402777777781</v>
      </c>
      <c r="BC250" s="56">
        <v>46253.413194444445</v>
      </c>
      <c r="BD250" s="56">
        <v>46253.434027777781</v>
      </c>
      <c r="BE250" s="56">
        <v>46253.444444444445</v>
      </c>
      <c r="BG250" s="56">
        <v>46253.540277777778</v>
      </c>
      <c r="BH250" s="56">
        <v>46253.625</v>
      </c>
      <c r="BI250" s="32" t="s">
        <v>795</v>
      </c>
      <c r="BJ250" s="56">
        <v>46254.25</v>
      </c>
      <c r="BK250" s="56">
        <v>46254.125</v>
      </c>
      <c r="BL250" s="56">
        <v>46254.131944444445</v>
      </c>
      <c r="BM250" s="56">
        <v>46254.145138888889</v>
      </c>
      <c r="BN250" s="56">
        <v>46254.335416666669</v>
      </c>
    </row>
    <row r="251" spans="1:66" x14ac:dyDescent="0.35">
      <c r="A251" t="s">
        <v>176</v>
      </c>
      <c r="B251" s="32">
        <v>1</v>
      </c>
      <c r="C251" s="32">
        <v>28</v>
      </c>
      <c r="D251" s="32" t="s">
        <v>177</v>
      </c>
      <c r="E251" s="32" t="s">
        <v>178</v>
      </c>
      <c r="F251" s="54">
        <v>46215</v>
      </c>
      <c r="G251" s="54">
        <v>46215</v>
      </c>
      <c r="H251" s="55"/>
      <c r="I251" s="55">
        <v>0.33333333333333331</v>
      </c>
      <c r="J251" s="32" t="s">
        <v>53</v>
      </c>
      <c r="K251" s="32" t="s">
        <v>179</v>
      </c>
      <c r="L251" s="32">
        <v>1</v>
      </c>
      <c r="M251" s="32" t="s">
        <v>1672</v>
      </c>
      <c r="N251" s="32" t="s">
        <v>181</v>
      </c>
      <c r="O251" s="32" t="s">
        <v>181</v>
      </c>
      <c r="P251" s="32" t="s">
        <v>182</v>
      </c>
      <c r="Q251" s="32" t="s">
        <v>84</v>
      </c>
      <c r="R251" s="32" t="s">
        <v>183</v>
      </c>
      <c r="S251" s="32" t="s">
        <v>184</v>
      </c>
      <c r="T251" s="32">
        <v>751600038769</v>
      </c>
      <c r="U251" s="32" t="s">
        <v>1673</v>
      </c>
      <c r="V251" s="32">
        <v>63992</v>
      </c>
      <c r="W251" s="32" t="s">
        <v>1674</v>
      </c>
      <c r="X251" s="32" t="s">
        <v>187</v>
      </c>
      <c r="Y251" s="32" t="s">
        <v>188</v>
      </c>
      <c r="Z251" s="32" t="s">
        <v>188</v>
      </c>
      <c r="AA251" s="32" t="s">
        <v>189</v>
      </c>
      <c r="AB251" s="32" t="s">
        <v>1675</v>
      </c>
      <c r="AC251" s="32" t="s">
        <v>56</v>
      </c>
      <c r="AD251" s="32" t="s">
        <v>1676</v>
      </c>
      <c r="AE251" s="32">
        <v>20557679392</v>
      </c>
      <c r="AF251" s="32" t="s">
        <v>1677</v>
      </c>
      <c r="AG251" s="32" t="s">
        <v>1678</v>
      </c>
      <c r="AH251" s="32" t="s">
        <v>193</v>
      </c>
      <c r="AI251" s="32" t="s">
        <v>1679</v>
      </c>
      <c r="AJ251" s="32" t="s">
        <v>1680</v>
      </c>
      <c r="AL251" s="32" t="s">
        <v>491</v>
      </c>
      <c r="AM251" s="32" t="s">
        <v>278</v>
      </c>
      <c r="AN251" s="32" t="s">
        <v>278</v>
      </c>
      <c r="AO251" s="32" t="s">
        <v>491</v>
      </c>
      <c r="AP251" s="32" t="s">
        <v>491</v>
      </c>
      <c r="AQ251" s="32" t="s">
        <v>491</v>
      </c>
      <c r="AR251" s="32" t="s">
        <v>491</v>
      </c>
      <c r="AS251" s="32" t="s">
        <v>84</v>
      </c>
      <c r="AT251" s="32" t="s">
        <v>677</v>
      </c>
      <c r="AU251" s="56">
        <v>46333.583333333336</v>
      </c>
      <c r="AV251" s="56">
        <v>46333.611111111109</v>
      </c>
      <c r="AW251" s="56">
        <v>46333.617361111108</v>
      </c>
      <c r="AX251" s="56">
        <v>46333.654861111114</v>
      </c>
      <c r="AY251" s="56">
        <v>46333.734027777777</v>
      </c>
      <c r="AZ251" s="56">
        <v>46333.734027777777</v>
      </c>
      <c r="BA251" s="56">
        <v>46363.356944444444</v>
      </c>
      <c r="BB251" s="56">
        <v>46363.356944444444</v>
      </c>
      <c r="BC251" s="56">
        <v>46363.37222222222</v>
      </c>
      <c r="BE251" s="56">
        <v>46215.619444444441</v>
      </c>
      <c r="BG251" s="56">
        <v>46363.702777777777</v>
      </c>
      <c r="BH251" s="56">
        <v>46363.74722222222</v>
      </c>
      <c r="BI251" s="32" t="s">
        <v>64</v>
      </c>
      <c r="BJ251" s="56">
        <v>46216.583333333336</v>
      </c>
      <c r="BK251" s="56">
        <v>46216.482638888891</v>
      </c>
      <c r="BL251" s="56">
        <v>46216.584027777775</v>
      </c>
      <c r="BM251" s="56">
        <v>46216.586805555555</v>
      </c>
      <c r="BN251" s="56">
        <v>46216.59652777778</v>
      </c>
    </row>
    <row r="252" spans="1:66" x14ac:dyDescent="0.35">
      <c r="A252" t="s">
        <v>176</v>
      </c>
      <c r="B252" s="32">
        <v>2</v>
      </c>
      <c r="C252" s="32">
        <v>28</v>
      </c>
      <c r="D252" s="32" t="s">
        <v>177</v>
      </c>
      <c r="E252" s="32" t="s">
        <v>178</v>
      </c>
      <c r="F252" s="54">
        <v>46214</v>
      </c>
      <c r="G252" s="54">
        <v>46215</v>
      </c>
      <c r="H252" s="55"/>
      <c r="I252" s="55">
        <v>0.54166666666666663</v>
      </c>
      <c r="J252" s="32" t="s">
        <v>53</v>
      </c>
      <c r="K252" s="32" t="s">
        <v>179</v>
      </c>
      <c r="L252" s="32">
        <v>1</v>
      </c>
      <c r="M252" s="32" t="s">
        <v>1681</v>
      </c>
      <c r="P252" s="32" t="s">
        <v>182</v>
      </c>
      <c r="Q252" s="32" t="s">
        <v>84</v>
      </c>
      <c r="T252" s="32">
        <v>751600038777</v>
      </c>
      <c r="U252" s="32" t="s">
        <v>1682</v>
      </c>
      <c r="W252" s="32" t="s">
        <v>1683</v>
      </c>
      <c r="AB252" s="32" t="s">
        <v>1675</v>
      </c>
      <c r="AC252" s="32" t="s">
        <v>56</v>
      </c>
      <c r="AD252" s="32" t="s">
        <v>1676</v>
      </c>
      <c r="AE252" s="32">
        <v>20557679392</v>
      </c>
      <c r="AF252" s="32" t="s">
        <v>1684</v>
      </c>
      <c r="AG252" s="32" t="s">
        <v>1685</v>
      </c>
      <c r="AH252" s="32" t="s">
        <v>193</v>
      </c>
      <c r="AI252" s="32" t="s">
        <v>1686</v>
      </c>
      <c r="AJ252" s="32" t="s">
        <v>1687</v>
      </c>
      <c r="AL252" s="32" t="s">
        <v>491</v>
      </c>
      <c r="AM252" s="32" t="s">
        <v>278</v>
      </c>
      <c r="AN252" s="32" t="s">
        <v>278</v>
      </c>
      <c r="AO252" s="32" t="s">
        <v>491</v>
      </c>
      <c r="AP252" s="32" t="s">
        <v>491</v>
      </c>
      <c r="AQ252" s="32" t="s">
        <v>491</v>
      </c>
      <c r="AR252" s="32" t="s">
        <v>491</v>
      </c>
      <c r="AS252" s="32" t="s">
        <v>84</v>
      </c>
      <c r="AT252" s="32" t="s">
        <v>677</v>
      </c>
      <c r="AU252" s="56">
        <v>46333.583333333336</v>
      </c>
      <c r="AV252" s="56">
        <v>46333.615277777775</v>
      </c>
      <c r="AW252" s="56">
        <v>46333.65</v>
      </c>
      <c r="AX252" s="56">
        <v>46333.704861111109</v>
      </c>
      <c r="AY252" s="56">
        <v>46333.783333333333</v>
      </c>
      <c r="AZ252" s="56">
        <v>46333.783333333333</v>
      </c>
      <c r="BA252" s="56">
        <v>46363.508333333331</v>
      </c>
      <c r="BB252" s="56">
        <v>46215.508333333331</v>
      </c>
      <c r="BC252" s="56">
        <v>46363.527777777781</v>
      </c>
      <c r="BE252" s="56">
        <v>46363.645833333336</v>
      </c>
      <c r="BG252" s="56">
        <v>46363.708333333336</v>
      </c>
      <c r="BH252" s="56">
        <v>46363.755555555559</v>
      </c>
      <c r="BI252" s="32" t="s">
        <v>64</v>
      </c>
      <c r="BJ252" s="56">
        <v>46216.583333333336</v>
      </c>
      <c r="BK252" s="56">
        <v>46216.583333333336</v>
      </c>
      <c r="BL252" s="56">
        <v>46216.619444444441</v>
      </c>
      <c r="BM252" s="56">
        <v>46216.621527777781</v>
      </c>
      <c r="BN252" s="56">
        <v>46216.650694444441</v>
      </c>
    </row>
    <row r="253" spans="1:66" x14ac:dyDescent="0.35">
      <c r="A253" t="s">
        <v>176</v>
      </c>
      <c r="B253" s="32">
        <v>3</v>
      </c>
      <c r="C253" s="32">
        <v>28</v>
      </c>
      <c r="D253" s="32" t="s">
        <v>177</v>
      </c>
      <c r="E253" s="32" t="s">
        <v>178</v>
      </c>
      <c r="F253" s="54">
        <v>46214</v>
      </c>
      <c r="G253" s="54">
        <v>46215</v>
      </c>
      <c r="H253" s="55"/>
      <c r="I253" s="55">
        <v>0.33333333333333331</v>
      </c>
      <c r="J253" s="32" t="s">
        <v>53</v>
      </c>
      <c r="K253" s="32" t="s">
        <v>179</v>
      </c>
      <c r="L253" s="32">
        <v>1</v>
      </c>
      <c r="M253" s="32" t="s">
        <v>1688</v>
      </c>
      <c r="P253" s="32" t="s">
        <v>182</v>
      </c>
      <c r="Q253" s="32" t="s">
        <v>84</v>
      </c>
      <c r="T253" s="32">
        <v>751600038939</v>
      </c>
      <c r="U253" s="32" t="s">
        <v>1689</v>
      </c>
      <c r="W253" s="32" t="s">
        <v>1690</v>
      </c>
      <c r="AB253" s="32" t="s">
        <v>1675</v>
      </c>
      <c r="AC253" s="32" t="s">
        <v>56</v>
      </c>
      <c r="AD253" s="32" t="s">
        <v>1676</v>
      </c>
      <c r="AE253" s="32">
        <v>20557679392</v>
      </c>
      <c r="AF253" s="32" t="s">
        <v>1691</v>
      </c>
      <c r="AG253" s="32" t="s">
        <v>1692</v>
      </c>
      <c r="AH253" s="32" t="s">
        <v>193</v>
      </c>
      <c r="AI253" s="32" t="s">
        <v>1693</v>
      </c>
      <c r="AJ253" s="32" t="s">
        <v>1694</v>
      </c>
      <c r="AL253" s="32" t="s">
        <v>491</v>
      </c>
      <c r="AM253" s="32" t="s">
        <v>278</v>
      </c>
      <c r="AN253" s="32" t="s">
        <v>278</v>
      </c>
      <c r="AO253" s="32" t="s">
        <v>491</v>
      </c>
      <c r="AP253" s="32" t="s">
        <v>491</v>
      </c>
      <c r="AQ253" s="32" t="s">
        <v>491</v>
      </c>
      <c r="AR253" s="32" t="s">
        <v>491</v>
      </c>
      <c r="AS253" s="32" t="s">
        <v>84</v>
      </c>
      <c r="AT253" s="32" t="s">
        <v>677</v>
      </c>
      <c r="AU253" s="56">
        <v>46333.583333333336</v>
      </c>
      <c r="AV253" s="56">
        <v>46333.615972222222</v>
      </c>
      <c r="AW253" s="56">
        <v>46333.645138888889</v>
      </c>
      <c r="AX253" s="56">
        <v>46333.709027777775</v>
      </c>
      <c r="AY253" s="56">
        <v>46333.790972222225</v>
      </c>
      <c r="AZ253" s="56">
        <v>46333.790972222225</v>
      </c>
      <c r="BA253" s="56">
        <v>46363.513888888891</v>
      </c>
      <c r="BB253" s="56">
        <v>46363.513888888891</v>
      </c>
      <c r="BC253" s="56">
        <v>46363.536805555559</v>
      </c>
      <c r="BE253" s="56">
        <v>46363.625</v>
      </c>
      <c r="BG253" s="56">
        <v>46363.763194444444</v>
      </c>
      <c r="BH253" s="56">
        <v>46363.782638888886</v>
      </c>
      <c r="BI253" s="32" t="s">
        <v>64</v>
      </c>
      <c r="BJ253" s="56">
        <v>46216.583333333336</v>
      </c>
      <c r="BK253" s="56">
        <v>46216.538888888892</v>
      </c>
      <c r="BL253" s="56">
        <v>46216.581944444442</v>
      </c>
      <c r="BM253" s="56">
        <v>46216.585416666669</v>
      </c>
      <c r="BN253" s="56">
        <v>46216.59375</v>
      </c>
    </row>
    <row r="254" spans="1:66" x14ac:dyDescent="0.35">
      <c r="A254" t="s">
        <v>176</v>
      </c>
      <c r="B254" s="32">
        <v>4</v>
      </c>
      <c r="C254" s="32">
        <v>28</v>
      </c>
      <c r="D254" s="32" t="s">
        <v>177</v>
      </c>
      <c r="E254" s="32" t="s">
        <v>178</v>
      </c>
      <c r="F254" s="54">
        <v>46221</v>
      </c>
      <c r="G254" s="54">
        <v>46222</v>
      </c>
      <c r="H254" s="55"/>
      <c r="I254" s="55">
        <v>0.33333333333333331</v>
      </c>
      <c r="J254" s="32" t="s">
        <v>53</v>
      </c>
      <c r="K254" s="32" t="s">
        <v>179</v>
      </c>
      <c r="L254" s="32">
        <v>1</v>
      </c>
      <c r="M254" s="32" t="s">
        <v>1695</v>
      </c>
      <c r="P254" s="32" t="s">
        <v>182</v>
      </c>
      <c r="Q254" s="32" t="s">
        <v>84</v>
      </c>
      <c r="T254" s="32">
        <v>751600040178</v>
      </c>
      <c r="U254" s="32" t="s">
        <v>1696</v>
      </c>
      <c r="AB254" s="32" t="s">
        <v>1675</v>
      </c>
      <c r="AC254" s="32" t="s">
        <v>56</v>
      </c>
      <c r="AD254" s="32" t="s">
        <v>1676</v>
      </c>
      <c r="AE254" s="32">
        <v>20557679392</v>
      </c>
      <c r="AF254" s="32" t="s">
        <v>1697</v>
      </c>
      <c r="AG254" s="32" t="s">
        <v>1698</v>
      </c>
      <c r="AH254" s="32" t="s">
        <v>193</v>
      </c>
      <c r="AI254" s="32" t="s">
        <v>1699</v>
      </c>
      <c r="AJ254" s="32" t="s">
        <v>1700</v>
      </c>
      <c r="AL254" s="32" t="s">
        <v>491</v>
      </c>
      <c r="AM254" s="32" t="s">
        <v>278</v>
      </c>
      <c r="AN254" s="32" t="s">
        <v>278</v>
      </c>
      <c r="AO254" s="32" t="s">
        <v>491</v>
      </c>
      <c r="AP254" s="32" t="s">
        <v>491</v>
      </c>
      <c r="AQ254" s="32" t="s">
        <v>491</v>
      </c>
      <c r="AR254" s="32" t="s">
        <v>491</v>
      </c>
      <c r="AS254" s="32" t="s">
        <v>84</v>
      </c>
      <c r="AT254" s="32" t="s">
        <v>285</v>
      </c>
      <c r="AU254" s="56">
        <v>46221.583333333336</v>
      </c>
      <c r="AV254" s="56">
        <v>46221.594444444447</v>
      </c>
      <c r="AW254" s="56">
        <v>46221.614583333336</v>
      </c>
      <c r="AX254" s="56">
        <v>46221.675000000003</v>
      </c>
      <c r="AY254" s="56">
        <v>46221.886805555558</v>
      </c>
      <c r="AZ254" s="56">
        <v>46221.886805555558</v>
      </c>
      <c r="BA254" s="56">
        <v>46222.48333333333</v>
      </c>
      <c r="BB254" s="56">
        <v>46222.486805555556</v>
      </c>
      <c r="BC254" s="56">
        <v>46222.510416666664</v>
      </c>
      <c r="BE254" s="56">
        <v>46222.590277777781</v>
      </c>
      <c r="BG254" s="56">
        <v>46222.666666666664</v>
      </c>
      <c r="BH254" s="56">
        <v>46222.688888888886</v>
      </c>
      <c r="BI254" s="32" t="s">
        <v>64</v>
      </c>
      <c r="BJ254" s="56">
        <v>46223.416666666664</v>
      </c>
      <c r="BK254" s="56">
        <v>46223.340277777781</v>
      </c>
      <c r="BL254" s="56">
        <v>46223.359722222223</v>
      </c>
      <c r="BM254" s="56">
        <v>46223.362500000003</v>
      </c>
      <c r="BN254" s="56">
        <v>46223.397222222222</v>
      </c>
    </row>
    <row r="255" spans="1:66" x14ac:dyDescent="0.35">
      <c r="A255" t="s">
        <v>176</v>
      </c>
      <c r="B255" s="32">
        <v>5</v>
      </c>
      <c r="C255" s="32">
        <v>28</v>
      </c>
      <c r="D255" s="32" t="s">
        <v>177</v>
      </c>
      <c r="E255" s="32" t="s">
        <v>178</v>
      </c>
      <c r="F255" s="54">
        <v>46221</v>
      </c>
      <c r="G255" s="54">
        <v>46222</v>
      </c>
      <c r="H255" s="55"/>
      <c r="I255" s="55">
        <v>0.33333333333333331</v>
      </c>
      <c r="J255" s="32" t="s">
        <v>53</v>
      </c>
      <c r="K255" s="32" t="s">
        <v>179</v>
      </c>
      <c r="L255" s="32">
        <v>1</v>
      </c>
      <c r="M255" s="32" t="s">
        <v>1701</v>
      </c>
      <c r="P255" s="32" t="s">
        <v>182</v>
      </c>
      <c r="Q255" s="32" t="s">
        <v>84</v>
      </c>
      <c r="T255" s="32">
        <v>751600040186</v>
      </c>
      <c r="U255" s="32" t="s">
        <v>1702</v>
      </c>
      <c r="AB255" s="32" t="s">
        <v>1675</v>
      </c>
      <c r="AC255" s="32" t="s">
        <v>56</v>
      </c>
      <c r="AD255" s="32" t="s">
        <v>1676</v>
      </c>
      <c r="AE255" s="32">
        <v>20557679392</v>
      </c>
      <c r="AF255" s="32" t="s">
        <v>1703</v>
      </c>
      <c r="AG255" s="32" t="s">
        <v>1704</v>
      </c>
      <c r="AH255" s="32" t="s">
        <v>193</v>
      </c>
      <c r="AI255" s="32" t="s">
        <v>1679</v>
      </c>
      <c r="AJ255" s="32" t="s">
        <v>1680</v>
      </c>
      <c r="AL255" s="32" t="s">
        <v>491</v>
      </c>
      <c r="AM255" s="32" t="s">
        <v>278</v>
      </c>
      <c r="AN255" s="32" t="s">
        <v>278</v>
      </c>
      <c r="AO255" s="32" t="s">
        <v>491</v>
      </c>
      <c r="AP255" s="32" t="s">
        <v>491</v>
      </c>
      <c r="AQ255" s="32" t="s">
        <v>491</v>
      </c>
      <c r="AR255" s="32" t="s">
        <v>491</v>
      </c>
      <c r="AS255" s="32" t="s">
        <v>84</v>
      </c>
      <c r="AT255" s="32" t="s">
        <v>303</v>
      </c>
      <c r="AU255" s="56">
        <v>46221.583333333336</v>
      </c>
      <c r="AV255" s="56">
        <v>46221.583333333336</v>
      </c>
      <c r="AW255" s="56">
        <v>46221.618055555555</v>
      </c>
      <c r="AX255" s="56">
        <v>46221.631944444445</v>
      </c>
      <c r="AY255" s="56">
        <v>46221.740277777775</v>
      </c>
      <c r="AZ255" s="56">
        <v>46221.740277777775</v>
      </c>
      <c r="BA255" s="56">
        <v>46222.427083333336</v>
      </c>
      <c r="BB255" s="56">
        <v>46222.427777777775</v>
      </c>
      <c r="BC255" s="56">
        <v>46222.453472222223</v>
      </c>
      <c r="BE255" s="56">
        <v>46222.640277777777</v>
      </c>
      <c r="BG255" s="56">
        <v>46222.715277777781</v>
      </c>
      <c r="BH255" s="56">
        <v>46222.730555555558</v>
      </c>
      <c r="BI255" s="32" t="s">
        <v>64</v>
      </c>
      <c r="BJ255" s="56">
        <v>46223.416666666664</v>
      </c>
      <c r="BK255" s="56">
        <v>46223.340277777781</v>
      </c>
      <c r="BL255" s="56">
        <v>46223.36041666667</v>
      </c>
      <c r="BM255" s="56">
        <v>46223.362500000003</v>
      </c>
      <c r="BN255" s="56">
        <v>46223.4</v>
      </c>
    </row>
    <row r="256" spans="1:66" x14ac:dyDescent="0.35">
      <c r="A256" t="s">
        <v>176</v>
      </c>
      <c r="B256" s="32">
        <v>6</v>
      </c>
      <c r="C256" s="32">
        <v>28</v>
      </c>
      <c r="D256" s="32" t="s">
        <v>177</v>
      </c>
      <c r="E256" s="32" t="s">
        <v>178</v>
      </c>
      <c r="F256" s="54">
        <v>46222</v>
      </c>
      <c r="G256" s="54">
        <v>46223</v>
      </c>
      <c r="H256" s="55"/>
      <c r="I256" s="55">
        <v>0.33333333333333331</v>
      </c>
      <c r="J256" s="32" t="s">
        <v>53</v>
      </c>
      <c r="K256" s="32" t="s">
        <v>179</v>
      </c>
      <c r="L256" s="32">
        <v>1</v>
      </c>
      <c r="M256" s="32" t="s">
        <v>1705</v>
      </c>
      <c r="P256" s="32" t="s">
        <v>182</v>
      </c>
      <c r="Q256" s="32" t="s">
        <v>371</v>
      </c>
      <c r="T256" s="32" t="s">
        <v>1706</v>
      </c>
      <c r="U256" s="32" t="s">
        <v>1707</v>
      </c>
      <c r="W256" s="32" t="s">
        <v>1708</v>
      </c>
      <c r="AB256" s="32" t="s">
        <v>1675</v>
      </c>
      <c r="AC256" s="32" t="s">
        <v>56</v>
      </c>
      <c r="AD256" s="32" t="s">
        <v>1676</v>
      </c>
      <c r="AE256" s="32">
        <v>20557679392</v>
      </c>
      <c r="AF256" s="32" t="s">
        <v>1709</v>
      </c>
      <c r="AG256" s="32" t="s">
        <v>1710</v>
      </c>
      <c r="AH256" s="32" t="s">
        <v>193</v>
      </c>
      <c r="AI256" s="32" t="s">
        <v>1711</v>
      </c>
      <c r="AJ256" s="32" t="s">
        <v>1712</v>
      </c>
      <c r="AL256" s="32" t="s">
        <v>491</v>
      </c>
      <c r="AM256" s="32" t="s">
        <v>278</v>
      </c>
      <c r="AN256" s="32" t="s">
        <v>278</v>
      </c>
      <c r="AO256" s="32" t="s">
        <v>491</v>
      </c>
      <c r="AP256" s="32" t="s">
        <v>491</v>
      </c>
      <c r="AQ256" s="32" t="s">
        <v>491</v>
      </c>
      <c r="AR256" s="32" t="s">
        <v>491</v>
      </c>
      <c r="AS256" s="32" t="s">
        <v>63</v>
      </c>
      <c r="AT256" s="32" t="s">
        <v>64</v>
      </c>
      <c r="AU256" s="56">
        <v>46222.416666666664</v>
      </c>
      <c r="AV256" s="56">
        <v>46222.413194444445</v>
      </c>
      <c r="AW256" s="56">
        <v>46222.425694444442</v>
      </c>
      <c r="AX256" s="56">
        <v>46222.436111111114</v>
      </c>
      <c r="AY256" s="56">
        <v>46222.520138888889</v>
      </c>
      <c r="AZ256" s="56">
        <v>46222.520138888889</v>
      </c>
      <c r="BA256" s="56">
        <v>46223.35833333333</v>
      </c>
      <c r="BB256" s="56">
        <v>46223.362500000003</v>
      </c>
      <c r="BC256" s="56">
        <v>46223.395138888889</v>
      </c>
      <c r="BE256" s="56">
        <v>46223.5</v>
      </c>
      <c r="BG256" s="56">
        <v>46223.555555555555</v>
      </c>
      <c r="BH256" s="56">
        <v>46223.583333333336</v>
      </c>
      <c r="BI256" s="32" t="s">
        <v>65</v>
      </c>
      <c r="BJ256" s="56">
        <v>46224.375</v>
      </c>
      <c r="BK256" s="56">
        <v>46224.321527777778</v>
      </c>
      <c r="BL256" s="56">
        <v>46224.326388888891</v>
      </c>
      <c r="BM256" s="56">
        <v>46224.328472222223</v>
      </c>
      <c r="BN256" s="56">
        <v>46224.331250000003</v>
      </c>
    </row>
    <row r="257" spans="1:66" x14ac:dyDescent="0.35">
      <c r="A257" t="s">
        <v>176</v>
      </c>
      <c r="B257" s="32">
        <v>7</v>
      </c>
      <c r="C257" s="32">
        <v>28</v>
      </c>
      <c r="D257" s="32" t="s">
        <v>177</v>
      </c>
      <c r="E257" s="32" t="s">
        <v>178</v>
      </c>
      <c r="F257" s="54">
        <v>46222</v>
      </c>
      <c r="G257" s="54">
        <v>46223</v>
      </c>
      <c r="H257" s="55"/>
      <c r="I257" s="55">
        <v>0.33333333333333331</v>
      </c>
      <c r="J257" s="32" t="s">
        <v>53</v>
      </c>
      <c r="K257" s="32" t="s">
        <v>179</v>
      </c>
      <c r="L257" s="32">
        <v>1</v>
      </c>
      <c r="M257" s="32" t="s">
        <v>1713</v>
      </c>
      <c r="P257" s="32" t="s">
        <v>182</v>
      </c>
      <c r="Q257" s="32" t="s">
        <v>371</v>
      </c>
      <c r="T257" s="32" t="s">
        <v>1714</v>
      </c>
      <c r="U257" s="32" t="s">
        <v>1715</v>
      </c>
      <c r="W257" s="32" t="s">
        <v>1716</v>
      </c>
      <c r="AB257" s="32" t="s">
        <v>1675</v>
      </c>
      <c r="AC257" s="32" t="s">
        <v>56</v>
      </c>
      <c r="AD257" s="32" t="s">
        <v>1676</v>
      </c>
      <c r="AE257" s="32">
        <v>20557679392</v>
      </c>
      <c r="AF257" s="32" t="s">
        <v>1717</v>
      </c>
      <c r="AG257" s="32" t="s">
        <v>1718</v>
      </c>
      <c r="AH257" s="32" t="s">
        <v>193</v>
      </c>
      <c r="AI257" s="32" t="s">
        <v>1719</v>
      </c>
      <c r="AJ257" s="32" t="s">
        <v>1720</v>
      </c>
      <c r="AL257" s="32" t="s">
        <v>491</v>
      </c>
      <c r="AM257" s="32" t="s">
        <v>278</v>
      </c>
      <c r="AN257" s="32" t="s">
        <v>278</v>
      </c>
      <c r="AO257" s="32" t="s">
        <v>491</v>
      </c>
      <c r="AP257" s="32" t="s">
        <v>491</v>
      </c>
      <c r="AQ257" s="32" t="s">
        <v>491</v>
      </c>
      <c r="AR257" s="32" t="s">
        <v>491</v>
      </c>
      <c r="AS257" s="32" t="s">
        <v>63</v>
      </c>
      <c r="AT257" s="32" t="s">
        <v>64</v>
      </c>
      <c r="AU257" s="56">
        <v>46222.416666666664</v>
      </c>
      <c r="AV257" s="56">
        <v>46222.418055555558</v>
      </c>
      <c r="AW257" s="56">
        <v>46222.428472222222</v>
      </c>
      <c r="AX257" s="56">
        <v>46222.436805555553</v>
      </c>
      <c r="AY257" s="56">
        <v>46222.504166666666</v>
      </c>
      <c r="AZ257" s="56">
        <v>46222.504166666666</v>
      </c>
      <c r="BA257" s="56">
        <v>46223.359027777777</v>
      </c>
      <c r="BB257" s="56">
        <v>46223.363194444442</v>
      </c>
      <c r="BC257" s="56">
        <v>46223.390277777777</v>
      </c>
      <c r="BE257" s="56">
        <v>46223.5</v>
      </c>
      <c r="BG257" s="56">
        <v>46223.555555555555</v>
      </c>
      <c r="BH257" s="56">
        <v>46223.586111111108</v>
      </c>
      <c r="BI257" s="32" t="s">
        <v>65</v>
      </c>
      <c r="BJ257" s="56">
        <v>46224.375</v>
      </c>
      <c r="BK257" s="56">
        <v>46224.32916666667</v>
      </c>
      <c r="BL257" s="56">
        <v>46224.332638888889</v>
      </c>
      <c r="BM257" s="56">
        <v>46224.334027777775</v>
      </c>
      <c r="BN257" s="56">
        <v>46224.339583333334</v>
      </c>
    </row>
    <row r="258" spans="1:66" x14ac:dyDescent="0.35">
      <c r="A258" t="s">
        <v>176</v>
      </c>
      <c r="B258" s="32">
        <v>8</v>
      </c>
      <c r="C258" s="32">
        <v>29</v>
      </c>
      <c r="D258" s="32" t="s">
        <v>177</v>
      </c>
      <c r="E258" s="32" t="s">
        <v>178</v>
      </c>
      <c r="F258" s="54">
        <v>46223</v>
      </c>
      <c r="G258" s="54">
        <v>46224</v>
      </c>
      <c r="H258" s="55"/>
      <c r="I258" s="55">
        <v>0.33333333333333331</v>
      </c>
      <c r="J258" s="32" t="s">
        <v>53</v>
      </c>
      <c r="K258" s="32" t="s">
        <v>179</v>
      </c>
      <c r="L258" s="32">
        <v>1</v>
      </c>
      <c r="M258" s="32" t="s">
        <v>1721</v>
      </c>
      <c r="P258" s="32" t="s">
        <v>182</v>
      </c>
      <c r="Q258" s="32" t="s">
        <v>371</v>
      </c>
      <c r="T258" s="32" t="s">
        <v>1722</v>
      </c>
      <c r="U258" s="32" t="s">
        <v>1723</v>
      </c>
      <c r="W258" s="32" t="s">
        <v>1724</v>
      </c>
      <c r="AB258" s="32" t="s">
        <v>1675</v>
      </c>
      <c r="AC258" s="32" t="s">
        <v>56</v>
      </c>
      <c r="AD258" s="32" t="s">
        <v>1676</v>
      </c>
      <c r="AE258" s="32">
        <v>20557679392</v>
      </c>
      <c r="AF258" s="32" t="s">
        <v>1838</v>
      </c>
      <c r="AG258" s="32" t="s">
        <v>1725</v>
      </c>
      <c r="AH258" s="32" t="s">
        <v>193</v>
      </c>
      <c r="AI258" s="32" t="s">
        <v>1726</v>
      </c>
      <c r="AJ258" s="32" t="s">
        <v>1727</v>
      </c>
      <c r="AL258" s="32" t="s">
        <v>491</v>
      </c>
      <c r="AM258" s="32" t="s">
        <v>278</v>
      </c>
      <c r="AN258" s="32" t="s">
        <v>278</v>
      </c>
      <c r="AO258" s="32" t="s">
        <v>491</v>
      </c>
      <c r="AP258" s="32" t="s">
        <v>491</v>
      </c>
      <c r="AQ258" s="32" t="s">
        <v>491</v>
      </c>
      <c r="AR258" s="32" t="s">
        <v>491</v>
      </c>
      <c r="AS258" s="32" t="s">
        <v>63</v>
      </c>
      <c r="AT258" s="32" t="s">
        <v>64</v>
      </c>
      <c r="AU258" s="56">
        <v>46223.583333333336</v>
      </c>
      <c r="AV258" s="56">
        <v>46223.613194444442</v>
      </c>
      <c r="AW258" s="56">
        <v>46223.647916666669</v>
      </c>
      <c r="AX258" s="56">
        <v>46223.661111111112</v>
      </c>
      <c r="AY258" s="56">
        <v>46223.724999999999</v>
      </c>
      <c r="AZ258" s="56">
        <v>46223.724999999999</v>
      </c>
      <c r="BA258" s="56">
        <v>46224.332638888889</v>
      </c>
      <c r="BB258" s="56">
        <v>46224.336805555555</v>
      </c>
      <c r="BC258" s="56">
        <v>46224.334027777775</v>
      </c>
      <c r="BE258" s="56">
        <v>46224.541666666664</v>
      </c>
      <c r="BG258" s="56">
        <v>46224.604166666664</v>
      </c>
      <c r="BH258" s="56">
        <v>46224.706944444442</v>
      </c>
      <c r="BI258" s="32" t="s">
        <v>65</v>
      </c>
      <c r="BJ258" s="56">
        <v>46225.458333333336</v>
      </c>
      <c r="BK258" s="56">
        <v>46225.427083333336</v>
      </c>
      <c r="BL258" s="56">
        <v>46225.429861111108</v>
      </c>
      <c r="BM258" s="56">
        <v>46225.431944444441</v>
      </c>
      <c r="BN258" s="56">
        <v>46225.436111111114</v>
      </c>
    </row>
    <row r="259" spans="1:66" x14ac:dyDescent="0.35">
      <c r="A259" t="s">
        <v>176</v>
      </c>
      <c r="B259" s="32">
        <v>9</v>
      </c>
      <c r="C259" s="32">
        <v>29</v>
      </c>
      <c r="D259" s="32" t="s">
        <v>177</v>
      </c>
      <c r="E259" s="32" t="s">
        <v>178</v>
      </c>
      <c r="F259" s="54">
        <v>46223</v>
      </c>
      <c r="G259" s="54">
        <v>46224</v>
      </c>
      <c r="H259" s="55"/>
      <c r="I259" s="55">
        <v>0.33333333333333331</v>
      </c>
      <c r="J259" s="32" t="s">
        <v>53</v>
      </c>
      <c r="K259" s="32" t="s">
        <v>179</v>
      </c>
      <c r="L259" s="32">
        <v>1</v>
      </c>
      <c r="M259" s="32" t="s">
        <v>1728</v>
      </c>
      <c r="P259" s="32" t="s">
        <v>182</v>
      </c>
      <c r="Q259" s="32" t="s">
        <v>371</v>
      </c>
      <c r="T259" s="32" t="s">
        <v>1729</v>
      </c>
      <c r="U259" s="32" t="s">
        <v>1730</v>
      </c>
      <c r="W259" s="32" t="s">
        <v>1731</v>
      </c>
      <c r="AB259" s="32" t="s">
        <v>1675</v>
      </c>
      <c r="AC259" s="32" t="s">
        <v>56</v>
      </c>
      <c r="AD259" s="32" t="s">
        <v>1676</v>
      </c>
      <c r="AE259" s="32">
        <v>20557679392</v>
      </c>
      <c r="AF259" s="32" t="s">
        <v>1794</v>
      </c>
      <c r="AG259" s="32" t="s">
        <v>1732</v>
      </c>
      <c r="AH259" s="32" t="s">
        <v>193</v>
      </c>
      <c r="AI259" s="32" t="s">
        <v>1733</v>
      </c>
      <c r="AJ259" s="32" t="s">
        <v>1734</v>
      </c>
      <c r="AL259" s="32" t="s">
        <v>491</v>
      </c>
      <c r="AM259" s="32" t="s">
        <v>278</v>
      </c>
      <c r="AN259" s="32" t="s">
        <v>278</v>
      </c>
      <c r="AO259" s="32" t="s">
        <v>491</v>
      </c>
      <c r="AP259" s="32" t="s">
        <v>491</v>
      </c>
      <c r="AQ259" s="32" t="s">
        <v>491</v>
      </c>
      <c r="AR259" s="32" t="s">
        <v>491</v>
      </c>
      <c r="AS259" s="32" t="s">
        <v>63</v>
      </c>
      <c r="AT259" s="32" t="s">
        <v>64</v>
      </c>
      <c r="AU259" s="56">
        <v>46223.583333333336</v>
      </c>
      <c r="AV259" s="56">
        <v>46223.613888888889</v>
      </c>
      <c r="AW259" s="56">
        <v>46223.651388888888</v>
      </c>
      <c r="AX259" s="56">
        <v>46223.667361111111</v>
      </c>
      <c r="AY259" s="56">
        <v>46223.701388888891</v>
      </c>
      <c r="AZ259" s="56">
        <v>46223.701388888891</v>
      </c>
      <c r="BA259" s="56">
        <v>46224.333333333336</v>
      </c>
      <c r="BB259" s="56">
        <v>46224.336805555555</v>
      </c>
      <c r="BC259" s="56">
        <v>46224.34375</v>
      </c>
      <c r="BE259" s="56">
        <v>46224.5625</v>
      </c>
      <c r="BG259" s="56">
        <v>46224.666666666664</v>
      </c>
      <c r="BH259" s="56">
        <v>46224.705555555556</v>
      </c>
      <c r="BI259" s="32" t="s">
        <v>65</v>
      </c>
      <c r="BJ259" s="56">
        <v>46225.458333333336</v>
      </c>
      <c r="BK259" s="56">
        <v>46225.443055555559</v>
      </c>
      <c r="BL259" s="56">
        <v>46225.454861111109</v>
      </c>
      <c r="BM259" s="56">
        <v>46225.459722222222</v>
      </c>
      <c r="BN259" s="56">
        <v>46225.463888888888</v>
      </c>
    </row>
    <row r="260" spans="1:66" x14ac:dyDescent="0.35">
      <c r="A260" t="s">
        <v>176</v>
      </c>
      <c r="B260" s="32">
        <v>10</v>
      </c>
      <c r="C260" s="32">
        <v>29</v>
      </c>
      <c r="D260" s="32" t="s">
        <v>177</v>
      </c>
      <c r="E260" s="32" t="s">
        <v>178</v>
      </c>
      <c r="F260" s="54">
        <v>46223</v>
      </c>
      <c r="G260" s="54">
        <v>46224</v>
      </c>
      <c r="H260" s="55"/>
      <c r="I260" s="55">
        <v>0.5</v>
      </c>
      <c r="J260" s="32" t="s">
        <v>53</v>
      </c>
      <c r="K260" s="32" t="s">
        <v>179</v>
      </c>
      <c r="L260" s="32">
        <v>1</v>
      </c>
      <c r="M260" s="32" t="s">
        <v>1735</v>
      </c>
      <c r="P260" s="32" t="s">
        <v>182</v>
      </c>
      <c r="Q260" s="32" t="s">
        <v>371</v>
      </c>
      <c r="T260" s="32" t="s">
        <v>1736</v>
      </c>
      <c r="U260" s="32" t="s">
        <v>1737</v>
      </c>
      <c r="W260" s="32" t="s">
        <v>1738</v>
      </c>
      <c r="AB260" s="32" t="s">
        <v>1675</v>
      </c>
      <c r="AC260" s="32" t="s">
        <v>56</v>
      </c>
      <c r="AD260" s="32" t="s">
        <v>1676</v>
      </c>
      <c r="AE260" s="32">
        <v>20557679392</v>
      </c>
      <c r="AF260" s="32" t="s">
        <v>1739</v>
      </c>
      <c r="AG260" s="32" t="s">
        <v>1740</v>
      </c>
      <c r="AH260" s="32" t="s">
        <v>193</v>
      </c>
      <c r="AI260" s="32" t="s">
        <v>1741</v>
      </c>
      <c r="AJ260" s="32" t="s">
        <v>1742</v>
      </c>
      <c r="AL260" s="32" t="s">
        <v>491</v>
      </c>
      <c r="AM260" s="32" t="s">
        <v>278</v>
      </c>
      <c r="AN260" s="32" t="s">
        <v>278</v>
      </c>
      <c r="AO260" s="32" t="s">
        <v>491</v>
      </c>
      <c r="AP260" s="32" t="s">
        <v>491</v>
      </c>
      <c r="AQ260" s="32" t="s">
        <v>491</v>
      </c>
      <c r="AR260" s="32" t="s">
        <v>491</v>
      </c>
      <c r="AS260" s="32" t="s">
        <v>63</v>
      </c>
      <c r="AT260" s="32" t="s">
        <v>64</v>
      </c>
      <c r="AU260" s="56">
        <v>46223.583333333336</v>
      </c>
      <c r="AV260" s="56">
        <v>46223.583333333336</v>
      </c>
      <c r="AW260" s="56">
        <v>46223.614583333336</v>
      </c>
      <c r="AX260" s="56">
        <v>46223.625</v>
      </c>
      <c r="AY260" s="56">
        <v>46223.666666666664</v>
      </c>
      <c r="AZ260" s="56">
        <v>46223.666666666664</v>
      </c>
      <c r="BA260" s="56">
        <v>46224.333333333336</v>
      </c>
      <c r="BB260" s="56">
        <v>46224.337500000001</v>
      </c>
      <c r="BC260" s="56">
        <v>46224.34375</v>
      </c>
      <c r="BE260" s="56">
        <v>46224.583333333336</v>
      </c>
      <c r="BG260" s="56">
        <v>46224.6875</v>
      </c>
      <c r="BH260" s="56">
        <v>46224.706944444442</v>
      </c>
      <c r="BI260" s="32" t="s">
        <v>65</v>
      </c>
      <c r="BJ260" s="56">
        <v>46225.25</v>
      </c>
      <c r="BK260" s="56">
        <v>46225.191666666666</v>
      </c>
      <c r="BL260" s="56">
        <v>46225.198611111111</v>
      </c>
      <c r="BM260" s="56">
        <v>46225.200694444444</v>
      </c>
      <c r="BN260" s="56">
        <v>46225.202777777777</v>
      </c>
    </row>
    <row r="261" spans="1:66" x14ac:dyDescent="0.35">
      <c r="A261" t="s">
        <v>176</v>
      </c>
      <c r="B261" s="32">
        <v>11</v>
      </c>
      <c r="C261" s="32">
        <v>29</v>
      </c>
      <c r="D261" s="32" t="s">
        <v>177</v>
      </c>
      <c r="E261" s="32" t="s">
        <v>178</v>
      </c>
      <c r="F261" s="54">
        <v>46227</v>
      </c>
      <c r="G261" s="54">
        <v>46229</v>
      </c>
      <c r="H261" s="55"/>
      <c r="I261" s="55">
        <v>0.33333333333333331</v>
      </c>
      <c r="J261" s="32" t="s">
        <v>53</v>
      </c>
      <c r="K261" s="32" t="s">
        <v>179</v>
      </c>
      <c r="L261" s="32">
        <v>1</v>
      </c>
      <c r="M261" s="32" t="s">
        <v>1743</v>
      </c>
      <c r="P261" s="32" t="s">
        <v>182</v>
      </c>
      <c r="Q261" s="32" t="s">
        <v>371</v>
      </c>
      <c r="T261" s="32" t="s">
        <v>1744</v>
      </c>
      <c r="U261" s="32" t="s">
        <v>1745</v>
      </c>
      <c r="W261" s="32" t="s">
        <v>1746</v>
      </c>
      <c r="AB261" s="32" t="s">
        <v>1675</v>
      </c>
      <c r="AC261" s="32" t="s">
        <v>56</v>
      </c>
      <c r="AD261" s="32" t="s">
        <v>1676</v>
      </c>
      <c r="AE261" s="32">
        <v>20557679392</v>
      </c>
      <c r="AF261" s="32" t="s">
        <v>1747</v>
      </c>
      <c r="AG261" s="32" t="s">
        <v>1748</v>
      </c>
      <c r="AH261" s="32" t="s">
        <v>193</v>
      </c>
      <c r="AI261" s="32" t="s">
        <v>1711</v>
      </c>
      <c r="AJ261" s="32" t="s">
        <v>1749</v>
      </c>
      <c r="AL261" s="32" t="s">
        <v>491</v>
      </c>
      <c r="AM261" s="32" t="s">
        <v>278</v>
      </c>
      <c r="AN261" s="32" t="s">
        <v>278</v>
      </c>
      <c r="AO261" s="32" t="s">
        <v>491</v>
      </c>
      <c r="AP261" s="32" t="s">
        <v>491</v>
      </c>
      <c r="AQ261" s="32" t="s">
        <v>491</v>
      </c>
      <c r="AR261" s="32" t="s">
        <v>491</v>
      </c>
      <c r="AS261" s="32" t="s">
        <v>63</v>
      </c>
      <c r="AT261" s="32" t="s">
        <v>677</v>
      </c>
      <c r="AU261" s="56">
        <v>46227.583333333336</v>
      </c>
      <c r="AV261" s="56">
        <v>46227.54791666667</v>
      </c>
      <c r="AW261" s="56">
        <v>46227.628472222219</v>
      </c>
      <c r="AX261" s="56">
        <v>46227.630555555559</v>
      </c>
      <c r="AY261" s="56">
        <v>46227.682638888888</v>
      </c>
      <c r="AZ261" s="56">
        <v>46227.682638888888</v>
      </c>
      <c r="BI261" s="32" t="s">
        <v>65</v>
      </c>
      <c r="BJ261" s="56">
        <v>46227.833333333336</v>
      </c>
      <c r="BK261" s="56">
        <v>46227.775000000001</v>
      </c>
      <c r="BL261" s="56">
        <v>46227.832638888889</v>
      </c>
      <c r="BM261" s="56">
        <v>46227.833333333336</v>
      </c>
      <c r="BN261" s="56">
        <v>46227.835416666669</v>
      </c>
    </row>
    <row r="262" spans="1:66" x14ac:dyDescent="0.35">
      <c r="A262" t="s">
        <v>176</v>
      </c>
      <c r="B262" s="32">
        <v>12</v>
      </c>
      <c r="C262" s="32">
        <v>29</v>
      </c>
      <c r="D262" s="32" t="s">
        <v>177</v>
      </c>
      <c r="E262" s="32" t="s">
        <v>178</v>
      </c>
      <c r="F262" s="54">
        <v>46227</v>
      </c>
      <c r="G262" s="54">
        <v>46229</v>
      </c>
      <c r="H262" s="55"/>
      <c r="I262" s="55">
        <v>0.33333333333333331</v>
      </c>
      <c r="J262" s="32" t="s">
        <v>53</v>
      </c>
      <c r="K262" s="32" t="s">
        <v>179</v>
      </c>
      <c r="L262" s="32">
        <v>1</v>
      </c>
      <c r="M262" s="32" t="s">
        <v>522</v>
      </c>
      <c r="P262" s="32" t="s">
        <v>182</v>
      </c>
      <c r="Q262" s="32" t="s">
        <v>371</v>
      </c>
      <c r="T262" s="32" t="s">
        <v>1750</v>
      </c>
      <c r="U262" s="32" t="s">
        <v>1751</v>
      </c>
      <c r="W262" s="32" t="s">
        <v>1752</v>
      </c>
      <c r="AB262" s="32" t="s">
        <v>1675</v>
      </c>
      <c r="AC262" s="32" t="s">
        <v>56</v>
      </c>
      <c r="AD262" s="32" t="s">
        <v>1676</v>
      </c>
      <c r="AE262" s="32">
        <v>20557679392</v>
      </c>
      <c r="AF262" s="32" t="s">
        <v>1753</v>
      </c>
      <c r="AG262" s="32" t="s">
        <v>1754</v>
      </c>
      <c r="AH262" s="32" t="s">
        <v>193</v>
      </c>
      <c r="AI262" s="32" t="s">
        <v>1755</v>
      </c>
      <c r="AJ262" s="32" t="s">
        <v>1749</v>
      </c>
      <c r="AL262" s="32" t="s">
        <v>491</v>
      </c>
      <c r="AM262" s="32" t="s">
        <v>278</v>
      </c>
      <c r="AN262" s="32" t="s">
        <v>278</v>
      </c>
      <c r="AO262" s="32" t="s">
        <v>491</v>
      </c>
      <c r="AP262" s="32" t="s">
        <v>491</v>
      </c>
      <c r="AQ262" s="32" t="s">
        <v>491</v>
      </c>
      <c r="AR262" s="32" t="s">
        <v>491</v>
      </c>
      <c r="AS262" s="32" t="s">
        <v>63</v>
      </c>
      <c r="AT262" s="32" t="s">
        <v>677</v>
      </c>
      <c r="AU262" s="56">
        <v>46227.583333333336</v>
      </c>
      <c r="AV262" s="56">
        <v>46227.616666666669</v>
      </c>
      <c r="AW262" s="56">
        <v>46227.627083333333</v>
      </c>
      <c r="AX262" s="56">
        <v>46227.631944444445</v>
      </c>
      <c r="AY262" s="56">
        <v>46227.686805555553</v>
      </c>
      <c r="AZ262" s="56">
        <v>46228.611111111109</v>
      </c>
      <c r="BA262" s="56">
        <v>46229.399305555555</v>
      </c>
      <c r="BB262" s="56">
        <v>46229.402777777781</v>
      </c>
      <c r="BC262" s="56">
        <v>46229.772222222222</v>
      </c>
      <c r="BE262" s="56">
        <v>46230.729166666664</v>
      </c>
      <c r="BG262" s="56">
        <v>46230.784722222219</v>
      </c>
      <c r="BH262" s="56">
        <v>46230.788888888892</v>
      </c>
      <c r="BI262" s="32" t="s">
        <v>65</v>
      </c>
      <c r="BJ262" s="56">
        <v>46229.999305555553</v>
      </c>
      <c r="BK262" s="56">
        <v>46231.548611111109</v>
      </c>
      <c r="BL262" s="56">
        <v>46231.570833333331</v>
      </c>
      <c r="BM262" s="56">
        <v>46231.574999999997</v>
      </c>
      <c r="BN262" s="56">
        <v>46231.575694444444</v>
      </c>
    </row>
    <row r="263" spans="1:66" x14ac:dyDescent="0.35">
      <c r="A263" t="s">
        <v>176</v>
      </c>
      <c r="B263" s="32">
        <v>13</v>
      </c>
      <c r="C263" s="32">
        <v>30</v>
      </c>
      <c r="D263" s="32" t="s">
        <v>177</v>
      </c>
      <c r="E263" s="32" t="s">
        <v>178</v>
      </c>
      <c r="F263" s="54">
        <v>46228</v>
      </c>
      <c r="G263" s="54">
        <v>46229</v>
      </c>
      <c r="H263" s="55"/>
      <c r="I263" s="55">
        <v>0.33333333333333331</v>
      </c>
      <c r="J263" s="32" t="s">
        <v>53</v>
      </c>
      <c r="K263" s="32" t="s">
        <v>179</v>
      </c>
      <c r="L263" s="32">
        <v>1</v>
      </c>
      <c r="M263" s="32" t="s">
        <v>1756</v>
      </c>
      <c r="P263" s="32" t="s">
        <v>182</v>
      </c>
      <c r="Q263" s="32" t="s">
        <v>83</v>
      </c>
      <c r="T263" s="32">
        <v>6509285610</v>
      </c>
      <c r="U263" s="32" t="s">
        <v>1757</v>
      </c>
      <c r="W263" s="32" t="s">
        <v>1758</v>
      </c>
      <c r="AB263" s="32" t="s">
        <v>1675</v>
      </c>
      <c r="AC263" s="32" t="s">
        <v>56</v>
      </c>
      <c r="AD263" s="32" t="s">
        <v>1676</v>
      </c>
      <c r="AE263" s="32">
        <v>20557679392</v>
      </c>
      <c r="AF263" s="32" t="s">
        <v>1759</v>
      </c>
      <c r="AG263" s="32" t="s">
        <v>1760</v>
      </c>
      <c r="AH263" s="32" t="s">
        <v>193</v>
      </c>
      <c r="AI263" s="32" t="s">
        <v>1761</v>
      </c>
      <c r="AJ263" s="32" t="s">
        <v>1762</v>
      </c>
      <c r="AL263" s="32" t="s">
        <v>491</v>
      </c>
      <c r="AM263" s="32" t="s">
        <v>278</v>
      </c>
      <c r="AN263" s="32" t="s">
        <v>278</v>
      </c>
      <c r="AO263" s="32" t="s">
        <v>491</v>
      </c>
      <c r="AP263" s="32" t="s">
        <v>491</v>
      </c>
      <c r="AQ263" s="32" t="s">
        <v>491</v>
      </c>
      <c r="AR263" s="32" t="s">
        <v>491</v>
      </c>
      <c r="AS263" s="32" t="s">
        <v>83</v>
      </c>
      <c r="AT263" s="32" t="s">
        <v>677</v>
      </c>
      <c r="AU263" s="56">
        <v>46228.999305555553</v>
      </c>
      <c r="AV263" s="56">
        <v>46227.769444444442</v>
      </c>
      <c r="AW263" s="56">
        <v>46227.772916666669</v>
      </c>
      <c r="AX263" s="56">
        <v>46227.77847222222</v>
      </c>
      <c r="AY263" s="56">
        <v>46227.833333333336</v>
      </c>
      <c r="AZ263" s="56">
        <v>46227.833333333336</v>
      </c>
      <c r="BA263" s="56">
        <v>46229.504166666666</v>
      </c>
      <c r="BB263" s="56">
        <v>46229.505555555559</v>
      </c>
      <c r="BC263" s="56">
        <v>46229.529861111114</v>
      </c>
      <c r="BE263" s="56">
        <v>46229.621527777781</v>
      </c>
      <c r="BG263" s="56">
        <v>46229.708333333336</v>
      </c>
      <c r="BH263" s="56">
        <v>46229.725694444445</v>
      </c>
      <c r="BI263" s="32" t="s">
        <v>248</v>
      </c>
      <c r="BJ263" s="56">
        <v>46229.999305555553</v>
      </c>
      <c r="BK263" s="56">
        <v>46230.606249999997</v>
      </c>
      <c r="BL263" s="56">
        <v>46230.615277777775</v>
      </c>
      <c r="BM263" s="56">
        <v>46230.625694444447</v>
      </c>
      <c r="BN263" s="56">
        <v>46230.634722222225</v>
      </c>
    </row>
    <row r="264" spans="1:66" x14ac:dyDescent="0.35">
      <c r="A264" t="s">
        <v>176</v>
      </c>
      <c r="B264" s="32">
        <v>14</v>
      </c>
      <c r="C264" s="32">
        <v>30</v>
      </c>
      <c r="D264" s="32" t="s">
        <v>177</v>
      </c>
      <c r="E264" s="32" t="s">
        <v>178</v>
      </c>
      <c r="F264" s="54">
        <v>46228</v>
      </c>
      <c r="G264" s="54">
        <v>46229</v>
      </c>
      <c r="H264" s="55"/>
      <c r="I264" s="55">
        <v>0.33333333333333331</v>
      </c>
      <c r="J264" s="32" t="s">
        <v>53</v>
      </c>
      <c r="K264" s="32" t="s">
        <v>179</v>
      </c>
      <c r="L264" s="32">
        <v>1</v>
      </c>
      <c r="M264" s="32" t="s">
        <v>1763</v>
      </c>
      <c r="P264" s="32" t="s">
        <v>182</v>
      </c>
      <c r="Q264" s="32" t="s">
        <v>83</v>
      </c>
      <c r="T264" s="32">
        <v>6509285630</v>
      </c>
      <c r="U264" s="32" t="s">
        <v>1764</v>
      </c>
      <c r="V264" s="32" t="s">
        <v>278</v>
      </c>
      <c r="W264" s="32" t="s">
        <v>1765</v>
      </c>
      <c r="AB264" s="32" t="s">
        <v>1675</v>
      </c>
      <c r="AC264" s="32" t="s">
        <v>56</v>
      </c>
      <c r="AD264" s="32" t="s">
        <v>1676</v>
      </c>
      <c r="AE264" s="32">
        <v>20557679392</v>
      </c>
      <c r="AF264" s="32" t="s">
        <v>1766</v>
      </c>
      <c r="AG264" s="32" t="s">
        <v>1767</v>
      </c>
      <c r="AH264" s="32" t="s">
        <v>193</v>
      </c>
      <c r="AI264" s="32" t="s">
        <v>1693</v>
      </c>
      <c r="AJ264" s="32" t="s">
        <v>1694</v>
      </c>
      <c r="AL264" s="32" t="s">
        <v>491</v>
      </c>
      <c r="AM264" s="32" t="s">
        <v>278</v>
      </c>
      <c r="AN264" s="32" t="s">
        <v>278</v>
      </c>
      <c r="AO264" s="32" t="s">
        <v>491</v>
      </c>
      <c r="AP264" s="32" t="s">
        <v>491</v>
      </c>
      <c r="AQ264" s="32" t="s">
        <v>491</v>
      </c>
      <c r="AR264" s="32" t="s">
        <v>491</v>
      </c>
      <c r="AS264" s="32" t="s">
        <v>83</v>
      </c>
      <c r="AT264" s="32" t="s">
        <v>677</v>
      </c>
      <c r="AU264" s="56">
        <v>46228.999305555553</v>
      </c>
      <c r="AV264" s="56">
        <v>46228.699305555558</v>
      </c>
      <c r="AW264" s="56">
        <v>46228.711111111108</v>
      </c>
      <c r="AX264" s="56">
        <v>46228.71875</v>
      </c>
      <c r="AY264" s="56">
        <v>46228.754166666666</v>
      </c>
      <c r="AZ264" s="56">
        <v>46228.754166666666</v>
      </c>
      <c r="BA264" s="56">
        <v>46229.50277777778</v>
      </c>
      <c r="BB264" s="56">
        <v>46229.505555555559</v>
      </c>
      <c r="BC264" s="56">
        <v>46229.536805555559</v>
      </c>
      <c r="BE264" s="56">
        <v>46229.638888888891</v>
      </c>
      <c r="BG264" s="56">
        <v>46229.722222222219</v>
      </c>
      <c r="BH264" s="56">
        <v>46229.748611111114</v>
      </c>
      <c r="BI264" s="32" t="s">
        <v>248</v>
      </c>
      <c r="BJ264" s="56">
        <v>46229.999305555553</v>
      </c>
      <c r="BK264" s="56">
        <v>46230.603472222225</v>
      </c>
      <c r="BL264" s="56">
        <v>46230.609722222223</v>
      </c>
      <c r="BM264" s="56">
        <v>46230.621527777781</v>
      </c>
      <c r="BN264" s="56">
        <v>46230.631944444445</v>
      </c>
    </row>
    <row r="265" spans="1:66" x14ac:dyDescent="0.35">
      <c r="A265" t="s">
        <v>176</v>
      </c>
      <c r="B265" s="32">
        <v>15</v>
      </c>
      <c r="C265" s="32">
        <v>31</v>
      </c>
      <c r="D265" s="32" t="s">
        <v>177</v>
      </c>
      <c r="E265" s="32" t="s">
        <v>178</v>
      </c>
      <c r="F265" s="54">
        <v>46228</v>
      </c>
      <c r="G265" s="54">
        <v>46229</v>
      </c>
      <c r="H265" s="55"/>
      <c r="I265" s="55">
        <v>0.33333333333333331</v>
      </c>
      <c r="J265" s="32" t="s">
        <v>53</v>
      </c>
      <c r="K265" s="32" t="s">
        <v>179</v>
      </c>
      <c r="L265" s="32">
        <v>1</v>
      </c>
      <c r="M265" s="32" t="s">
        <v>1768</v>
      </c>
      <c r="P265" s="32" t="s">
        <v>182</v>
      </c>
      <c r="Q265" s="32" t="s">
        <v>83</v>
      </c>
      <c r="T265" s="32">
        <v>6509285640</v>
      </c>
      <c r="U265" s="32" t="s">
        <v>1769</v>
      </c>
      <c r="V265" s="32" t="s">
        <v>278</v>
      </c>
      <c r="W265" s="32" t="s">
        <v>1770</v>
      </c>
      <c r="AB265" s="32" t="s">
        <v>1675</v>
      </c>
      <c r="AC265" s="32" t="s">
        <v>56</v>
      </c>
      <c r="AD265" s="32" t="s">
        <v>1676</v>
      </c>
      <c r="AE265" s="32">
        <v>20557679392</v>
      </c>
      <c r="AF265" s="32" t="s">
        <v>1839</v>
      </c>
      <c r="AG265" s="32" t="s">
        <v>1771</v>
      </c>
      <c r="AH265" s="32" t="s">
        <v>193</v>
      </c>
      <c r="AI265" s="32" t="s">
        <v>1772</v>
      </c>
      <c r="AJ265" s="32" t="s">
        <v>1773</v>
      </c>
      <c r="AL265" s="32" t="s">
        <v>491</v>
      </c>
      <c r="AM265" s="32" t="s">
        <v>278</v>
      </c>
      <c r="AN265" s="32" t="s">
        <v>278</v>
      </c>
      <c r="AO265" s="32" t="s">
        <v>491</v>
      </c>
      <c r="AP265" s="32" t="s">
        <v>491</v>
      </c>
      <c r="AQ265" s="32" t="s">
        <v>491</v>
      </c>
      <c r="AR265" s="32" t="s">
        <v>491</v>
      </c>
      <c r="AS265" s="32" t="s">
        <v>83</v>
      </c>
      <c r="AT265" s="32" t="s">
        <v>677</v>
      </c>
      <c r="AU265" s="56">
        <v>46228.999305555553</v>
      </c>
      <c r="AV265" s="56">
        <v>46228.746527777781</v>
      </c>
      <c r="AW265" s="56">
        <v>46228.748611111114</v>
      </c>
      <c r="AX265" s="56">
        <v>46227.756249999999</v>
      </c>
      <c r="AY265" s="56">
        <v>46227.8</v>
      </c>
      <c r="AZ265" s="56">
        <v>46227.8</v>
      </c>
      <c r="BA265" s="56">
        <v>46229.50277777778</v>
      </c>
      <c r="BB265" s="56">
        <v>46229.505555555559</v>
      </c>
      <c r="BC265" s="56">
        <v>46229.527777777781</v>
      </c>
      <c r="BE265" s="56">
        <v>46229.572916666664</v>
      </c>
      <c r="BG265" s="56">
        <v>46229.78125</v>
      </c>
      <c r="BH265" s="56">
        <v>46229.796527777777</v>
      </c>
      <c r="BI265" s="32" t="s">
        <v>248</v>
      </c>
      <c r="BJ265" s="56">
        <v>46229.999305555553</v>
      </c>
      <c r="BK265" s="56">
        <v>46230.631944444445</v>
      </c>
      <c r="BL265" s="56">
        <v>46230.632638888892</v>
      </c>
      <c r="BM265" s="56">
        <v>46230.642361111109</v>
      </c>
      <c r="BN265" s="56">
        <v>46230.65347222222</v>
      </c>
    </row>
    <row r="266" spans="1:66" x14ac:dyDescent="0.35">
      <c r="A266" t="s">
        <v>176</v>
      </c>
      <c r="B266" s="32">
        <v>16</v>
      </c>
      <c r="C266" s="32">
        <v>31</v>
      </c>
      <c r="D266" s="32" t="s">
        <v>177</v>
      </c>
      <c r="E266" s="32" t="s">
        <v>178</v>
      </c>
      <c r="F266" s="54">
        <v>46236</v>
      </c>
      <c r="G266" s="54">
        <v>46237</v>
      </c>
      <c r="H266" s="55"/>
      <c r="I266" s="55">
        <v>0.33333333333333331</v>
      </c>
      <c r="J266" s="32" t="s">
        <v>53</v>
      </c>
      <c r="K266" s="32" t="s">
        <v>179</v>
      </c>
      <c r="L266" s="32">
        <v>1</v>
      </c>
      <c r="M266" s="32" t="s">
        <v>1774</v>
      </c>
      <c r="P266" s="32" t="s">
        <v>182</v>
      </c>
      <c r="Q266" s="32" t="s">
        <v>371</v>
      </c>
      <c r="T266" s="32" t="s">
        <v>1775</v>
      </c>
      <c r="U266" s="32" t="s">
        <v>1776</v>
      </c>
      <c r="V266" s="32" t="s">
        <v>278</v>
      </c>
      <c r="W266" s="32" t="s">
        <v>1777</v>
      </c>
      <c r="AB266" s="32" t="s">
        <v>1675</v>
      </c>
      <c r="AC266" s="32" t="s">
        <v>56</v>
      </c>
      <c r="AD266" s="32" t="s">
        <v>1676</v>
      </c>
      <c r="AE266" s="32">
        <v>20557679392</v>
      </c>
      <c r="AF266" s="32" t="s">
        <v>1778</v>
      </c>
      <c r="AG266" s="32" t="s">
        <v>1754</v>
      </c>
      <c r="AH266" s="32" t="s">
        <v>193</v>
      </c>
      <c r="AI266" s="32" t="s">
        <v>1719</v>
      </c>
      <c r="AJ266" s="32" t="s">
        <v>1779</v>
      </c>
      <c r="AL266" s="32" t="s">
        <v>491</v>
      </c>
      <c r="AM266" s="32" t="s">
        <v>278</v>
      </c>
      <c r="AN266" s="32" t="s">
        <v>278</v>
      </c>
      <c r="AO266" s="32" t="s">
        <v>491</v>
      </c>
      <c r="AP266" s="32" t="s">
        <v>491</v>
      </c>
      <c r="AQ266" s="32" t="s">
        <v>491</v>
      </c>
      <c r="AR266" s="32" t="s">
        <v>491</v>
      </c>
      <c r="AS266" s="32" t="s">
        <v>63</v>
      </c>
      <c r="AT266" s="32" t="s">
        <v>677</v>
      </c>
      <c r="AU266" s="56">
        <v>46030.583333333336</v>
      </c>
      <c r="AV266" s="56">
        <v>46235.586111111108</v>
      </c>
      <c r="AW266" s="56">
        <v>46235.60833333333</v>
      </c>
      <c r="AX266" s="56">
        <v>46235.61041666667</v>
      </c>
      <c r="AY266" s="56">
        <v>46235.654166666667</v>
      </c>
      <c r="AZ266" s="56">
        <v>46235.654166666667</v>
      </c>
      <c r="BA266" s="56">
        <v>46236.553472222222</v>
      </c>
      <c r="BB266" s="56">
        <v>46236.559027777781</v>
      </c>
      <c r="BC266" s="56">
        <v>46236.579861111109</v>
      </c>
      <c r="BE266" s="56">
        <v>46236.850694444445</v>
      </c>
      <c r="BG266" s="56">
        <v>46236.947916666664</v>
      </c>
      <c r="BH266" s="56">
        <v>46236.966666666667</v>
      </c>
      <c r="BI266" s="32" t="s">
        <v>65</v>
      </c>
      <c r="BJ266" s="56">
        <v>46089.625</v>
      </c>
      <c r="BK266" s="56">
        <v>46237.604861111111</v>
      </c>
      <c r="BL266" s="56">
        <v>46237.620833333334</v>
      </c>
      <c r="BM266" s="56">
        <v>46237.634722222225</v>
      </c>
      <c r="BN266" s="56">
        <v>46237.637499999997</v>
      </c>
    </row>
    <row r="267" spans="1:66" x14ac:dyDescent="0.35">
      <c r="A267" t="s">
        <v>176</v>
      </c>
      <c r="B267" s="32">
        <v>17</v>
      </c>
      <c r="C267" s="32">
        <v>31</v>
      </c>
      <c r="D267" s="32" t="s">
        <v>177</v>
      </c>
      <c r="E267" s="32" t="s">
        <v>178</v>
      </c>
      <c r="F267" s="54">
        <v>46235</v>
      </c>
      <c r="G267" s="54">
        <v>46236</v>
      </c>
      <c r="H267" s="55"/>
      <c r="I267" s="55">
        <v>0.33333333333333331</v>
      </c>
      <c r="J267" s="32" t="s">
        <v>53</v>
      </c>
      <c r="K267" s="32" t="s">
        <v>179</v>
      </c>
      <c r="L267" s="32">
        <v>1</v>
      </c>
      <c r="M267" s="32" t="s">
        <v>1780</v>
      </c>
      <c r="P267" s="32" t="s">
        <v>182</v>
      </c>
      <c r="Q267" s="32" t="s">
        <v>371</v>
      </c>
      <c r="T267" s="32" t="s">
        <v>1781</v>
      </c>
      <c r="U267" s="32" t="s">
        <v>1782</v>
      </c>
      <c r="V267" s="32" t="s">
        <v>278</v>
      </c>
      <c r="W267" s="32" t="s">
        <v>1783</v>
      </c>
      <c r="AB267" s="32" t="s">
        <v>1675</v>
      </c>
      <c r="AC267" s="32" t="s">
        <v>56</v>
      </c>
      <c r="AD267" s="32" t="s">
        <v>1676</v>
      </c>
      <c r="AE267" s="32">
        <v>20557679392</v>
      </c>
      <c r="AF267" s="32" t="s">
        <v>1784</v>
      </c>
      <c r="AG267" s="32" t="s">
        <v>1725</v>
      </c>
      <c r="AH267" s="32" t="s">
        <v>193</v>
      </c>
      <c r="AI267" s="32" t="s">
        <v>1726</v>
      </c>
      <c r="AJ267" s="32" t="s">
        <v>1785</v>
      </c>
      <c r="AL267" s="32" t="s">
        <v>491</v>
      </c>
      <c r="AM267" s="32" t="s">
        <v>278</v>
      </c>
      <c r="AN267" s="32" t="s">
        <v>278</v>
      </c>
      <c r="AO267" s="32" t="s">
        <v>491</v>
      </c>
      <c r="AP267" s="32" t="s">
        <v>491</v>
      </c>
      <c r="AQ267" s="32" t="s">
        <v>491</v>
      </c>
      <c r="AR267" s="32" t="s">
        <v>491</v>
      </c>
      <c r="AS267" s="32" t="s">
        <v>63</v>
      </c>
      <c r="AT267" s="32" t="s">
        <v>677</v>
      </c>
      <c r="AU267" s="56">
        <v>46030.708333333336</v>
      </c>
      <c r="AV267" s="56">
        <v>46235.727083333331</v>
      </c>
      <c r="AW267" s="56">
        <v>46235.731249999997</v>
      </c>
      <c r="AX267" s="56">
        <v>46235.75</v>
      </c>
      <c r="AY267" s="56">
        <v>46235.763888888891</v>
      </c>
      <c r="AZ267" s="56">
        <v>46235.763888888891</v>
      </c>
      <c r="BA267" s="56">
        <v>46236.553472222222</v>
      </c>
      <c r="BB267" s="56">
        <v>46236.559027777781</v>
      </c>
      <c r="BC267" s="56">
        <v>46236.579861111109</v>
      </c>
      <c r="BE267" s="56">
        <v>46236.78125</v>
      </c>
      <c r="BG267" s="56">
        <v>46236.902777777781</v>
      </c>
      <c r="BH267" s="56">
        <v>46236.914583333331</v>
      </c>
      <c r="BI267" s="32" t="s">
        <v>65</v>
      </c>
      <c r="BJ267" s="56">
        <v>46089.666666666664</v>
      </c>
      <c r="BK267" s="56">
        <v>46237.597222222219</v>
      </c>
      <c r="BL267" s="56">
        <v>46237.632638888892</v>
      </c>
      <c r="BM267" s="56">
        <v>46237.635416666664</v>
      </c>
      <c r="BN267" s="56">
        <v>46237.637499999997</v>
      </c>
    </row>
    <row r="268" spans="1:66" x14ac:dyDescent="0.35">
      <c r="A268" t="s">
        <v>176</v>
      </c>
      <c r="B268" s="32">
        <v>18</v>
      </c>
      <c r="C268" s="32">
        <v>32</v>
      </c>
      <c r="D268" s="32" t="s">
        <v>177</v>
      </c>
      <c r="E268" s="32" t="s">
        <v>178</v>
      </c>
      <c r="F268" s="54">
        <v>46236</v>
      </c>
      <c r="G268" s="54">
        <v>46237</v>
      </c>
      <c r="H268" s="55"/>
      <c r="I268" s="55">
        <v>0.33333333333333331</v>
      </c>
      <c r="J268" s="32" t="s">
        <v>53</v>
      </c>
      <c r="K268" s="32" t="s">
        <v>179</v>
      </c>
      <c r="L268" s="32">
        <v>1</v>
      </c>
      <c r="M268" s="32" t="s">
        <v>1786</v>
      </c>
      <c r="P268" s="32" t="s">
        <v>182</v>
      </c>
      <c r="Q268" s="32" t="s">
        <v>371</v>
      </c>
      <c r="T268" s="32" t="s">
        <v>1787</v>
      </c>
      <c r="U268" s="32" t="s">
        <v>1788</v>
      </c>
      <c r="V268" s="32" t="s">
        <v>278</v>
      </c>
      <c r="W268" s="32" t="s">
        <v>1789</v>
      </c>
      <c r="AB268" s="32" t="s">
        <v>1675</v>
      </c>
      <c r="AC268" s="32" t="s">
        <v>56</v>
      </c>
      <c r="AD268" s="32" t="s">
        <v>1676</v>
      </c>
      <c r="AE268" s="32">
        <v>20557679392</v>
      </c>
      <c r="AF268" s="32" t="s">
        <v>1753</v>
      </c>
      <c r="AG268" s="32" t="s">
        <v>1754</v>
      </c>
      <c r="AH268" s="32" t="s">
        <v>193</v>
      </c>
      <c r="AI268" s="32" t="s">
        <v>1755</v>
      </c>
      <c r="AJ268" s="32" t="s">
        <v>1749</v>
      </c>
      <c r="AL268" s="32" t="s">
        <v>491</v>
      </c>
      <c r="AM268" s="32" t="s">
        <v>278</v>
      </c>
      <c r="AN268" s="32" t="s">
        <v>278</v>
      </c>
      <c r="AO268" s="32" t="s">
        <v>491</v>
      </c>
      <c r="AP268" s="32" t="s">
        <v>491</v>
      </c>
      <c r="AQ268" s="32" t="s">
        <v>491</v>
      </c>
      <c r="AR268" s="32" t="s">
        <v>491</v>
      </c>
      <c r="AS268" s="32" t="s">
        <v>63</v>
      </c>
      <c r="AT268" s="32" t="s">
        <v>677</v>
      </c>
      <c r="AU268" s="56">
        <v>46061.375</v>
      </c>
      <c r="AV268" s="56">
        <v>46236.375</v>
      </c>
      <c r="AW268" s="56">
        <v>46236.381944444445</v>
      </c>
      <c r="AX268" s="56">
        <v>46236.381944444445</v>
      </c>
      <c r="AY268" s="56">
        <v>46236.425000000003</v>
      </c>
      <c r="AZ268" s="56">
        <v>46236.425000000003</v>
      </c>
      <c r="BA268" s="56">
        <v>46237.34097222222</v>
      </c>
      <c r="BB268" s="56">
        <v>46237.34652777778</v>
      </c>
      <c r="BC268" s="56">
        <v>46237.359722222223</v>
      </c>
      <c r="BE268" s="56">
        <v>46237.555555555555</v>
      </c>
      <c r="BG268" s="56">
        <v>46237.6875</v>
      </c>
      <c r="BH268" s="56">
        <v>46237.734722222223</v>
      </c>
      <c r="BI268" s="32" t="s">
        <v>65</v>
      </c>
      <c r="BJ268" s="56">
        <v>46120.625</v>
      </c>
      <c r="BK268" s="56">
        <v>46238.594444444447</v>
      </c>
      <c r="BL268" s="56">
        <v>46238.6</v>
      </c>
      <c r="BM268" s="56">
        <v>46238.602777777778</v>
      </c>
      <c r="BN268" s="56">
        <v>46238.612500000003</v>
      </c>
    </row>
    <row r="269" spans="1:66" x14ac:dyDescent="0.35">
      <c r="A269" t="s">
        <v>176</v>
      </c>
      <c r="B269" s="32">
        <v>19</v>
      </c>
      <c r="C269" s="32">
        <v>32</v>
      </c>
      <c r="D269" s="32" t="s">
        <v>177</v>
      </c>
      <c r="E269" s="32" t="s">
        <v>178</v>
      </c>
      <c r="F269" s="54">
        <v>46236</v>
      </c>
      <c r="G269" s="54">
        <v>46237</v>
      </c>
      <c r="H269" s="55"/>
      <c r="I269" s="55">
        <v>0.33333333333333331</v>
      </c>
      <c r="J269" s="32" t="s">
        <v>53</v>
      </c>
      <c r="K269" s="32" t="s">
        <v>179</v>
      </c>
      <c r="L269" s="32">
        <v>1</v>
      </c>
      <c r="M269" s="32" t="s">
        <v>1790</v>
      </c>
      <c r="P269" s="32" t="s">
        <v>182</v>
      </c>
      <c r="Q269" s="32" t="s">
        <v>371</v>
      </c>
      <c r="T269" s="32" t="s">
        <v>1791</v>
      </c>
      <c r="U269" s="32" t="s">
        <v>1792</v>
      </c>
      <c r="V269" s="32" t="s">
        <v>278</v>
      </c>
      <c r="W269" s="32" t="s">
        <v>1793</v>
      </c>
      <c r="AB269" s="32" t="s">
        <v>1675</v>
      </c>
      <c r="AC269" s="32" t="s">
        <v>56</v>
      </c>
      <c r="AD269" s="32" t="s">
        <v>1676</v>
      </c>
      <c r="AE269" s="32">
        <v>20557679392</v>
      </c>
      <c r="AF269" s="32" t="s">
        <v>1794</v>
      </c>
      <c r="AG269" s="32" t="s">
        <v>1732</v>
      </c>
      <c r="AH269" s="32" t="s">
        <v>193</v>
      </c>
      <c r="AI269" s="32" t="s">
        <v>1795</v>
      </c>
      <c r="AJ269" s="32" t="s">
        <v>1796</v>
      </c>
      <c r="AL269" s="32" t="s">
        <v>491</v>
      </c>
      <c r="AM269" s="32" t="s">
        <v>278</v>
      </c>
      <c r="AN269" s="32" t="s">
        <v>278</v>
      </c>
      <c r="AO269" s="32" t="s">
        <v>491</v>
      </c>
      <c r="AP269" s="32" t="s">
        <v>491</v>
      </c>
      <c r="AQ269" s="32" t="s">
        <v>491</v>
      </c>
      <c r="AR269" s="32" t="s">
        <v>491</v>
      </c>
      <c r="AS269" s="32" t="s">
        <v>63</v>
      </c>
      <c r="AT269" s="32" t="s">
        <v>677</v>
      </c>
      <c r="AU269" s="56">
        <v>46061.375</v>
      </c>
      <c r="AV269" s="56">
        <v>46236.375</v>
      </c>
      <c r="AW269" s="56">
        <v>46236.385416666664</v>
      </c>
      <c r="AX269" s="56">
        <v>46236.385416666664</v>
      </c>
      <c r="AY269" s="56">
        <v>46236.443749999999</v>
      </c>
      <c r="AZ269" s="56">
        <v>46236.443749999999</v>
      </c>
      <c r="BA269" s="56">
        <v>46237.344444444447</v>
      </c>
      <c r="BB269" s="56">
        <v>46237.345833333333</v>
      </c>
      <c r="BC269" s="56">
        <v>46237.364583333336</v>
      </c>
      <c r="BE269" s="56">
        <v>46237.600694444445</v>
      </c>
      <c r="BG269" s="56">
        <v>46237.763888888891</v>
      </c>
      <c r="BH269" s="56">
        <v>46237.788194444445</v>
      </c>
      <c r="BI269" s="32" t="s">
        <v>65</v>
      </c>
      <c r="BJ269" s="56">
        <v>46120.583333333336</v>
      </c>
      <c r="BK269" s="56">
        <v>46238.559027777781</v>
      </c>
      <c r="BL269" s="56">
        <v>46238.5625</v>
      </c>
      <c r="BM269" s="56">
        <v>46238.564583333333</v>
      </c>
      <c r="BN269" s="56">
        <v>46238.57708333333</v>
      </c>
    </row>
    <row r="270" spans="1:66" x14ac:dyDescent="0.35">
      <c r="A270" t="s">
        <v>176</v>
      </c>
      <c r="C270" s="32">
        <v>32</v>
      </c>
      <c r="D270" s="32" t="s">
        <v>177</v>
      </c>
      <c r="E270" s="32" t="s">
        <v>178</v>
      </c>
      <c r="F270" s="54">
        <v>46236</v>
      </c>
      <c r="G270" s="54">
        <v>46237</v>
      </c>
      <c r="H270" s="55"/>
      <c r="I270" s="55">
        <v>0.33333333333333331</v>
      </c>
      <c r="J270" s="32" t="s">
        <v>53</v>
      </c>
      <c r="K270" s="32" t="s">
        <v>179</v>
      </c>
      <c r="L270" s="32">
        <v>1</v>
      </c>
      <c r="M270" s="32" t="s">
        <v>1797</v>
      </c>
      <c r="P270" s="32" t="s">
        <v>182</v>
      </c>
      <c r="Q270" s="32" t="s">
        <v>371</v>
      </c>
      <c r="T270" s="32" t="s">
        <v>1798</v>
      </c>
      <c r="U270" s="32" t="s">
        <v>1799</v>
      </c>
      <c r="V270" s="32" t="s">
        <v>278</v>
      </c>
      <c r="W270" s="32" t="s">
        <v>1800</v>
      </c>
      <c r="AB270" s="32" t="s">
        <v>1675</v>
      </c>
      <c r="AC270" s="32" t="s">
        <v>56</v>
      </c>
      <c r="AD270" s="32" t="s">
        <v>1676</v>
      </c>
      <c r="AE270" s="32">
        <v>20557679392</v>
      </c>
      <c r="AF270" s="32" t="s">
        <v>1709</v>
      </c>
      <c r="AG270" s="32" t="s">
        <v>1748</v>
      </c>
      <c r="AH270" s="32" t="s">
        <v>193</v>
      </c>
      <c r="AI270" s="32" t="s">
        <v>1711</v>
      </c>
      <c r="AJ270" s="32" t="s">
        <v>1801</v>
      </c>
      <c r="AL270" s="32" t="s">
        <v>491</v>
      </c>
      <c r="AM270" s="32" t="s">
        <v>278</v>
      </c>
      <c r="AN270" s="32" t="s">
        <v>278</v>
      </c>
      <c r="AO270" s="32" t="s">
        <v>491</v>
      </c>
      <c r="AP270" s="32" t="s">
        <v>491</v>
      </c>
      <c r="AQ270" s="32" t="s">
        <v>491</v>
      </c>
      <c r="AR270" s="32" t="s">
        <v>491</v>
      </c>
      <c r="AS270" s="32" t="s">
        <v>63</v>
      </c>
      <c r="AT270" s="32" t="s">
        <v>677</v>
      </c>
      <c r="AU270" s="56">
        <v>46061.375</v>
      </c>
      <c r="AV270" s="56">
        <v>46236.464583333334</v>
      </c>
      <c r="AW270" s="56">
        <v>46236.46875</v>
      </c>
      <c r="AX270" s="56">
        <v>46236.46875</v>
      </c>
      <c r="AY270" s="56">
        <v>46236.600694444445</v>
      </c>
      <c r="AZ270" s="56">
        <v>46236.600694444445</v>
      </c>
      <c r="BA270" s="56">
        <v>46237.34097222222</v>
      </c>
      <c r="BB270" s="56">
        <v>46237.345138888886</v>
      </c>
      <c r="BC270" s="56">
        <v>46237.374305555553</v>
      </c>
      <c r="BE270" s="56">
        <v>46237.65625</v>
      </c>
      <c r="BG270" s="56">
        <v>46237.708333333336</v>
      </c>
      <c r="BH270" s="56">
        <v>46237.734722222223</v>
      </c>
      <c r="BI270" s="32" t="s">
        <v>65</v>
      </c>
      <c r="BJ270" s="56">
        <v>46120.541666666664</v>
      </c>
      <c r="BK270" s="56">
        <v>46238.534722222219</v>
      </c>
      <c r="BL270" s="56">
        <v>46238.541666666664</v>
      </c>
      <c r="BM270" s="56">
        <v>46238.543055555558</v>
      </c>
      <c r="BN270" s="56">
        <v>46238.552083333336</v>
      </c>
    </row>
    <row r="271" spans="1:66" x14ac:dyDescent="0.35">
      <c r="A271" t="s">
        <v>176</v>
      </c>
      <c r="C271" s="32">
        <v>32</v>
      </c>
      <c r="D271" s="32" t="s">
        <v>177</v>
      </c>
      <c r="E271" s="32" t="s">
        <v>178</v>
      </c>
      <c r="H271" s="55"/>
      <c r="I271" s="55">
        <v>0.33333333333333331</v>
      </c>
      <c r="K271" s="32" t="s">
        <v>179</v>
      </c>
      <c r="L271" s="32">
        <v>1</v>
      </c>
      <c r="M271" s="32" t="s">
        <v>1802</v>
      </c>
      <c r="T271" s="32" t="s">
        <v>1803</v>
      </c>
    </row>
    <row r="272" spans="1:66" x14ac:dyDescent="0.35">
      <c r="A272" t="s">
        <v>176</v>
      </c>
      <c r="C272" s="32">
        <v>33</v>
      </c>
      <c r="D272" s="32" t="s">
        <v>177</v>
      </c>
      <c r="E272" s="32" t="s">
        <v>178</v>
      </c>
      <c r="H272" s="55"/>
      <c r="I272" s="55">
        <v>0.33333333333333331</v>
      </c>
      <c r="K272" s="32" t="s">
        <v>179</v>
      </c>
      <c r="L272" s="32">
        <v>1</v>
      </c>
      <c r="M272" s="32" t="s">
        <v>1804</v>
      </c>
      <c r="T272" s="32" t="s">
        <v>1805</v>
      </c>
    </row>
    <row r="273" spans="1:20" x14ac:dyDescent="0.35">
      <c r="A273" t="s">
        <v>176</v>
      </c>
      <c r="C273" s="32">
        <v>33</v>
      </c>
      <c r="D273" s="32" t="s">
        <v>177</v>
      </c>
      <c r="E273" s="32" t="s">
        <v>178</v>
      </c>
      <c r="H273" s="55"/>
      <c r="I273" s="55">
        <v>0.33333333333333331</v>
      </c>
      <c r="K273" s="32" t="s">
        <v>179</v>
      </c>
      <c r="L273" s="32">
        <v>1</v>
      </c>
      <c r="M273" s="32" t="s">
        <v>1806</v>
      </c>
      <c r="T273" s="32" t="s">
        <v>1807</v>
      </c>
    </row>
    <row r="274" spans="1:20" x14ac:dyDescent="0.35">
      <c r="A274" t="s">
        <v>176</v>
      </c>
      <c r="C274" s="32">
        <v>34</v>
      </c>
      <c r="D274" s="32" t="s">
        <v>177</v>
      </c>
      <c r="E274" s="32" t="s">
        <v>178</v>
      </c>
      <c r="H274" s="55"/>
      <c r="I274" s="55">
        <v>0.33333333333333331</v>
      </c>
      <c r="K274" s="32" t="s">
        <v>179</v>
      </c>
      <c r="L274" s="32">
        <v>1</v>
      </c>
      <c r="M274" s="32" t="s">
        <v>1808</v>
      </c>
      <c r="T274" s="32" t="s">
        <v>1809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100"/>
  <sheetViews>
    <sheetView tabSelected="1" zoomScale="70" zoomScaleNormal="70" workbookViewId="0">
      <selection activeCell="H10" sqref="H10"/>
    </sheetView>
  </sheetViews>
  <sheetFormatPr baseColWidth="10" defaultRowHeight="14.5" x14ac:dyDescent="0.35"/>
  <cols>
    <col min="6" max="6" width="12.08984375" customWidth="1"/>
    <col min="7" max="7" width="10.7265625" bestFit="1" customWidth="1"/>
    <col min="8" max="8" width="21.36328125" customWidth="1"/>
    <col min="10" max="10" width="11.453125" customWidth="1"/>
    <col min="11" max="11" width="12.08984375" customWidth="1"/>
    <col min="12" max="12" width="45.6328125" style="47" bestFit="1" customWidth="1"/>
    <col min="14" max="14" width="20.26953125" customWidth="1"/>
    <col min="15" max="15" width="11.1796875" style="51" bestFit="1" customWidth="1"/>
    <col min="16" max="16" width="11.54296875" customWidth="1"/>
    <col min="17" max="17" width="11.453125" customWidth="1"/>
    <col min="18" max="18" width="12.81640625" customWidth="1"/>
    <col min="19" max="19" width="11.6328125" style="49" customWidth="1"/>
    <col min="20" max="20" width="19.7265625" style="49" customWidth="1"/>
    <col min="21" max="21" width="20.54296875" style="49" customWidth="1"/>
    <col min="22" max="23" width="21.453125" style="49" customWidth="1"/>
    <col min="24" max="24" width="12.26953125" style="49" customWidth="1"/>
    <col min="25" max="25" width="24.1796875" style="49" customWidth="1"/>
    <col min="26" max="26" width="15.453125" style="49" customWidth="1"/>
    <col min="27" max="27" width="16.81640625" style="49" customWidth="1"/>
    <col min="28" max="28" width="14.08984375" style="49" customWidth="1"/>
    <col min="29" max="29" width="13.1796875" style="49" customWidth="1"/>
    <col min="30" max="30" width="11.6328125" style="49" customWidth="1"/>
    <col min="31" max="31" width="13.08984375" style="49" customWidth="1"/>
    <col min="32" max="32" width="13.08984375" customWidth="1"/>
    <col min="33" max="33" width="16.54296875" customWidth="1"/>
    <col min="34" max="34" width="13.26953125" style="49" customWidth="1"/>
    <col min="35" max="35" width="22.453125" style="49" customWidth="1"/>
    <col min="36" max="36" width="22.1796875" style="49" customWidth="1"/>
    <col min="37" max="37" width="23.08984375" style="49" customWidth="1"/>
    <col min="38" max="38" width="21.1796875" style="49" customWidth="1"/>
    <col min="39" max="39" width="8.26953125" bestFit="1" customWidth="1"/>
    <col min="40" max="40" width="26.81640625" customWidth="1"/>
    <col min="41" max="41" width="23.453125" customWidth="1"/>
    <col min="42" max="42" width="18.36328125" customWidth="1"/>
    <col min="43" max="43" width="14.90625" customWidth="1"/>
    <col min="44" max="44" width="26.36328125" customWidth="1"/>
    <col min="45" max="45" width="17.1796875" customWidth="1"/>
    <col min="46" max="46" width="18.453125" customWidth="1"/>
    <col min="47" max="47" width="13.26953125" customWidth="1"/>
    <col min="49" max="49" width="13.26953125" customWidth="1"/>
    <col min="50" max="50" width="15.26953125" customWidth="1"/>
    <col min="51" max="51" width="22.26953125" customWidth="1"/>
    <col min="52" max="52" width="25.6328125" customWidth="1"/>
    <col min="53" max="53" width="14.08984375" customWidth="1"/>
    <col min="56" max="56" width="15.7265625" customWidth="1"/>
    <col min="57" max="57" width="14.36328125" customWidth="1"/>
  </cols>
  <sheetData>
    <row r="1" spans="1:57" s="48" customFormat="1" ht="30" customHeight="1" x14ac:dyDescent="0.3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50" t="s">
        <v>1841</v>
      </c>
      <c r="P1" s="13" t="s">
        <v>1842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16" t="s">
        <v>40</v>
      </c>
      <c r="AR1" s="17" t="s">
        <v>41</v>
      </c>
      <c r="AS1" s="17" t="s">
        <v>42</v>
      </c>
      <c r="AT1" s="17" t="s">
        <v>43</v>
      </c>
      <c r="AU1" s="17" t="s">
        <v>44</v>
      </c>
      <c r="AV1" s="17" t="s">
        <v>45</v>
      </c>
      <c r="AW1" s="17" t="s">
        <v>46</v>
      </c>
      <c r="AX1" s="18" t="s">
        <v>47</v>
      </c>
      <c r="AY1" s="18" t="s">
        <v>48</v>
      </c>
      <c r="AZ1" s="19" t="s">
        <v>49</v>
      </c>
      <c r="BA1" s="13" t="s">
        <v>1843</v>
      </c>
      <c r="BB1" s="13" t="s">
        <v>128</v>
      </c>
      <c r="BC1" s="13" t="s">
        <v>50</v>
      </c>
      <c r="BD1" s="20" t="s">
        <v>51</v>
      </c>
      <c r="BE1" s="21" t="s">
        <v>52</v>
      </c>
    </row>
    <row r="2" spans="1:57" x14ac:dyDescent="0.35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6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Salida]]="","",MARÍTIMOS[[#This Row],[Etapa Retiro - Salida]]),"")</f>
        <v>46212.650694444441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Row],[Hora de Carga]]+MARÍTIMOS[[#This Row],[Hora de Posicionamiento]]),"")</f>
        <v>0.75</v>
      </c>
      <c r="Z2" s="11">
        <f>IFERROR(IF(MARÍTIMOS[[#This Row],[Etapa Despacho -  Llegada]]="","",MARÍTIMOS[[#This Row],[Etapa Despacho -  Llegada]]),"")</f>
        <v>46213.32708333333</v>
      </c>
      <c r="AA2" s="11">
        <f>IFERROR(IF(MARÍTIMOS[[#This Row],[Etapa Despacho -  Registro]]="","",MARÍTIMOS[[#This Row],[Etapa Despacho - 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 Inicio de Carga]]="","",MARÍTIMOS[[#This Row],[Etapa Despacho -  Inicio de Carga]]),"")</f>
        <v>46213.602777777778</v>
      </c>
      <c r="AD2" s="11">
        <f>IFERROR(IF(MARÍTIMOS[[#This Row],[Etapa Despacho -  Fin de Carga]]="","",MARÍTIMOS[[#This Row],[Etapa Despacho -  Fin de Carga]]),"")</f>
        <v>46213.708333333336</v>
      </c>
      <c r="AE2" s="11">
        <f>IFERROR(IF(MARÍTIMOS[[#This Row],[Etapa Despacho -  Salida]]="","",MARÍTIMOS[[#This Row],[Etapa Despacho -  Salida]]),"")</f>
        <v>46213.791666666664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0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0.54166666667151731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181</v>
      </c>
      <c r="BB2" s="11" t="str">
        <f>IFERROR(IF(MARÍTIMOS[[#This Row],[Estatus]]="","",MARÍTIMOS[[#This Row],[Estatus]]),"")</f>
        <v>Confirmado</v>
      </c>
      <c r="BC2" s="2"/>
      <c r="BD2" s="52">
        <f>IFERROR(OLDBD[[#This Row],[Salida de almacén de retiro]]-OLDBD[[#This Row],[Ingreso Almacén de retiro]],"")</f>
        <v>5.9722222220443655E-2</v>
      </c>
      <c r="BE2" s="52">
        <f>IFERROR(OLDBD[[#This Row],[Fin de Carga]]-OLDBD[[#This Row],[Inicio de Carga]],"")</f>
        <v>0.1055555555576575</v>
      </c>
    </row>
    <row r="3" spans="1:57" x14ac:dyDescent="0.35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6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Salida]]="","",MARÍTIMOS[[#This Row],[Etapa Retiro - Salida]]),"")</f>
        <v>46214.688888888886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Row],[Hora de Carga]]+MARÍTIMOS[[#This Row],[Hora de Posicionamiento]]),"")</f>
        <v>1.0833333333333335</v>
      </c>
      <c r="Z3" s="11">
        <f>IFERROR(IF(MARÍTIMOS[[#This Row],[Etapa Despacho -  Llegada]]="","",MARÍTIMOS[[#This Row],[Etapa Despacho -  Llegada]]),"")</f>
        <v>46215.4375</v>
      </c>
      <c r="AA3" s="11">
        <f>IFERROR(IF(MARÍTIMOS[[#This Row],[Etapa Despacho -  Registro]]="","",MARÍTIMOS[[#This Row],[Etapa Despacho - 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 Inicio de Carga]]="","",MARÍTIMOS[[#This Row],[Etapa Despacho -  Inicio de Carga]]),"")</f>
        <v>46215.719444444447</v>
      </c>
      <c r="AD3" s="11">
        <f>IFERROR(IF(MARÍTIMOS[[#This Row],[Etapa Despacho -  Fin de Carga]]="","",MARÍTIMOS[[#This Row],[Etapa Despacho -  Fin de Carga]]),"")</f>
        <v>46215.775000000001</v>
      </c>
      <c r="AE3" s="11">
        <f>IFERROR(IF(MARÍTIMOS[[#This Row],[Etapa Despacho -  Salida]]="","",MARÍTIMOS[[#This Row],[Etapa Despacho -  Salida]]),"")</f>
        <v>46215.78125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2.0833333328482695E-3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" s="5">
        <f>IFERROR(OLDBD[[#This Row],[Llegada Almacén de Ingreso]]-OLDBD[[#This Row],[Salida Packing]],"")</f>
        <v>0.51041666666424135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181</v>
      </c>
      <c r="BB3" s="11" t="str">
        <f>IFERROR(IF(MARÍTIMOS[[#This Row],[Estatus]]="","",MARÍTIMOS[[#This Row],[Estatus]]),"")</f>
        <v>Confirmado</v>
      </c>
      <c r="BC3" s="2"/>
      <c r="BD3" s="52">
        <f>IFERROR(OLDBD[[#This Row],[Salida de almacén de retiro]]-OLDBD[[#This Row],[Ingreso Almacén de retiro]],"")</f>
        <v>7.5694444443797693E-2</v>
      </c>
      <c r="BE3" s="52">
        <f>IFERROR(OLDBD[[#This Row],[Fin de Carga]]-OLDBD[[#This Row],[Inicio de Carga]],"")</f>
        <v>5.5555555554747116E-2</v>
      </c>
    </row>
    <row r="4" spans="1:57" x14ac:dyDescent="0.35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6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Salida]]="","",MARÍTIMOS[[#This Row],[Etapa Retiro - Salida]]),"")</f>
        <v>46214.793055555558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Row],[Hora de Carga]]+MARÍTIMOS[[#This Row],[Hora de Posicionamiento]]),"")</f>
        <v>1.0833333333333335</v>
      </c>
      <c r="Z4" s="11">
        <f>IFERROR(IF(MARÍTIMOS[[#This Row],[Etapa Despacho -  Llegada]]="","",MARÍTIMOS[[#This Row],[Etapa Despacho -  Llegada]]),"")</f>
        <v>46215.4375</v>
      </c>
      <c r="AA4" s="11">
        <f>IFERROR(IF(MARÍTIMOS[[#This Row],[Etapa Despacho -  Registro]]="","",MARÍTIMOS[[#This Row],[Etapa Despacho - 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 Inicio de Carga]]="","",MARÍTIMOS[[#This Row],[Etapa Despacho -  Inicio de Carga]]),"")</f>
        <v>46215.632638888892</v>
      </c>
      <c r="AD4" s="11">
        <f>IFERROR(IF(MARÍTIMOS[[#This Row],[Etapa Despacho -  Fin de Carga]]="","",MARÍTIMOS[[#This Row],[Etapa Despacho -  Fin de Carga]]),"")</f>
        <v>46215.771527777775</v>
      </c>
      <c r="AE4" s="11">
        <f>IFERROR(IF(MARÍTIMOS[[#This Row],[Etapa Despacho -  Salida]]="","",MARÍTIMOS[[#This Row],[Etapa Despacho -  Salida]]),"")</f>
        <v>46215.78125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2.0833333328482695E-3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0.52361111110803904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181</v>
      </c>
      <c r="BB4" s="11" t="str">
        <f>IFERROR(IF(MARÍTIMOS[[#This Row],[Estatus]]="","",MARÍTIMOS[[#This Row],[Estatus]]),"")</f>
        <v>Confirmado</v>
      </c>
      <c r="BC4" s="2"/>
      <c r="BD4" s="52">
        <f>IFERROR(OLDBD[[#This Row],[Salida de almacén de retiro]]-OLDBD[[#This Row],[Ingreso Almacén de retiro]],"")</f>
        <v>0.10694444444379769</v>
      </c>
      <c r="BE4" s="52">
        <f>IFERROR(OLDBD[[#This Row],[Fin de Carga]]-OLDBD[[#This Row],[Inicio de Carga]],"")</f>
        <v>0.13888888888322981</v>
      </c>
    </row>
    <row r="5" spans="1:57" x14ac:dyDescent="0.35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6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Salida]]="","",MARÍTIMOS[[#This Row],[Etapa Retiro - Salida]]),"")</f>
        <v>46215.777083333334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Row],[Hora de Carga]]+MARÍTIMOS[[#This Row],[Hora de Posicionamiento]]),"")</f>
        <v>0.91666666666666674</v>
      </c>
      <c r="Z5" s="11">
        <f>IFERROR(IF(MARÍTIMOS[[#This Row],[Etapa Despacho -  Llegada]]="","",MARÍTIMOS[[#This Row],[Etapa Despacho -  Llegada]]),"")</f>
        <v>46216.35833333333</v>
      </c>
      <c r="AA5" s="11">
        <f>IFERROR(IF(MARÍTIMOS[[#This Row],[Etapa Despacho -  Registro]]="","",MARÍTIMOS[[#This Row],[Etapa Despacho - 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 Inicio de Carga]]="","",MARÍTIMOS[[#This Row],[Etapa Despacho -  Inicio de Carga]]),"")</f>
        <v>46216.645833333336</v>
      </c>
      <c r="AD5" s="11">
        <f>IFERROR(IF(MARÍTIMOS[[#This Row],[Etapa Despacho -  Fin de Carga]]="","",MARÍTIMOS[[#This Row],[Etapa Despacho -  Fin de Carga]]),"")</f>
        <v>46216.749305555553</v>
      </c>
      <c r="AE5" s="11">
        <f>IFERROR(IF(MARÍTIMOS[[#This Row],[Etapa Despacho -  Salida]]="","",MARÍTIMOS[[#This Row],[Etapa Despacho -  Salida]]),"")</f>
        <v>46216.789583333331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6.9444444452528842E-3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" s="5">
        <f>IFERROR(OLDBD[[#This Row],[Llegada Almacén de Ingreso]]-OLDBD[[#This Row],[Salida Packing]],"")</f>
        <v>0.48263888889050577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181</v>
      </c>
      <c r="BB5" s="11" t="str">
        <f>IFERROR(IF(MARÍTIMOS[[#This Row],[Estatus]]="","",MARÍTIMOS[[#This Row],[Estatus]]),"")</f>
        <v>Confirmado</v>
      </c>
      <c r="BC5" s="2"/>
      <c r="BD5" s="52">
        <f>IFERROR(OLDBD[[#This Row],[Salida de almacén de retiro]]-OLDBD[[#This Row],[Ingreso Almacén de retiro]],"")</f>
        <v>9.0972222220443655E-2</v>
      </c>
      <c r="BE5" s="52">
        <f>IFERROR(OLDBD[[#This Row],[Fin de Carga]]-OLDBD[[#This Row],[Inicio de Carga]],"")</f>
        <v>0.10347222221753327</v>
      </c>
    </row>
    <row r="6" spans="1:57" x14ac:dyDescent="0.35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6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Salida]]="","",MARÍTIMOS[[#This Row],[Etapa Retiro - Salida]]),"")</f>
        <v>46215.647916666669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Row],[Hora de Carga]]+MARÍTIMOS[[#This Row],[Hora de Posicionamiento]]),"")</f>
        <v>0.83333333333333326</v>
      </c>
      <c r="Z6" s="11">
        <f>IFERROR(IF(MARÍTIMOS[[#This Row],[Etapa Despacho -  Llegada]]="","",MARÍTIMOS[[#This Row],[Etapa Despacho -  Llegada]]),"")</f>
        <v>46216.440972222219</v>
      </c>
      <c r="AA6" s="11">
        <f>IFERROR(IF(MARÍTIMOS[[#This Row],[Etapa Despacho -  Registro]]="","",MARÍTIMOS[[#This Row],[Etapa Despacho - 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 Inicio de Carga]]="","",MARÍTIMOS[[#This Row],[Etapa Despacho -  Inicio de Carga]]),"")</f>
        <v>46216.541666666664</v>
      </c>
      <c r="AD6" s="11">
        <f>IFERROR(IF(MARÍTIMOS[[#This Row],[Etapa Despacho -  Fin de Carga]]="","",MARÍTIMOS[[#This Row],[Etapa Despacho -  Fin de Carga]]),"")</f>
        <v>46216.589583333334</v>
      </c>
      <c r="AE6" s="11">
        <f>IFERROR(IF(MARÍTIMOS[[#This Row],[Etapa Despacho -  Salida]]="","",MARÍTIMOS[[#This Row],[Etapa Despacho -  Salida]]),"")</f>
        <v>46216.665972222225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6.2499999985448085E-3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0.663888888884685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5" t="s">
        <v>181</v>
      </c>
      <c r="BB6" s="53" t="str">
        <f>IFERROR(IF(MARÍTIMOS[[#This Row],[Estatus]]="","",MARÍTIMOS[[#This Row],[Estatus]]),"")</f>
        <v>Confirmado</v>
      </c>
      <c r="BC6" s="45"/>
      <c r="BD6" s="52">
        <f>IFERROR(OLDBD[[#This Row],[Salida de almacén de retiro]]-OLDBD[[#This Row],[Ingreso Almacén de retiro]],"")</f>
        <v>3.5416666665696539E-2</v>
      </c>
      <c r="BE6" s="52">
        <f>IFERROR(OLDBD[[#This Row],[Fin de Carga]]-OLDBD[[#This Row],[Inicio de Carga]],"")</f>
        <v>4.7916666670062114E-2</v>
      </c>
    </row>
    <row r="7" spans="1:57" x14ac:dyDescent="0.35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6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Salida]]="","",MARÍTIMOS[[#This Row],[Etapa Retiro - Salida]]),"")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Row],[Hora de Carga]]+MARÍTIMOS[[#This Row],[Hora de Posicionamiento]]),"")</f>
        <v>0.83333333333333326</v>
      </c>
      <c r="Z7" s="11">
        <f>IFERROR(IF(MARÍTIMOS[[#This Row],[Etapa Despacho -  Llegada]]="","",MARÍTIMOS[[#This Row],[Etapa Despacho -  Llegada]]),"")</f>
        <v>46216.434027777781</v>
      </c>
      <c r="AA7" s="11">
        <f>IFERROR(IF(MARÍTIMOS[[#This Row],[Etapa Despacho -  Registro]]="","",MARÍTIMOS[[#This Row],[Etapa Despacho - 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 Inicio de Carga]]="","",MARÍTIMOS[[#This Row],[Etapa Despacho -  Inicio de Carga]]),"")</f>
        <v>46216.538888888892</v>
      </c>
      <c r="AD7" s="11">
        <f>IFERROR(IF(MARÍTIMOS[[#This Row],[Etapa Despacho -  Fin de Carga]]="","",MARÍTIMOS[[#This Row],[Etapa Despacho -  Fin de Carga]]),"")</f>
        <v>46216.584722222222</v>
      </c>
      <c r="AE7" s="11">
        <f>IFERROR(IF(MARÍTIMOS[[#This Row],[Etapa Despacho -  Salida]]="","",MARÍTIMOS[[#This Row],[Etapa Despacho -  Salida]]),"")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5" t="s">
        <v>181</v>
      </c>
      <c r="BB7" s="53" t="str">
        <f>IFERROR(IF(MARÍTIMOS[[#This Row],[Estatus]]="","",MARÍTIMOS[[#This Row],[Estatus]]),"")</f>
        <v>Confirmado</v>
      </c>
      <c r="BC7" s="45"/>
      <c r="BD7" s="52">
        <f>IFERROR(OLDBD[[#This Row],[Salida de almacén de retiro]]-OLDBD[[#This Row],[Ingreso Almacén de retiro]],"")</f>
        <v>3.7499999998544808E-2</v>
      </c>
      <c r="BE7" s="52">
        <f>IFERROR(OLDBD[[#This Row],[Fin de Carga]]-OLDBD[[#This Row],[Inicio de Carga]],"")</f>
        <v>4.5833333329937886E-2</v>
      </c>
    </row>
    <row r="8" spans="1:57" x14ac:dyDescent="0.35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6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Salida]]="","",MARÍTIMOS[[#This Row],[Etapa Retiro - Salida]]),"")</f>
        <v>46215.887499999997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Row],[Hora de Carga]]+MARÍTIMOS[[#This Row],[Hora de Posicionamiento]]),"")</f>
        <v>0.91666666666666674</v>
      </c>
      <c r="Z8" s="11">
        <f>IFERROR(IF(MARÍTIMOS[[#This Row],[Etapa Despacho -  Llegada]]="","",MARÍTIMOS[[#This Row],[Etapa Despacho -  Llegada]]),"")</f>
        <v>46216.51458333333</v>
      </c>
      <c r="AA8" s="11">
        <f>IFERROR(IF(MARÍTIMOS[[#This Row],[Etapa Despacho -  Registro]]="","",MARÍTIMOS[[#This Row],[Etapa Despacho - 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 Inicio de Carga]]="","",MARÍTIMOS[[#This Row],[Etapa Despacho -  Inicio de Carga]]),"")</f>
        <v>46216.727083333331</v>
      </c>
      <c r="AD8" s="11">
        <f>IFERROR(IF(MARÍTIMOS[[#This Row],[Etapa Despacho -  Fin de Carga]]="","",MARÍTIMOS[[#This Row],[Etapa Despacho -  Fin de Carga]]),"")</f>
        <v>46216.774305555555</v>
      </c>
      <c r="AE8" s="11">
        <f>IFERROR(IF(MARÍTIMOS[[#This Row],[Etapa Despacho -  Salida]]="","",MARÍTIMOS[[#This Row],[Etapa Despacho -  Salida]]),"")</f>
        <v>46216.796527777777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4.1666666729724966E-3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0.71597222222044365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5" t="s">
        <v>181</v>
      </c>
      <c r="BB8" s="53" t="str">
        <f>IFERROR(IF(MARÍTIMOS[[#This Row],[Estatus]]="","",MARÍTIMOS[[#This Row],[Estatus]]),"")</f>
        <v>Confirmado</v>
      </c>
      <c r="BC8" s="45"/>
      <c r="BD8" s="52">
        <f>IFERROR(OLDBD[[#This Row],[Salida de almacén de retiro]]-OLDBD[[#This Row],[Ingreso Almacén de retiro]],"")</f>
        <v>0.12361111110658385</v>
      </c>
      <c r="BE8" s="52">
        <f>IFERROR(OLDBD[[#This Row],[Fin de Carga]]-OLDBD[[#This Row],[Inicio de Carga]],"")</f>
        <v>4.7222222223354038E-2</v>
      </c>
    </row>
    <row r="9" spans="1:57" x14ac:dyDescent="0.35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6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Salida]]="","",MARÍTIMOS[[#This Row],[Etapa Retiro - Salida]]),"")</f>
        <v>46218.976388888892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Row],[Hora de Carga]]+MARÍTIMOS[[#This Row],[Hora de Posicionamiento]]),"")</f>
        <v>1.0833333333333335</v>
      </c>
      <c r="Z9" s="11">
        <f>IFERROR(IF(MARÍTIMOS[[#This Row],[Etapa Despacho -  Llegada]]="","",MARÍTIMOS[[#This Row],[Etapa Despacho -  Llegada]]),"")</f>
        <v>46219.604166666664</v>
      </c>
      <c r="AA9" s="11">
        <f>IFERROR(IF(MARÍTIMOS[[#This Row],[Etapa Despacho -  Registro]]="","",MARÍTIMOS[[#This Row],[Etapa Despacho - 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 Inicio de Carga]]="","",MARÍTIMOS[[#This Row],[Etapa Despacho -  Inicio de Carga]]),"")</f>
        <v>46219.691666666666</v>
      </c>
      <c r="AD9" s="11">
        <f>IFERROR(IF(MARÍTIMOS[[#This Row],[Etapa Despacho -  Fin de Carga]]="","",MARÍTIMOS[[#This Row],[Etapa Despacho -  Fin de Carga]]),"")</f>
        <v>46219.725694444445</v>
      </c>
      <c r="AE9" s="11">
        <f>IFERROR(IF(MARÍTIMOS[[#This Row],[Etapa Despacho -  Salida]]="","",MARÍTIMOS[[#This Row],[Etapa Despacho -  Salida]]),"")</f>
        <v>46219.75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1.3888888861401938E-3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0.66527777777810115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5" t="s">
        <v>181</v>
      </c>
      <c r="BB9" s="53" t="str">
        <f>IFERROR(IF(MARÍTIMOS[[#This Row],[Estatus]]="","",MARÍTIMOS[[#This Row],[Estatus]]),"")</f>
        <v>Confirmado</v>
      </c>
      <c r="BC9" s="45"/>
      <c r="BD9" s="52">
        <f>IFERROR(OLDBD[[#This Row],[Salida de almacén de retiro]]-OLDBD[[#This Row],[Ingreso Almacén de retiro]],"")</f>
        <v>6.4583333332848269E-2</v>
      </c>
      <c r="BE9" s="52">
        <f>IFERROR(OLDBD[[#This Row],[Fin de Carga]]-OLDBD[[#This Row],[Inicio de Carga]],"")</f>
        <v>3.4027777779556345E-2</v>
      </c>
    </row>
    <row r="10" spans="1:57" x14ac:dyDescent="0.35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6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Salida]]="","",MARÍTIMOS[[#This Row],[Etapa Retiro - Salida]]),"")</f>
        <v>46218.830555555556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Row],[Hora de Carga]]+MARÍTIMOS[[#This Row],[Hora de Posicionamiento]]),"")</f>
        <v>1.0833333333333335</v>
      </c>
      <c r="Z10" s="11">
        <f>IFERROR(IF(MARÍTIMOS[[#This Row],[Etapa Despacho -  Llegada]]="","",MARÍTIMOS[[#This Row],[Etapa Despacho -  Llegada]]),"")</f>
        <v>46219.609722222223</v>
      </c>
      <c r="AA10" s="11">
        <f>IFERROR(IF(MARÍTIMOS[[#This Row],[Etapa Despacho -  Registro]]="","",MARÍTIMOS[[#This Row],[Etapa Despacho - 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 Inicio de Carga]]="","",MARÍTIMOS[[#This Row],[Etapa Despacho -  Inicio de Carga]]),"")</f>
        <v>46219.675694444442</v>
      </c>
      <c r="AD10" s="11">
        <f>IFERROR(IF(MARÍTIMOS[[#This Row],[Etapa Despacho -  Fin de Carga]]="","",MARÍTIMOS[[#This Row],[Etapa Despacho -  Fin de Carga]]),"")</f>
        <v>46219.7</v>
      </c>
      <c r="AE10" s="11">
        <f>IFERROR(IF(MARÍTIMOS[[#This Row],[Etapa Despacho -  Salida]]="","",MARÍTIMOS[[#This Row],[Etapa Despacho -  Salida]]),"")</f>
        <v>46219.711805555555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3.4722222189884633E-3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0.82986111110949423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5" t="s">
        <v>181</v>
      </c>
      <c r="BB10" s="53" t="str">
        <f>IFERROR(IF(MARÍTIMOS[[#This Row],[Estatus]]="","",MARÍTIMOS[[#This Row],[Estatus]]),"")</f>
        <v>Confirmado</v>
      </c>
      <c r="BC10" s="45"/>
      <c r="BD10" s="52">
        <f>IFERROR(OLDBD[[#This Row],[Salida de almacén de retiro]]-OLDBD[[#This Row],[Ingreso Almacén de retiro]],"")</f>
        <v>1.8055555556202307E-2</v>
      </c>
      <c r="BE10" s="52">
        <f>IFERROR(OLDBD[[#This Row],[Fin de Carga]]-OLDBD[[#This Row],[Inicio de Carga]],"")</f>
        <v>2.4305555554747116E-2</v>
      </c>
    </row>
    <row r="11" spans="1:57" x14ac:dyDescent="0.35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6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Salida]]="","",MARÍTIMOS[[#This Row],[Etapa Retiro - Salida]]),"")</f>
        <v>46225.854166666664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Row],[Hora de Carga]]+MARÍTIMOS[[#This Row],[Hora de Posicionamiento]]),"")</f>
        <v>1.1666666666666665</v>
      </c>
      <c r="Z11" s="11">
        <f>IFERROR(IF(MARÍTIMOS[[#This Row],[Etapa Despacho -  Llegada]]="","",MARÍTIMOS[[#This Row],[Etapa Despacho -  Llegada]]),"")</f>
        <v>46226.515972222223</v>
      </c>
      <c r="AA11" s="11">
        <f>IFERROR(IF(MARÍTIMOS[[#This Row],[Etapa Despacho -  Registro]]="","",MARÍTIMOS[[#This Row],[Etapa Despacho - 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 Inicio de Carga]]="","",MARÍTIMOS[[#This Row],[Etapa Despacho -  Inicio de Carga]]),"")</f>
        <v>46226.70208333333</v>
      </c>
      <c r="AD11" s="11">
        <f>IFERROR(IF(MARÍTIMOS[[#This Row],[Etapa Despacho -  Fin de Carga]]="","",MARÍTIMOS[[#This Row],[Etapa Despacho -  Fin de Carga]]),"")</f>
        <v>46226.738194444442</v>
      </c>
      <c r="AE11" s="11">
        <f>IFERROR(IF(MARÍTIMOS[[#This Row],[Etapa Despacho -  Salida]]="","",MARÍTIMOS[[#This Row],[Etapa Despacho -  Salida]]),"")</f>
        <v>46226.748611111114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3.4722222262644209E-3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0.94652777777810115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5" t="s">
        <v>181</v>
      </c>
      <c r="BB11" s="53" t="str">
        <f>IFERROR(IF(MARÍTIMOS[[#This Row],[Estatus]]="","",MARÍTIMOS[[#This Row],[Estatus]]),"")</f>
        <v>Confirmado</v>
      </c>
      <c r="BC11" s="45"/>
      <c r="BD11" s="52">
        <f>IFERROR(OLDBD[[#This Row],[Salida de almacén de retiro]]-OLDBD[[#This Row],[Ingreso Almacén de retiro]],"")</f>
        <v>0.16249999999854481</v>
      </c>
      <c r="BE11" s="52">
        <f>IFERROR(OLDBD[[#This Row],[Fin de Carga]]-OLDBD[[#This Row],[Inicio de Carga]],"")</f>
        <v>3.6111111112404615E-2</v>
      </c>
    </row>
    <row r="12" spans="1:57" x14ac:dyDescent="0.35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6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Salida]]="","",MARÍTIMOS[[#This Row],[Etapa Retiro - Salida]]),"")</f>
        <v>46225.745833333334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Row],[Hora de Carga]]+MARÍTIMOS[[#This Row],[Hora de Posicionamiento]]),"")</f>
        <v>1.0833333333333335</v>
      </c>
      <c r="Z12" s="11">
        <f>IFERROR(IF(MARÍTIMOS[[#This Row],[Etapa Despacho -  Llegada]]="","",MARÍTIMOS[[#This Row],[Etapa Despacho -  Llegada]]),"")</f>
        <v>46226.54791666667</v>
      </c>
      <c r="AA12" s="11">
        <f>IFERROR(IF(MARÍTIMOS[[#This Row],[Etapa Despacho -  Registro]]="","",MARÍTIMOS[[#This Row],[Etapa Despacho - 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 Inicio de Carga]]="","",MARÍTIMOS[[#This Row],[Etapa Despacho -  Inicio de Carga]]),"")</f>
        <v>46226.713888888888</v>
      </c>
      <c r="AD12" s="11">
        <f>IFERROR(IF(MARÍTIMOS[[#This Row],[Etapa Despacho -  Fin de Carga]]="","",MARÍTIMOS[[#This Row],[Etapa Despacho -  Fin de Carga]]),"")</f>
        <v>46226.750694444447</v>
      </c>
      <c r="AE12" s="11">
        <f>IFERROR(IF(MARÍTIMOS[[#This Row],[Etapa Despacho -  Salida]]="","",MARÍTIMOS[[#This Row],[Etapa Despacho -  Salida]]),"")</f>
        <v>46226.768055555556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4.166666665696539E-3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0.87083333333430346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5" t="s">
        <v>181</v>
      </c>
      <c r="BB12" s="53" t="str">
        <f>IFERROR(IF(MARÍTIMOS[[#This Row],[Estatus]]="","",MARÍTIMOS[[#This Row],[Estatus]]),"")</f>
        <v>Confirmado</v>
      </c>
      <c r="BC12" s="45"/>
      <c r="BD12" s="52">
        <f>IFERROR(OLDBD[[#This Row],[Salida de almacén de retiro]]-OLDBD[[#This Row],[Ingreso Almacén de retiro]],"")</f>
        <v>7.9166666670062114E-2</v>
      </c>
      <c r="BE12" s="52">
        <f>IFERROR(OLDBD[[#This Row],[Fin de Carga]]-OLDBD[[#This Row],[Inicio de Carga]],"")</f>
        <v>3.680555555911269E-2</v>
      </c>
    </row>
    <row r="13" spans="1:57" x14ac:dyDescent="0.35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6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Salida]]="","",MARÍTIMOS[[#This Row],[Etapa Retiro - Salida]]),"")</f>
        <v>46226.09652777778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Row],[Hora de Carga]]+MARÍTIMOS[[#This Row],[Hora de Posicionamiento]]),"")</f>
        <v>1.25</v>
      </c>
      <c r="Z13" s="11">
        <f>IFERROR(IF(MARÍTIMOS[[#This Row],[Etapa Despacho -  Llegada]]="","",MARÍTIMOS[[#This Row],[Etapa Despacho -  Llegada]]),"")</f>
        <v>46226.59097222222</v>
      </c>
      <c r="AA13" s="11">
        <f>IFERROR(IF(MARÍTIMOS[[#This Row],[Etapa Despacho -  Registro]]="","",MARÍTIMOS[[#This Row],[Etapa Despacho - 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 Inicio de Carga]]="","",MARÍTIMOS[[#This Row],[Etapa Despacho -  Inicio de Carga]]),"")</f>
        <v>46226.726388888892</v>
      </c>
      <c r="AD13" s="11">
        <f>IFERROR(IF(MARÍTIMOS[[#This Row],[Etapa Despacho -  Fin de Carga]]="","",MARÍTIMOS[[#This Row],[Etapa Despacho -  Fin de Carga]]),"")</f>
        <v>46226.741666666669</v>
      </c>
      <c r="AE13" s="11">
        <f>IFERROR(IF(MARÍTIMOS[[#This Row],[Etapa Despacho -  Salida]]="","",MARÍTIMOS[[#This Row],[Etapa Despacho -  Salida]]),"")</f>
        <v>46226.772222222222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4.8611111124046147E-3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0.58472222222189885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5" t="s">
        <v>181</v>
      </c>
      <c r="BB13" s="53" t="str">
        <f>IFERROR(IF(MARÍTIMOS[[#This Row],[Estatus]]="","",MARÍTIMOS[[#This Row],[Estatus]]),"")</f>
        <v>Confirmado</v>
      </c>
      <c r="BC13" s="45"/>
      <c r="BD13" s="52">
        <f>IFERROR(OLDBD[[#This Row],[Salida de almacén de retiro]]-OLDBD[[#This Row],[Ingreso Almacén de retiro]],"")</f>
        <v>6.3194444446708076E-2</v>
      </c>
      <c r="BE13" s="52">
        <f>IFERROR(OLDBD[[#This Row],[Fin de Carga]]-OLDBD[[#This Row],[Inicio de Carga]],"")</f>
        <v>1.5277777776645962E-2</v>
      </c>
    </row>
    <row r="14" spans="1:57" x14ac:dyDescent="0.35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6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Salida]]="","",MARÍTIMOS[[#This Row],[Etapa Retiro - Salida]]),"")</f>
        <v>46226.095833333333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Row],[Hora de Carga]]+MARÍTIMOS[[#This Row],[Hora de Posicionamiento]]),"")</f>
        <v>1.25</v>
      </c>
      <c r="Z14" s="11">
        <f>IFERROR(IF(MARÍTIMOS[[#This Row],[Etapa Despacho -  Llegada]]="","",MARÍTIMOS[[#This Row],[Etapa Despacho -  Llegada]]),"")</f>
        <v>46226.59097222222</v>
      </c>
      <c r="AA14" s="11">
        <f>IFERROR(IF(MARÍTIMOS[[#This Row],[Etapa Despacho -  Registro]]="","",MARÍTIMOS[[#This Row],[Etapa Despacho - 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 Inicio de Carga]]="","",MARÍTIMOS[[#This Row],[Etapa Despacho -  Inicio de Carga]]),"")</f>
        <v>46226.677083333336</v>
      </c>
      <c r="AD14" s="11">
        <f>IFERROR(IF(MARÍTIMOS[[#This Row],[Etapa Despacho -  Fin de Carga]]="","",MARÍTIMOS[[#This Row],[Etapa Despacho -  Fin de Carga]]),"")</f>
        <v>46226.6875</v>
      </c>
      <c r="AE14" s="11">
        <f>IFERROR(IF(MARÍTIMOS[[#This Row],[Etapa Despacho -  Salida]]="","",MARÍTIMOS[[#This Row],[Etapa Despacho -  Salida]]),"")</f>
        <v>46226.741666666669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1.3888888861401938E-3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0.62569444443943212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5" t="s">
        <v>181</v>
      </c>
      <c r="BB14" s="53" t="str">
        <f>IFERROR(IF(MARÍTIMOS[[#This Row],[Estatus]]="","",MARÍTIMOS[[#This Row],[Estatus]]),"")</f>
        <v>Confirmado</v>
      </c>
      <c r="BC14" s="45"/>
      <c r="BD14" s="52">
        <f>IFERROR(OLDBD[[#This Row],[Salida de almacén de retiro]]-OLDBD[[#This Row],[Ingreso Almacén de retiro]],"")</f>
        <v>6.25E-2</v>
      </c>
      <c r="BE14" s="52">
        <f>IFERROR(OLDBD[[#This Row],[Fin de Carga]]-OLDBD[[#This Row],[Inicio de Carga]],"")</f>
        <v>1.0416666664241347E-2</v>
      </c>
    </row>
    <row r="15" spans="1:57" x14ac:dyDescent="0.35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6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Salida]]="","",MARÍTIMOS[[#This Row],[Etapa Retiro - Salida]]),"")</f>
        <v>46229.714583333334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Row],[Hora de Carga]]+MARÍTIMOS[[#This Row],[Hora de Posicionamiento]]),"")</f>
        <v>1.0833333333333335</v>
      </c>
      <c r="Z15" s="11">
        <f>IFERROR(IF(MARÍTIMOS[[#This Row],[Etapa Despacho -  Llegada]]="","",MARÍTIMOS[[#This Row],[Etapa Despacho -  Llegada]]),"")</f>
        <v>46230.517361111109</v>
      </c>
      <c r="AA15" s="11">
        <f>IFERROR(IF(MARÍTIMOS[[#This Row],[Etapa Despacho -  Registro]]="","",MARÍTIMOS[[#This Row],[Etapa Despacho - 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 Inicio de Carga]]="","",MARÍTIMOS[[#This Row],[Etapa Despacho -  Inicio de Carga]]),"")</f>
        <v>46230.617361111108</v>
      </c>
      <c r="AD15" s="11">
        <f>IFERROR(IF(MARÍTIMOS[[#This Row],[Etapa Despacho -  Fin de Carga]]="","",MARÍTIMOS[[#This Row],[Etapa Despacho -  Fin de Carga]]),"")</f>
        <v>46230.705555555556</v>
      </c>
      <c r="AE15" s="11">
        <f>IFERROR(IF(MARÍTIMOS[[#This Row],[Etapa Despacho -  Salida]]="","",MARÍTIMOS[[#This Row],[Etapa Despacho -  Salida]]),"")</f>
        <v>46230.714583333334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6.2499999985448085E-3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0.77152777777519077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5" t="s">
        <v>181</v>
      </c>
      <c r="BB15" s="53" t="str">
        <f>IFERROR(IF(MARÍTIMOS[[#This Row],[Estatus]]="","",MARÍTIMOS[[#This Row],[Estatus]]),"")</f>
        <v>Confirmado</v>
      </c>
      <c r="BC15" s="45"/>
      <c r="BD15" s="52">
        <f>IFERROR(OLDBD[[#This Row],[Salida de almacén de retiro]]-OLDBD[[#This Row],[Ingreso Almacén de retiro]],"")</f>
        <v>5.9027777781011537E-2</v>
      </c>
      <c r="BE15" s="52">
        <f>IFERROR(OLDBD[[#This Row],[Fin de Carga]]-OLDBD[[#This Row],[Inicio de Carga]],"")</f>
        <v>8.8194444448163267E-2</v>
      </c>
    </row>
    <row r="16" spans="1:57" x14ac:dyDescent="0.35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6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Salida]]="","",MARÍTIMOS[[#This Row],[Etapa Retiro - Salida]]),"")</f>
        <v>46229.740972222222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Row],[Hora de Carga]]+MARÍTIMOS[[#This Row],[Hora de Posicionamiento]]),"")</f>
        <v>1.0833333333333335</v>
      </c>
      <c r="Z16" s="11">
        <f>IFERROR(IF(MARÍTIMOS[[#This Row],[Etapa Despacho -  Llegada]]="","",MARÍTIMOS[[#This Row],[Etapa Despacho -  Llegada]]),"")</f>
        <v>46230.438888888886</v>
      </c>
      <c r="AA16" s="11">
        <f>IFERROR(IF(MARÍTIMOS[[#This Row],[Etapa Despacho -  Registro]]="","",MARÍTIMOS[[#This Row],[Etapa Despacho - 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 Inicio de Carga]]="","",MARÍTIMOS[[#This Row],[Etapa Despacho -  Inicio de Carga]]),"")</f>
        <v>46230.684027777781</v>
      </c>
      <c r="AD16" s="11">
        <f>IFERROR(IF(MARÍTIMOS[[#This Row],[Etapa Despacho -  Fin de Carga]]="","",MARÍTIMOS[[#This Row],[Etapa Despacho -  Fin de Carga]]),"")</f>
        <v>46230.744444444441</v>
      </c>
      <c r="AE16" s="11">
        <f>IFERROR(IF(MARÍTIMOS[[#This Row],[Etapa Despacho -  Salida]]="","",MARÍTIMOS[[#This Row],[Etapa Despacho -  Salida]]),"")</f>
        <v>46230.786111111112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8.333333331393078E-3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" s="5">
        <f>IFERROR(OLDBD[[#This Row],[Llegada Almacén de Ingreso]]-OLDBD[[#This Row],[Salida Packing]],"")</f>
        <v>0.79722222222335404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5" t="s">
        <v>181</v>
      </c>
      <c r="BB16" s="53" t="str">
        <f>IFERROR(IF(MARÍTIMOS[[#This Row],[Estatus]]="","",MARÍTIMOS[[#This Row],[Estatus]]),"")</f>
        <v>Confirmado</v>
      </c>
      <c r="BC16" s="45"/>
      <c r="BD16" s="52">
        <f>IFERROR(OLDBD[[#This Row],[Salida de almacén de retiro]]-OLDBD[[#This Row],[Ingreso Almacén de retiro]],"")</f>
        <v>7.1527777778101154E-2</v>
      </c>
      <c r="BE16" s="52">
        <f>IFERROR(OLDBD[[#This Row],[Fin de Carga]]-OLDBD[[#This Row],[Inicio de Carga]],"")</f>
        <v>6.0416666659875773E-2</v>
      </c>
    </row>
    <row r="17" spans="1:57" x14ac:dyDescent="0.35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6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Salida]]="","",MARÍTIMOS[[#This Row],[Etapa Retiro - Salida]]),"")</f>
        <v>46232.591666666667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Row],[Hora de Carga]]+MARÍTIMOS[[#This Row],[Hora de Posicionamiento]]),"")</f>
        <v>1.0833333333333335</v>
      </c>
      <c r="Z17" s="11">
        <f>IFERROR(IF(MARÍTIMOS[[#This Row],[Etapa Despacho -  Llegada]]="","",MARÍTIMOS[[#This Row],[Etapa Despacho -  Llegada]]),"")</f>
        <v>46233.368750000001</v>
      </c>
      <c r="AA17" s="11">
        <f>IFERROR(IF(MARÍTIMOS[[#This Row],[Etapa Despacho -  Registro]]="","",MARÍTIMOS[[#This Row],[Etapa Despacho - 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 Inicio de Carga]]="","",MARÍTIMOS[[#This Row],[Etapa Despacho -  Inicio de Carga]]),"")</f>
        <v>46233.629861111112</v>
      </c>
      <c r="AD17" s="11">
        <f>IFERROR(IF(MARÍTIMOS[[#This Row],[Etapa Despacho -  Fin de Carga]]="","",MARÍTIMOS[[#This Row],[Etapa Despacho -  Fin de Carga]]),"")</f>
        <v>46233.65902777778</v>
      </c>
      <c r="AE17" s="11">
        <f>IFERROR(IF(MARÍTIMOS[[#This Row],[Etapa Despacho -  Salida]]="","",MARÍTIMOS[[#This Row],[Etapa Despacho -  Salida]]),"")</f>
        <v>46233.703472222223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6.2499999985448085E-3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" s="5">
        <f>IFERROR(OLDBD[[#This Row],[Llegada Almacén de Ingreso]]-OLDBD[[#This Row],[Salida Packing]],"")</f>
        <v>0.84722222221898846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5" t="s">
        <v>181</v>
      </c>
      <c r="BB17" s="53" t="str">
        <f>IFERROR(IF(MARÍTIMOS[[#This Row],[Estatus]]="","",MARÍTIMOS[[#This Row],[Estatus]]),"")</f>
        <v>Confirmado</v>
      </c>
      <c r="BC17" s="45"/>
      <c r="BD17" s="52">
        <f>IFERROR(OLDBD[[#This Row],[Salida de almacén de retiro]]-OLDBD[[#This Row],[Ingreso Almacén de retiro]],"")</f>
        <v>0.16736111111094942</v>
      </c>
      <c r="BE17" s="52">
        <f>IFERROR(OLDBD[[#This Row],[Fin de Carga]]-OLDBD[[#This Row],[Inicio de Carga]],"")</f>
        <v>2.9166666667151731E-2</v>
      </c>
    </row>
    <row r="18" spans="1:57" x14ac:dyDescent="0.35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6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Salida]]="","",MARÍTIMOS[[#This Row],[Etapa Retiro - Salida]]),"")</f>
        <v>46232.585416666669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Row],[Hora de Carga]]+MARÍTIMOS[[#This Row],[Hora de Posicionamiento]]),"")</f>
        <v>1.0833333333333335</v>
      </c>
      <c r="Z18" s="11">
        <f>IFERROR(IF(MARÍTIMOS[[#This Row],[Etapa Despacho -  Llegada]]="","",MARÍTIMOS[[#This Row],[Etapa Despacho -  Llegada]]),"")</f>
        <v>46233.37777777778</v>
      </c>
      <c r="AA18" s="11">
        <f>IFERROR(IF(MARÍTIMOS[[#This Row],[Etapa Despacho -  Registro]]="","",MARÍTIMOS[[#This Row],[Etapa Despacho - 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 Inicio de Carga]]="","",MARÍTIMOS[[#This Row],[Etapa Despacho -  Inicio de Carga]]),"")</f>
        <v>46233.64166666667</v>
      </c>
      <c r="AD18" s="11">
        <f>IFERROR(IF(MARÍTIMOS[[#This Row],[Etapa Despacho -  Fin de Carga]]="","",MARÍTIMOS[[#This Row],[Etapa Despacho -  Fin de Carga]]),"")</f>
        <v>46233.689583333333</v>
      </c>
      <c r="AE18" s="11">
        <f>IFERROR(IF(MARÍTIMOS[[#This Row],[Etapa Despacho -  Salida]]="","",MARÍTIMOS[[#This Row],[Etapa Despacho -  Salida]]),"")</f>
        <v>46233.713194444441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4.4444444443797693E-2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" s="5">
        <f>IFERROR(OLDBD[[#This Row],[Llegada Almacén de Ingreso]]-OLDBD[[#This Row],[Salida Packing]],"")</f>
        <v>0.42916666666860692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5" t="s">
        <v>181</v>
      </c>
      <c r="BB18" s="53" t="str">
        <f>IFERROR(IF(MARÍTIMOS[[#This Row],[Estatus]]="","",MARÍTIMOS[[#This Row],[Estatus]]),"")</f>
        <v>Confirmado</v>
      </c>
      <c r="BC18" s="45"/>
      <c r="BD18" s="52">
        <f>IFERROR(OLDBD[[#This Row],[Salida de almacén de retiro]]-OLDBD[[#This Row],[Ingreso Almacén de retiro]],"")</f>
        <v>0.16388888889196096</v>
      </c>
      <c r="BE18" s="52">
        <f>IFERROR(OLDBD[[#This Row],[Fin de Carga]]-OLDBD[[#This Row],[Inicio de Carga]],"")</f>
        <v>4.7916666662786156E-2</v>
      </c>
    </row>
    <row r="19" spans="1:57" x14ac:dyDescent="0.35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6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Salida]]="","",MARÍTIMOS[[#This Row],[Etapa Retiro - Salida]]),"")</f>
        <v>46235.754166666666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Row],[Hora de Carga]]+MARÍTIMOS[[#This Row],[Hora de Posicionamiento]]),"")</f>
        <v>1.25</v>
      </c>
      <c r="Z19" s="11">
        <f>IFERROR(IF(MARÍTIMOS[[#This Row],[Etapa Despacho -  Llegada]]="","",MARÍTIMOS[[#This Row],[Etapa Despacho -  Llegada]]),"")</f>
        <v>46236.425000000003</v>
      </c>
      <c r="AA19" s="11">
        <f>IFERROR(IF(MARÍTIMOS[[#This Row],[Etapa Despacho -  Registro]]="","",MARÍTIMOS[[#This Row],[Etapa Despacho - 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 Inicio de Carga]]="","",MARÍTIMOS[[#This Row],[Etapa Despacho -  Inicio de Carga]]),"")</f>
        <v>46236.655555555553</v>
      </c>
      <c r="AD19" s="11">
        <f>IFERROR(IF(MARÍTIMOS[[#This Row],[Etapa Despacho -  Fin de Carga]]="","",MARÍTIMOS[[#This Row],[Etapa Despacho -  Fin de Carga]]),"")</f>
        <v>46236.708333333336</v>
      </c>
      <c r="AE19" s="11">
        <f>IFERROR(IF(MARÍTIMOS[[#This Row],[Etapa Despacho -  Salida]]="","",MARÍTIMOS[[#This Row],[Etapa Despacho -  Salida]]),"")</f>
        <v>46236.747916666667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2.0833333328482695E-3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" s="5">
        <f>IFERROR(OLDBD[[#This Row],[Llegada Almacén de Ingreso]]-OLDBD[[#This Row],[Salida Packing]],"")</f>
        <v>0.62152777777373558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5" t="s">
        <v>181</v>
      </c>
      <c r="BB19" s="53" t="str">
        <f>IFERROR(IF(MARÍTIMOS[[#This Row],[Estatus]]="","",MARÍTIMOS[[#This Row],[Estatus]]),"")</f>
        <v>Confirmado</v>
      </c>
      <c r="BC19" s="45"/>
      <c r="BD19" s="52">
        <f>IFERROR(OLDBD[[#This Row],[Salida de almacén de retiro]]-OLDBD[[#This Row],[Ingreso Almacén de retiro]],"")</f>
        <v>3.8194444445252884E-2</v>
      </c>
      <c r="BE19" s="52">
        <f>IFERROR(OLDBD[[#This Row],[Fin de Carga]]-OLDBD[[#This Row],[Inicio de Carga]],"")</f>
        <v>5.2777777782466728E-2</v>
      </c>
    </row>
    <row r="20" spans="1:57" x14ac:dyDescent="0.35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6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Salida]]="","",MARÍTIMOS[[#This Row],[Etapa Retiro - Salida]]),"")</f>
        <v>46235.854166666664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Row],[Hora de Carga]]+MARÍTIMOS[[#This Row],[Hora de Posicionamiento]]),"")</f>
        <v>1.0833333333333335</v>
      </c>
      <c r="Z20" s="11">
        <f>IFERROR(IF(MARÍTIMOS[[#This Row],[Etapa Despacho -  Llegada]]="","",MARÍTIMOS[[#This Row],[Etapa Despacho -  Llegada]]),"")</f>
        <v>46236.554861111108</v>
      </c>
      <c r="AA20" s="11">
        <f>IFERROR(IF(MARÍTIMOS[[#This Row],[Etapa Despacho -  Registro]]="","",MARÍTIMOS[[#This Row],[Etapa Despacho - 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 Inicio de Carga]]="","",MARÍTIMOS[[#This Row],[Etapa Despacho -  Inicio de Carga]]),"")</f>
        <v>46236.656944444447</v>
      </c>
      <c r="AD20" s="11">
        <f>IFERROR(IF(MARÍTIMOS[[#This Row],[Etapa Despacho -  Fin de Carga]]="","",MARÍTIMOS[[#This Row],[Etapa Despacho -  Fin de Carga]]),"")</f>
        <v>46236.690972222219</v>
      </c>
      <c r="AE20" s="11">
        <f>IFERROR(IF(MARÍTIMOS[[#This Row],[Etapa Despacho -  Salida]]="","",MARÍTIMOS[[#This Row],[Etapa Despacho -  Salida]]),"")</f>
        <v>46236.714583333334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2.0833333335758653E-2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0.73124999999708962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5" t="s">
        <v>181</v>
      </c>
      <c r="BB20" s="53" t="str">
        <f>IFERROR(IF(MARÍTIMOS[[#This Row],[Estatus]]="","",MARÍTIMOS[[#This Row],[Estatus]]),"")</f>
        <v>Confirmado</v>
      </c>
      <c r="BC20" s="45"/>
      <c r="BD20" s="52">
        <f>IFERROR(OLDBD[[#This Row],[Salida de almacén de retiro]]-OLDBD[[#This Row],[Ingreso Almacén de retiro]],"")</f>
        <v>8.4722222221898846E-2</v>
      </c>
      <c r="BE20" s="52">
        <f>IFERROR(OLDBD[[#This Row],[Fin de Carga]]-OLDBD[[#This Row],[Inicio de Carga]],"")</f>
        <v>3.4027777772280388E-2</v>
      </c>
    </row>
    <row r="21" spans="1:57" x14ac:dyDescent="0.35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6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Salida]]="","",MARÍTIMOS[[#This Row],[Etapa Retiro - Salida]]),"")</f>
        <v>46235.856944444444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Row],[Hora de Carga]]+MARÍTIMOS[[#This Row],[Hora de Posicionamiento]]),"")</f>
        <v>1.25</v>
      </c>
      <c r="Z21" s="11">
        <f>IFERROR(IF(MARÍTIMOS[[#This Row],[Etapa Despacho -  Llegada]]="","",MARÍTIMOS[[#This Row],[Etapa Despacho -  Llegada]]),"")</f>
        <v>46236.554861111108</v>
      </c>
      <c r="AA21" s="11">
        <f>IFERROR(IF(MARÍTIMOS[[#This Row],[Etapa Despacho -  Registro]]="","",MARÍTIMOS[[#This Row],[Etapa Despacho - 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 Inicio de Carga]]="","",MARÍTIMOS[[#This Row],[Etapa Despacho -  Inicio de Carga]]),"")</f>
        <v>46236.73541666667</v>
      </c>
      <c r="AD21" s="11">
        <f>IFERROR(IF(MARÍTIMOS[[#This Row],[Etapa Despacho -  Fin de Carga]]="","",MARÍTIMOS[[#This Row],[Etapa Despacho -  Fin de Carga]]),"")</f>
        <v>46236.772916666669</v>
      </c>
      <c r="AE21" s="11">
        <f>IFERROR(IF(MARÍTIMOS[[#This Row],[Etapa Despacho -  Salida]]="","",MARÍTIMOS[[#This Row],[Etapa Despacho -  Salida]]),"")</f>
        <v>46236.899305555555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2.9861111113859806E-2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" s="5">
        <f>IFERROR(OLDBD[[#This Row],[Llegada Almacén de Ingreso]]-OLDBD[[#This Row],[Salida Packing]],"")</f>
        <v>0.53680555555911269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5" t="s">
        <v>181</v>
      </c>
      <c r="BB21" s="53" t="str">
        <f>IFERROR(IF(MARÍTIMOS[[#This Row],[Estatus]]="","",MARÍTIMOS[[#This Row],[Estatus]]),"")</f>
        <v>Confirmado</v>
      </c>
      <c r="BC21" s="45"/>
      <c r="BD21" s="52">
        <f>IFERROR(OLDBD[[#This Row],[Salida de almacén de retiro]]-OLDBD[[#This Row],[Ingreso Almacén de retiro]],"")</f>
        <v>8.7500000001455192E-2</v>
      </c>
      <c r="BE21" s="52">
        <f>IFERROR(OLDBD[[#This Row],[Fin de Carga]]-OLDBD[[#This Row],[Inicio de Carga]],"")</f>
        <v>3.7499999998544808E-2</v>
      </c>
    </row>
    <row r="22" spans="1:57" x14ac:dyDescent="0.35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6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Salida]]="","",MARÍTIMOS[[#This Row],[Etapa Retiro - Salida]]),"")</f>
        <v>46242.40347222222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Row],[Hora de Carga]]+MARÍTIMOS[[#This Row],[Hora de Posicionamiento]]),"")</f>
        <v>1.0833333333333335</v>
      </c>
      <c r="Z22" s="11">
        <f>IFERROR(IF(MARÍTIMOS[[#This Row],[Etapa Despacho -  Llegada]]="","",MARÍTIMOS[[#This Row],[Etapa Despacho -  Llegada]]),"")</f>
        <v>46243.268750000003</v>
      </c>
      <c r="AA22" s="11">
        <f>IFERROR(IF(MARÍTIMOS[[#This Row],[Etapa Despacho -  Registro]]="","",MARÍTIMOS[[#This Row],[Etapa Despacho - 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 Inicio de Carga]]="","",MARÍTIMOS[[#This Row],[Etapa Despacho -  Inicio de Carga]]),"")</f>
        <v>46243.467361111114</v>
      </c>
      <c r="AD22" s="11">
        <f>IFERROR(IF(MARÍTIMOS[[#This Row],[Etapa Despacho -  Fin de Carga]]="","",MARÍTIMOS[[#This Row],[Etapa Despacho -  Fin de Carga]]),"")</f>
        <v>46243.515972222223</v>
      </c>
      <c r="AE22" s="11">
        <f>IFERROR(IF(MARÍTIMOS[[#This Row],[Etapa Despacho -  Salida]]="","",MARÍTIMOS[[#This Row],[Etapa Despacho -  Salida]]),"")</f>
        <v>46243.568055555559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4.8611111124046147E-3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" s="5">
        <f>IFERROR(OLDBD[[#This Row],[Llegada Almacén de Ingreso]]-OLDBD[[#This Row],[Salida Packing]],"")</f>
        <v>0.61805555555474712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5" t="s">
        <v>181</v>
      </c>
      <c r="BB22" s="53" t="str">
        <f>IFERROR(IF(MARÍTIMOS[[#This Row],[Estatus]]="","",MARÍTIMOS[[#This Row],[Estatus]]),"")</f>
        <v>Confirmado</v>
      </c>
      <c r="BC22" s="45"/>
      <c r="BD22" s="52">
        <f>IFERROR(OLDBD[[#This Row],[Salida de almacén de retiro]]-OLDBD[[#This Row],[Ingreso Almacén de retiro]],"")</f>
        <v>0.11875000000145519</v>
      </c>
      <c r="BE22" s="52">
        <f>IFERROR(OLDBD[[#This Row],[Fin de Carga]]-OLDBD[[#This Row],[Inicio de Carga]],"")</f>
        <v>4.8611111109494232E-2</v>
      </c>
    </row>
    <row r="23" spans="1:57" x14ac:dyDescent="0.35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6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Salida]]="","",MARÍTIMOS[[#This Row],[Etapa Retiro - Salida]]),"")</f>
        <v>46241.843055555553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Row],[Hora de Carga]]+MARÍTIMOS[[#This Row],[Hora de Posicionamiento]]),"")</f>
        <v>1.25</v>
      </c>
      <c r="Z23" s="11">
        <f>IFERROR(IF(MARÍTIMOS[[#This Row],[Etapa Despacho -  Llegada]]="","",MARÍTIMOS[[#This Row],[Etapa Despacho -  Llegada]]),"")</f>
        <v>46242.67291666667</v>
      </c>
      <c r="AA23" s="11">
        <f>IFERROR(IF(MARÍTIMOS[[#This Row],[Etapa Despacho -  Registro]]="","",MARÍTIMOS[[#This Row],[Etapa Despacho - 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 Inicio de Carga]]="","",MARÍTIMOS[[#This Row],[Etapa Despacho -  Inicio de Carga]]),"")</f>
        <v>46242.746527777781</v>
      </c>
      <c r="AD23" s="11">
        <f>IFERROR(IF(MARÍTIMOS[[#This Row],[Etapa Despacho -  Fin de Carga]]="","",MARÍTIMOS[[#This Row],[Etapa Despacho -  Fin de Carga]]),"")</f>
        <v>46242.77847222222</v>
      </c>
      <c r="AE23" s="11">
        <f>IFERROR(IF(MARÍTIMOS[[#This Row],[Etapa Despacho -  Salida]]="","",MARÍTIMOS[[#This Row],[Etapa Despacho -  Salida]]),"")</f>
        <v>46242.824999999997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0.17500000000291038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0.68611111111385981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5" t="s">
        <v>181</v>
      </c>
      <c r="BB23" s="53" t="str">
        <f>IFERROR(IF(MARÍTIMOS[[#This Row],[Estatus]]="","",MARÍTIMOS[[#This Row],[Estatus]]),"")</f>
        <v>Confirmado</v>
      </c>
      <c r="BC23" s="45"/>
      <c r="BD23" s="52">
        <f>IFERROR(OLDBD[[#This Row],[Salida de almacén de retiro]]-OLDBD[[#This Row],[Ingreso Almacén de retiro]],"")</f>
        <v>8.819444444088731E-2</v>
      </c>
      <c r="BE23" s="52">
        <f>IFERROR(OLDBD[[#This Row],[Fin de Carga]]-OLDBD[[#This Row],[Inicio de Carga]],"")</f>
        <v>3.1944444439432118E-2</v>
      </c>
    </row>
    <row r="24" spans="1:57" x14ac:dyDescent="0.35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6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Salida]]="","",MARÍTIMOS[[#This Row],[Etapa Retiro - Salida]]),"")</f>
        <v>46242.024305555555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Row],[Hora de Carga]]+MARÍTIMOS[[#This Row],[Hora de Posicionamiento]]),"")</f>
        <v>1.0833333333333335</v>
      </c>
      <c r="Z24" s="11">
        <f>IFERROR(IF(MARÍTIMOS[[#This Row],[Etapa Despacho -  Llegada]]="","",MARÍTIMOS[[#This Row],[Etapa Despacho -  Llegada]]),"")</f>
        <v>46242.54583333333</v>
      </c>
      <c r="AA24" s="11">
        <f>IFERROR(IF(MARÍTIMOS[[#This Row],[Etapa Despacho -  Registro]]="","",MARÍTIMOS[[#This Row],[Etapa Despacho - 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 Inicio de Carga]]="","",MARÍTIMOS[[#This Row],[Etapa Despacho -  Inicio de Carga]]),"")</f>
        <v>46242.652777777781</v>
      </c>
      <c r="AD24" s="11">
        <f>IFERROR(IF(MARÍTIMOS[[#This Row],[Etapa Despacho -  Fin de Carga]]="","",MARÍTIMOS[[#This Row],[Etapa Despacho -  Fin de Carga]]),"")</f>
        <v>46242.730555555558</v>
      </c>
      <c r="AE24" s="11">
        <f>IFERROR(IF(MARÍTIMOS[[#This Row],[Etapa Despacho -  Salida]]="","",MARÍTIMOS[[#This Row],[Etapa Despacho -  Salida]]),"")</f>
        <v>46242.751388888886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1.0416666664241347E-2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0.68611111111385981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5" t="s">
        <v>181</v>
      </c>
      <c r="BB24" s="53" t="str">
        <f>IFERROR(IF(MARÍTIMOS[[#This Row],[Estatus]]="","",MARÍTIMOS[[#This Row],[Estatus]]),"")</f>
        <v>Confirmado</v>
      </c>
      <c r="BC24" s="45"/>
      <c r="BD24" s="52">
        <f>IFERROR(OLDBD[[#This Row],[Salida de almacén de retiro]]-OLDBD[[#This Row],[Ingreso Almacén de retiro]],"")</f>
        <v>3.4722222218988463E-2</v>
      </c>
      <c r="BE24" s="52">
        <f>IFERROR(OLDBD[[#This Row],[Fin de Carga]]-OLDBD[[#This Row],[Inicio de Carga]],"")</f>
        <v>7.7777777776645962E-2</v>
      </c>
    </row>
    <row r="25" spans="1:57" x14ac:dyDescent="0.35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6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Salida]]="","",MARÍTIMOS[[#This Row],[Etapa Retiro - Salida]]),"")</f>
        <v>46243.024305555555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Row],[Hora de Carga]]+MARÍTIMOS[[#This Row],[Hora de Posicionamiento]]),"")</f>
        <v>1.25</v>
      </c>
      <c r="Z25" s="11">
        <f>IFERROR(IF(MARÍTIMOS[[#This Row],[Etapa Despacho -  Llegada]]="","",MARÍTIMOS[[#This Row],[Etapa Despacho -  Llegada]]),"")</f>
        <v>46243.671527777777</v>
      </c>
      <c r="AA25" s="11">
        <f>IFERROR(IF(MARÍTIMOS[[#This Row],[Etapa Despacho -  Registro]]="","",MARÍTIMOS[[#This Row],[Etapa Despacho - 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 Inicio de Carga]]="","",MARÍTIMOS[[#This Row],[Etapa Despacho -  Inicio de Carga]]),"")</f>
        <v>46243.765972222223</v>
      </c>
      <c r="AD25" s="11">
        <f>IFERROR(IF(MARÍTIMOS[[#This Row],[Etapa Despacho -  Fin de Carga]]="","",MARÍTIMOS[[#This Row],[Etapa Despacho -  Fin de Carga]]),"")</f>
        <v>46243.856944444444</v>
      </c>
      <c r="AE25" s="11">
        <f>IFERROR(IF(MARÍTIMOS[[#This Row],[Etapa Despacho -  Salida]]="","",MARÍTIMOS[[#This Row],[Etapa Despacho -  Salida]]),"")</f>
        <v>46243.881944444445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6.944444467080757E-4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0.70624999999563443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5" t="s">
        <v>181</v>
      </c>
      <c r="BB25" s="53" t="str">
        <f>IFERROR(IF(MARÍTIMOS[[#This Row],[Estatus]]="","",MARÍTIMOS[[#This Row],[Estatus]]),"")</f>
        <v>Confirmado</v>
      </c>
      <c r="BC25" s="45"/>
      <c r="BD25" s="52">
        <f>IFERROR(OLDBD[[#This Row],[Salida de almacén de retiro]]-OLDBD[[#This Row],[Ingreso Almacén de retiro]],"")</f>
        <v>0.20624999999563443</v>
      </c>
      <c r="BE25" s="52">
        <f>IFERROR(OLDBD[[#This Row],[Fin de Carga]]-OLDBD[[#This Row],[Inicio de Carga]],"")</f>
        <v>9.0972222220443655E-2</v>
      </c>
    </row>
    <row r="26" spans="1:57" x14ac:dyDescent="0.35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6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Salida]]="","",MARÍTIMOS[[#This Row],[Etapa Retiro - Salida]]),"")</f>
        <v>46243.839583333334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Row],[Hora de Carga]]+MARÍTIMOS[[#This Row],[Hora de Posicionamiento]]),"")</f>
        <v>1.0833333333333335</v>
      </c>
      <c r="Z26" s="11">
        <f>IFERROR(IF(MARÍTIMOS[[#This Row],[Etapa Despacho -  Llegada]]="","",MARÍTIMOS[[#This Row],[Etapa Despacho -  Llegada]]),"")</f>
        <v>46244.599305555559</v>
      </c>
      <c r="AA26" s="11">
        <f>IFERROR(IF(MARÍTIMOS[[#This Row],[Etapa Despacho -  Registro]]="","",MARÍTIMOS[[#This Row],[Etapa Despacho - 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 Inicio de Carga]]="","",MARÍTIMOS[[#This Row],[Etapa Despacho -  Inicio de Carga]]),"")</f>
        <v>46244.710416666669</v>
      </c>
      <c r="AD26" s="11">
        <f>IFERROR(IF(MARÍTIMOS[[#This Row],[Etapa Despacho -  Fin de Carga]]="","",MARÍTIMOS[[#This Row],[Etapa Despacho -  Fin de Carga]]),"")</f>
        <v>46244.749305555553</v>
      </c>
      <c r="AE26" s="11">
        <f>IFERROR(IF(MARÍTIMOS[[#This Row],[Etapa Despacho -  Salida]]="","",MARÍTIMOS[[#This Row],[Etapa Despacho -  Salida]]),"")</f>
        <v>46244.76458333333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1.1805555557657499E-2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0.57638888889050577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5" t="s">
        <v>181</v>
      </c>
      <c r="BB26" s="53" t="str">
        <f>IFERROR(IF(MARÍTIMOS[[#This Row],[Estatus]]="","",MARÍTIMOS[[#This Row],[Estatus]]),"")</f>
        <v>Confirmado</v>
      </c>
      <c r="BC26" s="45"/>
      <c r="BD26" s="52">
        <f>IFERROR(OLDBD[[#This Row],[Salida de almacén de retiro]]-OLDBD[[#This Row],[Ingreso Almacén de retiro]],"")</f>
        <v>3.2638888893416151E-2</v>
      </c>
      <c r="BE26" s="52">
        <f>IFERROR(OLDBD[[#This Row],[Fin de Carga]]-OLDBD[[#This Row],[Inicio de Carga]],"")</f>
        <v>3.8888888884685002E-2</v>
      </c>
    </row>
    <row r="27" spans="1:57" x14ac:dyDescent="0.35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6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Salida]]="","",MARÍTIMOS[[#This Row],[Etapa Retiro - Salida]]),"")</f>
        <v>46247.005555555559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Row],[Hora de Carga]]+MARÍTIMOS[[#This Row],[Hora de Posicionamiento]]),"")</f>
        <v>1.0833333333333335</v>
      </c>
      <c r="Z27" s="11">
        <f>IFERROR(IF(MARÍTIMOS[[#This Row],[Etapa Despacho -  Llegada]]="","",MARÍTIMOS[[#This Row],[Etapa Despacho -  Llegada]]),"")</f>
        <v>46247.490972222222</v>
      </c>
      <c r="AA27" s="11">
        <f>IFERROR(IF(MARÍTIMOS[[#This Row],[Etapa Despacho -  Registro]]="","",MARÍTIMOS[[#This Row],[Etapa Despacho - 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 Inicio de Carga]]="","",MARÍTIMOS[[#This Row],[Etapa Despacho -  Inicio de Carga]]),"")</f>
        <v>46247.6</v>
      </c>
      <c r="AD27" s="11">
        <f>IFERROR(IF(MARÍTIMOS[[#This Row],[Etapa Despacho -  Fin de Carga]]="","",MARÍTIMOS[[#This Row],[Etapa Despacho -  Fin de Carga]]),"")</f>
        <v>46247.645833333336</v>
      </c>
      <c r="AE27" s="11">
        <f>IFERROR(IF(MARÍTIMOS[[#This Row],[Etapa Despacho -  Salida]]="","",MARÍTIMOS[[#This Row],[Etapa Despacho -  Salida]]),"")</f>
        <v>46247.65902777778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4.8611111051286571E-3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0.73333333332993789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5" t="s">
        <v>181</v>
      </c>
      <c r="BB27" s="53" t="str">
        <f>IFERROR(IF(MARÍTIMOS[[#This Row],[Estatus]]="","",MARÍTIMOS[[#This Row],[Estatus]]),"")</f>
        <v>Confirmado</v>
      </c>
      <c r="BC27" s="45"/>
      <c r="BD27" s="52">
        <f>IFERROR(OLDBD[[#This Row],[Salida de almacén de retiro]]-OLDBD[[#This Row],[Ingreso Almacén de retiro]],"")</f>
        <v>7.8472222223354038E-2</v>
      </c>
      <c r="BE27" s="52">
        <f>IFERROR(OLDBD[[#This Row],[Fin de Carga]]-OLDBD[[#This Row],[Inicio de Carga]],"")</f>
        <v>4.5833333337213844E-2</v>
      </c>
    </row>
    <row r="28" spans="1:57" x14ac:dyDescent="0.35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6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Salida]]="","",MARÍTIMOS[[#This Row],[Etapa Retiro - Salida]]),"")</f>
        <v>46246.872916666667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Row],[Hora de Carga]]+MARÍTIMOS[[#This Row],[Hora de Posicionamiento]]),"")</f>
        <v>0.91666666666666674</v>
      </c>
      <c r="Z28" s="11">
        <f>IFERROR(IF(MARÍTIMOS[[#This Row],[Etapa Despacho -  Llegada]]="","",MARÍTIMOS[[#This Row],[Etapa Despacho -  Llegada]]),"")</f>
        <v>46247.474999999999</v>
      </c>
      <c r="AA28" s="11">
        <f>IFERROR(IF(MARÍTIMOS[[#This Row],[Etapa Despacho -  Registro]]="","",MARÍTIMOS[[#This Row],[Etapa Despacho - 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 Inicio de Carga]]="","",MARÍTIMOS[[#This Row],[Etapa Despacho -  Inicio de Carga]]),"")</f>
        <v>46247.555555555555</v>
      </c>
      <c r="AD28" s="11">
        <f>IFERROR(IF(MARÍTIMOS[[#This Row],[Etapa Despacho -  Fin de Carga]]="","",MARÍTIMOS[[#This Row],[Etapa Despacho -  Fin de Carga]]),"")</f>
        <v>46247.631944444445</v>
      </c>
      <c r="AE28" s="11">
        <f>IFERROR(IF(MARÍTIMOS[[#This Row],[Etapa Despacho -  Salida]]="","",MARÍTIMOS[[#This Row],[Etapa Despacho -  Salida]]),"")</f>
        <v>46247.640277777777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5.5555555518367328E-3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5" t="s">
        <v>181</v>
      </c>
      <c r="BB28" s="53" t="str">
        <f>IFERROR(IF(MARÍTIMOS[[#This Row],[Estatus]]="","",MARÍTIMOS[[#This Row],[Estatus]]),"")</f>
        <v>Confirmado</v>
      </c>
      <c r="BC28" s="45"/>
      <c r="BD28" s="52">
        <f>IFERROR(OLDBD[[#This Row],[Salida de almacén de retiro]]-OLDBD[[#This Row],[Ingreso Almacén de retiro]],"")</f>
        <v>2.9166666667151731E-2</v>
      </c>
      <c r="BE28" s="52">
        <f>IFERROR(OLDBD[[#This Row],[Fin de Carga]]-OLDBD[[#This Row],[Inicio de Carga]],"")</f>
        <v>7.6388888890505768E-2</v>
      </c>
    </row>
    <row r="29" spans="1:57" x14ac:dyDescent="0.35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6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DPWL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Salida]]="","",MARÍTIMOS[[#This Row],[Etapa Retiro - Salida]]),"")</f>
        <v>46249.925000000003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Row],[Hora de Carga]]+MARÍTIMOS[[#This Row],[Hora de Posicionamiento]]),"")</f>
        <v>1.0833333333333335</v>
      </c>
      <c r="Z29" s="11">
        <f>IFERROR(IF(MARÍTIMOS[[#This Row],[Etapa Despacho -  Llegada]]="","",MARÍTIMOS[[#This Row],[Etapa Despacho -  Llegada]]),"")</f>
        <v>46250.588888888888</v>
      </c>
      <c r="AA29" s="11">
        <f>IFERROR(IF(MARÍTIMOS[[#This Row],[Etapa Despacho -  Registro]]="","",MARÍTIMOS[[#This Row],[Etapa Despacho - 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 Inicio de Carga]]="","",MARÍTIMOS[[#This Row],[Etapa Despacho -  Inicio de Carga]]),"")</f>
        <v>46250.657638888886</v>
      </c>
      <c r="AD29" s="11">
        <f>IFERROR(IF(MARÍTIMOS[[#This Row],[Etapa Despacho -  Fin de Carga]]="","",MARÍTIMOS[[#This Row],[Etapa Despacho -  Fin de Carga]]),"")</f>
        <v>46250.75</v>
      </c>
      <c r="AE29" s="11">
        <f>IFERROR(IF(MARÍTIMOS[[#This Row],[Etapa Despacho -  Salida]]="","",MARÍTIMOS[[#This Row],[Etapa Despacho -  Salida]]),"")</f>
        <v>46250.775000000001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9.7222222175332718E-3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0.8868055555576575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5" t="s">
        <v>181</v>
      </c>
      <c r="BB29" s="53" t="str">
        <f>IFERROR(IF(MARÍTIMOS[[#This Row],[Estatus]]="","",MARÍTIMOS[[#This Row],[Estatus]]),"")</f>
        <v>Confirmado</v>
      </c>
      <c r="BC29" s="45"/>
      <c r="BD29" s="52">
        <f>IFERROR(OLDBD[[#This Row],[Salida de almacén de retiro]]-OLDBD[[#This Row],[Ingreso Almacén de retiro]],"")</f>
        <v>7.1527777778101154E-2</v>
      </c>
      <c r="BE29" s="52">
        <f>IFERROR(OLDBD[[#This Row],[Fin de Carga]]-OLDBD[[#This Row],[Inicio de Carga]],"")</f>
        <v>9.2361111113859806E-2</v>
      </c>
    </row>
    <row r="30" spans="1:57" x14ac:dyDescent="0.35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6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DPWL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Salida]]="","",MARÍTIMOS[[#This Row],[Etapa Retiro - Salida]]),"")</f>
        <v>46250.744444444441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Row],[Hora de Carga]]+MARÍTIMOS[[#This Row],[Hora de Posicionamiento]]),"")</f>
        <v>1.0833333333333335</v>
      </c>
      <c r="Z30" s="11">
        <f>IFERROR(IF(MARÍTIMOS[[#This Row],[Etapa Despacho -  Llegada]]="","",MARÍTIMOS[[#This Row],[Etapa Despacho -  Llegada]]),"")</f>
        <v>46251.518055555556</v>
      </c>
      <c r="AA30" s="11">
        <f>IFERROR(IF(MARÍTIMOS[[#This Row],[Etapa Despacho -  Registro]]="","",MARÍTIMOS[[#This Row],[Etapa Despacho - 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 Inicio de Carga]]="","",MARÍTIMOS[[#This Row],[Etapa Despacho -  Inicio de Carga]]),"")</f>
        <v>46251.677083333336</v>
      </c>
      <c r="AD30" s="11">
        <f>IFERROR(IF(MARÍTIMOS[[#This Row],[Etapa Despacho -  Fin de Carga]]="","",MARÍTIMOS[[#This Row],[Etapa Despacho -  Fin de Carga]]),"")</f>
        <v>46251.704861111109</v>
      </c>
      <c r="AE30" s="11">
        <f>IFERROR(IF(MARÍTIMOS[[#This Row],[Etapa Despacho -  Salida]]="","",MARÍTIMOS[[#This Row],[Etapa Despacho -  Salida]]),"")</f>
        <v>46251.716666666667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5.5555555591126904E-3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0.80138888888905058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5" t="s">
        <v>181</v>
      </c>
      <c r="BB30" s="53" t="str">
        <f>IFERROR(IF(MARÍTIMOS[[#This Row],[Estatus]]="","",MARÍTIMOS[[#This Row],[Estatus]]),"")</f>
        <v>Confirmado</v>
      </c>
      <c r="BC30" s="45"/>
      <c r="BD30" s="52">
        <f>IFERROR(OLDBD[[#This Row],[Salida de almacén de retiro]]-OLDBD[[#This Row],[Ingreso Almacén de retiro]],"")</f>
        <v>6.25E-2</v>
      </c>
      <c r="BE30" s="52">
        <f>IFERROR(OLDBD[[#This Row],[Fin de Carga]]-OLDBD[[#This Row],[Inicio de Carga]],"")</f>
        <v>2.7777777773735579E-2</v>
      </c>
    </row>
    <row r="31" spans="1:57" x14ac:dyDescent="0.35">
      <c r="A31" s="1"/>
      <c r="B31" s="1">
        <f>IFERROR(IF(MARÍTIMOS[[#This Row],[PP]]="","",MARÍTIMOS[[#This Row],[PP]]),"")</f>
        <v>30</v>
      </c>
      <c r="C31" s="1" t="str">
        <f>IFERROR(IF(MARÍTIMOS[[#This Row],[Sede]]="","",MARÍTIMOS[[#This Row],[Sede]]),"")</f>
        <v>Olmos</v>
      </c>
      <c r="D31" s="1" t="str">
        <f>IFERROR(IF(MARÍTIMOS[[#This Row],[Instruction]]="","",MARÍTIMOS[[#This Row],[Instruction]]),"")</f>
        <v>RH-0263</v>
      </c>
      <c r="E31" s="1"/>
      <c r="F31" s="2" t="str">
        <f>IFERROR(IF(MARÍTIMOS[[#This Row],[Transportista]]="","",MARÍTIMOS[[#This Row],[Transportista]]),"")</f>
        <v>Costa Transport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TRANSPORTES COSTA TRANSPORT EIRL</v>
      </c>
      <c r="I31" s="2">
        <f>IFERROR(IF(MARÍTIMOS[[#This Row],[RUC]]="","",MARÍTIMOS[[#This Row],[RUC]]),"")</f>
        <v>20525373551</v>
      </c>
      <c r="J31" s="2" t="str">
        <f>IFERROR(IF(MARÍTIMOS[[#This Row],[Placa Tracto]]="","",MARÍTIMOS[[#This Row],[Placa Tracto]]),"")</f>
        <v>TFY-879</v>
      </c>
      <c r="K31" s="2" t="str">
        <f>IFERROR(IF(MARÍTIMOS[[#This Row],[Placa Carreta]]="","",MARÍTIMOS[[#This Row],[Placa Carreta]]),"")</f>
        <v>A1G-973</v>
      </c>
      <c r="L31" s="46" t="str">
        <f>IFERROR(IF(MARÍTIMOS[[#This Row],[Conductor]]="","",MARÍTIMOS[[#This Row],[Conductor]]),"")</f>
        <v>JORGE LUIS AZO RUIZ</v>
      </c>
      <c r="M31" s="2" t="str">
        <f>IFERROR(IF(MARÍTIMOS[[#This Row],[Licencia]]="","",MARÍTIMOS[[#This Row],[Licencia]]),"")</f>
        <v>B03874735</v>
      </c>
      <c r="N31" s="2">
        <f>IFERROR(IF(MARÍTIMOS[[#This Row],[Número de Contacto]]="","",MARÍTIMOS[[#This Row],[Número de Contacto]]),"")</f>
        <v>998231122</v>
      </c>
      <c r="O31" s="10" t="str">
        <f>IFERROR(IF(MARÍTIMOS[[#This Row],[Booking|AWB|CRT]]="","",MARÍTIMOS[[#This Row],[Booking|AWB|CRT]]),"")</f>
        <v>PER9156868A</v>
      </c>
      <c r="P31" s="2" t="str">
        <f>IFERROR(IF(MARÍTIMOS[[#This Row],[Contenedor]]="","",MARÍTIMOS[[#This Row],[Contenedor]]),"")</f>
        <v>CAAU416845-5</v>
      </c>
      <c r="Q31" s="2" t="str">
        <f>IFERROR(IF(MARÍTIMOS[[#This Row],[Puerto de Retiro]]="","",MARÍTIMOS[[#This Row],[Puerto de Retiro]]),"")</f>
        <v>PAITA</v>
      </c>
      <c r="R31" s="2" t="str">
        <f>IFERROR(IF(MARÍTIMOS[[#This Row],[Almacén de Retiro]]="","",MARÍTIMOS[[#This Row],[Almacén de Retiro]]),"")</f>
        <v>DPW</v>
      </c>
      <c r="S31" s="11">
        <f>IFERROR(IF(MARÍTIMOS[[#This Row],[Etapa Retiro - Cita]]="","",MARÍTIMOS[[#This Row],[Etapa Retiro - Cita]]),"")</f>
        <v>46227.666666666664</v>
      </c>
      <c r="T31" s="11">
        <f>IFERROR(IF(MARÍTIMOS[[#This Row],[Etapa Retiro - Llegada]]="","",MARÍTIMOS[[#This Row],[Etapa Retiro - Llegada]]),"")</f>
        <v>46227.661805555559</v>
      </c>
      <c r="U31" s="11">
        <f>IFERROR(IF(MARÍTIMOS[[#This Row],[Etapa Retiro - Ingreso]]="","",MARÍTIMOS[[#This Row],[Etapa Retiro - Ingreso]]),"")</f>
        <v>46227.692361111112</v>
      </c>
      <c r="V31" s="11">
        <f>IFERROR(IF(MARÍTIMOS[[#This Row],[Etapa Retiro - Atención]]="","",MARÍTIMOS[[#This Row],[Etapa Retiro - Atención]]),"")</f>
        <v>46227.695138888892</v>
      </c>
      <c r="W31" s="11">
        <f>IFERROR(IF(MARÍTIMOS[[#This Row],[Etapa Retiro - Salida]]="","",MARÍTIMOS[[#This Row],[Etapa Retiro - Salida]]),"")</f>
        <v>46227.769444444442</v>
      </c>
      <c r="X31" s="11">
        <f>IFERROR(IF(MARÍTIMOS[[#This Row],[Etapa Retiro - Inicio de Ruta]]="","",MARÍTIMOS[[#This Row],[Etapa Retiro - Inicio de Ruta]]),"")</f>
        <v>46227.776388888888</v>
      </c>
      <c r="Y31" s="11">
        <f>IFERROR(IF(MARÍTIMOS[[#This Row],[Hora de Posicionamiento]]="","",MARÍTIMOS[[#This Row],[Hora de Carga]]+MARÍTIMOS[[#This Row],[Hora de Posicionamiento]]),"")</f>
        <v>0.75</v>
      </c>
      <c r="Z31" s="11">
        <f>IFERROR(IF(MARÍTIMOS[[#This Row],[Etapa Despacho -  Llegada]]="","",MARÍTIMOS[[#This Row],[Etapa Despacho -  Llegada]]),"")</f>
        <v>46228.033333333333</v>
      </c>
      <c r="AA31" s="11">
        <f>IFERROR(IF(MARÍTIMOS[[#This Row],[Etapa Despacho -  Registro]]="","",MARÍTIMOS[[#This Row],[Etapa Despacho -  Registro]]),"")</f>
        <v>46228.302777777775</v>
      </c>
      <c r="AB31" s="11">
        <f>IFERROR(IF(MARÍTIMOS[[#This Row],[Inspección Externa]]="","",MARÍTIMOS[[#This Row],[Inspección Externa]]),"")</f>
        <v>46228.305555555555</v>
      </c>
      <c r="AC31" s="11">
        <f>IFERROR(IF(MARÍTIMOS[[#This Row],[Etapa Despacho -  Inicio de Carga]]="","",MARÍTIMOS[[#This Row],[Etapa Despacho -  Inicio de Carga]]),"")</f>
        <v>46228.368055555555</v>
      </c>
      <c r="AD31" s="11">
        <f>IFERROR(IF(MARÍTIMOS[[#This Row],[Etapa Despacho -  Fin de Carga]]="","",MARÍTIMOS[[#This Row],[Etapa Despacho -  Fin de Carga]]),"")</f>
        <v>46228.414583333331</v>
      </c>
      <c r="AE31" s="11">
        <f>IFERROR(IF(MARÍTIMOS[[#This Row],[Etapa Despacho -  Salida]]="","",MARÍTIMOS[[#This Row],[Etapa Despacho -  Salida]]),"")</f>
        <v>46228.4375</v>
      </c>
      <c r="AF31" s="2" t="str">
        <f>IFERROR(IF(MARÍTIMOS[[#This Row],[Puerto de Embarque]]="","",MARÍTIMOS[[#This Row],[Puerto de Embarque]]),"")</f>
        <v>Paita</v>
      </c>
      <c r="AG31" s="2" t="str">
        <f>IFERROR(IF(MARÍTIMOS[[#This Row],[Almacén de Ingreso]]="","",MARÍTIMOS[[#This Row],[Almacén de Ingreso]]),"")</f>
        <v>TPE</v>
      </c>
      <c r="AH31" s="11">
        <f>IFERROR(IF(MARÍTIMOS[[#This Row],[Etapa Ingreso - Cita]]="","",MARÍTIMOS[[#This Row],[Etapa Ingreso - Cita]]),"")</f>
        <v>46228.708333333336</v>
      </c>
      <c r="AI31" s="11">
        <f>IFERROR(IF(MARÍTIMOS[[#This Row],[Etapa Ingreso - Llegada]]="","",MARÍTIMOS[[#This Row],[Etapa Ingreso - Llegada]]),"")</f>
        <v>46228.628472222219</v>
      </c>
      <c r="AJ31" s="11">
        <f>IFERROR(IF(MARÍTIMOS[[#This Row],[Etapa Ingreso - Ingeso]]="","",MARÍTIMOS[[#This Row],[Etapa Ingreso - Ingeso]]),"")</f>
        <v>46228.630555555559</v>
      </c>
      <c r="AK31" s="11">
        <f>IFERROR(IF(MARÍTIMOS[[#This Row],[Etapa Ingreso - Atención]]="","",MARÍTIMOS[[#This Row],[Etapa Ingreso - Atención]]),"")</f>
        <v>46228.630555555559</v>
      </c>
      <c r="AL31" s="11">
        <f>IFERROR(IF(MARÍTIMOS[[#This Row],[Etapa Ingreso - Salida]]="","",MARÍTIMOS[[#This Row],[Etapa Ingreso - Salida]]),"")</f>
        <v>46228.637499999997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1" s="5">
        <f>IFERROR(OLDBD[[#This Row],[Llegada a packing]]-OLDBD[[#This Row],[Inicio de Ruta]],"")</f>
        <v>0.25694444444525288</v>
      </c>
      <c r="AQ31" s="6">
        <f>IFERROR(OLDBD[[#This Row],[Inicio de Ruta]]-OLDBD[[#This Row],[Salida de almacén de retiro]],"")</f>
        <v>6.9444444452528842E-3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1" s="9">
        <f>IFERROR(OLDBD[[#This Row],[Ingreso Packing]]-OLDBD[[#This Row],[Registro en Packing]],"")</f>
        <v>2.7777777795563452E-3</v>
      </c>
      <c r="AV31" s="9">
        <f>IFERROR(OLDBD[[#This Row],[Ingreso Packing]]-OLDBD[[#This Row],[Llegada a packing]],"")</f>
        <v>0.27222222222189885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1" s="5">
        <f>IFERROR(OLDBD[[#This Row],[Llegada Almacén de Ingreso]]-OLDBD[[#This Row],[Salida Packing]],"")</f>
        <v>0.19097222221898846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1" s="45" t="s">
        <v>181</v>
      </c>
      <c r="BB31" s="53" t="str">
        <f>IFERROR(IF(MARÍTIMOS[[#This Row],[Estatus]]="","",MARÍTIMOS[[#This Row],[Estatus]]),"")</f>
        <v>Confirmado</v>
      </c>
      <c r="BC31" s="45"/>
      <c r="BD31" s="52">
        <f>IFERROR(OLDBD[[#This Row],[Salida de almacén de retiro]]-OLDBD[[#This Row],[Ingreso Almacén de retiro]],"")</f>
        <v>7.7083333329937886E-2</v>
      </c>
      <c r="BE31" s="52">
        <f>IFERROR(OLDBD[[#This Row],[Fin de Carga]]-OLDBD[[#This Row],[Inicio de Carga]],"")</f>
        <v>4.6527777776645962E-2</v>
      </c>
    </row>
    <row r="32" spans="1:57" x14ac:dyDescent="0.35">
      <c r="A32" s="1"/>
      <c r="B32" s="1">
        <f>IFERROR(IF(MARÍTIMOS[[#This Row],[PP]]="","",MARÍTIMOS[[#This Row],[PP]]),"")</f>
        <v>31</v>
      </c>
      <c r="C32" s="1" t="str">
        <f>IFERROR(IF(MARÍTIMOS[[#This Row],[Sede]]="","",MARÍTIMOS[[#This Row],[Sede]]),"")</f>
        <v>Olmos</v>
      </c>
      <c r="D32" s="1" t="str">
        <f>IFERROR(IF(MARÍTIMOS[[#This Row],[Instruction]]="","",MARÍTIMOS[[#This Row],[Instruction]]),"")</f>
        <v>RH-0336</v>
      </c>
      <c r="E32" s="1"/>
      <c r="F32" s="2" t="str">
        <f>IFERROR(IF(MARÍTIMOS[[#This Row],[Transportista]]="","",MARÍTIMOS[[#This Row],[Transportista]]),"")</f>
        <v>Costa Transport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TRANSPORTES COSTA TRANSPORT EIRL</v>
      </c>
      <c r="I32" s="2">
        <f>IFERROR(IF(MARÍTIMOS[[#This Row],[RUC]]="","",MARÍTIMOS[[#This Row],[RUC]]),"")</f>
        <v>20525373551</v>
      </c>
      <c r="J32" s="2" t="str">
        <f>IFERROR(IF(MARÍTIMOS[[#This Row],[Placa Tracto]]="","",MARÍTIMOS[[#This Row],[Placa Tracto]]),"")</f>
        <v>TFY-879</v>
      </c>
      <c r="K32" s="2" t="str">
        <f>IFERROR(IF(MARÍTIMOS[[#This Row],[Placa Carreta]]="","",MARÍTIMOS[[#This Row],[Placa Carreta]]),"")</f>
        <v>A1G-973</v>
      </c>
      <c r="L32" s="46" t="str">
        <f>IFERROR(IF(MARÍTIMOS[[#This Row],[Conductor]]="","",MARÍTIMOS[[#This Row],[Conductor]]),"")</f>
        <v>JORGE LUIS AZO RUIZ</v>
      </c>
      <c r="M32" s="2" t="str">
        <f>IFERROR(IF(MARÍTIMOS[[#This Row],[Licencia]]="","",MARÍTIMOS[[#This Row],[Licencia]]),"")</f>
        <v>B03874735</v>
      </c>
      <c r="N32" s="2">
        <f>IFERROR(IF(MARÍTIMOS[[#This Row],[Número de Contacto]]="","",MARÍTIMOS[[#This Row],[Número de Contacto]]),"")</f>
        <v>998231122</v>
      </c>
      <c r="O32" s="10" t="str">
        <f>IFERROR(IF(MARÍTIMOS[[#This Row],[Booking|AWB|CRT]]="","",MARÍTIMOS[[#This Row],[Booking|AWB|CRT]]),"")</f>
        <v>MBM250067110</v>
      </c>
      <c r="P32" s="2" t="str">
        <f>IFERROR(IF(MARÍTIMOS[[#This Row],[Contenedor]]="","",MARÍTIMOS[[#This Row],[Contenedor]]),"")</f>
        <v>SEKU936611-8</v>
      </c>
      <c r="Q32" s="2" t="str">
        <f>IFERROR(IF(MARÍTIMOS[[#This Row],[Puerto de Retiro]]="","",MARÍTIMOS[[#This Row],[Puerto de Retiro]]),"")</f>
        <v>PAITA</v>
      </c>
      <c r="R32" s="2" t="str">
        <f>IFERROR(IF(MARÍTIMOS[[#This Row],[Almacén de Retiro]]="","",MARÍTIMOS[[#This Row],[Almacén de Retiro]]),"")</f>
        <v>MACROMAR</v>
      </c>
      <c r="S32" s="11">
        <f>IFERROR(IF(MARÍTIMOS[[#This Row],[Etapa Retiro - Cita]]="","",MARÍTIMOS[[#This Row],[Etapa Retiro - Cita]]),"")</f>
        <v>46233.708333333336</v>
      </c>
      <c r="T32" s="11">
        <f>IFERROR(IF(MARÍTIMOS[[#This Row],[Etapa Retiro - Llegada]]="","",MARÍTIMOS[[#This Row],[Etapa Retiro - Llegada]]),"")</f>
        <v>46233.679166666669</v>
      </c>
      <c r="U32" s="11">
        <f>IFERROR(IF(MARÍTIMOS[[#This Row],[Etapa Retiro - Ingreso]]="","",MARÍTIMOS[[#This Row],[Etapa Retiro - Ingreso]]),"")</f>
        <v>46233.693055555559</v>
      </c>
      <c r="V32" s="11">
        <f>IFERROR(IF(MARÍTIMOS[[#This Row],[Etapa Retiro - Atención]]="","",MARÍTIMOS[[#This Row],[Etapa Retiro - Atención]]),"")</f>
        <v>46233.693055555559</v>
      </c>
      <c r="W32" s="11">
        <f>IFERROR(IF(MARÍTIMOS[[#This Row],[Etapa Retiro - Salida]]="","",MARÍTIMOS[[#This Row],[Etapa Retiro - Salida]]),"")</f>
        <v>46233.756944444445</v>
      </c>
      <c r="X32" s="11">
        <f>IFERROR(IF(MARÍTIMOS[[#This Row],[Etapa Retiro - Inicio de Ruta]]="","",MARÍTIMOS[[#This Row],[Etapa Retiro - Inicio de Ruta]]),"")</f>
        <v>46233.774305555555</v>
      </c>
      <c r="Y32" s="11">
        <f>IFERROR(IF(MARÍTIMOS[[#This Row],[Hora de Posicionamiento]]="","",MARÍTIMOS[[#This Row],[Hora de Carga]]+MARÍTIMOS[[#This Row],[Hora de Posicionamiento]]),"")</f>
        <v>0.75</v>
      </c>
      <c r="Z32" s="11">
        <f>IFERROR(IF(MARÍTIMOS[[#This Row],[Etapa Despacho -  Llegada]]="","",MARÍTIMOS[[#This Row],[Etapa Despacho -  Llegada]]),"")</f>
        <v>46233.965277777781</v>
      </c>
      <c r="AA32" s="11">
        <f>IFERROR(IF(MARÍTIMOS[[#This Row],[Etapa Despacho -  Registro]]="","",MARÍTIMOS[[#This Row],[Etapa Despacho -  Registro]]),"")</f>
        <v>46234.333333333336</v>
      </c>
      <c r="AB32" s="11">
        <f>IFERROR(IF(MARÍTIMOS[[#This Row],[Inspección Externa]]="","",MARÍTIMOS[[#This Row],[Inspección Externa]]),"")</f>
        <v>46234.345138888886</v>
      </c>
      <c r="AC32" s="11">
        <f>IFERROR(IF(MARÍTIMOS[[#This Row],[Etapa Despacho -  Inicio de Carga]]="","",MARÍTIMOS[[#This Row],[Etapa Despacho -  Inicio de Carga]]),"")</f>
        <v>46234.618055555555</v>
      </c>
      <c r="AD32" s="11">
        <f>IFERROR(IF(MARÍTIMOS[[#This Row],[Etapa Despacho -  Fin de Carga]]="","",MARÍTIMOS[[#This Row],[Etapa Despacho -  Fin de Carga]]),"")</f>
        <v>46234.663888888892</v>
      </c>
      <c r="AE32" s="11">
        <f>IFERROR(IF(MARÍTIMOS[[#This Row],[Etapa Despacho -  Salida]]="","",MARÍTIMOS[[#This Row],[Etapa Despacho -  Salida]]),"")</f>
        <v>46234.679166666669</v>
      </c>
      <c r="AF32" s="2" t="str">
        <f>IFERROR(IF(MARÍTIMOS[[#This Row],[Puerto de Embarque]]="","",MARÍTIMOS[[#This Row],[Puerto de Embarque]]),"")</f>
        <v>Paita</v>
      </c>
      <c r="AG32" s="2" t="str">
        <f>IFERROR(IF(MARÍTIMOS[[#This Row],[Almacén de Ingreso]]="","",MARÍTIMOS[[#This Row],[Almacén de Ingreso]]),"")</f>
        <v>TPE</v>
      </c>
      <c r="AH32" s="11">
        <f>IFERROR(IF(MARÍTIMOS[[#This Row],[Etapa Ingreso - Cita]]="","",MARÍTIMOS[[#This Row],[Etapa Ingreso - Cita]]),"")</f>
        <v>46234.916666666664</v>
      </c>
      <c r="AI32" s="11">
        <f>IFERROR(IF(MARÍTIMOS[[#This Row],[Etapa Ingreso - Llegada]]="","",MARÍTIMOS[[#This Row],[Etapa Ingreso - Llegada]]),"")</f>
        <v>46234.885416666664</v>
      </c>
      <c r="AJ32" s="11">
        <f>IFERROR(IF(MARÍTIMOS[[#This Row],[Etapa Ingreso - Ingeso]]="","",MARÍTIMOS[[#This Row],[Etapa Ingreso - Ingeso]]),"")</f>
        <v>46234.888888888891</v>
      </c>
      <c r="AK32" s="11">
        <f>IFERROR(IF(MARÍTIMOS[[#This Row],[Etapa Ingreso - Atención]]="","",MARÍTIMOS[[#This Row],[Etapa Ingreso - Atención]]),"")</f>
        <v>46234.894444444442</v>
      </c>
      <c r="AL32" s="11">
        <f>IFERROR(IF(MARÍTIMOS[[#This Row],[Etapa Ingreso - Salida]]="","",MARÍTIMOS[[#This Row],[Etapa Ingreso - Salida]]),"")</f>
        <v>46234.897222222222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2" s="5">
        <f>IFERROR(OLDBD[[#This Row],[Llegada a packing]]-OLDBD[[#This Row],[Inicio de Ruta]],"")</f>
        <v>0.19097222222626442</v>
      </c>
      <c r="AQ32" s="6">
        <f>IFERROR(OLDBD[[#This Row],[Inicio de Ruta]]-OLDBD[[#This Row],[Salida de almacén de retiro]],"")</f>
        <v>1.7361111109494232E-2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2" s="9">
        <f>IFERROR(OLDBD[[#This Row],[Ingreso Packing]]-OLDBD[[#This Row],[Registro en Packing]],"")</f>
        <v>1.1805555550381541E-2</v>
      </c>
      <c r="AV32" s="9">
        <f>IFERROR(OLDBD[[#This Row],[Ingreso Packing]]-OLDBD[[#This Row],[Llegada a packing]],"")</f>
        <v>0.37986111110512866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2" s="5">
        <f>IFERROR(OLDBD[[#This Row],[Llegada Almacén de Ingreso]]-OLDBD[[#This Row],[Salida Packing]],"")</f>
        <v>0.20624999999563443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" s="45" t="s">
        <v>181</v>
      </c>
      <c r="BB32" s="53" t="str">
        <f>IFERROR(IF(MARÍTIMOS[[#This Row],[Estatus]]="","",MARÍTIMOS[[#This Row],[Estatus]]),"")</f>
        <v>Confirmado</v>
      </c>
      <c r="BC32" s="45"/>
      <c r="BD32" s="52">
        <f>IFERROR(OLDBD[[#This Row],[Salida de almacén de retiro]]-OLDBD[[#This Row],[Ingreso Almacén de retiro]],"")</f>
        <v>6.3888888886140194E-2</v>
      </c>
      <c r="BE32" s="52">
        <f>IFERROR(OLDBD[[#This Row],[Fin de Carga]]-OLDBD[[#This Row],[Inicio de Carga]],"")</f>
        <v>4.5833333337213844E-2</v>
      </c>
    </row>
    <row r="33" spans="1:57" x14ac:dyDescent="0.35">
      <c r="A33" s="1"/>
      <c r="B33" s="1">
        <f>IFERROR(IF(MARÍTIMOS[[#This Row],[PP]]="","",MARÍTIMOS[[#This Row],[PP]]),"")</f>
        <v>31</v>
      </c>
      <c r="C33" s="1" t="str">
        <f>IFERROR(IF(MARÍTIMOS[[#This Row],[Sede]]="","",MARÍTIMOS[[#This Row],[Sede]]),"")</f>
        <v>Olmos</v>
      </c>
      <c r="D33" s="1" t="str">
        <f>IFERROR(IF(MARÍTIMOS[[#This Row],[Instruction]]="","",MARÍTIMOS[[#This Row],[Instruction]]),"")</f>
        <v>RH-0337</v>
      </c>
      <c r="E33" s="1"/>
      <c r="F33" s="2" t="str">
        <f>IFERROR(IF(MARÍTIMOS[[#This Row],[Transportista]]="","",MARÍTIMOS[[#This Row],[Transportista]]),"")</f>
        <v>Costa Transport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TRANSPORTES COSTA TRANSPORT EIRL</v>
      </c>
      <c r="I33" s="2">
        <f>IFERROR(IF(MARÍTIMOS[[#This Row],[RUC]]="","",MARÍTIMOS[[#This Row],[RUC]]),"")</f>
        <v>20525373551</v>
      </c>
      <c r="J33" s="2" t="str">
        <f>IFERROR(IF(MARÍTIMOS[[#This Row],[Placa Tracto]]="","",MARÍTIMOS[[#This Row],[Placa Tracto]]),"")</f>
        <v>T4P-940</v>
      </c>
      <c r="K33" s="2" t="str">
        <f>IFERROR(IF(MARÍTIMOS[[#This Row],[Placa Carreta]]="","",MARÍTIMOS[[#This Row],[Placa Carreta]]),"")</f>
        <v>A8N-987</v>
      </c>
      <c r="L33" s="46" t="str">
        <f>IFERROR(IF(MARÍTIMOS[[#This Row],[Conductor]]="","",MARÍTIMOS[[#This Row],[Conductor]]),"")</f>
        <v>ARMANDO SAAVEDRA CALDERON</v>
      </c>
      <c r="M33" s="2" t="str">
        <f>IFERROR(IF(MARÍTIMOS[[#This Row],[Licencia]]="","",MARÍTIMOS[[#This Row],[Licencia]]),"")</f>
        <v>B75606898</v>
      </c>
      <c r="N33" s="2">
        <f>IFERROR(IF(MARÍTIMOS[[#This Row],[Número de Contacto]]="","",MARÍTIMOS[[#This Row],[Número de Contacto]]),"")</f>
        <v>970999799</v>
      </c>
      <c r="O33" s="10" t="str">
        <f>IFERROR(IF(MARÍTIMOS[[#This Row],[Booking|AWB|CRT]]="","",MARÍTIMOS[[#This Row],[Booking|AWB|CRT]]),"")</f>
        <v>MBM250068047</v>
      </c>
      <c r="P33" s="2" t="str">
        <f>IFERROR(IF(MARÍTIMOS[[#This Row],[Contenedor]]="","",MARÍTIMOS[[#This Row],[Contenedor]]),"")</f>
        <v>CAAU403244-8</v>
      </c>
      <c r="Q33" s="2" t="str">
        <f>IFERROR(IF(MARÍTIMOS[[#This Row],[Puerto de Retiro]]="","",MARÍTIMOS[[#This Row],[Puerto de Retiro]]),"")</f>
        <v>PAITA</v>
      </c>
      <c r="R33" s="2" t="str">
        <f>IFERROR(IF(MARÍTIMOS[[#This Row],[Almacén de Retiro]]="","",MARÍTIMOS[[#This Row],[Almacén de Retiro]]),"")</f>
        <v>MACROMAR</v>
      </c>
      <c r="S33" s="11">
        <f>IFERROR(IF(MARÍTIMOS[[#This Row],[Etapa Retiro - Cita]]="","",MARÍTIMOS[[#This Row],[Etapa Retiro - Cita]]),"")</f>
        <v>46233.708333333336</v>
      </c>
      <c r="T33" s="11">
        <f>IFERROR(IF(MARÍTIMOS[[#This Row],[Etapa Retiro - Llegada]]="","",MARÍTIMOS[[#This Row],[Etapa Retiro - Llegada]]),"")</f>
        <v>46233.703472222223</v>
      </c>
      <c r="U33" s="11">
        <f>IFERROR(IF(MARÍTIMOS[[#This Row],[Etapa Retiro - Ingreso]]="","",MARÍTIMOS[[#This Row],[Etapa Retiro - Ingreso]]),"")</f>
        <v>46233.719444444447</v>
      </c>
      <c r="V33" s="11">
        <f>IFERROR(IF(MARÍTIMOS[[#This Row],[Etapa Retiro - Atención]]="","",MARÍTIMOS[[#This Row],[Etapa Retiro - Atención]]),"")</f>
        <v>46233.719444444447</v>
      </c>
      <c r="W33" s="11">
        <f>IFERROR(IF(MARÍTIMOS[[#This Row],[Etapa Retiro - Salida]]="","",MARÍTIMOS[[#This Row],[Etapa Retiro - Salida]]),"")</f>
        <v>46233.820833333331</v>
      </c>
      <c r="X33" s="11">
        <f>IFERROR(IF(MARÍTIMOS[[#This Row],[Etapa Retiro - Inicio de Ruta]]="","",MARÍTIMOS[[#This Row],[Etapa Retiro - Inicio de Ruta]]),"")</f>
        <v>46233.827777777777</v>
      </c>
      <c r="Y33" s="11">
        <f>IFERROR(IF(MARÍTIMOS[[#This Row],[Hora de Posicionamiento]]="","",MARÍTIMOS[[#This Row],[Hora de Carga]]+MARÍTIMOS[[#This Row],[Hora de Posicionamiento]]),"")</f>
        <v>0.75</v>
      </c>
      <c r="Z33" s="11">
        <f>IFERROR(IF(MARÍTIMOS[[#This Row],[Etapa Despacho -  Llegada]]="","",MARÍTIMOS[[#This Row],[Etapa Despacho -  Llegada]]),"")</f>
        <v>46234.293055555558</v>
      </c>
      <c r="AA33" s="11">
        <f>IFERROR(IF(MARÍTIMOS[[#This Row],[Etapa Despacho -  Registro]]="","",MARÍTIMOS[[#This Row],[Etapa Despacho -  Registro]]),"")</f>
        <v>46234.333333333336</v>
      </c>
      <c r="AB33" s="11">
        <f>IFERROR(IF(MARÍTIMOS[[#This Row],[Inspección Externa]]="","",MARÍTIMOS[[#This Row],[Inspección Externa]]),"")</f>
        <v>46234.351388888892</v>
      </c>
      <c r="AC33" s="11">
        <f>IFERROR(IF(MARÍTIMOS[[#This Row],[Etapa Despacho -  Inicio de Carga]]="","",MARÍTIMOS[[#This Row],[Etapa Despacho -  Inicio de Carga]]),"")</f>
        <v>46234.486111111109</v>
      </c>
      <c r="AD33" s="11">
        <f>IFERROR(IF(MARÍTIMOS[[#This Row],[Etapa Despacho -  Fin de Carga]]="","",MARÍTIMOS[[#This Row],[Etapa Despacho -  Fin de Carga]]),"")</f>
        <v>46234.506944444445</v>
      </c>
      <c r="AE33" s="11">
        <f>IFERROR(IF(MARÍTIMOS[[#This Row],[Etapa Despacho -  Salida]]="","",MARÍTIMOS[[#This Row],[Etapa Despacho -  Salida]]),"")</f>
        <v>46234.521527777775</v>
      </c>
      <c r="AF33" s="2" t="str">
        <f>IFERROR(IF(MARÍTIMOS[[#This Row],[Puerto de Embarque]]="","",MARÍTIMOS[[#This Row],[Puerto de Embarque]]),"")</f>
        <v>Paita</v>
      </c>
      <c r="AG33" s="2" t="str">
        <f>IFERROR(IF(MARÍTIMOS[[#This Row],[Almacén de Ingreso]]="","",MARÍTIMOS[[#This Row],[Almacén de Ingreso]]),"")</f>
        <v>TPE</v>
      </c>
      <c r="AH33" s="11">
        <f>IFERROR(IF(MARÍTIMOS[[#This Row],[Etapa Ingreso - Cita]]="","",MARÍTIMOS[[#This Row],[Etapa Ingreso - Cita]]),"")</f>
        <v>46234.791666666664</v>
      </c>
      <c r="AI33" s="11">
        <f>IFERROR(IF(MARÍTIMOS[[#This Row],[Etapa Ingreso - Llegada]]="","",MARÍTIMOS[[#This Row],[Etapa Ingreso - Llegada]]),"")</f>
        <v>46234.722222222219</v>
      </c>
      <c r="AJ33" s="11">
        <f>IFERROR(IF(MARÍTIMOS[[#This Row],[Etapa Ingreso - Ingeso]]="","",MARÍTIMOS[[#This Row],[Etapa Ingreso - Ingeso]]),"")</f>
        <v>46234.729166666664</v>
      </c>
      <c r="AK33" s="11">
        <f>IFERROR(IF(MARÍTIMOS[[#This Row],[Etapa Ingreso - Atención]]="","",MARÍTIMOS[[#This Row],[Etapa Ingreso - Atención]]),"")</f>
        <v>46234.743750000001</v>
      </c>
      <c r="AL33" s="11">
        <f>IFERROR(IF(MARÍTIMOS[[#This Row],[Etapa Ingreso - Salida]]="","",MARÍTIMOS[[#This Row],[Etapa Ingreso - Salida]]),"")</f>
        <v>46234.74722222222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3" s="5">
        <f>IFERROR(OLDBD[[#This Row],[Llegada a packing]]-OLDBD[[#This Row],[Inicio de Ruta]],"")</f>
        <v>0.46527777778101154</v>
      </c>
      <c r="AQ33" s="6">
        <f>IFERROR(OLDBD[[#This Row],[Inicio de Ruta]]-OLDBD[[#This Row],[Salida de almacén de retiro]],"")</f>
        <v>6.9444444452528842E-3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" s="9">
        <f>IFERROR(OLDBD[[#This Row],[Ingreso Packing]]-OLDBD[[#This Row],[Registro en Packing]],"")</f>
        <v>1.8055555556202307E-2</v>
      </c>
      <c r="AV33" s="9">
        <f>IFERROR(OLDBD[[#This Row],[Ingreso Packing]]-OLDBD[[#This Row],[Llegada a packing]],"")</f>
        <v>5.8333333334303461E-2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3" s="5">
        <f>IFERROR(OLDBD[[#This Row],[Llegada Almacén de Ingreso]]-OLDBD[[#This Row],[Salida Packing]],"")</f>
        <v>0.20069444444379769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" s="45" t="s">
        <v>181</v>
      </c>
      <c r="BB33" s="53" t="str">
        <f>IFERROR(IF(MARÍTIMOS[[#This Row],[Estatus]]="","",MARÍTIMOS[[#This Row],[Estatus]]),"")</f>
        <v>Confirmado</v>
      </c>
      <c r="BC33" s="45"/>
      <c r="BD33" s="52">
        <f>IFERROR(OLDBD[[#This Row],[Salida de almacén de retiro]]-OLDBD[[#This Row],[Ingreso Almacén de retiro]],"")</f>
        <v>0.101388888884685</v>
      </c>
      <c r="BE33" s="52">
        <f>IFERROR(OLDBD[[#This Row],[Fin de Carga]]-OLDBD[[#This Row],[Inicio de Carga]],"")</f>
        <v>2.0833333335758653E-2</v>
      </c>
    </row>
    <row r="34" spans="1:57" x14ac:dyDescent="0.35">
      <c r="A34" s="1"/>
      <c r="B34" s="1">
        <f>IFERROR(IF(MARÍTIMOS[[#This Row],[PP]]="","",MARÍTIMOS[[#This Row],[PP]]),"")</f>
        <v>32</v>
      </c>
      <c r="C34" s="1" t="str">
        <f>IFERROR(IF(MARÍTIMOS[[#This Row],[Sede]]="","",MARÍTIMOS[[#This Row],[Sede]]),"")</f>
        <v>Olmos</v>
      </c>
      <c r="D34" s="1" t="str">
        <f>IFERROR(IF(MARÍTIMOS[[#This Row],[Instruction]]="","",MARÍTIMOS[[#This Row],[Instruction]]),"")</f>
        <v>RH-0462</v>
      </c>
      <c r="E34" s="1"/>
      <c r="F34" s="2" t="str">
        <f>IFERROR(IF(MARÍTIMOS[[#This Row],[Transportista]]="","",MARÍTIMOS[[#This Row],[Transportista]]),"")</f>
        <v>Costa Transport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TRANSPORTES COSTA TRANSPORT EIRL</v>
      </c>
      <c r="I34" s="2">
        <f>IFERROR(IF(MARÍTIMOS[[#This Row],[RUC]]="","",MARÍTIMOS[[#This Row],[RUC]]),"")</f>
        <v>20525373551</v>
      </c>
      <c r="J34" s="2" t="str">
        <f>IFERROR(IF(MARÍTIMOS[[#This Row],[Placa Tracto]]="","",MARÍTIMOS[[#This Row],[Placa Tracto]]),"")</f>
        <v>T3A-807</v>
      </c>
      <c r="K34" s="2" t="str">
        <f>IFERROR(IF(MARÍTIMOS[[#This Row],[Placa Carreta]]="","",MARÍTIMOS[[#This Row],[Placa Carreta]]),"")</f>
        <v>B7Q-991</v>
      </c>
      <c r="L34" s="46" t="str">
        <f>IFERROR(IF(MARÍTIMOS[[#This Row],[Conductor]]="","",MARÍTIMOS[[#This Row],[Conductor]]),"")</f>
        <v>CASTILLO MARTINEZ ALEJANDRO.</v>
      </c>
      <c r="M34" s="2" t="str">
        <f>IFERROR(IF(MARÍTIMOS[[#This Row],[Licencia]]="","",MARÍTIMOS[[#This Row],[Licencia]]),"")</f>
        <v>B02753773</v>
      </c>
      <c r="N34" s="2">
        <f>IFERROR(IF(MARÍTIMOS[[#This Row],[Número de Contacto]]="","",MARÍTIMOS[[#This Row],[Número de Contacto]]),"")</f>
        <v>998255542</v>
      </c>
      <c r="O34" s="10">
        <f>IFERROR(IF(MARÍTIMOS[[#This Row],[Booking|AWB|CRT]]="","",MARÍTIMOS[[#This Row],[Booking|AWB|CRT]]),"")</f>
        <v>6462052060</v>
      </c>
      <c r="P34" s="2" t="str">
        <f>IFERROR(IF(MARÍTIMOS[[#This Row],[Contenedor]]="","",MARÍTIMOS[[#This Row],[Contenedor]]),"")</f>
        <v>FBIU5755590</v>
      </c>
      <c r="Q34" s="2" t="str">
        <f>IFERROR(IF(MARÍTIMOS[[#This Row],[Puerto de Retiro]]="","",MARÍTIMOS[[#This Row],[Puerto de Retiro]]),"")</f>
        <v>PAITA</v>
      </c>
      <c r="R34" s="2" t="str">
        <f>IFERROR(IF(MARÍTIMOS[[#This Row],[Almacén de Retiro]]="","",MARÍTIMOS[[#This Row],[Almacén de Retiro]]),"")</f>
        <v>RANSA</v>
      </c>
      <c r="S34" s="11">
        <f>IFERROR(IF(MARÍTIMOS[[#This Row],[Etapa Retiro - Cita]]="","",MARÍTIMOS[[#This Row],[Etapa Retiro - Cita]]),"")</f>
        <v>46240.375</v>
      </c>
      <c r="T34" s="11">
        <f>IFERROR(IF(MARÍTIMOS[[#This Row],[Etapa Retiro - Llegada]]="","",MARÍTIMOS[[#This Row],[Etapa Retiro - Llegada]]),"")</f>
        <v>46240.376388888886</v>
      </c>
      <c r="U34" s="11">
        <f>IFERROR(IF(MARÍTIMOS[[#This Row],[Etapa Retiro - Ingreso]]="","",MARÍTIMOS[[#This Row],[Etapa Retiro - Ingreso]]),"")</f>
        <v>46240.384722222225</v>
      </c>
      <c r="V34" s="11">
        <f>IFERROR(IF(MARÍTIMOS[[#This Row],[Etapa Retiro - Atención]]="","",MARÍTIMOS[[#This Row],[Etapa Retiro - Atención]]),"")</f>
        <v>46240.384722222225</v>
      </c>
      <c r="W34" s="11">
        <f>IFERROR(IF(MARÍTIMOS[[#This Row],[Etapa Retiro - Salida]]="","",MARÍTIMOS[[#This Row],[Etapa Retiro - Salida]]),"")</f>
        <v>46240.5</v>
      </c>
      <c r="X34" s="11">
        <f>IFERROR(IF(MARÍTIMOS[[#This Row],[Etapa Retiro - Inicio de Ruta]]="","",MARÍTIMOS[[#This Row],[Etapa Retiro - Inicio de Ruta]]),"")</f>
        <v>46241.144444444442</v>
      </c>
      <c r="Y34" s="11">
        <f>IFERROR(IF(MARÍTIMOS[[#This Row],[Hora de Posicionamiento]]="","",MARÍTIMOS[[#This Row],[Hora de Carga]]+MARÍTIMOS[[#This Row],[Hora de Posicionamiento]]),"")</f>
        <v>0.75</v>
      </c>
      <c r="Z34" s="11">
        <f>IFERROR(IF(MARÍTIMOS[[#This Row],[Etapa Despacho -  Llegada]]="","",MARÍTIMOS[[#This Row],[Etapa Despacho -  Llegada]]),"")</f>
        <v>46241.318055555559</v>
      </c>
      <c r="AA34" s="11">
        <f>IFERROR(IF(MARÍTIMOS[[#This Row],[Etapa Despacho -  Registro]]="","",MARÍTIMOS[[#This Row],[Etapa Despacho -  Registro]]),"")</f>
        <v>46241.365277777775</v>
      </c>
      <c r="AB34" s="11">
        <f>IFERROR(IF(MARÍTIMOS[[#This Row],[Inspección Externa]]="","",MARÍTIMOS[[#This Row],[Inspección Externa]]),"")</f>
        <v>46241.365277777775</v>
      </c>
      <c r="AC34" s="11">
        <f>IFERROR(IF(MARÍTIMOS[[#This Row],[Etapa Despacho -  Inicio de Carga]]="","",MARÍTIMOS[[#This Row],[Etapa Despacho -  Inicio de Carga]]),"")</f>
        <v>46241.640277777777</v>
      </c>
      <c r="AD34" s="11">
        <f>IFERROR(IF(MARÍTIMOS[[#This Row],[Etapa Despacho -  Fin de Carga]]="","",MARÍTIMOS[[#This Row],[Etapa Despacho -  Fin de Carga]]),"")</f>
        <v>46241.689583333333</v>
      </c>
      <c r="AE34" s="11">
        <f>IFERROR(IF(MARÍTIMOS[[#This Row],[Etapa Despacho -  Salida]]="","",MARÍTIMOS[[#This Row],[Etapa Despacho -  Salida]]),"")</f>
        <v>46241.701388888891</v>
      </c>
      <c r="AF34" s="2" t="str">
        <f>IFERROR(IF(MARÍTIMOS[[#This Row],[Puerto de Embarque]]="","",MARÍTIMOS[[#This Row],[Puerto de Embarque]]),"")</f>
        <v>Paita</v>
      </c>
      <c r="AG34" s="2" t="str">
        <f>IFERROR(IF(MARÍTIMOS[[#This Row],[Almacén de Ingreso]]="","",MARÍTIMOS[[#This Row],[Almacén de Ingreso]]),"")</f>
        <v>TPE</v>
      </c>
      <c r="AH34" s="11">
        <f>IFERROR(IF(MARÍTIMOS[[#This Row],[Etapa Ingreso - Cita]]="","",MARÍTIMOS[[#This Row],[Etapa Ingreso - Cita]]),"")</f>
        <v>46241.958333333336</v>
      </c>
      <c r="AI34" s="11">
        <f>IFERROR(IF(MARÍTIMOS[[#This Row],[Etapa Ingreso - Llegada]]="","",MARÍTIMOS[[#This Row],[Etapa Ingreso - Llegada]]),"")</f>
        <v>46241.893055555556</v>
      </c>
      <c r="AJ34" s="11">
        <f>IFERROR(IF(MARÍTIMOS[[#This Row],[Etapa Ingreso - Ingeso]]="","",MARÍTIMOS[[#This Row],[Etapa Ingreso - Ingeso]]),"")</f>
        <v>46241.912499999999</v>
      </c>
      <c r="AK34" s="11">
        <f>IFERROR(IF(MARÍTIMOS[[#This Row],[Etapa Ingreso - Atención]]="","",MARÍTIMOS[[#This Row],[Etapa Ingreso - Atención]]),"")</f>
        <v>46241.916666666664</v>
      </c>
      <c r="AL34" s="11">
        <f>IFERROR(IF(MARÍTIMOS[[#This Row],[Etapa Ingreso - Salida]]="","",MARÍTIMOS[[#This Row],[Etapa Ingreso - Salida]]),"")</f>
        <v>46241.920138888891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4" s="5">
        <f>IFERROR(OLDBD[[#This Row],[Llegada a packing]]-OLDBD[[#This Row],[Inicio de Ruta]],"")</f>
        <v>0.17361111111677019</v>
      </c>
      <c r="AQ34" s="6">
        <f>IFERROR(OLDBD[[#This Row],[Inicio de Ruta]]-OLDBD[[#This Row],[Salida de almacén de retiro]],"")</f>
        <v>0.6444444444423425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0</v>
      </c>
      <c r="AV34" s="9">
        <f>IFERROR(OLDBD[[#This Row],[Ingreso Packing]]-OLDBD[[#This Row],[Llegada a packing]],"")</f>
        <v>4.722222221607808E-2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4" s="5">
        <f>IFERROR(OLDBD[[#This Row],[Llegada Almacén de Ingreso]]-OLDBD[[#This Row],[Salida Packing]],"")</f>
        <v>0.19166666666569654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5" t="s">
        <v>181</v>
      </c>
      <c r="BB34" s="53" t="str">
        <f>IFERROR(IF(MARÍTIMOS[[#This Row],[Estatus]]="","",MARÍTIMOS[[#This Row],[Estatus]]),"")</f>
        <v>Confirmado</v>
      </c>
      <c r="BC34" s="45"/>
      <c r="BD34" s="52">
        <f>IFERROR(OLDBD[[#This Row],[Salida de almacén de retiro]]-OLDBD[[#This Row],[Ingreso Almacén de retiro]],"")</f>
        <v>0.11527777777519077</v>
      </c>
      <c r="BE34" s="52">
        <f>IFERROR(OLDBD[[#This Row],[Fin de Carga]]-OLDBD[[#This Row],[Inicio de Carga]],"")</f>
        <v>4.9305555556202307E-2</v>
      </c>
    </row>
    <row r="35" spans="1:57" x14ac:dyDescent="0.35">
      <c r="A35" s="1"/>
      <c r="B35" s="1">
        <f>IFERROR(IF(MARÍTIMOS[[#This Row],[PP]]="","",MARÍTIMOS[[#This Row],[PP]]),"")</f>
        <v>32</v>
      </c>
      <c r="C35" s="1" t="str">
        <f>IFERROR(IF(MARÍTIMOS[[#This Row],[Sede]]="","",MARÍTIMOS[[#This Row],[Sede]]),"")</f>
        <v>Olmos</v>
      </c>
      <c r="D35" s="1" t="str">
        <f>IFERROR(IF(MARÍTIMOS[[#This Row],[Instruction]]="","",MARÍTIMOS[[#This Row],[Instruction]]),"")</f>
        <v>RH-0435</v>
      </c>
      <c r="E35" s="1"/>
      <c r="F35" s="2" t="str">
        <f>IFERROR(IF(MARÍTIMOS[[#This Row],[Transportista]]="","",MARÍTIMOS[[#This Row],[Transportista]]),"")</f>
        <v>Costa Transport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TRANSPORTES COSTA TRANSPORT EIRL</v>
      </c>
      <c r="I35" s="2">
        <f>IFERROR(IF(MARÍTIMOS[[#This Row],[RUC]]="","",MARÍTIMOS[[#This Row],[RUC]]),"")</f>
        <v>20525373551</v>
      </c>
      <c r="J35" s="2" t="str">
        <f>IFERROR(IF(MARÍTIMOS[[#This Row],[Placa Tracto]]="","",MARÍTIMOS[[#This Row],[Placa Tracto]]),"")</f>
        <v>AVK-810</v>
      </c>
      <c r="K35" s="2" t="str">
        <f>IFERROR(IF(MARÍTIMOS[[#This Row],[Placa Carreta]]="","",MARÍTIMOS[[#This Row],[Placa Carreta]]),"")</f>
        <v>AMY-977</v>
      </c>
      <c r="L35" s="46" t="str">
        <f>IFERROR(IF(MARÍTIMOS[[#This Row],[Conductor]]="","",MARÍTIMOS[[#This Row],[Conductor]]),"")</f>
        <v>CEVALLOS ASTUDILLO JORGE LUIS</v>
      </c>
      <c r="M35" s="2" t="str">
        <f>IFERROR(IF(MARÍTIMOS[[#This Row],[Licencia]]="","",MARÍTIMOS[[#This Row],[Licencia]]),"")</f>
        <v>B42067818</v>
      </c>
      <c r="N35" s="2">
        <f>IFERROR(IF(MARÍTIMOS[[#This Row],[Número de Contacto]]="","",MARÍTIMOS[[#This Row],[Número de Contacto]]),"")</f>
        <v>998374895</v>
      </c>
      <c r="O35" s="10" t="str">
        <f>IFERROR(IF(MARÍTIMOS[[#This Row],[Booking|AWB|CRT]]="","",MARÍTIMOS[[#This Row],[Booking|AWB|CRT]]),"")</f>
        <v>MBM250067116</v>
      </c>
      <c r="P35" s="2" t="str">
        <f>IFERROR(IF(MARÍTIMOS[[#This Row],[Contenedor]]="","",MARÍTIMOS[[#This Row],[Contenedor]]),"")</f>
        <v>FDDU2541348</v>
      </c>
      <c r="Q35" s="2" t="str">
        <f>IFERROR(IF(MARÍTIMOS[[#This Row],[Puerto de Retiro]]="","",MARÍTIMOS[[#This Row],[Puerto de Retiro]]),"")</f>
        <v>PAITA</v>
      </c>
      <c r="R35" s="2" t="str">
        <f>IFERROR(IF(MARÍTIMOS[[#This Row],[Almacén de Retiro]]="","",MARÍTIMOS[[#This Row],[Almacén de Retiro]]),"")</f>
        <v>MACROMAR</v>
      </c>
      <c r="S35" s="11">
        <f>IFERROR(IF(MARÍTIMOS[[#This Row],[Etapa Retiro - Cita]]="","",MARÍTIMOS[[#This Row],[Etapa Retiro - Cita]]),"")</f>
        <v>46240.375</v>
      </c>
      <c r="T35" s="11">
        <f>IFERROR(IF(MARÍTIMOS[[#This Row],[Etapa Retiro - Llegada]]="","",MARÍTIMOS[[#This Row],[Etapa Retiro - Llegada]]),"")</f>
        <v>46240.366666666669</v>
      </c>
      <c r="U35" s="11">
        <f>IFERROR(IF(MARÍTIMOS[[#This Row],[Etapa Retiro - Ingreso]]="","",MARÍTIMOS[[#This Row],[Etapa Retiro - Ingreso]]),"")</f>
        <v>46240.385416666664</v>
      </c>
      <c r="V35" s="11">
        <f>IFERROR(IF(MARÍTIMOS[[#This Row],[Etapa Retiro - Atención]]="","",MARÍTIMOS[[#This Row],[Etapa Retiro - Atención]]),"")</f>
        <v>46240.393750000003</v>
      </c>
      <c r="W35" s="11">
        <f>IFERROR(IF(MARÍTIMOS[[#This Row],[Etapa Retiro - Salida]]="","",MARÍTIMOS[[#This Row],[Etapa Retiro - Salida]]),"")</f>
        <v>46240.436805555553</v>
      </c>
      <c r="X35" s="11">
        <f>IFERROR(IF(MARÍTIMOS[[#This Row],[Etapa Retiro - Inicio de Ruta]]="","",MARÍTIMOS[[#This Row],[Etapa Retiro - Inicio de Ruta]]),"")</f>
        <v>46241.14166666667</v>
      </c>
      <c r="Y35" s="11">
        <f>IFERROR(IF(MARÍTIMOS[[#This Row],[Hora de Posicionamiento]]="","",MARÍTIMOS[[#This Row],[Hora de Carga]]+MARÍTIMOS[[#This Row],[Hora de Posicionamiento]]),"")</f>
        <v>0.75</v>
      </c>
      <c r="Z35" s="11">
        <f>IFERROR(IF(MARÍTIMOS[[#This Row],[Etapa Despacho -  Llegada]]="","",MARÍTIMOS[[#This Row],[Etapa Despacho -  Llegada]]),"")</f>
        <v>46241.306250000001</v>
      </c>
      <c r="AA35" s="11">
        <f>IFERROR(IF(MARÍTIMOS[[#This Row],[Etapa Despacho -  Registro]]="","",MARÍTIMOS[[#This Row],[Etapa Despacho -  Registro]]),"")</f>
        <v>46241.355555555558</v>
      </c>
      <c r="AB35" s="11">
        <f>IFERROR(IF(MARÍTIMOS[[#This Row],[Inspección Externa]]="","",MARÍTIMOS[[#This Row],[Inspección Externa]]),"")</f>
        <v>46241.355555555558</v>
      </c>
      <c r="AC35" s="11">
        <f>IFERROR(IF(MARÍTIMOS[[#This Row],[Etapa Despacho -  Inicio de Carga]]="","",MARÍTIMOS[[#This Row],[Etapa Despacho -  Inicio de Carga]]),"")</f>
        <v>46241.698611111111</v>
      </c>
      <c r="AD35" s="11">
        <f>IFERROR(IF(MARÍTIMOS[[#This Row],[Etapa Despacho -  Fin de Carga]]="","",MARÍTIMOS[[#This Row],[Etapa Despacho -  Fin de Carga]]),"")</f>
        <v>46241.709722222222</v>
      </c>
      <c r="AE35" s="11">
        <f>IFERROR(IF(MARÍTIMOS[[#This Row],[Etapa Despacho -  Salida]]="","",MARÍTIMOS[[#This Row],[Etapa Despacho -  Salida]]),"")</f>
        <v>46241.723611111112</v>
      </c>
      <c r="AF35" s="2" t="str">
        <f>IFERROR(IF(MARÍTIMOS[[#This Row],[Puerto de Embarque]]="","",MARÍTIMOS[[#This Row],[Puerto de Embarque]]),"")</f>
        <v>Paita</v>
      </c>
      <c r="AG35" s="2" t="str">
        <f>IFERROR(IF(MARÍTIMOS[[#This Row],[Almacén de Ingreso]]="","",MARÍTIMOS[[#This Row],[Almacén de Ingreso]]),"")</f>
        <v>TPE</v>
      </c>
      <c r="AH35" s="11">
        <f>IFERROR(IF(MARÍTIMOS[[#This Row],[Etapa Ingreso - Cita]]="","",MARÍTIMOS[[#This Row],[Etapa Ingreso - Cita]]),"")</f>
        <v>46241.958333333336</v>
      </c>
      <c r="AI35" s="11">
        <f>IFERROR(IF(MARÍTIMOS[[#This Row],[Etapa Ingreso - Llegada]]="","",MARÍTIMOS[[#This Row],[Etapa Ingreso - Llegada]]),"")</f>
        <v>46241.913888888892</v>
      </c>
      <c r="AJ35" s="11">
        <f>IFERROR(IF(MARÍTIMOS[[#This Row],[Etapa Ingreso - Ingeso]]="","",MARÍTIMOS[[#This Row],[Etapa Ingreso - Ingeso]]),"")</f>
        <v>46241.915972222225</v>
      </c>
      <c r="AK35" s="11">
        <f>IFERROR(IF(MARÍTIMOS[[#This Row],[Etapa Ingreso - Atención]]="","",MARÍTIMOS[[#This Row],[Etapa Ingreso - Atención]]),"")</f>
        <v>46241.922222222223</v>
      </c>
      <c r="AL35" s="11">
        <f>IFERROR(IF(MARÍTIMOS[[#This Row],[Etapa Ingreso - Salida]]="","",MARÍTIMOS[[#This Row],[Etapa Ingreso - Salida]]),"")</f>
        <v>46241.929861111108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5" s="5">
        <f>IFERROR(OLDBD[[#This Row],[Llegada a packing]]-OLDBD[[#This Row],[Inicio de Ruta]],"")</f>
        <v>0.16458333333139308</v>
      </c>
      <c r="AQ35" s="6">
        <f>IFERROR(OLDBD[[#This Row],[Inicio de Ruta]]-OLDBD[[#This Row],[Salida de almacén de retiro]],"")</f>
        <v>0.70486111111677019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" s="9">
        <f>IFERROR(OLDBD[[#This Row],[Ingreso Packing]]-OLDBD[[#This Row],[Registro en Packing]],"")</f>
        <v>0</v>
      </c>
      <c r="AV35" s="9">
        <f>IFERROR(OLDBD[[#This Row],[Ingreso Packing]]-OLDBD[[#This Row],[Llegada a packing]],"")</f>
        <v>4.9305555556202307E-2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" s="5">
        <f>IFERROR(OLDBD[[#This Row],[Llegada Almacén de Ingreso]]-OLDBD[[#This Row],[Salida Packing]],"")</f>
        <v>0.19027777777955635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5" t="s">
        <v>181</v>
      </c>
      <c r="BB35" s="53" t="str">
        <f>IFERROR(IF(MARÍTIMOS[[#This Row],[Estatus]]="","",MARÍTIMOS[[#This Row],[Estatus]]),"")</f>
        <v>Confirmado</v>
      </c>
      <c r="BC35" s="45"/>
      <c r="BD35" s="52">
        <f>IFERROR(OLDBD[[#This Row],[Salida de almacén de retiro]]-OLDBD[[#This Row],[Ingreso Almacén de retiro]],"")</f>
        <v>5.1388888889050577E-2</v>
      </c>
      <c r="BE35" s="52">
        <f>IFERROR(OLDBD[[#This Row],[Fin de Carga]]-OLDBD[[#This Row],[Inicio de Carga]],"")</f>
        <v>1.1111111110949423E-2</v>
      </c>
    </row>
    <row r="36" spans="1:57" x14ac:dyDescent="0.35">
      <c r="A36" s="1"/>
      <c r="B36" s="1">
        <f>IFERROR(IF(MARÍTIMOS[[#This Row],[PP]]="","",MARÍTIMOS[[#This Row],[PP]]),"")</f>
        <v>32</v>
      </c>
      <c r="C36" s="1" t="str">
        <f>IFERROR(IF(MARÍTIMOS[[#This Row],[Sede]]="","",MARÍTIMOS[[#This Row],[Sede]]),"")</f>
        <v>Olmos</v>
      </c>
      <c r="D36" s="1" t="str">
        <f>IFERROR(IF(MARÍTIMOS[[#This Row],[Instruction]]="","",MARÍTIMOS[[#This Row],[Instruction]]),"")</f>
        <v>RH-0445</v>
      </c>
      <c r="E36" s="1"/>
      <c r="F36" s="2" t="str">
        <f>IFERROR(IF(MARÍTIMOS[[#This Row],[Transportista]]="","",MARÍTIMOS[[#This Row],[Transportista]]),"")</f>
        <v>Costa Transport</v>
      </c>
      <c r="G36" s="2" t="str">
        <f>IFERROR(IF(MARÍTIMOS[[#This Row],[Tercero]]="","",MARÍTIMOS[[#This Row],[Tercero]]),"")</f>
        <v>NO</v>
      </c>
      <c r="H36" s="2" t="str">
        <f>IFERROR(IF(MARÍTIMOS[[#This Row],[Razón Social]]="","",MARÍTIMOS[[#This Row],[Razón Social]]),"")</f>
        <v>TRANSPORTES COSTA TRANSPORT EIRL</v>
      </c>
      <c r="I36" s="2">
        <f>IFERROR(IF(MARÍTIMOS[[#This Row],[RUC]]="","",MARÍTIMOS[[#This Row],[RUC]]),"")</f>
        <v>20525373551</v>
      </c>
      <c r="J36" s="2" t="str">
        <f>IFERROR(IF(MARÍTIMOS[[#This Row],[Placa Tracto]]="","",MARÍTIMOS[[#This Row],[Placa Tracto]]),"")</f>
        <v>C3Y-864</v>
      </c>
      <c r="K36" s="2" t="str">
        <f>IFERROR(IF(MARÍTIMOS[[#This Row],[Placa Carreta]]="","",MARÍTIMOS[[#This Row],[Placa Carreta]]),"")</f>
        <v>TNW-982</v>
      </c>
      <c r="L36" s="46" t="str">
        <f>IFERROR(IF(MARÍTIMOS[[#This Row],[Conductor]]="","",MARÍTIMOS[[#This Row],[Conductor]]),"")</f>
        <v>SEGUNDO TEODORO FLOREANO ORDINOLA.</v>
      </c>
      <c r="M36" s="2" t="str">
        <f>IFERROR(IF(MARÍTIMOS[[#This Row],[Licencia]]="","",MARÍTIMOS[[#This Row],[Licencia]]),"")</f>
        <v>C43049791</v>
      </c>
      <c r="N36" s="2">
        <f>IFERROR(IF(MARÍTIMOS[[#This Row],[Número de Contacto]]="","",MARÍTIMOS[[#This Row],[Número de Contacto]]),"")</f>
        <v>996830815</v>
      </c>
      <c r="O36" s="10" t="str">
        <f>IFERROR(IF(MARÍTIMOS[[#This Row],[Booking|AWB|CRT]]="","",MARÍTIMOS[[#This Row],[Booking|AWB|CRT]]),"")</f>
        <v>PER9174396A</v>
      </c>
      <c r="P36" s="2" t="str">
        <f>IFERROR(IF(MARÍTIMOS[[#This Row],[Contenedor]]="","",MARÍTIMOS[[#This Row],[Contenedor]]),"")</f>
        <v>BMOU9893117</v>
      </c>
      <c r="Q36" s="2" t="str">
        <f>IFERROR(IF(MARÍTIMOS[[#This Row],[Puerto de Retiro]]="","",MARÍTIMOS[[#This Row],[Puerto de Retiro]]),"")</f>
        <v>PAITA</v>
      </c>
      <c r="R36" s="2" t="str">
        <f>IFERROR(IF(MARÍTIMOS[[#This Row],[Almacén de Retiro]]="","",MARÍTIMOS[[#This Row],[Almacén de Retiro]]),"")</f>
        <v>DPW</v>
      </c>
      <c r="S36" s="11">
        <f>IFERROR(IF(MARÍTIMOS[[#This Row],[Etapa Retiro - Cita]]="","",MARÍTIMOS[[#This Row],[Etapa Retiro - Cita]]),"")</f>
        <v>46243.833333333336</v>
      </c>
      <c r="T36" s="11">
        <f>IFERROR(IF(MARÍTIMOS[[#This Row],[Etapa Retiro - Llegada]]="","",MARÍTIMOS[[#This Row],[Etapa Retiro - Llegada]]),"")</f>
        <v>46243.840277777781</v>
      </c>
      <c r="U36" s="11">
        <f>IFERROR(IF(MARÍTIMOS[[#This Row],[Etapa Retiro - Ingreso]]="","",MARÍTIMOS[[#This Row],[Etapa Retiro - Ingreso]]),"")</f>
        <v>46243.901388888888</v>
      </c>
      <c r="V36" s="11">
        <f>IFERROR(IF(MARÍTIMOS[[#This Row],[Etapa Retiro - Atención]]="","",MARÍTIMOS[[#This Row],[Etapa Retiro - Atención]]),"")</f>
        <v>46243.915972222225</v>
      </c>
      <c r="W36" s="11" t="str">
        <f>IFERROR(IF(MARÍTIMOS[[#This Row],[Etapa Retiro - Salida]]="","",MARÍTIMOS[[#This Row],[Etapa Retiro - Salida]]),"")</f>
        <v/>
      </c>
      <c r="X36" s="11">
        <f>IFERROR(IF(MARÍTIMOS[[#This Row],[Etapa Retiro - Inicio de Ruta]]="","",MARÍTIMOS[[#This Row],[Etapa Retiro - Inicio de Ruta]]),"")</f>
        <v>46244.197222222225</v>
      </c>
      <c r="Y36" s="11">
        <f>IFERROR(IF(MARÍTIMOS[[#This Row],[Hora de Posicionamiento]]="","",MARÍTIMOS[[#This Row],[Hora de Carga]]+MARÍTIMOS[[#This Row],[Hora de Posicionamiento]]),"")</f>
        <v>1.0833333333333335</v>
      </c>
      <c r="Z36" s="11">
        <f>IFERROR(IF(MARÍTIMOS[[#This Row],[Etapa Despacho -  Llegada]]="","",MARÍTIMOS[[#This Row],[Etapa Despacho -  Llegada]]),"")</f>
        <v>46244.434027777781</v>
      </c>
      <c r="AA36" s="11">
        <f>IFERROR(IF(MARÍTIMOS[[#This Row],[Etapa Despacho -  Registro]]="","",MARÍTIMOS[[#This Row],[Etapa Despacho -  Registro]]),"")</f>
        <v>46244.4375</v>
      </c>
      <c r="AB36" s="11">
        <f>IFERROR(IF(MARÍTIMOS[[#This Row],[Inspección Externa]]="","",MARÍTIMOS[[#This Row],[Inspección Externa]]),"")</f>
        <v>46244.447222222225</v>
      </c>
      <c r="AC36" s="11">
        <f>IFERROR(IF(MARÍTIMOS[[#This Row],[Etapa Despacho -  Inicio de Carga]]="","",MARÍTIMOS[[#This Row],[Etapa Despacho -  Inicio de Carga]]),"")</f>
        <v>46244.677083333336</v>
      </c>
      <c r="AD36" s="11">
        <f>IFERROR(IF(MARÍTIMOS[[#This Row],[Etapa Despacho -  Fin de Carga]]="","",MARÍTIMOS[[#This Row],[Etapa Despacho -  Fin de Carga]]),"")</f>
        <v>46244.705555555556</v>
      </c>
      <c r="AE36" s="11">
        <f>IFERROR(IF(MARÍTIMOS[[#This Row],[Etapa Despacho -  Salida]]="","",MARÍTIMOS[[#This Row],[Etapa Despacho -  Salida]]),"")</f>
        <v>46244.720833333333</v>
      </c>
      <c r="AF36" s="2" t="str">
        <f>IFERROR(IF(MARÍTIMOS[[#This Row],[Puerto de Embarque]]="","",MARÍTIMOS[[#This Row],[Puerto de Embarque]]),"")</f>
        <v>Paita</v>
      </c>
      <c r="AG36" s="2" t="str">
        <f>IFERROR(IF(MARÍTIMOS[[#This Row],[Almacén de Ingreso]]="","",MARÍTIMOS[[#This Row],[Almacén de Ingreso]]),"")</f>
        <v>TPE</v>
      </c>
      <c r="AH36" s="11">
        <f>IFERROR(IF(MARÍTIMOS[[#This Row],[Etapa Ingreso - Cita]]="","",MARÍTIMOS[[#This Row],[Etapa Ingreso - Cita]]),"")</f>
        <v>46245.041666666664</v>
      </c>
      <c r="AI36" s="11">
        <f>IFERROR(IF(MARÍTIMOS[[#This Row],[Etapa Ingreso - Llegada]]="","",MARÍTIMOS[[#This Row],[Etapa Ingreso - Llegada]]),"")</f>
        <v>46244.979166666664</v>
      </c>
      <c r="AJ36" s="11">
        <f>IFERROR(IF(MARÍTIMOS[[#This Row],[Etapa Ingreso - Ingeso]]="","",MARÍTIMOS[[#This Row],[Etapa Ingreso - Ingeso]]),"")</f>
        <v>46244.986111111109</v>
      </c>
      <c r="AK36" s="11">
        <f>IFERROR(IF(MARÍTIMOS[[#This Row],[Etapa Ingreso - Atención]]="","",MARÍTIMOS[[#This Row],[Etapa Ingreso - Atención]]),"")</f>
        <v>46244.989583333336</v>
      </c>
      <c r="AL36" s="11">
        <f>IFERROR(IF(MARÍTIMOS[[#This Row],[Etapa Ingreso - Salida]]="","",MARÍTIMOS[[#This Row],[Etapa Ingreso - Salida]]),"")</f>
        <v>46244.994444444441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" s="5">
        <f>IFERROR(OLDBD[[#This Row],[Llegada a packing]]-OLDBD[[#This Row],[Inicio de Ruta]],"")</f>
        <v>0.23680555555620231</v>
      </c>
      <c r="AQ36" s="6" t="str">
        <f>IFERROR(OLDBD[[#This Row],[Inicio de Ruta]]-OLDBD[[#This Row],[Salida de almacén de retiro]],"")</f>
        <v/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" s="9">
        <f>IFERROR(OLDBD[[#This Row],[Ingreso Packing]]-OLDBD[[#This Row],[Registro en Packing]],"")</f>
        <v>9.7222222248092294E-3</v>
      </c>
      <c r="AV36" s="9">
        <f>IFERROR(OLDBD[[#This Row],[Ingreso Packing]]-OLDBD[[#This Row],[Llegada a packing]],"")</f>
        <v>1.3194444443797693E-2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6" s="5">
        <f>IFERROR(OLDBD[[#This Row],[Llegada Almacén de Ingreso]]-OLDBD[[#This Row],[Salida Packing]],"")</f>
        <v>0.25833333333139308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5" t="s">
        <v>181</v>
      </c>
      <c r="BB36" s="53" t="str">
        <f>IFERROR(IF(MARÍTIMOS[[#This Row],[Estatus]]="","",MARÍTIMOS[[#This Row],[Estatus]]),"")</f>
        <v>Confirmado</v>
      </c>
      <c r="BC36" s="45"/>
      <c r="BD36" s="52" t="str">
        <f>IFERROR(OLDBD[[#This Row],[Salida de almacén de retiro]]-OLDBD[[#This Row],[Ingreso Almacén de retiro]],"")</f>
        <v/>
      </c>
      <c r="BE36" s="52">
        <f>IFERROR(OLDBD[[#This Row],[Fin de Carga]]-OLDBD[[#This Row],[Inicio de Carga]],"")</f>
        <v>2.8472222220443655E-2</v>
      </c>
    </row>
    <row r="37" spans="1:57" x14ac:dyDescent="0.35">
      <c r="A37" s="1"/>
      <c r="B37" s="1">
        <f>IFERROR(IF(MARÍTIMOS[[#This Row],[PP]]="","",MARÍTIMOS[[#This Row],[PP]]),"")</f>
        <v>32</v>
      </c>
      <c r="C37" s="1" t="str">
        <f>IFERROR(IF(MARÍTIMOS[[#This Row],[Sede]]="","",MARÍTIMOS[[#This Row],[Sede]]),"")</f>
        <v>Olmos</v>
      </c>
      <c r="D37" s="1" t="str">
        <f>IFERROR(IF(MARÍTIMOS[[#This Row],[Instruction]]="","",MARÍTIMOS[[#This Row],[Instruction]]),"")</f>
        <v>RH-0709</v>
      </c>
      <c r="E37" s="1"/>
      <c r="F37" s="2" t="str">
        <f>IFERROR(IF(MARÍTIMOS[[#This Row],[Transportista]]="","",MARÍTIMOS[[#This Row],[Transportista]]),"")</f>
        <v>Costa Transport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TRANSPORTES COSTA TRANSPORT EIRL</v>
      </c>
      <c r="I37" s="2">
        <f>IFERROR(IF(MARÍTIMOS[[#This Row],[RUC]]="","",MARÍTIMOS[[#This Row],[RUC]]),"")</f>
        <v>20525373551</v>
      </c>
      <c r="J37" s="2" t="str">
        <f>IFERROR(IF(MARÍTIMOS[[#This Row],[Placa Tracto]]="","",MARÍTIMOS[[#This Row],[Placa Tracto]]),"")</f>
        <v>TFY-879</v>
      </c>
      <c r="K37" s="2" t="str">
        <f>IFERROR(IF(MARÍTIMOS[[#This Row],[Placa Carreta]]="","",MARÍTIMOS[[#This Row],[Placa Carreta]]),"")</f>
        <v>A1G-973</v>
      </c>
      <c r="L37" s="46" t="str">
        <f>IFERROR(IF(MARÍTIMOS[[#This Row],[Conductor]]="","",MARÍTIMOS[[#This Row],[Conductor]]),"")</f>
        <v>JORGE LUIS AZO RUIZ</v>
      </c>
      <c r="M37" s="2" t="str">
        <f>IFERROR(IF(MARÍTIMOS[[#This Row],[Licencia]]="","",MARÍTIMOS[[#This Row],[Licencia]]),"")</f>
        <v>B03874735</v>
      </c>
      <c r="N37" s="2">
        <f>IFERROR(IF(MARÍTIMOS[[#This Row],[Número de Contacto]]="","",MARÍTIMOS[[#This Row],[Número de Contacto]]),"")</f>
        <v>998231122</v>
      </c>
      <c r="O37" s="10" t="str">
        <f>IFERROR(IF(MARÍTIMOS[[#This Row],[Booking|AWB|CRT]]="","",MARÍTIMOS[[#This Row],[Booking|AWB|CRT]]),"")</f>
        <v>PER9174393A</v>
      </c>
      <c r="P37" s="2" t="str">
        <f>IFERROR(IF(MARÍTIMOS[[#This Row],[Contenedor]]="","",MARÍTIMOS[[#This Row],[Contenedor]]),"")</f>
        <v>TXGU903211-5</v>
      </c>
      <c r="Q37" s="2" t="str">
        <f>IFERROR(IF(MARÍTIMOS[[#This Row],[Puerto de Retiro]]="","",MARÍTIMOS[[#This Row],[Puerto de Retiro]]),"")</f>
        <v>PAITA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46244.625</v>
      </c>
      <c r="T37" s="11">
        <f>IFERROR(IF(MARÍTIMOS[[#This Row],[Etapa Retiro - Llegada]]="","",MARÍTIMOS[[#This Row],[Etapa Retiro - Llegada]]),"")</f>
        <v>46244.614583333336</v>
      </c>
      <c r="U37" s="11">
        <f>IFERROR(IF(MARÍTIMOS[[#This Row],[Etapa Retiro - Ingreso]]="","",MARÍTIMOS[[#This Row],[Etapa Retiro - Ingreso]]),"")</f>
        <v>46244.661111111112</v>
      </c>
      <c r="V37" s="11">
        <f>IFERROR(IF(MARÍTIMOS[[#This Row],[Etapa Retiro - Atención]]="","",MARÍTIMOS[[#This Row],[Etapa Retiro - Atención]]),"")</f>
        <v>46244.67083333333</v>
      </c>
      <c r="W37" s="11">
        <f>IFERROR(IF(MARÍTIMOS[[#This Row],[Etapa Retiro - Salida]]="","",MARÍTIMOS[[#This Row],[Etapa Retiro - Salida]]),"")</f>
        <v>46244.736805555556</v>
      </c>
      <c r="X37" s="11">
        <f>IFERROR(IF(MARÍTIMOS[[#This Row],[Etapa Retiro - Inicio de Ruta]]="","",MARÍTIMOS[[#This Row],[Etapa Retiro - Inicio de Ruta]]),"")</f>
        <v>46244.818055555559</v>
      </c>
      <c r="Y37" s="11">
        <f>IFERROR(IF(MARÍTIMOS[[#This Row],[Hora de Posicionamiento]]="","",MARÍTIMOS[[#This Row],[Hora de Carga]]+MARÍTIMOS[[#This Row],[Hora de Posicionamiento]]),"")</f>
        <v>0.75</v>
      </c>
      <c r="Z37" s="11">
        <f>IFERROR(IF(MARÍTIMOS[[#This Row],[Etapa Despacho -  Llegada]]="","",MARÍTIMOS[[#This Row],[Etapa Despacho -  Llegada]]),"")</f>
        <v>46245.000694444447</v>
      </c>
      <c r="AA37" s="11">
        <f>IFERROR(IF(MARÍTIMOS[[#This Row],[Etapa Despacho -  Registro]]="","",MARÍTIMOS[[#This Row],[Etapa Despacho -  Registro]]),"")</f>
        <v>46245.3</v>
      </c>
      <c r="AB37" s="11">
        <f>IFERROR(IF(MARÍTIMOS[[#This Row],[Inspección Externa]]="","",MARÍTIMOS[[#This Row],[Inspección Externa]]),"")</f>
        <v>46245.304861111108</v>
      </c>
      <c r="AC37" s="11">
        <f>IFERROR(IF(MARÍTIMOS[[#This Row],[Etapa Despacho -  Inicio de Carga]]="","",MARÍTIMOS[[#This Row],[Etapa Despacho -  Inicio de Carga]]),"")</f>
        <v>46245.416666666664</v>
      </c>
      <c r="AD37" s="11">
        <f>IFERROR(IF(MARÍTIMOS[[#This Row],[Etapa Despacho -  Fin de Carga]]="","",MARÍTIMOS[[#This Row],[Etapa Despacho -  Fin de Carga]]),"")</f>
        <v>46245.486111111109</v>
      </c>
      <c r="AE37" s="11">
        <f>IFERROR(IF(MARÍTIMOS[[#This Row],[Etapa Despacho -  Salida]]="","",MARÍTIMOS[[#This Row],[Etapa Despacho -  Salida]]),"")</f>
        <v>46245.504861111112</v>
      </c>
      <c r="AF37" s="2" t="str">
        <f>IFERROR(IF(MARÍTIMOS[[#This Row],[Puerto de Embarque]]="","",MARÍTIMOS[[#This Row],[Puerto de Embarque]]),"")</f>
        <v>Paita</v>
      </c>
      <c r="AG37" s="2" t="str">
        <f>IFERROR(IF(MARÍTIMOS[[#This Row],[Almacén de Ingreso]]="","",MARÍTIMOS[[#This Row],[Almacén de Ingreso]]),"")</f>
        <v>TPE</v>
      </c>
      <c r="AH37" s="11">
        <f>IFERROR(IF(MARÍTIMOS[[#This Row],[Etapa Ingreso - Cita]]="","",MARÍTIMOS[[#This Row],[Etapa Ingreso - Cita]]),"")</f>
        <v>46245.75</v>
      </c>
      <c r="AI37" s="11">
        <f>IFERROR(IF(MARÍTIMOS[[#This Row],[Etapa Ingreso - Llegada]]="","",MARÍTIMOS[[#This Row],[Etapa Ingreso - Llegada]]),"")</f>
        <v>46245.727777777778</v>
      </c>
      <c r="AJ37" s="11">
        <f>IFERROR(IF(MARÍTIMOS[[#This Row],[Etapa Ingreso - Ingeso]]="","",MARÍTIMOS[[#This Row],[Etapa Ingreso - Ingeso]]),"")</f>
        <v>46245.730555555558</v>
      </c>
      <c r="AK37" s="11">
        <f>IFERROR(IF(MARÍTIMOS[[#This Row],[Etapa Ingreso - Atención]]="","",MARÍTIMOS[[#This Row],[Etapa Ingreso - Atención]]),"")</f>
        <v>46245.734722222223</v>
      </c>
      <c r="AL37" s="11">
        <f>IFERROR(IF(MARÍTIMOS[[#This Row],[Etapa Ingreso - Salida]]="","",MARÍTIMOS[[#This Row],[Etapa Ingreso - Salida]]),"")</f>
        <v>46245.745138888888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7" s="5">
        <f>IFERROR(OLDBD[[#This Row],[Llegada a packing]]-OLDBD[[#This Row],[Inicio de Ruta]],"")</f>
        <v>0.18263888888759539</v>
      </c>
      <c r="AQ37" s="6">
        <f>IFERROR(OLDBD[[#This Row],[Inicio de Ruta]]-OLDBD[[#This Row],[Salida de almacén de retiro]],"")</f>
        <v>8.1250000002910383E-2</v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" s="9">
        <f>IFERROR(OLDBD[[#This Row],[Ingreso Packing]]-OLDBD[[#This Row],[Registro en Packing]],"")</f>
        <v>4.8611111051286571E-3</v>
      </c>
      <c r="AV37" s="9">
        <f>IFERROR(OLDBD[[#This Row],[Ingreso Packing]]-OLDBD[[#This Row],[Llegada a packing]],"")</f>
        <v>0.30416666666133096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7" s="5">
        <f>IFERROR(OLDBD[[#This Row],[Llegada Almacén de Ingreso]]-OLDBD[[#This Row],[Salida Packing]],"")</f>
        <v>0.22291666666569654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5" t="s">
        <v>181</v>
      </c>
      <c r="BB37" s="53" t="str">
        <f>IFERROR(IF(MARÍTIMOS[[#This Row],[Estatus]]="","",MARÍTIMOS[[#This Row],[Estatus]]),"")</f>
        <v>Confirmado</v>
      </c>
      <c r="BC37" s="45"/>
      <c r="BD37" s="52">
        <f>IFERROR(OLDBD[[#This Row],[Salida de almacén de retiro]]-OLDBD[[#This Row],[Ingreso Almacén de retiro]],"")</f>
        <v>7.5694444443797693E-2</v>
      </c>
      <c r="BE37" s="52">
        <f>IFERROR(OLDBD[[#This Row],[Fin de Carga]]-OLDBD[[#This Row],[Inicio de Carga]],"")</f>
        <v>6.9444444445252884E-2</v>
      </c>
    </row>
    <row r="38" spans="1:57" x14ac:dyDescent="0.35">
      <c r="A38" s="1"/>
      <c r="B38" s="1">
        <f>IFERROR(IF(MARÍTIMOS[[#This Row],[PP]]="","",MARÍTIMOS[[#This Row],[PP]]),"")</f>
        <v>33</v>
      </c>
      <c r="C38" s="1" t="str">
        <f>IFERROR(IF(MARÍTIMOS[[#This Row],[Sede]]="","",MARÍTIMOS[[#This Row],[Sede]]),"")</f>
        <v>Olmos</v>
      </c>
      <c r="D38" s="1" t="str">
        <f>IFERROR(IF(MARÍTIMOS[[#This Row],[Instruction]]="","",MARÍTIMOS[[#This Row],[Instruction]]),"")</f>
        <v>RH-0482</v>
      </c>
      <c r="E38" s="1"/>
      <c r="F38" s="2" t="str">
        <f>IFERROR(IF(MARÍTIMOS[[#This Row],[Transportista]]="","",MARÍTIMOS[[#This Row],[Transportista]]),"")</f>
        <v>Costa Transport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TRANSPORTES COSTA TRANSPORT EIRL</v>
      </c>
      <c r="I38" s="2">
        <f>IFERROR(IF(MARÍTIMOS[[#This Row],[RUC]]="","",MARÍTIMOS[[#This Row],[RUC]]),"")</f>
        <v>20525373551</v>
      </c>
      <c r="J38" s="2" t="str">
        <f>IFERROR(IF(MARÍTIMOS[[#This Row],[Placa Tracto]]="","",MARÍTIMOS[[#This Row],[Placa Tracto]]),"")</f>
        <v>T4P9-34</v>
      </c>
      <c r="K38" s="2" t="str">
        <f>IFERROR(IF(MARÍTIMOS[[#This Row],[Placa Carreta]]="","",MARÍTIMOS[[#This Row],[Placa Carreta]]),"")</f>
        <v>TPE-989</v>
      </c>
      <c r="L38" s="46" t="str">
        <f>IFERROR(IF(MARÍTIMOS[[#This Row],[Conductor]]="","",MARÍTIMOS[[#This Row],[Conductor]]),"")</f>
        <v>EMILIO FLORES BENITES</v>
      </c>
      <c r="M38" s="2" t="str">
        <f>IFERROR(IF(MARÍTIMOS[[#This Row],[Licencia]]="","",MARÍTIMOS[[#This Row],[Licencia]]),"")</f>
        <v>Q02607474</v>
      </c>
      <c r="N38" s="2">
        <f>IFERROR(IF(MARÍTIMOS[[#This Row],[Número de Contacto]]="","",MARÍTIMOS[[#This Row],[Número de Contacto]]),"")</f>
        <v>934126470</v>
      </c>
      <c r="O38" s="10" t="str">
        <f>IFERROR(IF(MARÍTIMOS[[#This Row],[Booking|AWB|CRT]]="","",MARÍTIMOS[[#This Row],[Booking|AWB|CRT]]),"")</f>
        <v>MBM250067121</v>
      </c>
      <c r="P38" s="2" t="str">
        <f>IFERROR(IF(MARÍTIMOS[[#This Row],[Contenedor]]="","",MARÍTIMOS[[#This Row],[Contenedor]]),"")</f>
        <v>CAIU554986-5</v>
      </c>
      <c r="Q38" s="2" t="str">
        <f>IFERROR(IF(MARÍTIMOS[[#This Row],[Puerto de Retiro]]="","",MARÍTIMOS[[#This Row],[Puerto de Retiro]]),"")</f>
        <v>PAITA</v>
      </c>
      <c r="R38" s="2" t="str">
        <f>IFERROR(IF(MARÍTIMOS[[#This Row],[Almacén de Retiro]]="","",MARÍTIMOS[[#This Row],[Almacén de Retiro]]),"")</f>
        <v>MACROMAR</v>
      </c>
      <c r="S38" s="11">
        <f>IFERROR(IF(MARÍTIMOS[[#This Row],[Etapa Retiro - Cita]]="","",MARÍTIMOS[[#This Row],[Etapa Retiro - Cita]]),"")</f>
        <v>46246.75</v>
      </c>
      <c r="T38" s="11">
        <f>IFERROR(IF(MARÍTIMOS[[#This Row],[Etapa Retiro - Llegada]]="","",MARÍTIMOS[[#This Row],[Etapa Retiro - Llegada]]),"")</f>
        <v>46246.738888888889</v>
      </c>
      <c r="U38" s="11">
        <f>IFERROR(IF(MARÍTIMOS[[#This Row],[Etapa Retiro - Ingreso]]="","",MARÍTIMOS[[#This Row],[Etapa Retiro - Ingreso]]),"")</f>
        <v>46246.773611111108</v>
      </c>
      <c r="V38" s="11">
        <f>IFERROR(IF(MARÍTIMOS[[#This Row],[Etapa Retiro - Atención]]="","",MARÍTIMOS[[#This Row],[Etapa Retiro - Atención]]),"")</f>
        <v>46246.789583333331</v>
      </c>
      <c r="W38" s="11">
        <f>IFERROR(IF(MARÍTIMOS[[#This Row],[Etapa Retiro - Salida]]="","",MARÍTIMOS[[#This Row],[Etapa Retiro - Salida]]),"")</f>
        <v>46246.824999999997</v>
      </c>
      <c r="X38" s="11">
        <f>IFERROR(IF(MARÍTIMOS[[#This Row],[Etapa Retiro - Inicio de Ruta]]="","",MARÍTIMOS[[#This Row],[Etapa Retiro - Inicio de Ruta]]),"")</f>
        <v>46247.213194444441</v>
      </c>
      <c r="Y38" s="11">
        <f>IFERROR(IF(MARÍTIMOS[[#This Row],[Hora de Posicionamiento]]="","",MARÍTIMOS[[#This Row],[Hora de Carga]]+MARÍTIMOS[[#This Row],[Hora de Posicionamiento]]),"")</f>
        <v>1.0833333333333335</v>
      </c>
      <c r="Z38" s="11">
        <f>IFERROR(IF(MARÍTIMOS[[#This Row],[Etapa Despacho -  Llegada]]="","",MARÍTIMOS[[#This Row],[Etapa Despacho -  Llegada]]),"")</f>
        <v>46247.46597222222</v>
      </c>
      <c r="AA38" s="11">
        <f>IFERROR(IF(MARÍTIMOS[[#This Row],[Etapa Despacho -  Registro]]="","",MARÍTIMOS[[#This Row],[Etapa Despacho -  Registro]]),"")</f>
        <v>46247.467361111114</v>
      </c>
      <c r="AB38" s="11">
        <f>IFERROR(IF(MARÍTIMOS[[#This Row],[Inspección Externa]]="","",MARÍTIMOS[[#This Row],[Inspección Externa]]),"")</f>
        <v>46247.47152777778</v>
      </c>
      <c r="AC38" s="11">
        <f>IFERROR(IF(MARÍTIMOS[[#This Row],[Etapa Despacho -  Inicio de Carga]]="","",MARÍTIMOS[[#This Row],[Etapa Despacho -  Inicio de Carga]]),"")</f>
        <v>46247.626388888886</v>
      </c>
      <c r="AD38" s="11">
        <f>IFERROR(IF(MARÍTIMOS[[#This Row],[Etapa Despacho -  Fin de Carga]]="","",MARÍTIMOS[[#This Row],[Etapa Despacho -  Fin de Carga]]),"")</f>
        <v>46247.65902777778</v>
      </c>
      <c r="AE38" s="11">
        <f>IFERROR(IF(MARÍTIMOS[[#This Row],[Etapa Despacho -  Salida]]="","",MARÍTIMOS[[#This Row],[Etapa Despacho -  Salida]]),"")</f>
        <v>46247.668055555558</v>
      </c>
      <c r="AF38" s="2" t="str">
        <f>IFERROR(IF(MARÍTIMOS[[#This Row],[Puerto de Embarque]]="","",MARÍTIMOS[[#This Row],[Puerto de Embarque]]),"")</f>
        <v>Paita</v>
      </c>
      <c r="AG38" s="2" t="str">
        <f>IFERROR(IF(MARÍTIMOS[[#This Row],[Almacén de Ingreso]]="","",MARÍTIMOS[[#This Row],[Almacén de Ingreso]]),"")</f>
        <v>TPE</v>
      </c>
      <c r="AH38" s="11">
        <f>IFERROR(IF(MARÍTIMOS[[#This Row],[Etapa Ingreso - Cita]]="","",MARÍTIMOS[[#This Row],[Etapa Ingreso - Cita]]),"")</f>
        <v>46248</v>
      </c>
      <c r="AI38" s="11">
        <f>IFERROR(IF(MARÍTIMOS[[#This Row],[Etapa Ingreso - Llegada]]="","",MARÍTIMOS[[#This Row],[Etapa Ingreso - Llegada]]),"")</f>
        <v>46247.972916666666</v>
      </c>
      <c r="AJ38" s="11">
        <f>IFERROR(IF(MARÍTIMOS[[#This Row],[Etapa Ingreso - Ingeso]]="","",MARÍTIMOS[[#This Row],[Etapa Ingreso - Ingeso]]),"")</f>
        <v>46247.972916666666</v>
      </c>
      <c r="AK38" s="11">
        <f>IFERROR(IF(MARÍTIMOS[[#This Row],[Etapa Ingreso - Atención]]="","",MARÍTIMOS[[#This Row],[Etapa Ingreso - Atención]]),"")</f>
        <v>46247.979166666664</v>
      </c>
      <c r="AL38" s="11">
        <f>IFERROR(IF(MARÍTIMOS[[#This Row],[Etapa Ingreso - Salida]]="","",MARÍTIMOS[[#This Row],[Etapa Ingreso - Salida]]),"")</f>
        <v>46247.980555555558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8" s="5">
        <f>IFERROR(OLDBD[[#This Row],[Llegada a packing]]-OLDBD[[#This Row],[Inicio de Ruta]],"")</f>
        <v>0.25277777777955635</v>
      </c>
      <c r="AQ38" s="6">
        <f>IFERROR(OLDBD[[#This Row],[Inicio de Ruta]]-OLDBD[[#This Row],[Salida de almacén de retiro]],"")</f>
        <v>0.38819444444379769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" s="9">
        <f>IFERROR(OLDBD[[#This Row],[Ingreso Packing]]-OLDBD[[#This Row],[Registro en Packing]],"")</f>
        <v>4.166666665696539E-3</v>
      </c>
      <c r="AV38" s="9">
        <f>IFERROR(OLDBD[[#This Row],[Ingreso Packing]]-OLDBD[[#This Row],[Llegada a packing]],"")</f>
        <v>5.5555555591126904E-3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8" s="5">
        <f>IFERROR(OLDBD[[#This Row],[Llegada Almacén de Ingreso]]-OLDBD[[#This Row],[Salida Packing]],"")</f>
        <v>0.30486111110803904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" s="45" t="s">
        <v>181</v>
      </c>
      <c r="BB38" s="53" t="str">
        <f>IFERROR(IF(MARÍTIMOS[[#This Row],[Estatus]]="","",MARÍTIMOS[[#This Row],[Estatus]]),"")</f>
        <v>Confirmado</v>
      </c>
      <c r="BC38" s="45"/>
      <c r="BD38" s="52">
        <f>IFERROR(OLDBD[[#This Row],[Salida de almacén de retiro]]-OLDBD[[#This Row],[Ingreso Almacén de retiro]],"")</f>
        <v>5.1388888889050577E-2</v>
      </c>
      <c r="BE38" s="52">
        <f>IFERROR(OLDBD[[#This Row],[Fin de Carga]]-OLDBD[[#This Row],[Inicio de Carga]],"")</f>
        <v>3.2638888893416151E-2</v>
      </c>
    </row>
    <row r="39" spans="1:57" x14ac:dyDescent="0.35">
      <c r="A39" s="1"/>
      <c r="B39" s="1">
        <f>IFERROR(IF(MARÍTIMOS[[#This Row],[PP]]="","",MARÍTIMOS[[#This Row],[PP]]),"")</f>
        <v>33</v>
      </c>
      <c r="C39" s="1" t="str">
        <f>IFERROR(IF(MARÍTIMOS[[#This Row],[Sede]]="","",MARÍTIMOS[[#This Row],[Sede]]),"")</f>
        <v>Olmos</v>
      </c>
      <c r="D39" s="1" t="str">
        <f>IFERROR(IF(MARÍTIMOS[[#This Row],[Instruction]]="","",MARÍTIMOS[[#This Row],[Instruction]]),"")</f>
        <v>RH-0515</v>
      </c>
      <c r="E39" s="1"/>
      <c r="F39" s="2" t="str">
        <f>IFERROR(IF(MARÍTIMOS[[#This Row],[Transportista]]="","",MARÍTIMOS[[#This Row],[Transportista]]),"")</f>
        <v>Costa Transport</v>
      </c>
      <c r="G39" s="2" t="str">
        <f>IFERROR(IF(MARÍTIMOS[[#This Row],[Tercero]]="","",MARÍTIMOS[[#This Row],[Tercero]]),"")</f>
        <v>NO</v>
      </c>
      <c r="H39" s="2" t="str">
        <f>IFERROR(IF(MARÍTIMOS[[#This Row],[Razón Social]]="","",MARÍTIMOS[[#This Row],[Razón Social]]),"")</f>
        <v>TRANSPORTES COSTA TRANSPORT EIRL</v>
      </c>
      <c r="I39" s="2">
        <f>IFERROR(IF(MARÍTIMOS[[#This Row],[RUC]]="","",MARÍTIMOS[[#This Row],[RUC]]),"")</f>
        <v>20525373551</v>
      </c>
      <c r="J39" s="2" t="str">
        <f>IFERROR(IF(MARÍTIMOS[[#This Row],[Placa Tracto]]="","",MARÍTIMOS[[#This Row],[Placa Tracto]]),"")</f>
        <v>TFY-879</v>
      </c>
      <c r="K39" s="2" t="str">
        <f>IFERROR(IF(MARÍTIMOS[[#This Row],[Placa Carreta]]="","",MARÍTIMOS[[#This Row],[Placa Carreta]]),"")</f>
        <v>A1G-973</v>
      </c>
      <c r="L39" s="46" t="str">
        <f>IFERROR(IF(MARÍTIMOS[[#This Row],[Conductor]]="","",MARÍTIMOS[[#This Row],[Conductor]]),"")</f>
        <v>JORGE LUIS AZO RUIZ</v>
      </c>
      <c r="M39" s="2" t="str">
        <f>IFERROR(IF(MARÍTIMOS[[#This Row],[Licencia]]="","",MARÍTIMOS[[#This Row],[Licencia]]),"")</f>
        <v>B03874735</v>
      </c>
      <c r="N39" s="2">
        <f>IFERROR(IF(MARÍTIMOS[[#This Row],[Número de Contacto]]="","",MARÍTIMOS[[#This Row],[Número de Contacto]]),"")</f>
        <v>998231122</v>
      </c>
      <c r="O39" s="10">
        <f>IFERROR(IF(MARÍTIMOS[[#This Row],[Booking|AWB|CRT]]="","",MARÍTIMOS[[#This Row],[Booking|AWB|CRT]]),"")</f>
        <v>6462786990</v>
      </c>
      <c r="P39" s="2" t="str">
        <f>IFERROR(IF(MARÍTIMOS[[#This Row],[Contenedor]]="","",MARÍTIMOS[[#This Row],[Contenedor]]),"")</f>
        <v>SEKU922566-0</v>
      </c>
      <c r="Q39" s="2" t="str">
        <f>IFERROR(IF(MARÍTIMOS[[#This Row],[Puerto de Retiro]]="","",MARÍTIMOS[[#This Row],[Puerto de Retiro]]),"")</f>
        <v>PAITA</v>
      </c>
      <c r="R39" s="2" t="str">
        <f>IFERROR(IF(MARÍTIMOS[[#This Row],[Almacén de Retiro]]="","",MARÍTIMOS[[#This Row],[Almacén de Retiro]]),"")</f>
        <v>RANSA</v>
      </c>
      <c r="S39" s="11">
        <f>IFERROR(IF(MARÍTIMOS[[#This Row],[Etapa Retiro - Cita]]="","",MARÍTIMOS[[#This Row],[Etapa Retiro - Cita]]),"")</f>
        <v>46247.666666666664</v>
      </c>
      <c r="T39" s="11">
        <f>IFERROR(IF(MARÍTIMOS[[#This Row],[Etapa Retiro - Llegada]]="","",MARÍTIMOS[[#This Row],[Etapa Retiro - Llegada]]),"")</f>
        <v>46247.668749999997</v>
      </c>
      <c r="U39" s="11">
        <f>IFERROR(IF(MARÍTIMOS[[#This Row],[Etapa Retiro - Ingreso]]="","",MARÍTIMOS[[#This Row],[Etapa Retiro - Ingreso]]),"")</f>
        <v>46247.677777777775</v>
      </c>
      <c r="V39" s="11">
        <f>IFERROR(IF(MARÍTIMOS[[#This Row],[Etapa Retiro - Atención]]="","",MARÍTIMOS[[#This Row],[Etapa Retiro - Atención]]),"")</f>
        <v>46247.720138888886</v>
      </c>
      <c r="W39" s="11">
        <f>IFERROR(IF(MARÍTIMOS[[#This Row],[Etapa Retiro - Salida]]="","",MARÍTIMOS[[#This Row],[Etapa Retiro - Salida]]),"")</f>
        <v>46247.776388888888</v>
      </c>
      <c r="X39" s="11">
        <f>IFERROR(IF(MARÍTIMOS[[#This Row],[Etapa Retiro - Inicio de Ruta]]="","",MARÍTIMOS[[#This Row],[Etapa Retiro - Inicio de Ruta]]),"")</f>
        <v>46247.788194444445</v>
      </c>
      <c r="Y39" s="11">
        <f>IFERROR(IF(MARÍTIMOS[[#This Row],[Hora de Posicionamiento]]="","",MARÍTIMOS[[#This Row],[Hora de Carga]]+MARÍTIMOS[[#This Row],[Hora de Posicionamiento]]),"")</f>
        <v>0.75</v>
      </c>
      <c r="Z39" s="11">
        <f>IFERROR(IF(MARÍTIMOS[[#This Row],[Etapa Despacho -  Llegada]]="","",MARÍTIMOS[[#This Row],[Etapa Despacho -  Llegada]]),"")</f>
        <v>46248.333333333336</v>
      </c>
      <c r="AA39" s="11">
        <f>IFERROR(IF(MARÍTIMOS[[#This Row],[Etapa Despacho -  Registro]]="","",MARÍTIMOS[[#This Row],[Etapa Despacho -  Registro]]),"")</f>
        <v>46247.98333333333</v>
      </c>
      <c r="AB39" s="11">
        <f>IFERROR(IF(MARÍTIMOS[[#This Row],[Inspección Externa]]="","",MARÍTIMOS[[#This Row],[Inspección Externa]]),"")</f>
        <v>46248.293055555558</v>
      </c>
      <c r="AC39" s="11">
        <f>IFERROR(IF(MARÍTIMOS[[#This Row],[Etapa Despacho -  Inicio de Carga]]="","",MARÍTIMOS[[#This Row],[Etapa Despacho -  Inicio de Carga]]),"")</f>
        <v>46248.427083333336</v>
      </c>
      <c r="AD39" s="11">
        <f>IFERROR(IF(MARÍTIMOS[[#This Row],[Etapa Despacho -  Fin de Carga]]="","",MARÍTIMOS[[#This Row],[Etapa Despacho -  Fin de Carga]]),"")</f>
        <v>46248.474999999999</v>
      </c>
      <c r="AE39" s="11">
        <f>IFERROR(IF(MARÍTIMOS[[#This Row],[Etapa Despacho -  Salida]]="","",MARÍTIMOS[[#This Row],[Etapa Despacho -  Salida]]),"")</f>
        <v>46248.484722222223</v>
      </c>
      <c r="AF39" s="2" t="str">
        <f>IFERROR(IF(MARÍTIMOS[[#This Row],[Puerto de Embarque]]="","",MARÍTIMOS[[#This Row],[Puerto de Embarque]]),"")</f>
        <v>Paita</v>
      </c>
      <c r="AG39" s="2" t="str">
        <f>IFERROR(IF(MARÍTIMOS[[#This Row],[Almacén de Ingreso]]="","",MARÍTIMOS[[#This Row],[Almacén de Ingreso]]),"")</f>
        <v>TPE</v>
      </c>
      <c r="AH39" s="11">
        <f>IFERROR(IF(MARÍTIMOS[[#This Row],[Etapa Ingreso - Cita]]="","",MARÍTIMOS[[#This Row],[Etapa Ingreso - Cita]]),"")</f>
        <v>46248.75</v>
      </c>
      <c r="AI39" s="11">
        <f>IFERROR(IF(MARÍTIMOS[[#This Row],[Etapa Ingreso - Llegada]]="","",MARÍTIMOS[[#This Row],[Etapa Ingreso - Llegada]]),"")</f>
        <v>46248.699305555558</v>
      </c>
      <c r="AJ39" s="11">
        <f>IFERROR(IF(MARÍTIMOS[[#This Row],[Etapa Ingreso - Ingeso]]="","",MARÍTIMOS[[#This Row],[Etapa Ingreso - Ingeso]]),"")</f>
        <v>46248.7</v>
      </c>
      <c r="AK39" s="11">
        <f>IFERROR(IF(MARÍTIMOS[[#This Row],[Etapa Ingreso - Atención]]="","",MARÍTIMOS[[#This Row],[Etapa Ingreso - Atención]]),"")</f>
        <v>46248.703472222223</v>
      </c>
      <c r="AL39" s="11">
        <f>IFERROR(IF(MARÍTIMOS[[#This Row],[Etapa Ingreso - Salida]]="","",MARÍTIMOS[[#This Row],[Etapa Ingreso - Salida]]),"")</f>
        <v>46248.715277777781</v>
      </c>
      <c r="AM39" s="2">
        <f>IFERROR(IF(MARÍTIMOS[[#This Row],[FCL]]="","",MARÍTIMOS[[#This Row],[FCL]]),"")</f>
        <v>1</v>
      </c>
      <c r="AN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9" s="5">
        <f>IFERROR(OLDBD[[#This Row],[Llegada a packing]]-OLDBD[[#This Row],[Inicio de Ruta]],"")</f>
        <v>0.54513888889050577</v>
      </c>
      <c r="AQ39" s="6">
        <f>IFERROR(OLDBD[[#This Row],[Inicio de Ruta]]-OLDBD[[#This Row],[Salida de almacén de retiro]],"")</f>
        <v>1.1805555557657499E-2</v>
      </c>
      <c r="AR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" s="9">
        <f>IFERROR(OLDBD[[#This Row],[Ingreso Packing]]-OLDBD[[#This Row],[Registro en Packing]],"")</f>
        <v>0.30972222222771961</v>
      </c>
      <c r="AV39" s="9">
        <f>IFERROR(OLDBD[[#This Row],[Ingreso Packing]]-OLDBD[[#This Row],[Llegada a packing]],"")</f>
        <v>-4.0277777778101154E-2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5">
        <f>IFERROR(OLDBD[[#This Row],[Llegada Almacén de Ingreso]]-OLDBD[[#This Row],[Salida Packing]],"")</f>
        <v>0.21458333333430346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" s="45" t="s">
        <v>181</v>
      </c>
      <c r="BB39" s="53" t="str">
        <f>IFERROR(IF(MARÍTIMOS[[#This Row],[Estatus]]="","",MARÍTIMOS[[#This Row],[Estatus]]),"")</f>
        <v>Confirmado</v>
      </c>
      <c r="BC39" s="45"/>
      <c r="BD39" s="52">
        <f>IFERROR(OLDBD[[#This Row],[Salida de almacén de retiro]]-OLDBD[[#This Row],[Ingreso Almacén de retiro]],"")</f>
        <v>9.8611111112404615E-2</v>
      </c>
      <c r="BE39" s="52">
        <f>IFERROR(OLDBD[[#This Row],[Fin de Carga]]-OLDBD[[#This Row],[Inicio de Carga]],"")</f>
        <v>4.7916666662786156E-2</v>
      </c>
    </row>
    <row r="40" spans="1:57" x14ac:dyDescent="0.35">
      <c r="A40" s="1"/>
      <c r="B40" s="1">
        <f>IFERROR(IF(MARÍTIMOS[[#This Row],[PP]]="","",MARÍTIMOS[[#This Row],[PP]]),"")</f>
        <v>33</v>
      </c>
      <c r="C40" s="1" t="str">
        <f>IFERROR(IF(MARÍTIMOS[[#This Row],[Sede]]="","",MARÍTIMOS[[#This Row],[Sede]]),"")</f>
        <v>Olmos</v>
      </c>
      <c r="D40" s="1" t="str">
        <f>IFERROR(IF(MARÍTIMOS[[#This Row],[Instruction]]="","",MARÍTIMOS[[#This Row],[Instruction]]),"")</f>
        <v>RH-0489</v>
      </c>
      <c r="E40" s="1"/>
      <c r="F40" s="2" t="str">
        <f>IFERROR(IF(MARÍTIMOS[[#This Row],[Transportista]]="","",MARÍTIMOS[[#This Row],[Transportista]]),"")</f>
        <v>Costa Transport</v>
      </c>
      <c r="G40" s="2" t="str">
        <f>IFERROR(IF(MARÍTIMOS[[#This Row],[Tercero]]="","",MARÍTIMOS[[#This Row],[Tercero]]),"")</f>
        <v>NO</v>
      </c>
      <c r="H40" s="2" t="str">
        <f>IFERROR(IF(MARÍTIMOS[[#This Row],[Razón Social]]="","",MARÍTIMOS[[#This Row],[Razón Social]]),"")</f>
        <v>TRANSPORTES COSTA TRANSPORT EIRL</v>
      </c>
      <c r="I40" s="2">
        <f>IFERROR(IF(MARÍTIMOS[[#This Row],[RUC]]="","",MARÍTIMOS[[#This Row],[RUC]]),"")</f>
        <v>20525373551</v>
      </c>
      <c r="J40" s="2" t="str">
        <f>IFERROR(IF(MARÍTIMOS[[#This Row],[Placa Tracto]]="","",MARÍTIMOS[[#This Row],[Placa Tracto]]),"")</f>
        <v>AVK-737</v>
      </c>
      <c r="K40" s="2" t="str">
        <f>IFERROR(IF(MARÍTIMOS[[#This Row],[Placa Carreta]]="","",MARÍTIMOS[[#This Row],[Placa Carreta]]),"")</f>
        <v>F9S-991</v>
      </c>
      <c r="L40" s="46" t="str">
        <f>IFERROR(IF(MARÍTIMOS[[#This Row],[Conductor]]="","",MARÍTIMOS[[#This Row],[Conductor]]),"")</f>
        <v>NOE VICTORIO NOE GARCIA</v>
      </c>
      <c r="M40" s="2" t="str">
        <f>IFERROR(IF(MARÍTIMOS[[#This Row],[Licencia]]="","",MARÍTIMOS[[#This Row],[Licencia]]),"")</f>
        <v>B42334233</v>
      </c>
      <c r="N40" s="2">
        <f>IFERROR(IF(MARÍTIMOS[[#This Row],[Número de Contacto]]="","",MARÍTIMOS[[#This Row],[Número de Contacto]]),"")</f>
        <v>998230850</v>
      </c>
      <c r="O40" s="10" t="str">
        <f>IFERROR(IF(MARÍTIMOS[[#This Row],[Booking|AWB|CRT]]="","",MARÍTIMOS[[#This Row],[Booking|AWB|CRT]]),"")</f>
        <v>BN81296</v>
      </c>
      <c r="P40" s="2" t="str">
        <f>IFERROR(IF(MARÍTIMOS[[#This Row],[Contenedor]]="","",MARÍTIMOS[[#This Row],[Contenedor]]),"")</f>
        <v>BMOU933626-1</v>
      </c>
      <c r="Q40" s="2" t="str">
        <f>IFERROR(IF(MARÍTIMOS[[#This Row],[Puerto de Retiro]]="","",MARÍTIMOS[[#This Row],[Puerto de Retiro]]),"")</f>
        <v>PAITA</v>
      </c>
      <c r="R40" s="2" t="str">
        <f>IFERROR(IF(MARÍTIMOS[[#This Row],[Almacén de Retiro]]="","",MARÍTIMOS[[#This Row],[Almacén de Retiro]]),"")</f>
        <v>DPW</v>
      </c>
      <c r="S40" s="11">
        <f>IFERROR(IF(MARÍTIMOS[[#This Row],[Etapa Retiro - Cita]]="","",MARÍTIMOS[[#This Row],[Etapa Retiro - Cita]]),"")</f>
        <v>46250.916666666664</v>
      </c>
      <c r="T40" s="11">
        <f>IFERROR(IF(MARÍTIMOS[[#This Row],[Etapa Retiro - Llegada]]="","",MARÍTIMOS[[#This Row],[Etapa Retiro - Llegada]]),"")</f>
        <v>46250.928472222222</v>
      </c>
      <c r="U40" s="11">
        <f>IFERROR(IF(MARÍTIMOS[[#This Row],[Etapa Retiro - Ingreso]]="","",MARÍTIMOS[[#This Row],[Etapa Retiro - Ingreso]]),"")</f>
        <v>46250.978472222225</v>
      </c>
      <c r="V40" s="11">
        <f>IFERROR(IF(MARÍTIMOS[[#This Row],[Etapa Retiro - Atención]]="","",MARÍTIMOS[[#This Row],[Etapa Retiro - Atención]]),"")</f>
        <v>46250.986111111109</v>
      </c>
      <c r="W40" s="11">
        <f>IFERROR(IF(MARÍTIMOS[[#This Row],[Etapa Retiro - Salida]]="","",MARÍTIMOS[[#This Row],[Etapa Retiro - Salida]]),"")</f>
        <v>46251.031944444447</v>
      </c>
      <c r="X40" s="11">
        <f>IFERROR(IF(MARÍTIMOS[[#This Row],[Etapa Retiro - Inicio de Ruta]]="","",MARÍTIMOS[[#This Row],[Etapa Retiro - Inicio de Ruta]]),"")</f>
        <v>46251.129861111112</v>
      </c>
      <c r="Y40" s="11">
        <f>IFERROR(IF(MARÍTIMOS[[#This Row],[Hora de Posicionamiento]]="","",MARÍTIMOS[[#This Row],[Hora de Carga]]+MARÍTIMOS[[#This Row],[Hora de Posicionamiento]]),"")</f>
        <v>0.75</v>
      </c>
      <c r="Z40" s="11">
        <f>IFERROR(IF(MARÍTIMOS[[#This Row],[Etapa Despacho -  Llegada]]="","",MARÍTIMOS[[#This Row],[Etapa Despacho -  Llegada]]),"")</f>
        <v>46251.333333333336</v>
      </c>
      <c r="AA40" s="11">
        <f>IFERROR(IF(MARÍTIMOS[[#This Row],[Etapa Despacho -  Registro]]="","",MARÍTIMOS[[#This Row],[Etapa Despacho -  Registro]]),"")</f>
        <v>46251.333333333336</v>
      </c>
      <c r="AB40" s="11">
        <f>IFERROR(IF(MARÍTIMOS[[#This Row],[Inspección Externa]]="","",MARÍTIMOS[[#This Row],[Inspección Externa]]),"")</f>
        <v>46251.359027777777</v>
      </c>
      <c r="AC40" s="11">
        <f>IFERROR(IF(MARÍTIMOS[[#This Row],[Etapa Despacho -  Inicio de Carga]]="","",MARÍTIMOS[[#This Row],[Etapa Despacho -  Inicio de Carga]]),"")</f>
        <v>46251.566666666666</v>
      </c>
      <c r="AD40" s="11">
        <f>IFERROR(IF(MARÍTIMOS[[#This Row],[Etapa Despacho -  Fin de Carga]]="","",MARÍTIMOS[[#This Row],[Etapa Despacho -  Fin de Carga]]),"")</f>
        <v>46251.591666666667</v>
      </c>
      <c r="AE40" s="11">
        <f>IFERROR(IF(MARÍTIMOS[[#This Row],[Etapa Despacho -  Salida]]="","",MARÍTIMOS[[#This Row],[Etapa Despacho -  Salida]]),"")</f>
        <v>46251.638888888891</v>
      </c>
      <c r="AF40" s="2" t="str">
        <f>IFERROR(IF(MARÍTIMOS[[#This Row],[Puerto de Embarque]]="","",MARÍTIMOS[[#This Row],[Puerto de Embarque]]),"")</f>
        <v>Paita</v>
      </c>
      <c r="AG40" s="2" t="str">
        <f>IFERROR(IF(MARÍTIMOS[[#This Row],[Almacén de Ingreso]]="","",MARÍTIMOS[[#This Row],[Almacén de Ingreso]]),"")</f>
        <v>TPE</v>
      </c>
      <c r="AH40" s="11">
        <f>IFERROR(IF(MARÍTIMOS[[#This Row],[Etapa Ingreso - Cita]]="","",MARÍTIMOS[[#This Row],[Etapa Ingreso - Cita]]),"")</f>
        <v>46251.916666666664</v>
      </c>
      <c r="AI40" s="11">
        <f>IFERROR(IF(MARÍTIMOS[[#This Row],[Etapa Ingreso - Llegada]]="","",MARÍTIMOS[[#This Row],[Etapa Ingreso - Llegada]]),"")</f>
        <v>46251.857638888891</v>
      </c>
      <c r="AJ40" s="11">
        <f>IFERROR(IF(MARÍTIMOS[[#This Row],[Etapa Ingreso - Ingeso]]="","",MARÍTIMOS[[#This Row],[Etapa Ingreso - Ingeso]]),"")</f>
        <v>46251.85833333333</v>
      </c>
      <c r="AK40" s="11">
        <f>IFERROR(IF(MARÍTIMOS[[#This Row],[Etapa Ingreso - Atención]]="","",MARÍTIMOS[[#This Row],[Etapa Ingreso - Atención]]),"")</f>
        <v>46251.867361111108</v>
      </c>
      <c r="AL40" s="11">
        <f>IFERROR(IF(MARÍTIMOS[[#This Row],[Etapa Ingreso - Salida]]="","",MARÍTIMOS[[#This Row],[Etapa Ingreso - Salida]]),"")</f>
        <v>46251.871527777781</v>
      </c>
      <c r="AM40" s="2">
        <f>IFERROR(IF(MARÍTIMOS[[#This Row],[FCL]]="","",MARÍTIMOS[[#This Row],[FCL]]),"")</f>
        <v>1</v>
      </c>
      <c r="AN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0" s="5">
        <f>IFERROR(OLDBD[[#This Row],[Llegada a packing]]-OLDBD[[#This Row],[Inicio de Ruta]],"")</f>
        <v>0.20347222222335404</v>
      </c>
      <c r="AQ40" s="6">
        <f>IFERROR(OLDBD[[#This Row],[Inicio de Ruta]]-OLDBD[[#This Row],[Salida de almacén de retiro]],"")</f>
        <v>9.7916666665696539E-2</v>
      </c>
      <c r="AR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0" s="9">
        <f>IFERROR(OLDBD[[#This Row],[Ingreso Packing]]-OLDBD[[#This Row],[Registro en Packing]],"")</f>
        <v>2.569444444088731E-2</v>
      </c>
      <c r="AV40" s="9">
        <f>IFERROR(OLDBD[[#This Row],[Ingreso Packing]]-OLDBD[[#This Row],[Llegada a packing]],"")</f>
        <v>2.569444444088731E-2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0" s="5">
        <f>IFERROR(OLDBD[[#This Row],[Llegada Almacén de Ingreso]]-OLDBD[[#This Row],[Salida Packing]],"")</f>
        <v>0.21875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45" t="s">
        <v>181</v>
      </c>
      <c r="BB40" s="53" t="str">
        <f>IFERROR(IF(MARÍTIMOS[[#This Row],[Estatus]]="","",MARÍTIMOS[[#This Row],[Estatus]]),"")</f>
        <v>Confirmado</v>
      </c>
      <c r="BC40" s="45"/>
      <c r="BD40" s="52">
        <f>IFERROR(OLDBD[[#This Row],[Salida de almacén de retiro]]-OLDBD[[#This Row],[Ingreso Almacén de retiro]],"")</f>
        <v>5.3472222221898846E-2</v>
      </c>
      <c r="BE40" s="52">
        <f>IFERROR(OLDBD[[#This Row],[Fin de Carga]]-OLDBD[[#This Row],[Inicio de Carga]],"")</f>
        <v>2.5000000001455192E-2</v>
      </c>
    </row>
    <row r="41" spans="1:57" x14ac:dyDescent="0.35">
      <c r="A41" s="1"/>
      <c r="B41" s="1">
        <f>IFERROR(IF(MARÍTIMOS[[#This Row],[PP]]="","",MARÍTIMOS[[#This Row],[PP]]),"")</f>
        <v>33</v>
      </c>
      <c r="C41" s="1" t="str">
        <f>IFERROR(IF(MARÍTIMOS[[#This Row],[Sede]]="","",MARÍTIMOS[[#This Row],[Sede]]),"")</f>
        <v>Olmos</v>
      </c>
      <c r="D41" s="1" t="str">
        <f>IFERROR(IF(MARÍTIMOS[[#This Row],[Instruction]]="","",MARÍTIMOS[[#This Row],[Instruction]]),"")</f>
        <v>RH-0496</v>
      </c>
      <c r="E41" s="1"/>
      <c r="F41" s="2" t="str">
        <f>IFERROR(IF(MARÍTIMOS[[#This Row],[Transportista]]="","",MARÍTIMOS[[#This Row],[Transportista]]),"")</f>
        <v>Costa Transport</v>
      </c>
      <c r="G41" s="2" t="str">
        <f>IFERROR(IF(MARÍTIMOS[[#This Row],[Tercero]]="","",MARÍTIMOS[[#This Row],[Tercero]]),"")</f>
        <v>NO</v>
      </c>
      <c r="H41" s="2" t="str">
        <f>IFERROR(IF(MARÍTIMOS[[#This Row],[Razón Social]]="","",MARÍTIMOS[[#This Row],[Razón Social]]),"")</f>
        <v>TRANSPORTES COSTA TRANSPORT EIRL</v>
      </c>
      <c r="I41" s="2">
        <f>IFERROR(IF(MARÍTIMOS[[#This Row],[RUC]]="","",MARÍTIMOS[[#This Row],[RUC]]),"")</f>
        <v>20525373551</v>
      </c>
      <c r="J41" s="2" t="str">
        <f>IFERROR(IF(MARÍTIMOS[[#This Row],[Placa Tracto]]="","",MARÍTIMOS[[#This Row],[Placa Tracto]]),"")</f>
        <v>T3A-807</v>
      </c>
      <c r="K41" s="2" t="str">
        <f>IFERROR(IF(MARÍTIMOS[[#This Row],[Placa Carreta]]="","",MARÍTIMOS[[#This Row],[Placa Carreta]]),"")</f>
        <v>B7Q-991</v>
      </c>
      <c r="L41" s="46" t="str">
        <f>IFERROR(IF(MARÍTIMOS[[#This Row],[Conductor]]="","",MARÍTIMOS[[#This Row],[Conductor]]),"")</f>
        <v>CASTILLO MARTINEZ ALEJANDRO.</v>
      </c>
      <c r="M41" s="2" t="str">
        <f>IFERROR(IF(MARÍTIMOS[[#This Row],[Licencia]]="","",MARÍTIMOS[[#This Row],[Licencia]]),"")</f>
        <v>B02753773</v>
      </c>
      <c r="N41" s="2">
        <f>IFERROR(IF(MARÍTIMOS[[#This Row],[Número de Contacto]]="","",MARÍTIMOS[[#This Row],[Número de Contacto]]),"")</f>
        <v>998255542</v>
      </c>
      <c r="O41" s="10" t="str">
        <f>IFERROR(IF(MARÍTIMOS[[#This Row],[Booking|AWB|CRT]]="","",MARÍTIMOS[[#This Row],[Booking|AWB|CRT]]),"")</f>
        <v>PER9184445A</v>
      </c>
      <c r="P41" s="2" t="str">
        <f>IFERROR(IF(MARÍTIMOS[[#This Row],[Contenedor]]="","",MARÍTIMOS[[#This Row],[Contenedor]]),"")</f>
        <v>TXGU902821-8</v>
      </c>
      <c r="Q41" s="2" t="str">
        <f>IFERROR(IF(MARÍTIMOS[[#This Row],[Puerto de Retiro]]="","",MARÍTIMOS[[#This Row],[Puerto de Retiro]]),"")</f>
        <v>PAITA</v>
      </c>
      <c r="R41" s="2" t="str">
        <f>IFERROR(IF(MARÍTIMOS[[#This Row],[Almacén de Retiro]]="","",MARÍTIMOS[[#This Row],[Almacén de Retiro]]),"")</f>
        <v>DPW</v>
      </c>
      <c r="S41" s="11">
        <f>IFERROR(IF(MARÍTIMOS[[#This Row],[Etapa Retiro - Cita]]="","",MARÍTIMOS[[#This Row],[Etapa Retiro - Cita]]),"")</f>
        <v>46250.333333333336</v>
      </c>
      <c r="T41" s="11">
        <f>IFERROR(IF(MARÍTIMOS[[#This Row],[Etapa Retiro - Llegada]]="","",MARÍTIMOS[[#This Row],[Etapa Retiro - Llegada]]),"")</f>
        <v>46250.34097222222</v>
      </c>
      <c r="U41" s="11">
        <f>IFERROR(IF(MARÍTIMOS[[#This Row],[Etapa Retiro - Ingreso]]="","",MARÍTIMOS[[#This Row],[Etapa Retiro - Ingreso]]),"")</f>
        <v>46250.347916666666</v>
      </c>
      <c r="V41" s="11">
        <f>IFERROR(IF(MARÍTIMOS[[#This Row],[Etapa Retiro - Atención]]="","",MARÍTIMOS[[#This Row],[Etapa Retiro - Atención]]),"")</f>
        <v>46250.354166666664</v>
      </c>
      <c r="W41" s="11">
        <f>IFERROR(IF(MARÍTIMOS[[#This Row],[Etapa Retiro - Salida]]="","",MARÍTIMOS[[#This Row],[Etapa Retiro - Salida]]),"")</f>
        <v>46250.395833333336</v>
      </c>
      <c r="X41" s="11">
        <f>IFERROR(IF(MARÍTIMOS[[#This Row],[Etapa Retiro - Inicio de Ruta]]="","",MARÍTIMOS[[#This Row],[Etapa Retiro - Inicio de Ruta]]),"")</f>
        <v>46250.832638888889</v>
      </c>
      <c r="Y41" s="11">
        <f>IFERROR(IF(MARÍTIMOS[[#This Row],[Hora de Posicionamiento]]="","",MARÍTIMOS[[#This Row],[Hora de Carga]]+MARÍTIMOS[[#This Row],[Hora de Posicionamiento]]),"")</f>
        <v>0.75</v>
      </c>
      <c r="Z41" s="11">
        <f>IFERROR(IF(MARÍTIMOS[[#This Row],[Etapa Despacho -  Llegada]]="","",MARÍTIMOS[[#This Row],[Etapa Despacho -  Llegada]]),"")</f>
        <v>46251.333333333336</v>
      </c>
      <c r="AA41" s="11">
        <f>IFERROR(IF(MARÍTIMOS[[#This Row],[Etapa Despacho -  Registro]]="","",MARÍTIMOS[[#This Row],[Etapa Despacho -  Registro]]),"")</f>
        <v>46251.00277777778</v>
      </c>
      <c r="AB41" s="11">
        <f>IFERROR(IF(MARÍTIMOS[[#This Row],[Inspección Externa]]="","",MARÍTIMOS[[#This Row],[Inspección Externa]]),"")</f>
        <v>46251.291666666664</v>
      </c>
      <c r="AC41" s="11">
        <f>IFERROR(IF(MARÍTIMOS[[#This Row],[Etapa Despacho -  Inicio de Carga]]="","",MARÍTIMOS[[#This Row],[Etapa Despacho -  Inicio de Carga]]),"")</f>
        <v>46251.55</v>
      </c>
      <c r="AD41" s="11">
        <f>IFERROR(IF(MARÍTIMOS[[#This Row],[Etapa Despacho -  Fin de Carga]]="","",MARÍTIMOS[[#This Row],[Etapa Despacho -  Fin de Carga]]),"")</f>
        <v>46251.597222222219</v>
      </c>
      <c r="AE41" s="11">
        <f>IFERROR(IF(MARÍTIMOS[[#This Row],[Etapa Despacho -  Salida]]="","",MARÍTIMOS[[#This Row],[Etapa Despacho -  Salida]]),"")</f>
        <v>46251.643750000003</v>
      </c>
      <c r="AF41" s="2" t="str">
        <f>IFERROR(IF(MARÍTIMOS[[#This Row],[Puerto de Embarque]]="","",MARÍTIMOS[[#This Row],[Puerto de Embarque]]),"")</f>
        <v>Paita</v>
      </c>
      <c r="AG41" s="2" t="str">
        <f>IFERROR(IF(MARÍTIMOS[[#This Row],[Almacén de Ingreso]]="","",MARÍTIMOS[[#This Row],[Almacén de Ingreso]]),"")</f>
        <v>TPE</v>
      </c>
      <c r="AH41" s="11">
        <f>IFERROR(IF(MARÍTIMOS[[#This Row],[Etapa Ingreso - Cita]]="","",MARÍTIMOS[[#This Row],[Etapa Ingreso - Cita]]),"")</f>
        <v>46251.875</v>
      </c>
      <c r="AI41" s="11">
        <f>IFERROR(IF(MARÍTIMOS[[#This Row],[Etapa Ingreso - Llegada]]="","",MARÍTIMOS[[#This Row],[Etapa Ingreso - Llegada]]),"")</f>
        <v>46251.851388888892</v>
      </c>
      <c r="AJ41" s="11">
        <f>IFERROR(IF(MARÍTIMOS[[#This Row],[Etapa Ingreso - Ingeso]]="","",MARÍTIMOS[[#This Row],[Etapa Ingreso - Ingeso]]),"")</f>
        <v>46251.857638888891</v>
      </c>
      <c r="AK41" s="11">
        <f>IFERROR(IF(MARÍTIMOS[[#This Row],[Etapa Ingreso - Atención]]="","",MARÍTIMOS[[#This Row],[Etapa Ingreso - Atención]]),"")</f>
        <v>46251.859027777777</v>
      </c>
      <c r="AL41" s="11">
        <f>IFERROR(IF(MARÍTIMOS[[#This Row],[Etapa Ingreso - Salida]]="","",MARÍTIMOS[[#This Row],[Etapa Ingreso - Salida]]),"")</f>
        <v>46251.870138888888</v>
      </c>
      <c r="AM41" s="2">
        <f>IFERROR(IF(MARÍTIMOS[[#This Row],[FCL]]="","",MARÍTIMOS[[#This Row],[FCL]]),"")</f>
        <v>1</v>
      </c>
      <c r="AN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1" s="5">
        <f>IFERROR(OLDBD[[#This Row],[Llegada a packing]]-OLDBD[[#This Row],[Inicio de Ruta]],"")</f>
        <v>0.50069444444670808</v>
      </c>
      <c r="AQ41" s="6">
        <f>IFERROR(OLDBD[[#This Row],[Inicio de Ruta]]-OLDBD[[#This Row],[Salida de almacén de retiro]],"")</f>
        <v>0.43680555555329192</v>
      </c>
      <c r="AR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0.288888888884685</v>
      </c>
      <c r="AV41" s="9">
        <f>IFERROR(OLDBD[[#This Row],[Ingreso Packing]]-OLDBD[[#This Row],[Llegada a packing]],"")</f>
        <v>-4.1666666671517305E-2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1" s="5">
        <f>IFERROR(OLDBD[[#This Row],[Llegada Almacén de Ingreso]]-OLDBD[[#This Row],[Salida Packing]],"")</f>
        <v>0.20763888888905058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1" s="45" t="s">
        <v>181</v>
      </c>
      <c r="BB41" s="53" t="str">
        <f>IFERROR(IF(MARÍTIMOS[[#This Row],[Estatus]]="","",MARÍTIMOS[[#This Row],[Estatus]]),"")</f>
        <v>Confirmado</v>
      </c>
      <c r="BC41" s="45"/>
      <c r="BD41" s="52">
        <f>IFERROR(OLDBD[[#This Row],[Salida de almacén de retiro]]-OLDBD[[#This Row],[Ingreso Almacén de retiro]],"")</f>
        <v>4.7916666670062114E-2</v>
      </c>
      <c r="BE41" s="52">
        <f>IFERROR(OLDBD[[#This Row],[Fin de Carga]]-OLDBD[[#This Row],[Inicio de Carga]],"")</f>
        <v>4.722222221607808E-2</v>
      </c>
    </row>
    <row r="42" spans="1:57" x14ac:dyDescent="0.35">
      <c r="A42" s="1"/>
      <c r="B42" s="1">
        <f>IFERROR(IF(MARÍTIMOS[[#This Row],[PP]]="","",MARÍTIMOS[[#This Row],[PP]]),"")</f>
        <v>33</v>
      </c>
      <c r="C42" s="1" t="str">
        <f>IFERROR(IF(MARÍTIMOS[[#This Row],[Sede]]="","",MARÍTIMOS[[#This Row],[Sede]]),"")</f>
        <v>Olmos</v>
      </c>
      <c r="D42" s="1" t="str">
        <f>IFERROR(IF(MARÍTIMOS[[#This Row],[Instruction]]="","",MARÍTIMOS[[#This Row],[Instruction]]),"")</f>
        <v>RH-0518</v>
      </c>
      <c r="E42" s="1"/>
      <c r="F42" s="2" t="str">
        <f>IFERROR(IF(MARÍTIMOS[[#This Row],[Transportista]]="","",MARÍTIMOS[[#This Row],[Transportista]]),"")</f>
        <v>Costa Transport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TRANSPORTES COSTA TRANSPORT EIRL</v>
      </c>
      <c r="I42" s="2">
        <f>IFERROR(IF(MARÍTIMOS[[#This Row],[RUC]]="","",MARÍTIMOS[[#This Row],[RUC]]),"")</f>
        <v>20525373551</v>
      </c>
      <c r="J42" s="2" t="str">
        <f>IFERROR(IF(MARÍTIMOS[[#This Row],[Placa Tracto]]="","",MARÍTIMOS[[#This Row],[Placa Tracto]]),"")</f>
        <v>T7R-885</v>
      </c>
      <c r="K42" s="2" t="str">
        <f>IFERROR(IF(MARÍTIMOS[[#This Row],[Placa Carreta]]="","",MARÍTIMOS[[#This Row],[Placa Carreta]]),"")</f>
        <v>P1J-974</v>
      </c>
      <c r="L42" s="46" t="str">
        <f>IFERROR(IF(MARÍTIMOS[[#This Row],[Conductor]]="","",MARÍTIMOS[[#This Row],[Conductor]]),"")</f>
        <v>ROBERTO CARLOS AMAYA CHAVARRIA</v>
      </c>
      <c r="M42" s="2" t="str">
        <f>IFERROR(IF(MARÍTIMOS[[#This Row],[Licencia]]="","",MARÍTIMOS[[#This Row],[Licencia]]),"")</f>
        <v>A19255064</v>
      </c>
      <c r="N42" s="2">
        <f>IFERROR(IF(MARÍTIMOS[[#This Row],[Número de Contacto]]="","",MARÍTIMOS[[#This Row],[Número de Contacto]]),"")</f>
        <v>961580382</v>
      </c>
      <c r="O42" s="10" t="str">
        <f>IFERROR(IF(MARÍTIMOS[[#This Row],[Booking|AWB|CRT]]="","",MARÍTIMOS[[#This Row],[Booking|AWB|CRT]]),"")</f>
        <v xml:space="preserve">PER9193504A </v>
      </c>
      <c r="P42" s="2" t="str">
        <f>IFERROR(IF(MARÍTIMOS[[#This Row],[Contenedor]]="","",MARÍTIMOS[[#This Row],[Contenedor]]),"")</f>
        <v>SEKU942389-8</v>
      </c>
      <c r="Q42" s="2" t="str">
        <f>IFERROR(IF(MARÍTIMOS[[#This Row],[Puerto de Retiro]]="","",MARÍTIMOS[[#This Row],[Puerto de Retiro]]),"")</f>
        <v>PAITA</v>
      </c>
      <c r="R42" s="2" t="str">
        <f>IFERROR(IF(MARÍTIMOS[[#This Row],[Almacén de Retiro]]="","",MARÍTIMOS[[#This Row],[Almacén de Retiro]]),"")</f>
        <v>PAITA</v>
      </c>
      <c r="S42" s="11">
        <f>IFERROR(IF(MARÍTIMOS[[#This Row],[Etapa Retiro - Cita]]="","",MARÍTIMOS[[#This Row],[Etapa Retiro - Cita]]),"")</f>
        <v>46251.708333333336</v>
      </c>
      <c r="T42" s="11">
        <f>IFERROR(IF(MARÍTIMOS[[#This Row],[Etapa Retiro - Llegada]]="","",MARÍTIMOS[[#This Row],[Etapa Retiro - Llegada]]),"")</f>
        <v>46251.68472222222</v>
      </c>
      <c r="U42" s="11">
        <f>IFERROR(IF(MARÍTIMOS[[#This Row],[Etapa Retiro - Ingreso]]="","",MARÍTIMOS[[#This Row],[Etapa Retiro - Ingreso]]),"")</f>
        <v>46251.70208333333</v>
      </c>
      <c r="V42" s="11">
        <f>IFERROR(IF(MARÍTIMOS[[#This Row],[Etapa Retiro - Atención]]="","",MARÍTIMOS[[#This Row],[Etapa Retiro - Atención]]),"")</f>
        <v>46251.706250000003</v>
      </c>
      <c r="W42" s="11">
        <f>IFERROR(IF(MARÍTIMOS[[#This Row],[Etapa Retiro - Salida]]="","",MARÍTIMOS[[#This Row],[Etapa Retiro - Salida]]),"")</f>
        <v>46251.772222222222</v>
      </c>
      <c r="X42" s="11">
        <f>IFERROR(IF(MARÍTIMOS[[#This Row],[Etapa Retiro - Inicio de Ruta]]="","",MARÍTIMOS[[#This Row],[Etapa Retiro - Inicio de Ruta]]),"")</f>
        <v>46251.818055555559</v>
      </c>
      <c r="Y42" s="11">
        <f>IFERROR(IF(MARÍTIMOS[[#This Row],[Hora de Posicionamiento]]="","",MARÍTIMOS[[#This Row],[Hora de Carga]]+MARÍTIMOS[[#This Row],[Hora de Posicionamiento]]),"")</f>
        <v>0.75</v>
      </c>
      <c r="Z42" s="11">
        <f>IFERROR(IF(MARÍTIMOS[[#This Row],[Etapa Despacho -  Llegada]]="","",MARÍTIMOS[[#This Row],[Etapa Despacho -  Llegada]]),"")</f>
        <v>46252.333333333336</v>
      </c>
      <c r="AA42" s="11">
        <f>IFERROR(IF(MARÍTIMOS[[#This Row],[Etapa Despacho -  Registro]]="","",MARÍTIMOS[[#This Row],[Etapa Despacho -  Registro]]),"")</f>
        <v>46252.006249999999</v>
      </c>
      <c r="AB42" s="11">
        <f>IFERROR(IF(MARÍTIMOS[[#This Row],[Inspección Externa]]="","",MARÍTIMOS[[#This Row],[Inspección Externa]]),"")</f>
        <v>46252.319444444445</v>
      </c>
      <c r="AC42" s="11">
        <f>IFERROR(IF(MARÍTIMOS[[#This Row],[Etapa Despacho -  Inicio de Carga]]="","",MARÍTIMOS[[#This Row],[Etapa Despacho -  Inicio de Carga]]),"")</f>
        <v>46252.356249999997</v>
      </c>
      <c r="AD42" s="11">
        <f>IFERROR(IF(MARÍTIMOS[[#This Row],[Etapa Despacho -  Fin de Carga]]="","",MARÍTIMOS[[#This Row],[Etapa Despacho -  Fin de Carga]]),"")</f>
        <v>46252.479166666664</v>
      </c>
      <c r="AE42" s="11">
        <f>IFERROR(IF(MARÍTIMOS[[#This Row],[Etapa Despacho -  Salida]]="","",MARÍTIMOS[[#This Row],[Etapa Despacho -  Salida]]),"")</f>
        <v>46252.507638888892</v>
      </c>
      <c r="AF42" s="2" t="str">
        <f>IFERROR(IF(MARÍTIMOS[[#This Row],[Puerto de Embarque]]="","",MARÍTIMOS[[#This Row],[Puerto de Embarque]]),"")</f>
        <v>Paita</v>
      </c>
      <c r="AG42" s="2" t="str">
        <f>IFERROR(IF(MARÍTIMOS[[#This Row],[Almacén de Ingreso]]="","",MARÍTIMOS[[#This Row],[Almacén de Ingreso]]),"")</f>
        <v>TPE</v>
      </c>
      <c r="AH42" s="11">
        <f>IFERROR(IF(MARÍTIMOS[[#This Row],[Etapa Ingreso - Cita]]="","",MARÍTIMOS[[#This Row],[Etapa Ingreso - Cita]]),"")</f>
        <v>46252.791666666664</v>
      </c>
      <c r="AI42" s="11">
        <f>IFERROR(IF(MARÍTIMOS[[#This Row],[Etapa Ingreso - Llegada]]="","",MARÍTIMOS[[#This Row],[Etapa Ingreso - Llegada]]),"")</f>
        <v>46252.738888888889</v>
      </c>
      <c r="AJ42" s="11">
        <f>IFERROR(IF(MARÍTIMOS[[#This Row],[Etapa Ingreso - Ingeso]]="","",MARÍTIMOS[[#This Row],[Etapa Ingreso - Ingeso]]),"")</f>
        <v>46252.740277777775</v>
      </c>
      <c r="AK42" s="11">
        <f>IFERROR(IF(MARÍTIMOS[[#This Row],[Etapa Ingreso - Atención]]="","",MARÍTIMOS[[#This Row],[Etapa Ingreso - Atención]]),"")</f>
        <v>46252.743055555555</v>
      </c>
      <c r="AL42" s="11">
        <f>IFERROR(IF(MARÍTIMOS[[#This Row],[Etapa Ingreso - Salida]]="","",MARÍTIMOS[[#This Row],[Etapa Ingreso - Salida]]),"")</f>
        <v>46252.753472222219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2" s="5">
        <f>IFERROR(OLDBD[[#This Row],[Llegada a packing]]-OLDBD[[#This Row],[Inicio de Ruta]],"")</f>
        <v>0.51527777777664596</v>
      </c>
      <c r="AQ42" s="6">
        <f>IFERROR(OLDBD[[#This Row],[Inicio de Ruta]]-OLDBD[[#This Row],[Salida de almacén de retiro]],"")</f>
        <v>4.5833333337213844E-2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2" s="9">
        <f>IFERROR(OLDBD[[#This Row],[Ingreso Packing]]-OLDBD[[#This Row],[Registro en Packing]],"")</f>
        <v>0.31319444444670808</v>
      </c>
      <c r="AV42" s="9">
        <f>IFERROR(OLDBD[[#This Row],[Ingreso Packing]]-OLDBD[[#This Row],[Llegada a packing]],"")</f>
        <v>-1.3888888890505768E-2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2" s="5">
        <f>IFERROR(OLDBD[[#This Row],[Llegada Almacén de Ingreso]]-OLDBD[[#This Row],[Salida Packing]],"")</f>
        <v>0.23124999999708962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2" s="45" t="s">
        <v>181</v>
      </c>
      <c r="BB42" s="53" t="str">
        <f>IFERROR(IF(MARÍTIMOS[[#This Row],[Estatus]]="","",MARÍTIMOS[[#This Row],[Estatus]]),"")</f>
        <v>Confirmado</v>
      </c>
      <c r="BC42" s="45"/>
      <c r="BD42" s="52">
        <f>IFERROR(OLDBD[[#This Row],[Salida de almacén de retiro]]-OLDBD[[#This Row],[Ingreso Almacén de retiro]],"")</f>
        <v>7.013888889196096E-2</v>
      </c>
      <c r="BE42" s="52">
        <f>IFERROR(OLDBD[[#This Row],[Fin de Carga]]-OLDBD[[#This Row],[Inicio de Carga]],"")</f>
        <v>0.12291666666715173</v>
      </c>
    </row>
    <row r="43" spans="1:57" x14ac:dyDescent="0.35">
      <c r="A43" s="1"/>
      <c r="B43" s="1">
        <f>IFERROR(IF(MARÍTIMOS[[#This Row],[PP]]="","",MARÍTIMOS[[#This Row],[PP]]),"")</f>
        <v>34</v>
      </c>
      <c r="C43" s="1" t="str">
        <f>IFERROR(IF(MARÍTIMOS[[#This Row],[Sede]]="","",MARÍTIMOS[[#This Row],[Sede]]),"")</f>
        <v>Olmos</v>
      </c>
      <c r="D43" s="1" t="str">
        <f>IFERROR(IF(MARÍTIMOS[[#This Row],[Instruction]]="","",MARÍTIMOS[[#This Row],[Instruction]]),"")</f>
        <v xml:space="preserve">RH-0561 </v>
      </c>
      <c r="E43" s="1"/>
      <c r="F43" s="2" t="str">
        <f>IFERROR(IF(MARÍTIMOS[[#This Row],[Transportista]]="","",MARÍTIMOS[[#This Row],[Transportista]]),"")</f>
        <v>Costa Transport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TRANSPORTES COSTA TRANSPORT EIRL</v>
      </c>
      <c r="I43" s="2">
        <f>IFERROR(IF(MARÍTIMOS[[#This Row],[RUC]]="","",MARÍTIMOS[[#This Row],[RUC]]),"")</f>
        <v>20525373551</v>
      </c>
      <c r="J43" s="2" t="str">
        <f>IFERROR(IF(MARÍTIMOS[[#This Row],[Placa Tracto]]="","",MARÍTIMOS[[#This Row],[Placa Tracto]]),"")</f>
        <v>T7R-895</v>
      </c>
      <c r="K43" s="2" t="str">
        <f>IFERROR(IF(MARÍTIMOS[[#This Row],[Placa Carreta]]="","",MARÍTIMOS[[#This Row],[Placa Carreta]]),"")</f>
        <v>F0L-997</v>
      </c>
      <c r="L43" s="46" t="str">
        <f>IFERROR(IF(MARÍTIMOS[[#This Row],[Conductor]]="","",MARÍTIMOS[[#This Row],[Conductor]]),"")</f>
        <v>ISIDRO PACHERRES NAVARRO.</v>
      </c>
      <c r="M43" s="2" t="str">
        <f>IFERROR(IF(MARÍTIMOS[[#This Row],[Licencia]]="","",MARÍTIMOS[[#This Row],[Licencia]]),"")</f>
        <v>B03570274</v>
      </c>
      <c r="N43" s="2">
        <f>IFERROR(IF(MARÍTIMOS[[#This Row],[Número de Contacto]]="","",MARÍTIMOS[[#This Row],[Número de Contacto]]),"")</f>
        <v>945247441</v>
      </c>
      <c r="O43" s="10" t="str">
        <f>IFERROR(IF(MARÍTIMOS[[#This Row],[Booking|AWB|CRT]]="","",MARÍTIMOS[[#This Row],[Booking|AWB|CRT]]),"")</f>
        <v>ZIMULMA826780</v>
      </c>
      <c r="P43" s="2" t="str">
        <f>IFERROR(IF(MARÍTIMOS[[#This Row],[Contenedor]]="","",MARÍTIMOS[[#This Row],[Contenedor]]),"")</f>
        <v>ZMOU893203-8</v>
      </c>
      <c r="Q43" s="2" t="str">
        <f>IFERROR(IF(MARÍTIMOS[[#This Row],[Puerto de Retiro]]="","",MARÍTIMOS[[#This Row],[Puerto de Retiro]]),"")</f>
        <v>PAITA</v>
      </c>
      <c r="R43" s="2" t="str">
        <f>IFERROR(IF(MARÍTIMOS[[#This Row],[Almacén de Retiro]]="","",MARÍTIMOS[[#This Row],[Almacén de Retiro]]),"")</f>
        <v>MACROMAR</v>
      </c>
      <c r="S43" s="11">
        <f>IFERROR(IF(MARÍTIMOS[[#This Row],[Etapa Retiro - Cita]]="","",MARÍTIMOS[[#This Row],[Etapa Retiro - Cita]]),"")</f>
        <v>46252.708333333336</v>
      </c>
      <c r="T43" s="11">
        <f>IFERROR(IF(MARÍTIMOS[[#This Row],[Etapa Retiro - Llegada]]="","",MARÍTIMOS[[#This Row],[Etapa Retiro - Llegada]]),"")</f>
        <v>46252.694444444445</v>
      </c>
      <c r="U43" s="11">
        <f>IFERROR(IF(MARÍTIMOS[[#This Row],[Etapa Retiro - Ingreso]]="","",MARÍTIMOS[[#This Row],[Etapa Retiro - Ingreso]]),"")</f>
        <v>46252.722916666666</v>
      </c>
      <c r="V43" s="11">
        <f>IFERROR(IF(MARÍTIMOS[[#This Row],[Etapa Retiro - Atención]]="","",MARÍTIMOS[[#This Row],[Etapa Retiro - Atención]]),"")</f>
        <v>46252.737500000003</v>
      </c>
      <c r="W43" s="11">
        <f>IFERROR(IF(MARÍTIMOS[[#This Row],[Etapa Retiro - Salida]]="","",MARÍTIMOS[[#This Row],[Etapa Retiro - Salida]]),"")</f>
        <v>46252.795138888891</v>
      </c>
      <c r="X43" s="11">
        <f>IFERROR(IF(MARÍTIMOS[[#This Row],[Etapa Retiro - Inicio de Ruta]]="","",MARÍTIMOS[[#This Row],[Etapa Retiro - Inicio de Ruta]]),"")</f>
        <v>46253.097222222219</v>
      </c>
      <c r="Y43" s="11">
        <f>IFERROR(IF(MARÍTIMOS[[#This Row],[Hora de Posicionamiento]]="","",MARÍTIMOS[[#This Row],[Hora de Carga]]+MARÍTIMOS[[#This Row],[Hora de Posicionamiento]]),"")</f>
        <v>0.75</v>
      </c>
      <c r="Z43" s="11">
        <f>IFERROR(IF(MARÍTIMOS[[#This Row],[Etapa Despacho -  Llegada]]="","",MARÍTIMOS[[#This Row],[Etapa Despacho -  Llegada]]),"")</f>
        <v>46253.333333333336</v>
      </c>
      <c r="AA43" s="11">
        <f>IFERROR(IF(MARÍTIMOS[[#This Row],[Etapa Despacho -  Registro]]="","",MARÍTIMOS[[#This Row],[Etapa Despacho -  Registro]]),"")</f>
        <v>46253.298611111109</v>
      </c>
      <c r="AB43" s="11">
        <f>IFERROR(IF(MARÍTIMOS[[#This Row],[Inspección Externa]]="","",MARÍTIMOS[[#This Row],[Inspección Externa]]),"")</f>
        <v>46253.368750000001</v>
      </c>
      <c r="AC43" s="11">
        <f>IFERROR(IF(MARÍTIMOS[[#This Row],[Etapa Despacho -  Inicio de Carga]]="","",MARÍTIMOS[[#This Row],[Etapa Despacho -  Inicio de Carga]]),"")</f>
        <v>46253.652777777781</v>
      </c>
      <c r="AD43" s="11">
        <f>IFERROR(IF(MARÍTIMOS[[#This Row],[Etapa Despacho -  Fin de Carga]]="","",MARÍTIMOS[[#This Row],[Etapa Despacho -  Fin de Carga]]),"")</f>
        <v>46253.720833333333</v>
      </c>
      <c r="AE43" s="11">
        <f>IFERROR(IF(MARÍTIMOS[[#This Row],[Etapa Despacho -  Salida]]="","",MARÍTIMOS[[#This Row],[Etapa Despacho -  Salida]]),"")</f>
        <v>46253.736111111109</v>
      </c>
      <c r="AF43" s="2" t="str">
        <f>IFERROR(IF(MARÍTIMOS[[#This Row],[Puerto de Embarque]]="","",MARÍTIMOS[[#This Row],[Puerto de Embarque]]),"")</f>
        <v>Paita</v>
      </c>
      <c r="AG43" s="2" t="str">
        <f>IFERROR(IF(MARÍTIMOS[[#This Row],[Almacén de Ingreso]]="","",MARÍTIMOS[[#This Row],[Almacén de Ingreso]]),"")</f>
        <v>TPE</v>
      </c>
      <c r="AH43" s="11">
        <f>IFERROR(IF(MARÍTIMOS[[#This Row],[Etapa Ingreso - Cita]]="","",MARÍTIMOS[[#This Row],[Etapa Ingreso - Cita]]),"")</f>
        <v>46254.041666666664</v>
      </c>
      <c r="AI43" s="11">
        <f>IFERROR(IF(MARÍTIMOS[[#This Row],[Etapa Ingreso - Llegada]]="","",MARÍTIMOS[[#This Row],[Etapa Ingreso - Llegada]]),"")</f>
        <v>46254.003472222219</v>
      </c>
      <c r="AJ43" s="11">
        <f>IFERROR(IF(MARÍTIMOS[[#This Row],[Etapa Ingreso - Ingeso]]="","",MARÍTIMOS[[#This Row],[Etapa Ingreso - Ingeso]]),"")</f>
        <v>46254.01458333333</v>
      </c>
      <c r="AK43" s="11">
        <f>IFERROR(IF(MARÍTIMOS[[#This Row],[Etapa Ingreso - Atención]]="","",MARÍTIMOS[[#This Row],[Etapa Ingreso - Atención]]),"")</f>
        <v>46254.025694444441</v>
      </c>
      <c r="AL43" s="11">
        <f>IFERROR(IF(MARÍTIMOS[[#This Row],[Etapa Ingreso - Salida]]="","",MARÍTIMOS[[#This Row],[Etapa Ingreso - Salida]]),"")</f>
        <v>46254.03125</v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3" s="5">
        <f>IFERROR(OLDBD[[#This Row],[Llegada a packing]]-OLDBD[[#This Row],[Inicio de Ruta]],"")</f>
        <v>0.23611111111677019</v>
      </c>
      <c r="AQ43" s="6">
        <f>IFERROR(OLDBD[[#This Row],[Inicio de Ruta]]-OLDBD[[#This Row],[Salida de almacén de retiro]],"")</f>
        <v>0.30208333332848269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3" s="9">
        <f>IFERROR(OLDBD[[#This Row],[Ingreso Packing]]-OLDBD[[#This Row],[Registro en Packing]],"")</f>
        <v>7.013888889196096E-2</v>
      </c>
      <c r="AV43" s="9">
        <f>IFERROR(OLDBD[[#This Row],[Ingreso Packing]]-OLDBD[[#This Row],[Llegada a packing]],"")</f>
        <v>3.5416666665696539E-2</v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3" s="5">
        <f>IFERROR(OLDBD[[#This Row],[Llegada Almacén de Ingreso]]-OLDBD[[#This Row],[Salida Packing]],"")</f>
        <v>0.26736111110949423</v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3" s="45" t="s">
        <v>181</v>
      </c>
      <c r="BB43" s="11" t="str">
        <f>IFERROR(IF(MARÍTIMOS[[#This Row],[Estatus]]="","",MARÍTIMOS[[#This Row],[Estatus]]),"")</f>
        <v>Confirmado</v>
      </c>
      <c r="BC43" s="45"/>
      <c r="BD43" s="52">
        <f>IFERROR(OLDBD[[#This Row],[Salida de almacén de retiro]]-OLDBD[[#This Row],[Ingreso Almacén de retiro]],"")</f>
        <v>7.2222222224809229E-2</v>
      </c>
      <c r="BE43" s="52">
        <f>IFERROR(OLDBD[[#This Row],[Fin de Carga]]-OLDBD[[#This Row],[Inicio de Carga]],"")</f>
        <v>6.8055555551836733E-2</v>
      </c>
    </row>
    <row r="44" spans="1:57" x14ac:dyDescent="0.35">
      <c r="A44" s="1"/>
      <c r="B44" s="1">
        <f>IFERROR(IF(MARÍTIMOS[[#This Row],[PP]]="","",MARÍTIMOS[[#This Row],[PP]]),"")</f>
        <v>34</v>
      </c>
      <c r="C44" s="1" t="str">
        <f>IFERROR(IF(MARÍTIMOS[[#This Row],[Sede]]="","",MARÍTIMOS[[#This Row],[Sede]]),"")</f>
        <v>Olmos</v>
      </c>
      <c r="D44" s="1" t="str">
        <f>IFERROR(IF(MARÍTIMOS[[#This Row],[Instruction]]="","",MARÍTIMOS[[#This Row],[Instruction]]),"")</f>
        <v>RH-0562</v>
      </c>
      <c r="E44" s="1"/>
      <c r="F44" s="2" t="str">
        <f>IFERROR(IF(MARÍTIMOS[[#This Row],[Transportista]]="","",MARÍTIMOS[[#This Row],[Transportista]]),"")</f>
        <v>Costa Transport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TRANSPORTES COSTA TRANSPORT EIRL</v>
      </c>
      <c r="I44" s="2">
        <f>IFERROR(IF(MARÍTIMOS[[#This Row],[RUC]]="","",MARÍTIMOS[[#This Row],[RUC]]),"")</f>
        <v>20525373551</v>
      </c>
      <c r="J44" s="2" t="str">
        <f>IFERROR(IF(MARÍTIMOS[[#This Row],[Placa Tracto]]="","",MARÍTIMOS[[#This Row],[Placa Tracto]]),"")</f>
        <v>AVK-728</v>
      </c>
      <c r="K44" s="2" t="str">
        <f>IFERROR(IF(MARÍTIMOS[[#This Row],[Placa Carreta]]="","",MARÍTIMOS[[#This Row],[Placa Carreta]]),"")</f>
        <v>F9S-991</v>
      </c>
      <c r="L44" s="46" t="str">
        <f>IFERROR(IF(MARÍTIMOS[[#This Row],[Conductor]]="","",MARÍTIMOS[[#This Row],[Conductor]]),"")</f>
        <v>NOE VICTORIO NOE GARCIA</v>
      </c>
      <c r="M44" s="2" t="str">
        <f>IFERROR(IF(MARÍTIMOS[[#This Row],[Licencia]]="","",MARÍTIMOS[[#This Row],[Licencia]]),"")</f>
        <v>B42334233</v>
      </c>
      <c r="N44" s="2">
        <f>IFERROR(IF(MARÍTIMOS[[#This Row],[Número de Contacto]]="","",MARÍTIMOS[[#This Row],[Número de Contacto]]),"")</f>
        <v>998230850</v>
      </c>
      <c r="O44" s="10" t="str">
        <f>IFERROR(IF(MARÍTIMOS[[#This Row],[Booking|AWB|CRT]]="","",MARÍTIMOS[[#This Row],[Booking|AWB|CRT]]),"")</f>
        <v>ZIMULMA00022151</v>
      </c>
      <c r="P44" s="2" t="str">
        <f>IFERROR(IF(MARÍTIMOS[[#This Row],[Contenedor]]="","",MARÍTIMOS[[#This Row],[Contenedor]]),"")</f>
        <v>GMOU903894-0</v>
      </c>
      <c r="Q44" s="2" t="str">
        <f>IFERROR(IF(MARÍTIMOS[[#This Row],[Puerto de Retiro]]="","",MARÍTIMOS[[#This Row],[Puerto de Retiro]]),"")</f>
        <v>PAITA</v>
      </c>
      <c r="R44" s="2" t="str">
        <f>IFERROR(IF(MARÍTIMOS[[#This Row],[Almacén de Retiro]]="","",MARÍTIMOS[[#This Row],[Almacén de Retiro]]),"")</f>
        <v>MACROMAR</v>
      </c>
      <c r="S44" s="11">
        <f>IFERROR(IF(MARÍTIMOS[[#This Row],[Etapa Retiro - Cita]]="","",MARÍTIMOS[[#This Row],[Etapa Retiro - Cita]]),"")</f>
        <v>46252.666666666664</v>
      </c>
      <c r="T44" s="11">
        <f>IFERROR(IF(MARÍTIMOS[[#This Row],[Etapa Retiro - Llegada]]="","",MARÍTIMOS[[#This Row],[Etapa Retiro - Llegada]]),"")</f>
        <v>46252.681250000001</v>
      </c>
      <c r="U44" s="11">
        <f>IFERROR(IF(MARÍTIMOS[[#This Row],[Etapa Retiro - Ingreso]]="","",MARÍTIMOS[[#This Row],[Etapa Retiro - Ingreso]]),"")</f>
        <v>46252.681250000001</v>
      </c>
      <c r="V44" s="11">
        <f>IFERROR(IF(MARÍTIMOS[[#This Row],[Etapa Retiro - Atención]]="","",MARÍTIMOS[[#This Row],[Etapa Retiro - Atención]]),"")</f>
        <v>46252.689583333333</v>
      </c>
      <c r="W44" s="11">
        <f>IFERROR(IF(MARÍTIMOS[[#This Row],[Etapa Retiro - Salida]]="","",MARÍTIMOS[[#This Row],[Etapa Retiro - Salida]]),"")</f>
        <v>46252.751388888886</v>
      </c>
      <c r="X44" s="11">
        <f>IFERROR(IF(MARÍTIMOS[[#This Row],[Etapa Retiro - Inicio de Ruta]]="","",MARÍTIMOS[[#This Row],[Etapa Retiro - Inicio de Ruta]]),"")</f>
        <v>46253.12777777778</v>
      </c>
      <c r="Y44" s="11">
        <f>IFERROR(IF(MARÍTIMOS[[#This Row],[Hora de Posicionamiento]]="","",MARÍTIMOS[[#This Row],[Hora de Carga]]+MARÍTIMOS[[#This Row],[Hora de Posicionamiento]]),"")</f>
        <v>0.75</v>
      </c>
      <c r="Z44" s="11">
        <f>IFERROR(IF(MARÍTIMOS[[#This Row],[Etapa Despacho -  Llegada]]="","",MARÍTIMOS[[#This Row],[Etapa Despacho -  Llegada]]),"")</f>
        <v>46253.333333333336</v>
      </c>
      <c r="AA44" s="11">
        <f>IFERROR(IF(MARÍTIMOS[[#This Row],[Etapa Despacho -  Registro]]="","",MARÍTIMOS[[#This Row],[Etapa Despacho -  Registro]]),"")</f>
        <v>46253.329861111109</v>
      </c>
      <c r="AB44" s="11">
        <f>IFERROR(IF(MARÍTIMOS[[#This Row],[Inspección Externa]]="","",MARÍTIMOS[[#This Row],[Inspección Externa]]),"")</f>
        <v>46253.375</v>
      </c>
      <c r="AC44" s="11">
        <f>IFERROR(IF(MARÍTIMOS[[#This Row],[Etapa Despacho -  Inicio de Carga]]="","",MARÍTIMOS[[#This Row],[Etapa Despacho -  Inicio de Carga]]),"")</f>
        <v>46253.645833333336</v>
      </c>
      <c r="AD44" s="11">
        <f>IFERROR(IF(MARÍTIMOS[[#This Row],[Etapa Despacho -  Fin de Carga]]="","",MARÍTIMOS[[#This Row],[Etapa Despacho -  Fin de Carga]]),"")</f>
        <v>46253.681944444441</v>
      </c>
      <c r="AE44" s="11">
        <f>IFERROR(IF(MARÍTIMOS[[#This Row],[Etapa Despacho -  Salida]]="","",MARÍTIMOS[[#This Row],[Etapa Despacho -  Salida]]),"")</f>
        <v>46253.716666666667</v>
      </c>
      <c r="AF44" s="2" t="str">
        <f>IFERROR(IF(MARÍTIMOS[[#This Row],[Puerto de Embarque]]="","",MARÍTIMOS[[#This Row],[Puerto de Embarque]]),"")</f>
        <v>Paita</v>
      </c>
      <c r="AG44" s="2" t="str">
        <f>IFERROR(IF(MARÍTIMOS[[#This Row],[Almacén de Ingreso]]="","",MARÍTIMOS[[#This Row],[Almacén de Ingreso]]),"")</f>
        <v>TPE</v>
      </c>
      <c r="AH44" s="11">
        <f>IFERROR(IF(MARÍTIMOS[[#This Row],[Etapa Ingreso - Cita]]="","",MARÍTIMOS[[#This Row],[Etapa Ingreso - Cita]]),"")</f>
        <v>46253.958333333336</v>
      </c>
      <c r="AI44" s="11">
        <f>IFERROR(IF(MARÍTIMOS[[#This Row],[Etapa Ingreso - Llegada]]="","",MARÍTIMOS[[#This Row],[Etapa Ingreso - Llegada]]),"")</f>
        <v>46253.95</v>
      </c>
      <c r="AJ44" s="11">
        <f>IFERROR(IF(MARÍTIMOS[[#This Row],[Etapa Ingreso - Ingeso]]="","",MARÍTIMOS[[#This Row],[Etapa Ingreso - Ingeso]]),"")</f>
        <v>46253.953472222223</v>
      </c>
      <c r="AK44" s="11">
        <f>IFERROR(IF(MARÍTIMOS[[#This Row],[Etapa Ingreso - Atención]]="","",MARÍTIMOS[[#This Row],[Etapa Ingreso - Atención]]),"")</f>
        <v>46253.962500000001</v>
      </c>
      <c r="AL44" s="11">
        <f>IFERROR(IF(MARÍTIMOS[[#This Row],[Etapa Ingreso - Salida]]="","",MARÍTIMOS[[#This Row],[Etapa Ingreso - Salida]]),"")</f>
        <v>46253.977777777778</v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4" s="5">
        <f>IFERROR(OLDBD[[#This Row],[Llegada a packing]]-OLDBD[[#This Row],[Inicio de Ruta]],"")</f>
        <v>0.20555555555620231</v>
      </c>
      <c r="AQ44" s="6">
        <f>IFERROR(OLDBD[[#This Row],[Inicio de Ruta]]-OLDBD[[#This Row],[Salida de almacén de retiro]],"")</f>
        <v>0.37638888889341615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4" s="9">
        <f>IFERROR(OLDBD[[#This Row],[Ingreso Packing]]-OLDBD[[#This Row],[Registro en Packing]],"")</f>
        <v>4.5138888890505768E-2</v>
      </c>
      <c r="AV44" s="9">
        <f>IFERROR(OLDBD[[#This Row],[Ingreso Packing]]-OLDBD[[#This Row],[Llegada a packing]],"")</f>
        <v>4.1666666664241347E-2</v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4" s="5">
        <f>IFERROR(OLDBD[[#This Row],[Llegada Almacén de Ingreso]]-OLDBD[[#This Row],[Salida Packing]],"")</f>
        <v>0.23333333332993789</v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4" s="45" t="s">
        <v>181</v>
      </c>
      <c r="BB44" s="53" t="str">
        <f>IFERROR(IF(MARÍTIMOS[[#This Row],[Estatus]]="","",MARÍTIMOS[[#This Row],[Estatus]]),"")</f>
        <v>Confirmado</v>
      </c>
      <c r="BC44" s="45"/>
      <c r="BD44" s="52">
        <f>IFERROR(OLDBD[[#This Row],[Salida de almacén de retiro]]-OLDBD[[#This Row],[Ingreso Almacén de retiro]],"")</f>
        <v>7.0138888884685002E-2</v>
      </c>
      <c r="BE44" s="52">
        <f>IFERROR(OLDBD[[#This Row],[Fin de Carga]]-OLDBD[[#This Row],[Inicio de Carga]],"")</f>
        <v>3.6111111105128657E-2</v>
      </c>
    </row>
    <row r="45" spans="1:57" x14ac:dyDescent="0.35">
      <c r="A45" s="1"/>
      <c r="B45" s="1">
        <f>IFERROR(IF(MARÍTIMOS[[#This Row],[PP]]="","",MARÍTIMOS[[#This Row],[PP]]),"")</f>
        <v>34</v>
      </c>
      <c r="C45" s="1" t="str">
        <f>IFERROR(IF(MARÍTIMOS[[#This Row],[Sede]]="","",MARÍTIMOS[[#This Row],[Sede]]),"")</f>
        <v>Olmos</v>
      </c>
      <c r="D45" s="1" t="str">
        <f>IFERROR(IF(MARÍTIMOS[[#This Row],[Instruction]]="","",MARÍTIMOS[[#This Row],[Instruction]]),"")</f>
        <v>RH-0547</v>
      </c>
      <c r="E45" s="1"/>
      <c r="F45" s="2" t="str">
        <f>IFERROR(IF(MARÍTIMOS[[#This Row],[Transportista]]="","",MARÍTIMOS[[#This Row],[Transportista]]),"")</f>
        <v>Costa Transport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TRANSPORTES COSTA TRANSPORT EIRL</v>
      </c>
      <c r="I45" s="2">
        <f>IFERROR(IF(MARÍTIMOS[[#This Row],[RUC]]="","",MARÍTIMOS[[#This Row],[RUC]]),"")</f>
        <v>20525373551</v>
      </c>
      <c r="J45" s="2" t="str">
        <f>IFERROR(IF(MARÍTIMOS[[#This Row],[Placa Tracto]]="","",MARÍTIMOS[[#This Row],[Placa Tracto]]),"")</f>
        <v>AVK-810</v>
      </c>
      <c r="K45" s="2" t="str">
        <f>IFERROR(IF(MARÍTIMOS[[#This Row],[Placa Carreta]]="","",MARÍTIMOS[[#This Row],[Placa Carreta]]),"")</f>
        <v>AMY-977</v>
      </c>
      <c r="L45" s="46" t="str">
        <f>IFERROR(IF(MARÍTIMOS[[#This Row],[Conductor]]="","",MARÍTIMOS[[#This Row],[Conductor]]),"")</f>
        <v>CEVALLOS ASTUDILLO JORGE LUIS</v>
      </c>
      <c r="M45" s="2" t="str">
        <f>IFERROR(IF(MARÍTIMOS[[#This Row],[Licencia]]="","",MARÍTIMOS[[#This Row],[Licencia]]),"")</f>
        <v>B42067818</v>
      </c>
      <c r="N45" s="2">
        <f>IFERROR(IF(MARÍTIMOS[[#This Row],[Número de Contacto]]="","",MARÍTIMOS[[#This Row],[Número de Contacto]]),"")</f>
        <v>998374895</v>
      </c>
      <c r="O45" s="10" t="str">
        <f>IFERROR(IF(MARÍTIMOS[[#This Row],[Booking|AWB|CRT]]="","",MARÍTIMOS[[#This Row],[Booking|AWB|CRT]]),"")</f>
        <v>MBM250067127</v>
      </c>
      <c r="P45" s="2" t="str">
        <f>IFERROR(IF(MARÍTIMOS[[#This Row],[Contenedor]]="","",MARÍTIMOS[[#This Row],[Contenedor]]),"")</f>
        <v>FDDU2541604</v>
      </c>
      <c r="Q45" s="2" t="str">
        <f>IFERROR(IF(MARÍTIMOS[[#This Row],[Puerto de Retiro]]="","",MARÍTIMOS[[#This Row],[Puerto de Retiro]]),"")</f>
        <v>PAITA</v>
      </c>
      <c r="R45" s="2" t="str">
        <f>IFERROR(IF(MARÍTIMOS[[#This Row],[Almacén de Retiro]]="","",MARÍTIMOS[[#This Row],[Almacén de Retiro]]),"")</f>
        <v>MACROMAR</v>
      </c>
      <c r="S45" s="11">
        <f>IFERROR(IF(MARÍTIMOS[[#This Row],[Etapa Retiro - Cita]]="","",MARÍTIMOS[[#This Row],[Etapa Retiro - Cita]]),"")</f>
        <v>46253.666666666664</v>
      </c>
      <c r="T45" s="11">
        <f>IFERROR(IF(MARÍTIMOS[[#This Row],[Etapa Retiro - Llegada]]="","",MARÍTIMOS[[#This Row],[Etapa Retiro - Llegada]]),"")</f>
        <v>46253.675000000003</v>
      </c>
      <c r="U45" s="11">
        <f>IFERROR(IF(MARÍTIMOS[[#This Row],[Etapa Retiro - Ingreso]]="","",MARÍTIMOS[[#This Row],[Etapa Retiro - Ingreso]]),"")</f>
        <v>46253.705555555556</v>
      </c>
      <c r="V45" s="11">
        <f>IFERROR(IF(MARÍTIMOS[[#This Row],[Etapa Retiro - Atención]]="","",MARÍTIMOS[[#This Row],[Etapa Retiro - Atención]]),"")</f>
        <v>46253.727777777778</v>
      </c>
      <c r="W45" s="11">
        <f>IFERROR(IF(MARÍTIMOS[[#This Row],[Etapa Retiro - Salida]]="","",MARÍTIMOS[[#This Row],[Etapa Retiro - Salida]]),"")</f>
        <v>46253.772916666669</v>
      </c>
      <c r="X45" s="11">
        <f>IFERROR(IF(MARÍTIMOS[[#This Row],[Etapa Retiro - Inicio de Ruta]]="","",MARÍTIMOS[[#This Row],[Etapa Retiro - Inicio de Ruta]]),"")</f>
        <v>46254.313194444447</v>
      </c>
      <c r="Y45" s="11">
        <f>IFERROR(IF(MARÍTIMOS[[#This Row],[Hora de Posicionamiento]]="","",MARÍTIMOS[[#This Row],[Hora de Carga]]+MARÍTIMOS[[#This Row],[Hora de Posicionamiento]]),"")</f>
        <v>1.0833333333333335</v>
      </c>
      <c r="Z45" s="11">
        <f>IFERROR(IF(MARÍTIMOS[[#This Row],[Etapa Despacho -  Llegada]]="","",MARÍTIMOS[[#This Row],[Etapa Despacho -  Llegada]]),"")</f>
        <v>46254.486111111109</v>
      </c>
      <c r="AA45" s="11">
        <f>IFERROR(IF(MARÍTIMOS[[#This Row],[Etapa Despacho -  Registro]]="","",MARÍTIMOS[[#This Row],[Etapa Despacho -  Registro]]),"")</f>
        <v>46254.489583333336</v>
      </c>
      <c r="AB45" s="11">
        <f>IFERROR(IF(MARÍTIMOS[[#This Row],[Inspección Externa]]="","",MARÍTIMOS[[#This Row],[Inspección Externa]]),"")</f>
        <v>46254.49722222222</v>
      </c>
      <c r="AC45" s="11">
        <f>IFERROR(IF(MARÍTIMOS[[#This Row],[Etapa Despacho -  Inicio de Carga]]="","",MARÍTIMOS[[#This Row],[Etapa Despacho -  Inicio de Carga]]),"")</f>
        <v>46254.652777777781</v>
      </c>
      <c r="AD45" s="11">
        <f>IFERROR(IF(MARÍTIMOS[[#This Row],[Etapa Despacho -  Fin de Carga]]="","",MARÍTIMOS[[#This Row],[Etapa Despacho -  Fin de Carga]]),"")</f>
        <v>46254.746527777781</v>
      </c>
      <c r="AE45" s="11">
        <f>IFERROR(IF(MARÍTIMOS[[#This Row],[Etapa Despacho -  Salida]]="","",MARÍTIMOS[[#This Row],[Etapa Despacho -  Salida]]),"")</f>
        <v>46254.779166666667</v>
      </c>
      <c r="AF45" s="2" t="str">
        <f>IFERROR(IF(MARÍTIMOS[[#This Row],[Puerto de Embarque]]="","",MARÍTIMOS[[#This Row],[Puerto de Embarque]]),"")</f>
        <v>Paita</v>
      </c>
      <c r="AG45" s="2" t="str">
        <f>IFERROR(IF(MARÍTIMOS[[#This Row],[Almacén de Ingreso]]="","",MARÍTIMOS[[#This Row],[Almacén de Ingreso]]),"")</f>
        <v>TPE</v>
      </c>
      <c r="AH45" s="11">
        <f>IFERROR(IF(MARÍTIMOS[[#This Row],[Etapa Ingreso - Cita]]="","",MARÍTIMOS[[#This Row],[Etapa Ingreso - Cita]]),"")</f>
        <v>46254.958333333336</v>
      </c>
      <c r="AI45" s="11">
        <f>IFERROR(IF(MARÍTIMOS[[#This Row],[Etapa Ingreso - Llegada]]="","",MARÍTIMOS[[#This Row],[Etapa Ingreso - Llegada]]),"")</f>
        <v>46254.972222222219</v>
      </c>
      <c r="AJ45" s="11">
        <f>IFERROR(IF(MARÍTIMOS[[#This Row],[Etapa Ingreso - Ingeso]]="","",MARÍTIMOS[[#This Row],[Etapa Ingreso - Ingeso]]),"")</f>
        <v>46254.975694444445</v>
      </c>
      <c r="AK45" s="11">
        <f>IFERROR(IF(MARÍTIMOS[[#This Row],[Etapa Ingreso - Atención]]="","",MARÍTIMOS[[#This Row],[Etapa Ingreso - Atención]]),"")</f>
        <v>46254.982638888891</v>
      </c>
      <c r="AL45" s="11">
        <f>IFERROR(IF(MARÍTIMOS[[#This Row],[Etapa Ingreso - Salida]]="","",MARÍTIMOS[[#This Row],[Etapa Ingreso - Salida]]),"")</f>
        <v>46254.986111111109</v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5" s="5">
        <f>IFERROR(OLDBD[[#This Row],[Llegada a packing]]-OLDBD[[#This Row],[Inicio de Ruta]],"")</f>
        <v>0.17291666666278616</v>
      </c>
      <c r="AQ45" s="6">
        <f>IFERROR(OLDBD[[#This Row],[Inicio de Ruta]]-OLDBD[[#This Row],[Salida de almacén de retiro]],"")</f>
        <v>0.54027777777810115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5" s="9">
        <f>IFERROR(OLDBD[[#This Row],[Ingreso Packing]]-OLDBD[[#This Row],[Registro en Packing]],"")</f>
        <v>7.6388888846850023E-3</v>
      </c>
      <c r="AV45" s="9">
        <f>IFERROR(OLDBD[[#This Row],[Ingreso Packing]]-OLDBD[[#This Row],[Llegada a packing]],"")</f>
        <v>1.1111111110949423E-2</v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5" s="5">
        <f>IFERROR(OLDBD[[#This Row],[Llegada Almacén de Ingreso]]-OLDBD[[#This Row],[Salida Packing]],"")</f>
        <v>0.19305555555183673</v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5" s="45" t="s">
        <v>181</v>
      </c>
      <c r="BB45" s="53" t="str">
        <f>IFERROR(IF(MARÍTIMOS[[#This Row],[Estatus]]="","",MARÍTIMOS[[#This Row],[Estatus]]),"")</f>
        <v>Confirmado</v>
      </c>
      <c r="BC45" s="45"/>
      <c r="BD45" s="52">
        <f>IFERROR(OLDBD[[#This Row],[Salida de almacén de retiro]]-OLDBD[[#This Row],[Ingreso Almacén de retiro]],"")</f>
        <v>6.7361111112404615E-2</v>
      </c>
      <c r="BE45" s="52">
        <f>IFERROR(OLDBD[[#This Row],[Fin de Carga]]-OLDBD[[#This Row],[Inicio de Carga]],"")</f>
        <v>9.375E-2</v>
      </c>
    </row>
    <row r="46" spans="1:57" x14ac:dyDescent="0.35">
      <c r="A46" s="1"/>
      <c r="B46" s="1">
        <f>IFERROR(IF(MARÍTIMOS[[#This Row],[PP]]="","",MARÍTIMOS[[#This Row],[PP]]),"")</f>
        <v>34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RH-0552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AVK-728</v>
      </c>
      <c r="K46" s="2" t="str">
        <f>IFERROR(IF(MARÍTIMOS[[#This Row],[Placa Carreta]]="","",MARÍTIMOS[[#This Row],[Placa Carreta]]),"")</f>
        <v>F9S-991</v>
      </c>
      <c r="L46" s="46" t="str">
        <f>IFERROR(IF(MARÍTIMOS[[#This Row],[Conductor]]="","",MARÍTIMOS[[#This Row],[Conductor]]),"")</f>
        <v>NOE VICTORIO NOE GARCIA</v>
      </c>
      <c r="M46" s="2" t="str">
        <f>IFERROR(IF(MARÍTIMOS[[#This Row],[Licencia]]="","",MARÍTIMOS[[#This Row],[Licencia]]),"")</f>
        <v>B42334233</v>
      </c>
      <c r="N46" s="2">
        <f>IFERROR(IF(MARÍTIMOS[[#This Row],[Número de Contacto]]="","",MARÍTIMOS[[#This Row],[Número de Contacto]]),"")</f>
        <v>998230850</v>
      </c>
      <c r="O46" s="10" t="str">
        <f>IFERROR(IF(MARÍTIMOS[[#This Row],[Booking|AWB|CRT]]="","",MARÍTIMOS[[#This Row],[Booking|AWB|CRT]]),"")</f>
        <v>MBM250067122</v>
      </c>
      <c r="P46" s="2" t="str">
        <f>IFERROR(IF(MARÍTIMOS[[#This Row],[Contenedor]]="","",MARÍTIMOS[[#This Row],[Contenedor]]),"")</f>
        <v>FDDU2541116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MACROMAR</v>
      </c>
      <c r="S46" s="11">
        <f>IFERROR(IF(MARÍTIMOS[[#This Row],[Etapa Retiro - Cita]]="","",MARÍTIMOS[[#This Row],[Etapa Retiro - Cita]]),"")</f>
        <v>46254.666666666664</v>
      </c>
      <c r="T46" s="11">
        <f>IFERROR(IF(MARÍTIMOS[[#This Row],[Etapa Retiro - Llegada]]="","",MARÍTIMOS[[#This Row],[Etapa Retiro - Llegada]]),"")</f>
        <v>46254.664583333331</v>
      </c>
      <c r="U46" s="11">
        <f>IFERROR(IF(MARÍTIMOS[[#This Row],[Etapa Retiro - Ingreso]]="","",MARÍTIMOS[[#This Row],[Etapa Retiro - Ingreso]]),"")</f>
        <v>46254.686805555553</v>
      </c>
      <c r="V46" s="11">
        <f>IFERROR(IF(MARÍTIMOS[[#This Row],[Etapa Retiro - Atención]]="","",MARÍTIMOS[[#This Row],[Etapa Retiro - Atención]]),"")</f>
        <v>46254.698611111111</v>
      </c>
      <c r="W46" s="11">
        <f>IFERROR(IF(MARÍTIMOS[[#This Row],[Etapa Retiro - Salida]]="","",MARÍTIMOS[[#This Row],[Etapa Retiro - Salida]]),"")</f>
        <v>46254.783333333333</v>
      </c>
      <c r="X46" s="11">
        <f>IFERROR(IF(MARÍTIMOS[[#This Row],[Etapa Retiro - Inicio de Ruta]]="","",MARÍTIMOS[[#This Row],[Etapa Retiro - Inicio de Ruta]]),"")</f>
        <v>46255.138194444444</v>
      </c>
      <c r="Y46" s="11">
        <f>IFERROR(IF(MARÍTIMOS[[#This Row],[Hora de Posicionamiento]]="","",MARÍTIMOS[[#This Row],[Hora de Carga]]+MARÍTIMOS[[#This Row],[Hora de Posicionamiento]]),"")</f>
        <v>0.75</v>
      </c>
      <c r="Z46" s="11">
        <f>IFERROR(IF(MARÍTIMOS[[#This Row],[Etapa Despacho -  Llegada]]="","",MARÍTIMOS[[#This Row],[Etapa Despacho -  Llegada]]),"")</f>
        <v>46255.326388888891</v>
      </c>
      <c r="AA46" s="11">
        <f>IFERROR(IF(MARÍTIMOS[[#This Row],[Etapa Despacho -  Registro]]="","",MARÍTIMOS[[#This Row],[Etapa Despacho -  Registro]]),"")</f>
        <v>46255.329861111109</v>
      </c>
      <c r="AB46" s="11">
        <f>IFERROR(IF(MARÍTIMOS[[#This Row],[Inspección Externa]]="","",MARÍTIMOS[[#This Row],[Inspección Externa]]),"")</f>
        <v>46255.336805555555</v>
      </c>
      <c r="AC46" s="11">
        <f>IFERROR(IF(MARÍTIMOS[[#This Row],[Etapa Despacho -  Inicio de Carga]]="","",MARÍTIMOS[[#This Row],[Etapa Despacho -  Inicio de Carga]]),"")</f>
        <v>46255.447916666664</v>
      </c>
      <c r="AD46" s="11">
        <f>IFERROR(IF(MARÍTIMOS[[#This Row],[Etapa Despacho -  Fin de Carga]]="","",MARÍTIMOS[[#This Row],[Etapa Despacho -  Fin de Carga]]),"")</f>
        <v>46255.474999999999</v>
      </c>
      <c r="AE46" s="11">
        <f>IFERROR(IF(MARÍTIMOS[[#This Row],[Etapa Despacho -  Salida]]="","",MARÍTIMOS[[#This Row],[Etapa Despacho -  Salida]]),"")</f>
        <v>46255.48333333333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46255.75</v>
      </c>
      <c r="AI46" s="11">
        <f>IFERROR(IF(MARÍTIMOS[[#This Row],[Etapa Ingreso - Llegada]]="","",MARÍTIMOS[[#This Row],[Etapa Ingreso - Llegada]]),"")</f>
        <v>46255.727777777778</v>
      </c>
      <c r="AJ46" s="11">
        <f>IFERROR(IF(MARÍTIMOS[[#This Row],[Etapa Ingreso - Ingeso]]="","",MARÍTIMOS[[#This Row],[Etapa Ingreso - Ingeso]]),"")</f>
        <v>46255.727777777778</v>
      </c>
      <c r="AK46" s="11">
        <f>IFERROR(IF(MARÍTIMOS[[#This Row],[Etapa Ingreso - Atención]]="","",MARÍTIMOS[[#This Row],[Etapa Ingreso - Atención]]),"")</f>
        <v>46255.73333333333</v>
      </c>
      <c r="AL46" s="11">
        <f>IFERROR(IF(MARÍTIMOS[[#This Row],[Etapa Ingreso - Salida]]="","",MARÍTIMOS[[#This Row],[Etapa Ingreso - Salida]]),"")</f>
        <v>46255.737500000003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46" s="5">
        <f>IFERROR(OLDBD[[#This Row],[Llegada a packing]]-OLDBD[[#This Row],[Inicio de Ruta]],"")</f>
        <v>0.18819444444670808</v>
      </c>
      <c r="AQ46" s="6">
        <f>IFERROR(OLDBD[[#This Row],[Inicio de Ruta]]-OLDBD[[#This Row],[Salida de almacén de retiro]],"")</f>
        <v>0.35486111111094942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6" s="9">
        <f>IFERROR(OLDBD[[#This Row],[Ingreso Packing]]-OLDBD[[#This Row],[Registro en Packing]],"")</f>
        <v>6.9444444452528842E-3</v>
      </c>
      <c r="AV46" s="9">
        <f>IFERROR(OLDBD[[#This Row],[Ingreso Packing]]-OLDBD[[#This Row],[Llegada a packing]],"")</f>
        <v>1.0416666664241347E-2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6" s="5">
        <f>IFERROR(OLDBD[[#This Row],[Llegada Almacén de Ingreso]]-OLDBD[[#This Row],[Salida Packing]],"")</f>
        <v>0.24444444444816327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6" s="45" t="s">
        <v>181</v>
      </c>
      <c r="BB46" s="53" t="str">
        <f>IFERROR(IF(MARÍTIMOS[[#This Row],[Estatus]]="","",MARÍTIMOS[[#This Row],[Estatus]]),"")</f>
        <v>Confirmado</v>
      </c>
      <c r="BC46" s="45"/>
      <c r="BD46" s="52">
        <f>IFERROR(OLDBD[[#This Row],[Salida de almacén de retiro]]-OLDBD[[#This Row],[Ingreso Almacén de retiro]],"")</f>
        <v>9.6527777779556345E-2</v>
      </c>
      <c r="BE46" s="52">
        <f>IFERROR(OLDBD[[#This Row],[Fin de Carga]]-OLDBD[[#This Row],[Inicio de Carga]],"")</f>
        <v>2.7083333334303461E-2</v>
      </c>
    </row>
    <row r="47" spans="1:57" x14ac:dyDescent="0.35">
      <c r="A47" s="1"/>
      <c r="B47" s="1">
        <f>IFERROR(IF(MARÍTIMOS[[#This Row],[PP]]="","",MARÍTIMOS[[#This Row],[PP]]),"")</f>
        <v>34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RH-0556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TFY-879</v>
      </c>
      <c r="K47" s="2" t="str">
        <f>IFERROR(IF(MARÍTIMOS[[#This Row],[Placa Carreta]]="","",MARÍTIMOS[[#This Row],[Placa Carreta]]),"")</f>
        <v>A1G-973</v>
      </c>
      <c r="L47" s="46" t="str">
        <f>IFERROR(IF(MARÍTIMOS[[#This Row],[Conductor]]="","",MARÍTIMOS[[#This Row],[Conductor]]),"")</f>
        <v>JORGE LUIS AZO RUIZ</v>
      </c>
      <c r="M47" s="2" t="str">
        <f>IFERROR(IF(MARÍTIMOS[[#This Row],[Licencia]]="","",MARÍTIMOS[[#This Row],[Licencia]]),"")</f>
        <v>B03874735</v>
      </c>
      <c r="N47" s="2">
        <f>IFERROR(IF(MARÍTIMOS[[#This Row],[Número de Contacto]]="","",MARÍTIMOS[[#This Row],[Número de Contacto]]),"")</f>
        <v>998231122</v>
      </c>
      <c r="O47" s="10" t="str">
        <f>IFERROR(IF(MARÍTIMOS[[#This Row],[Booking|AWB|CRT]]="","",MARÍTIMOS[[#This Row],[Booking|AWB|CRT]]),"")</f>
        <v>BN81745</v>
      </c>
      <c r="P47" s="2" t="str">
        <f>IFERROR(IF(MARÍTIMOS[[#This Row],[Contenedor]]="","",MARÍTIMOS[[#This Row],[Contenedor]]),"")</f>
        <v>SEKU9347714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DPW</v>
      </c>
      <c r="S47" s="11">
        <f>IFERROR(IF(MARÍTIMOS[[#This Row],[Etapa Retiro - Cita]]="","",MARÍTIMOS[[#This Row],[Etapa Retiro - Cita]]),"")</f>
        <v>46257.833333333336</v>
      </c>
      <c r="T47" s="11">
        <f>IFERROR(IF(MARÍTIMOS[[#This Row],[Etapa Retiro - Llegada]]="","",MARÍTIMOS[[#This Row],[Etapa Retiro - Llegada]]),"")</f>
        <v>46257.800694444442</v>
      </c>
      <c r="U47" s="11">
        <f>IFERROR(IF(MARÍTIMOS[[#This Row],[Etapa Retiro - Ingreso]]="","",MARÍTIMOS[[#This Row],[Etapa Retiro - Ingreso]]),"")</f>
        <v>46257.856944444444</v>
      </c>
      <c r="V47" s="11">
        <f>IFERROR(IF(MARÍTIMOS[[#This Row],[Etapa Retiro - Atención]]="","",MARÍTIMOS[[#This Row],[Etapa Retiro - Atención]]),"")</f>
        <v>46257.861111111109</v>
      </c>
      <c r="W47" s="11">
        <f>IFERROR(IF(MARÍTIMOS[[#This Row],[Etapa Retiro - Salida]]="","",MARÍTIMOS[[#This Row],[Etapa Retiro - Salida]]),"")</f>
        <v>46257.931250000001</v>
      </c>
      <c r="X47" s="11">
        <f>IFERROR(IF(MARÍTIMOS[[#This Row],[Etapa Retiro - Inicio de Ruta]]="","",MARÍTIMOS[[#This Row],[Etapa Retiro - Inicio de Ruta]]),"")</f>
        <v>46257.931250000001</v>
      </c>
      <c r="Y47" s="11">
        <f>IFERROR(IF(MARÍTIMOS[[#This Row],[Hora de Posicionamiento]]="","",MARÍTIMOS[[#This Row],[Hora de Carga]]+MARÍTIMOS[[#This Row],[Hora de Posicionamiento]]),"")</f>
        <v>0.75</v>
      </c>
      <c r="Z47" s="11">
        <f>IFERROR(IF(MARÍTIMOS[[#This Row],[Etapa Despacho -  Llegada]]="","",MARÍTIMOS[[#This Row],[Etapa Despacho -  Llegada]]),"")</f>
        <v>46258.1</v>
      </c>
      <c r="AA47" s="11">
        <f>IFERROR(IF(MARÍTIMOS[[#This Row],[Etapa Despacho -  Registro]]="","",MARÍTIMOS[[#This Row],[Etapa Despacho -  Registro]]),"")</f>
        <v>46258.348611111112</v>
      </c>
      <c r="AB47" s="11">
        <f>IFERROR(IF(MARÍTIMOS[[#This Row],[Inspección Externa]]="","",MARÍTIMOS[[#This Row],[Inspección Externa]]),"")</f>
        <v>46258.348611111112</v>
      </c>
      <c r="AC47" s="11">
        <f>IFERROR(IF(MARÍTIMOS[[#This Row],[Etapa Despacho -  Inicio de Carga]]="","",MARÍTIMOS[[#This Row],[Etapa Despacho -  Inicio de Carga]]),"")</f>
        <v>46258.479861111111</v>
      </c>
      <c r="AD47" s="11">
        <f>IFERROR(IF(MARÍTIMOS[[#This Row],[Etapa Despacho -  Fin de Carga]]="","",MARÍTIMOS[[#This Row],[Etapa Despacho -  Fin de Carga]]),"")</f>
        <v>46258.529861111114</v>
      </c>
      <c r="AE47" s="11">
        <f>IFERROR(IF(MARÍTIMOS[[#This Row],[Etapa Despacho -  Salida]]="","",MARÍTIMOS[[#This Row],[Etapa Despacho -  Salida]]),"")</f>
        <v>46258.569444444445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46258.791666666664</v>
      </c>
      <c r="AI47" s="11">
        <f>IFERROR(IF(MARÍTIMOS[[#This Row],[Etapa Ingreso - Llegada]]="","",MARÍTIMOS[[#This Row],[Etapa Ingreso - Llegada]]),"")</f>
        <v>46258.765972222223</v>
      </c>
      <c r="AJ47" s="11">
        <f>IFERROR(IF(MARÍTIMOS[[#This Row],[Etapa Ingreso - Ingeso]]="","",MARÍTIMOS[[#This Row],[Etapa Ingreso - Ingeso]]),"")</f>
        <v>46258.765972222223</v>
      </c>
      <c r="AK47" s="11">
        <f>IFERROR(IF(MARÍTIMOS[[#This Row],[Etapa Ingreso - Atención]]="","",MARÍTIMOS[[#This Row],[Etapa Ingreso - Atención]]),"")</f>
        <v>46258.768750000003</v>
      </c>
      <c r="AL47" s="11">
        <f>IFERROR(IF(MARÍTIMOS[[#This Row],[Etapa Ingreso - Salida]]="","",MARÍTIMOS[[#This Row],[Etapa Ingreso - Salida]]),"")</f>
        <v>46258.774305555555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7" s="5">
        <f>IFERROR(OLDBD[[#This Row],[Llegada a packing]]-OLDBD[[#This Row],[Inicio de Ruta]],"")</f>
        <v>0.16874999999708962</v>
      </c>
      <c r="AQ47" s="6">
        <f>IFERROR(OLDBD[[#This Row],[Inicio de Ruta]]-OLDBD[[#This Row],[Salida de almacén de retiro]],"")</f>
        <v>0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7" s="9">
        <f>IFERROR(OLDBD[[#This Row],[Ingreso Packing]]-OLDBD[[#This Row],[Registro en Packing]],"")</f>
        <v>0</v>
      </c>
      <c r="AV47" s="9">
        <f>IFERROR(OLDBD[[#This Row],[Ingreso Packing]]-OLDBD[[#This Row],[Llegada a packing]],"")</f>
        <v>0.24861111111385981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7" s="5">
        <f>IFERROR(OLDBD[[#This Row],[Llegada Almacén de Ingreso]]-OLDBD[[#This Row],[Salida Packing]],"")</f>
        <v>0.19652777777810115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5" t="s">
        <v>181</v>
      </c>
      <c r="BB47" s="53" t="str">
        <f>IFERROR(IF(MARÍTIMOS[[#This Row],[Estatus]]="","",MARÍTIMOS[[#This Row],[Estatus]]),"")</f>
        <v>Confirmado</v>
      </c>
      <c r="BC47" s="45"/>
      <c r="BD47" s="52">
        <f>IFERROR(OLDBD[[#This Row],[Salida de almacén de retiro]]-OLDBD[[#This Row],[Ingreso Almacén de retiro]],"")</f>
        <v>7.4305555557657499E-2</v>
      </c>
      <c r="BE47" s="52">
        <f>IFERROR(OLDBD[[#This Row],[Fin de Carga]]-OLDBD[[#This Row],[Inicio de Carga]],"")</f>
        <v>5.0000000002910383E-2</v>
      </c>
    </row>
    <row r="48" spans="1:57" x14ac:dyDescent="0.35">
      <c r="A48" s="1"/>
      <c r="B48" s="1">
        <f>IFERROR(IF(MARÍTIMOS[[#This Row],[PP]]="","",MARÍTIMOS[[#This Row],[PP]]),"")</f>
        <v>34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RH-0557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T3I-840</v>
      </c>
      <c r="K48" s="2" t="str">
        <f>IFERROR(IF(MARÍTIMOS[[#This Row],[Placa Carreta]]="","",MARÍTIMOS[[#This Row],[Placa Carreta]]),"")</f>
        <v>D5W-991</v>
      </c>
      <c r="L48" s="46" t="str">
        <f>IFERROR(IF(MARÍTIMOS[[#This Row],[Conductor]]="","",MARÍTIMOS[[#This Row],[Conductor]]),"")</f>
        <v>CELIO CASTRO ALVAREZ</v>
      </c>
      <c r="M48" s="2" t="str">
        <f>IFERROR(IF(MARÍTIMOS[[#This Row],[Licencia]]="","",MARÍTIMOS[[#This Row],[Licencia]]),"")</f>
        <v>B03498026</v>
      </c>
      <c r="N48" s="2">
        <f>IFERROR(IF(MARÍTIMOS[[#This Row],[Número de Contacto]]="","",MARÍTIMOS[[#This Row],[Número de Contacto]]),"")</f>
        <v>958976357</v>
      </c>
      <c r="O48" s="10" t="str">
        <f>IFERROR(IF(MARÍTIMOS[[#This Row],[Booking|AWB|CRT]]="","",MARÍTIMOS[[#This Row],[Booking|AWB|CRT]]),"")</f>
        <v>BN81746</v>
      </c>
      <c r="P48" s="2" t="str">
        <f>IFERROR(IF(MARÍTIMOS[[#This Row],[Contenedor]]="","",MARÍTIMOS[[#This Row],[Contenedor]]),"")</f>
        <v>SEKU9206017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DPW</v>
      </c>
      <c r="S48" s="11">
        <f>IFERROR(IF(MARÍTIMOS[[#This Row],[Etapa Retiro - Cita]]="","",MARÍTIMOS[[#This Row],[Etapa Retiro - Cita]]),"")</f>
        <v>46257.833333333336</v>
      </c>
      <c r="T48" s="11">
        <f>IFERROR(IF(MARÍTIMOS[[#This Row],[Etapa Retiro - Llegada]]="","",MARÍTIMOS[[#This Row],[Etapa Retiro - Llegada]]),"")</f>
        <v>46257.813194444447</v>
      </c>
      <c r="U48" s="11">
        <f>IFERROR(IF(MARÍTIMOS[[#This Row],[Etapa Retiro - Ingreso]]="","",MARÍTIMOS[[#This Row],[Etapa Retiro - Ingreso]]),"")</f>
        <v>46257.870833333334</v>
      </c>
      <c r="V48" s="11">
        <f>IFERROR(IF(MARÍTIMOS[[#This Row],[Etapa Retiro - Atención]]="","",MARÍTIMOS[[#This Row],[Etapa Retiro - Atención]]),"")</f>
        <v>46257.874305555553</v>
      </c>
      <c r="W48" s="11">
        <f>IFERROR(IF(MARÍTIMOS[[#This Row],[Etapa Retiro - Salida]]="","",MARÍTIMOS[[#This Row],[Etapa Retiro - Salida]]),"")</f>
        <v>46257.911805555559</v>
      </c>
      <c r="X48" s="11">
        <f>IFERROR(IF(MARÍTIMOS[[#This Row],[Etapa Retiro - Inicio de Ruta]]="","",MARÍTIMOS[[#This Row],[Etapa Retiro - Inicio de Ruta]]),"")</f>
        <v>46258.099305555559</v>
      </c>
      <c r="Y48" s="11">
        <f>IFERROR(IF(MARÍTIMOS[[#This Row],[Hora de Posicionamiento]]="","",MARÍTIMOS[[#This Row],[Hora de Carga]]+MARÍTIMOS[[#This Row],[Hora de Posicionamiento]]),"")</f>
        <v>0.75</v>
      </c>
      <c r="Z48" s="11">
        <f>IFERROR(IF(MARÍTIMOS[[#This Row],[Etapa Despacho -  Llegada]]="","",MARÍTIMOS[[#This Row],[Etapa Despacho -  Llegada]]),"")</f>
        <v>46258.285416666666</v>
      </c>
      <c r="AA48" s="11">
        <f>IFERROR(IF(MARÍTIMOS[[#This Row],[Etapa Despacho -  Registro]]="","",MARÍTIMOS[[#This Row],[Etapa Despacho -  Registro]]),"")</f>
        <v>46258.34097222222</v>
      </c>
      <c r="AB48" s="11">
        <f>IFERROR(IF(MARÍTIMOS[[#This Row],[Inspección Externa]]="","",MARÍTIMOS[[#This Row],[Inspección Externa]]),"")</f>
        <v>46258.34097222222</v>
      </c>
      <c r="AC48" s="11">
        <f>IFERROR(IF(MARÍTIMOS[[#This Row],[Etapa Despacho -  Inicio de Carga]]="","",MARÍTIMOS[[#This Row],[Etapa Despacho -  Inicio de Carga]]),"")</f>
        <v>46258.429861111108</v>
      </c>
      <c r="AD48" s="11">
        <f>IFERROR(IF(MARÍTIMOS[[#This Row],[Etapa Despacho -  Fin de Carga]]="","",MARÍTIMOS[[#This Row],[Etapa Despacho -  Fin de Carga]]),"")</f>
        <v>46258.660416666666</v>
      </c>
      <c r="AE48" s="11">
        <f>IFERROR(IF(MARÍTIMOS[[#This Row],[Etapa Despacho -  Salida]]="","",MARÍTIMOS[[#This Row],[Etapa Despacho -  Salida]]),"")</f>
        <v>46258.696527777778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46259</v>
      </c>
      <c r="AI48" s="11">
        <f>IFERROR(IF(MARÍTIMOS[[#This Row],[Etapa Ingreso - Llegada]]="","",MARÍTIMOS[[#This Row],[Etapa Ingreso - Llegada]]),"")</f>
        <v>46258.965277777781</v>
      </c>
      <c r="AJ48" s="11">
        <f>IFERROR(IF(MARÍTIMOS[[#This Row],[Etapa Ingreso - Ingeso]]="","",MARÍTIMOS[[#This Row],[Etapa Ingreso - Ingeso]]),"")</f>
        <v>46258.966666666667</v>
      </c>
      <c r="AK48" s="11">
        <f>IFERROR(IF(MARÍTIMOS[[#This Row],[Etapa Ingreso - Atención]]="","",MARÍTIMOS[[#This Row],[Etapa Ingreso - Atención]]),"")</f>
        <v>46258.970833333333</v>
      </c>
      <c r="AL48" s="11">
        <f>IFERROR(IF(MARÍTIMOS[[#This Row],[Etapa Ingreso - Salida]]="","",MARÍTIMOS[[#This Row],[Etapa Ingreso - Salida]]),"")</f>
        <v>46258.980555555558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8" s="5">
        <f>IFERROR(OLDBD[[#This Row],[Llegada a packing]]-OLDBD[[#This Row],[Inicio de Ruta]],"")</f>
        <v>0.18611111110658385</v>
      </c>
      <c r="AQ48" s="6">
        <f>IFERROR(OLDBD[[#This Row],[Inicio de Ruta]]-OLDBD[[#This Row],[Salida de almacén de retiro]],"")</f>
        <v>0.1875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0</v>
      </c>
      <c r="AV48" s="9">
        <f>IFERROR(OLDBD[[#This Row],[Ingreso Packing]]-OLDBD[[#This Row],[Llegada a packing]],"")</f>
        <v>5.5555555554747116E-2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8" s="5">
        <f>IFERROR(OLDBD[[#This Row],[Llegada Almacén de Ingreso]]-OLDBD[[#This Row],[Salida Packing]],"")</f>
        <v>0.26875000000291038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5" t="s">
        <v>181</v>
      </c>
      <c r="BB48" s="53" t="str">
        <f>IFERROR(IF(MARÍTIMOS[[#This Row],[Estatus]]="","",MARÍTIMOS[[#This Row],[Estatus]]),"")</f>
        <v>Confirmado</v>
      </c>
      <c r="BC48" s="45"/>
      <c r="BD48" s="52">
        <f>IFERROR(OLDBD[[#This Row],[Salida de almacén de retiro]]-OLDBD[[#This Row],[Ingreso Almacén de retiro]],"")</f>
        <v>4.0972222224809229E-2</v>
      </c>
      <c r="BE48" s="52">
        <f>IFERROR(OLDBD[[#This Row],[Fin de Carga]]-OLDBD[[#This Row],[Inicio de Carga]],"")</f>
        <v>0.2305555555576575</v>
      </c>
    </row>
    <row r="49" spans="1:57" x14ac:dyDescent="0.35">
      <c r="A49" s="1"/>
      <c r="B49" s="1">
        <f>IFERROR(IF(MARÍTIMOS[[#This Row],[PP]]="","",MARÍTIMOS[[#This Row],[PP]]),"")</f>
        <v>34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RH-0558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AVK-728</v>
      </c>
      <c r="K49" s="2" t="str">
        <f>IFERROR(IF(MARÍTIMOS[[#This Row],[Placa Carreta]]="","",MARÍTIMOS[[#This Row],[Placa Carreta]]),"")</f>
        <v>F9S-991</v>
      </c>
      <c r="L49" s="46" t="str">
        <f>IFERROR(IF(MARÍTIMOS[[#This Row],[Conductor]]="","",MARÍTIMOS[[#This Row],[Conductor]]),"")</f>
        <v>NOE VICTORIO NOE GARCIA</v>
      </c>
      <c r="M49" s="2" t="str">
        <f>IFERROR(IF(MARÍTIMOS[[#This Row],[Licencia]]="","",MARÍTIMOS[[#This Row],[Licencia]]),"")</f>
        <v>B42334233</v>
      </c>
      <c r="N49" s="2">
        <f>IFERROR(IF(MARÍTIMOS[[#This Row],[Número de Contacto]]="","",MARÍTIMOS[[#This Row],[Número de Contacto]]),"")</f>
        <v>998230850</v>
      </c>
      <c r="O49" s="10" t="str">
        <f>IFERROR(IF(MARÍTIMOS[[#This Row],[Booking|AWB|CRT]]="","",MARÍTIMOS[[#This Row],[Booking|AWB|CRT]]),"")</f>
        <v>BN81747 </v>
      </c>
      <c r="P49" s="2" t="str">
        <f>IFERROR(IF(MARÍTIMOS[[#This Row],[Contenedor]]="","",MARÍTIMOS[[#This Row],[Contenedor]]),"")</f>
        <v>TEMU9544905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DPW</v>
      </c>
      <c r="S49" s="11">
        <f>IFERROR(IF(MARÍTIMOS[[#This Row],[Etapa Retiro - Cita]]="","",MARÍTIMOS[[#This Row],[Etapa Retiro - Cita]]),"")</f>
        <v>46257.833333333336</v>
      </c>
      <c r="T49" s="11">
        <f>IFERROR(IF(MARÍTIMOS[[#This Row],[Etapa Retiro - Llegada]]="","",MARÍTIMOS[[#This Row],[Etapa Retiro - Llegada]]),"")</f>
        <v>46257.84375</v>
      </c>
      <c r="U49" s="11">
        <f>IFERROR(IF(MARÍTIMOS[[#This Row],[Etapa Retiro - Ingreso]]="","",MARÍTIMOS[[#This Row],[Etapa Retiro - Ingreso]]),"")</f>
        <v>46257.867361111108</v>
      </c>
      <c r="V49" s="11">
        <f>IFERROR(IF(MARÍTIMOS[[#This Row],[Etapa Retiro - Atención]]="","",MARÍTIMOS[[#This Row],[Etapa Retiro - Atención]]),"")</f>
        <v>46257.873611111114</v>
      </c>
      <c r="W49" s="11">
        <f>IFERROR(IF(MARÍTIMOS[[#This Row],[Etapa Retiro - Salida]]="","",MARÍTIMOS[[#This Row],[Etapa Retiro - Salida]]),"")</f>
        <v>46257.944444444445</v>
      </c>
      <c r="X49" s="11">
        <f>IFERROR(IF(MARÍTIMOS[[#This Row],[Etapa Retiro - Inicio de Ruta]]="","",MARÍTIMOS[[#This Row],[Etapa Retiro - Inicio de Ruta]]),"")</f>
        <v>46258.136805555558</v>
      </c>
      <c r="Y49" s="11">
        <f>IFERROR(IF(MARÍTIMOS[[#This Row],[Hora de Posicionamiento]]="","",MARÍTIMOS[[#This Row],[Hora de Carga]]+MARÍTIMOS[[#This Row],[Hora de Posicionamiento]]),"")</f>
        <v>0.91666666666666674</v>
      </c>
      <c r="Z49" s="11">
        <f>IFERROR(IF(MARÍTIMOS[[#This Row],[Etapa Despacho -  Llegada]]="","",MARÍTIMOS[[#This Row],[Etapa Despacho -  Llegada]]),"")</f>
        <v>46258.285416666666</v>
      </c>
      <c r="AA49" s="11">
        <f>IFERROR(IF(MARÍTIMOS[[#This Row],[Etapa Despacho -  Registro]]="","",MARÍTIMOS[[#This Row],[Etapa Despacho -  Registro]]),"")</f>
        <v>46258.361111111109</v>
      </c>
      <c r="AB49" s="11">
        <f>IFERROR(IF(MARÍTIMOS[[#This Row],[Inspección Externa]]="","",MARÍTIMOS[[#This Row],[Inspección Externa]]),"")</f>
        <v>46258.375</v>
      </c>
      <c r="AC49" s="11">
        <f>IFERROR(IF(MARÍTIMOS[[#This Row],[Etapa Despacho -  Inicio de Carga]]="","",MARÍTIMOS[[#This Row],[Etapa Despacho -  Inicio de Carga]]),"")</f>
        <v>46258.599305555559</v>
      </c>
      <c r="AD49" s="11">
        <f>IFERROR(IF(MARÍTIMOS[[#This Row],[Etapa Despacho -  Fin de Carga]]="","",MARÍTIMOS[[#This Row],[Etapa Despacho -  Fin de Carga]]),"")</f>
        <v>46258.637499999997</v>
      </c>
      <c r="AE49" s="11">
        <f>IFERROR(IF(MARÍTIMOS[[#This Row],[Etapa Despacho -  Salida]]="","",MARÍTIMOS[[#This Row],[Etapa Despacho -  Salida]]),"")</f>
        <v>46258.677777777775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46258.916666666664</v>
      </c>
      <c r="AI49" s="11">
        <f>IFERROR(IF(MARÍTIMOS[[#This Row],[Etapa Ingreso - Llegada]]="","",MARÍTIMOS[[#This Row],[Etapa Ingreso - Llegada]]),"")</f>
        <v>46258.902083333334</v>
      </c>
      <c r="AJ49" s="11">
        <f>IFERROR(IF(MARÍTIMOS[[#This Row],[Etapa Ingreso - Ingeso]]="","",MARÍTIMOS[[#This Row],[Etapa Ingreso - Ingeso]]),"")</f>
        <v>46258.90347222222</v>
      </c>
      <c r="AK49" s="11">
        <f>IFERROR(IF(MARÍTIMOS[[#This Row],[Etapa Ingreso - Atención]]="","",MARÍTIMOS[[#This Row],[Etapa Ingreso - Atención]]),"")</f>
        <v>46258.920138888891</v>
      </c>
      <c r="AL49" s="11">
        <f>IFERROR(IF(MARÍTIMOS[[#This Row],[Etapa Ingreso - Salida]]="","",MARÍTIMOS[[#This Row],[Etapa Ingreso - Salida]]),"")</f>
        <v>46258.924305555556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9" s="5">
        <f>IFERROR(OLDBD[[#This Row],[Llegada a packing]]-OLDBD[[#This Row],[Inicio de Ruta]],"")</f>
        <v>0.14861111110803904</v>
      </c>
      <c r="AQ49" s="6">
        <f>IFERROR(OLDBD[[#This Row],[Inicio de Ruta]]-OLDBD[[#This Row],[Salida de almacén de retiro]],"")</f>
        <v>0.19236111111240461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1.3888888890505768E-2</v>
      </c>
      <c r="AV49" s="9">
        <f>IFERROR(OLDBD[[#This Row],[Ingreso Packing]]-OLDBD[[#This Row],[Llegada a packing]],"")</f>
        <v>8.9583333334303461E-2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9" s="5">
        <f>IFERROR(OLDBD[[#This Row],[Llegada Almacén de Ingreso]]-OLDBD[[#This Row],[Salida Packing]],"")</f>
        <v>0.22430555555911269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9" s="45" t="s">
        <v>181</v>
      </c>
      <c r="BB49" s="53" t="str">
        <f>IFERROR(IF(MARÍTIMOS[[#This Row],[Estatus]]="","",MARÍTIMOS[[#This Row],[Estatus]]),"")</f>
        <v>Confirmado</v>
      </c>
      <c r="BC49" s="45"/>
      <c r="BD49" s="52">
        <f>IFERROR(OLDBD[[#This Row],[Salida de almacén de retiro]]-OLDBD[[#This Row],[Ingreso Almacén de retiro]],"")</f>
        <v>7.7083333337213844E-2</v>
      </c>
      <c r="BE49" s="52">
        <f>IFERROR(OLDBD[[#This Row],[Fin de Carga]]-OLDBD[[#This Row],[Inicio de Carga]],"")</f>
        <v>3.8194444437976927E-2</v>
      </c>
    </row>
    <row r="50" spans="1:57" x14ac:dyDescent="0.35">
      <c r="A50" s="1"/>
      <c r="B50" s="1">
        <f>IFERROR(IF(MARÍTIMOS[[#This Row],[PP]]="","",MARÍTIMOS[[#This Row],[PP]]),"")</f>
        <v>34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RH-0563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T4P-940</v>
      </c>
      <c r="K50" s="2" t="str">
        <f>IFERROR(IF(MARÍTIMOS[[#This Row],[Placa Carreta]]="","",MARÍTIMOS[[#This Row],[Placa Carreta]]),"")</f>
        <v>A8N-987</v>
      </c>
      <c r="L50" s="46" t="str">
        <f>IFERROR(IF(MARÍTIMOS[[#This Row],[Conductor]]="","",MARÍTIMOS[[#This Row],[Conductor]]),"")</f>
        <v>ARMANDO SAAVEDRA CALDERON</v>
      </c>
      <c r="M50" s="2" t="str">
        <f>IFERROR(IF(MARÍTIMOS[[#This Row],[Licencia]]="","",MARÍTIMOS[[#This Row],[Licencia]]),"")</f>
        <v>B75606898</v>
      </c>
      <c r="N50" s="2">
        <f>IFERROR(IF(MARÍTIMOS[[#This Row],[Número de Contacto]]="","",MARÍTIMOS[[#This Row],[Número de Contacto]]),"")</f>
        <v>929327939</v>
      </c>
      <c r="O50" s="10" t="str">
        <f>IFERROR(IF(MARÍTIMOS[[#This Row],[Booking|AWB|CRT]]="","",MARÍTIMOS[[#This Row],[Booking|AWB|CRT]]),"")</f>
        <v>PER9193555A</v>
      </c>
      <c r="P50" s="2" t="str">
        <f>IFERROR(IF(MARÍTIMOS[[#This Row],[Contenedor]]="","",MARÍTIMOS[[#This Row],[Contenedor]]),"")</f>
        <v>CAAU408318-9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DPW</v>
      </c>
      <c r="S50" s="11">
        <f>IFERROR(IF(MARÍTIMOS[[#This Row],[Etapa Retiro - Cita]]="","",MARÍTIMOS[[#This Row],[Etapa Retiro - Cita]]),"")</f>
        <v>46258.583333333336</v>
      </c>
      <c r="T50" s="11">
        <f>IFERROR(IF(MARÍTIMOS[[#This Row],[Etapa Retiro - Llegada]]="","",MARÍTIMOS[[#This Row],[Etapa Retiro - Llegada]]),"")</f>
        <v>46258.572222222225</v>
      </c>
      <c r="U50" s="11">
        <f>IFERROR(IF(MARÍTIMOS[[#This Row],[Etapa Retiro - Ingreso]]="","",MARÍTIMOS[[#This Row],[Etapa Retiro - Ingreso]]),"")</f>
        <v>46258.628472222219</v>
      </c>
      <c r="V50" s="11">
        <f>IFERROR(IF(MARÍTIMOS[[#This Row],[Etapa Retiro - Atención]]="","",MARÍTIMOS[[#This Row],[Etapa Retiro - Atención]]),"")</f>
        <v>46258.640972222223</v>
      </c>
      <c r="W50" s="11">
        <f>IFERROR(IF(MARÍTIMOS[[#This Row],[Etapa Retiro - Salida]]="","",MARÍTIMOS[[#This Row],[Etapa Retiro - Salida]]),"")</f>
        <v>46258.695138888892</v>
      </c>
      <c r="X50" s="11">
        <f>IFERROR(IF(MARÍTIMOS[[#This Row],[Etapa Retiro - Inicio de Ruta]]="","",MARÍTIMOS[[#This Row],[Etapa Retiro - Inicio de Ruta]]),"")</f>
        <v>46258.708333333336</v>
      </c>
      <c r="Y50" s="11">
        <f>IFERROR(IF(MARÍTIMOS[[#This Row],[Hora de Posicionamiento]]="","",MARÍTIMOS[[#This Row],[Hora de Carga]]+MARÍTIMOS[[#This Row],[Hora de Posicionamiento]]),"")</f>
        <v>0.75</v>
      </c>
      <c r="Z50" s="11">
        <f>IFERROR(IF(MARÍTIMOS[[#This Row],[Etapa Despacho -  Llegada]]="","",MARÍTIMOS[[#This Row],[Etapa Despacho -  Llegada]]),"")</f>
        <v>46258.902777777781</v>
      </c>
      <c r="AA50" s="11">
        <f>IFERROR(IF(MARÍTIMOS[[#This Row],[Etapa Despacho -  Registro]]="","",MARÍTIMOS[[#This Row],[Etapa Despacho -  Registro]]),"")</f>
        <v>46259.404166666667</v>
      </c>
      <c r="AB50" s="11">
        <f>IFERROR(IF(MARÍTIMOS[[#This Row],[Inspección Externa]]="","",MARÍTIMOS[[#This Row],[Inspección Externa]]),"")</f>
        <v>46259.406944444447</v>
      </c>
      <c r="AC50" s="11">
        <f>IFERROR(IF(MARÍTIMOS[[#This Row],[Etapa Despacho -  Inicio de Carga]]="","",MARÍTIMOS[[#This Row],[Etapa Despacho -  Inicio de Carga]]),"")</f>
        <v>46259.520833333336</v>
      </c>
      <c r="AD50" s="11">
        <f>IFERROR(IF(MARÍTIMOS[[#This Row],[Etapa Despacho -  Fin de Carga]]="","",MARÍTIMOS[[#This Row],[Etapa Despacho -  Fin de Carga]]),"")</f>
        <v>46259.547222222223</v>
      </c>
      <c r="AE50" s="11">
        <f>IFERROR(IF(MARÍTIMOS[[#This Row],[Etapa Despacho -  Salida]]="","",MARÍTIMOS[[#This Row],[Etapa Despacho -  Salida]]),"")</f>
        <v>46259.579861111109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 t="str">
        <f>IFERROR(IF(MARÍTIMOS[[#This Row],[Etapa Ingreso - Cita]]="","",MARÍTIMOS[[#This Row],[Etapa Ingreso - Cita]]),"")</f>
        <v/>
      </c>
      <c r="AI50" s="11" t="str">
        <f>IFERROR(IF(MARÍTIMOS[[#This Row],[Etapa Ingreso - Llegada]]="","",MARÍTIMOS[[#This Row],[Etapa Ingreso - Llegada]]),"")</f>
        <v/>
      </c>
      <c r="AJ50" s="11" t="str">
        <f>IFERROR(IF(MARÍTIMOS[[#This Row],[Etapa Ingreso - Ingeso]]="","",MARÍTIMOS[[#This Row],[Etapa Ingreso - Ingeso]]),"")</f>
        <v/>
      </c>
      <c r="AK50" s="11" t="str">
        <f>IFERROR(IF(MARÍTIMOS[[#This Row],[Etapa Ingreso - Atención]]="","",MARÍTIMOS[[#This Row],[Etapa Ingreso - Atención]]),"")</f>
        <v/>
      </c>
      <c r="AL50" s="11" t="str">
        <f>IFERROR(IF(MARÍTIMOS[[#This Row],[Etapa Ingreso - Salida]]="","",MARÍTIMOS[[#This Row],[Etapa Ingreso - Salida]]),"")</f>
        <v/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0" s="5">
        <f>IFERROR(OLDBD[[#This Row],[Llegada a packing]]-OLDBD[[#This Row],[Inicio de Ruta]],"")</f>
        <v>0.19444444444525288</v>
      </c>
      <c r="AQ50" s="6">
        <f>IFERROR(OLDBD[[#This Row],[Inicio de Ruta]]-OLDBD[[#This Row],[Salida de almacén de retiro]],"")</f>
        <v>1.3194444443797693E-2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2.7777777795563452E-3</v>
      </c>
      <c r="AV50" s="9">
        <f>IFERROR(OLDBD[[#This Row],[Ingreso Packing]]-OLDBD[[#This Row],[Llegada a packing]],"")</f>
        <v>0.50416666666569654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0" s="5" t="str">
        <f>IFERROR(OLDBD[[#This Row],[Llegada Almacén de Ingreso]]-OLDBD[[#This Row],[Salida Packing]],"")</f>
        <v/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" s="45" t="s">
        <v>181</v>
      </c>
      <c r="BB50" s="53" t="str">
        <f>IFERROR(IF(MARÍTIMOS[[#This Row],[Estatus]]="","",MARÍTIMOS[[#This Row],[Estatus]]),"")</f>
        <v>Confirmado</v>
      </c>
      <c r="BC50" s="45"/>
      <c r="BD50" s="52">
        <f>IFERROR(OLDBD[[#This Row],[Salida de almacén de retiro]]-OLDBD[[#This Row],[Ingreso Almacén de retiro]],"")</f>
        <v>6.6666666672972497E-2</v>
      </c>
      <c r="BE50" s="52">
        <f>IFERROR(OLDBD[[#This Row],[Fin de Carga]]-OLDBD[[#This Row],[Inicio de Carga]],"")</f>
        <v>2.6388888887595385E-2</v>
      </c>
    </row>
    <row r="51" spans="1:57" x14ac:dyDescent="0.35">
      <c r="A51" s="1"/>
      <c r="B51" s="1">
        <f>IFERROR(IF(MARÍTIMOS[[#This Row],[PP]]="","",MARÍTIMOS[[#This Row],[PP]]),"")</f>
        <v>35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RH-0618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TFY-879</v>
      </c>
      <c r="K51" s="2" t="str">
        <f>IFERROR(IF(MARÍTIMOS[[#This Row],[Placa Carreta]]="","",MARÍTIMOS[[#This Row],[Placa Carreta]]),"")</f>
        <v>A1G-973</v>
      </c>
      <c r="L51" s="46" t="str">
        <f>IFERROR(IF(MARÍTIMOS[[#This Row],[Conductor]]="","",MARÍTIMOS[[#This Row],[Conductor]]),"")</f>
        <v>JORGE LUIS AZO RUIZ</v>
      </c>
      <c r="M51" s="2" t="str">
        <f>IFERROR(IF(MARÍTIMOS[[#This Row],[Licencia]]="","",MARÍTIMOS[[#This Row],[Licencia]]),"")</f>
        <v>B03874735</v>
      </c>
      <c r="N51" s="2">
        <f>IFERROR(IF(MARÍTIMOS[[#This Row],[Número de Contacto]]="","",MARÍTIMOS[[#This Row],[Número de Contacto]]),"")</f>
        <v>998231122</v>
      </c>
      <c r="O51" s="10" t="str">
        <f>IFERROR(IF(MARÍTIMOS[[#This Row],[Booking|AWB|CRT]]="","",MARÍTIMOS[[#This Row],[Booking|AWB|CRT]]),"")</f>
        <v>ZIMULMA826982</v>
      </c>
      <c r="P51" s="2" t="str">
        <f>IFERROR(IF(MARÍTIMOS[[#This Row],[Contenedor]]="","",MARÍTIMOS[[#This Row],[Contenedor]]),"")</f>
        <v/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MACROMAR</v>
      </c>
      <c r="S51" s="11">
        <f>IFERROR(IF(MARÍTIMOS[[#This Row],[Etapa Retiro - Cita]]="","",MARÍTIMOS[[#This Row],[Etapa Retiro - Cita]]),"")</f>
        <v>46259.75</v>
      </c>
      <c r="T51" s="11">
        <f>IFERROR(IF(MARÍTIMOS[[#This Row],[Etapa Retiro - Llegada]]="","",MARÍTIMOS[[#This Row],[Etapa Retiro - Llegada]]),"")</f>
        <v>46259.73541666667</v>
      </c>
      <c r="U51" s="11" t="str">
        <f>IFERROR(IF(MARÍTIMOS[[#This Row],[Etapa Retiro - Ingreso]]="","",MARÍTIMOS[[#This Row],[Etapa Retiro - Ingreso]]),"")</f>
        <v/>
      </c>
      <c r="V51" s="11" t="str">
        <f>IFERROR(IF(MARÍTIMOS[[#This Row],[Etapa Retiro - Atención]]="","",MARÍTIMOS[[#This Row],[Etapa Retiro - Atención]]),"")</f>
        <v/>
      </c>
      <c r="W51" s="11" t="str">
        <f>IFERROR(IF(MARÍTIMOS[[#This Row],[Etapa Retiro - Salida]]="","",MARÍTIMOS[[#This Row],[Etapa Retiro - Salida]]),"")</f>
        <v/>
      </c>
      <c r="X51" s="11" t="str">
        <f>IFERROR(IF(MARÍTIMOS[[#This Row],[Etapa Retiro - Inicio de Ruta]]="","",MARÍTIMOS[[#This Row],[Etapa Retiro - Inicio de Ruta]]),"")</f>
        <v/>
      </c>
      <c r="Y51" s="11">
        <f>IFERROR(IF(MARÍTIMOS[[#This Row],[Hora de Posicionamiento]]="","",MARÍTIMOS[[#This Row],[Hora de Carga]]+MARÍTIMOS[[#This Row],[Hora de Posicionamiento]]),"")</f>
        <v>0.75</v>
      </c>
      <c r="Z51" s="11" t="str">
        <f>IFERROR(IF(MARÍTIMOS[[#This Row],[Etapa Despacho -  Llegada]]="","",MARÍTIMOS[[#This Row],[Etapa Despacho -  Llegada]]),"")</f>
        <v/>
      </c>
      <c r="AA51" s="11" t="str">
        <f>IFERROR(IF(MARÍTIMOS[[#This Row],[Etapa Despacho -  Registro]]="","",MARÍTIMOS[[#This Row],[Etapa Despacho -  Registro]]),"")</f>
        <v/>
      </c>
      <c r="AB51" s="11" t="str">
        <f>IFERROR(IF(MARÍTIMOS[[#This Row],[Inspección Externa]]="","",MARÍTIMOS[[#This Row],[Inspección Externa]]),"")</f>
        <v/>
      </c>
      <c r="AC51" s="11" t="str">
        <f>IFERROR(IF(MARÍTIMOS[[#This Row],[Etapa Despacho -  Inicio de Carga]]="","",MARÍTIMOS[[#This Row],[Etapa Despacho -  Inicio de Carga]]),"")</f>
        <v/>
      </c>
      <c r="AD51" s="11" t="str">
        <f>IFERROR(IF(MARÍTIMOS[[#This Row],[Etapa Despacho -  Fin de Carga]]="","",MARÍTIMOS[[#This Row],[Etapa Despacho -  Fin de Carga]]),"")</f>
        <v/>
      </c>
      <c r="AE51" s="11" t="str">
        <f>IFERROR(IF(MARÍTIMOS[[#This Row],[Etapa Despacho -  Salida]]="","",MARÍTIMOS[[#This Row],[Etapa Despacho -  Salida]]),"")</f>
        <v/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/>
      </c>
      <c r="AH51" s="11" t="str">
        <f>IFERROR(IF(MARÍTIMOS[[#This Row],[Etapa Ingreso - Cita]]="","",MARÍTIMOS[[#This Row],[Etapa Ingreso - Cita]]),"")</f>
        <v/>
      </c>
      <c r="AI51" s="11" t="str">
        <f>IFERROR(IF(MARÍTIMOS[[#This Row],[Etapa Ingreso - Llegada]]="","",MARÍTIMOS[[#This Row],[Etapa Ingreso - Llegada]]),"")</f>
        <v/>
      </c>
      <c r="AJ51" s="11" t="str">
        <f>IFERROR(IF(MARÍTIMOS[[#This Row],[Etapa Ingreso - Ingeso]]="","",MARÍTIMOS[[#This Row],[Etapa Ingreso - Ingeso]]),"")</f>
        <v/>
      </c>
      <c r="AK51" s="11" t="str">
        <f>IFERROR(IF(MARÍTIMOS[[#This Row],[Etapa Ingreso - Atención]]="","",MARÍTIMOS[[#This Row],[Etapa Ingreso - Atención]]),"")</f>
        <v/>
      </c>
      <c r="AL51" s="11" t="str">
        <f>IFERROR(IF(MARÍTIMOS[[#This Row],[Etapa Ingreso - Salida]]="","",MARÍTIMOS[[#This Row],[Etapa Ingreso - Salida]]),"")</f>
        <v/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" s="5" t="str">
        <f>IFERROR(OLDBD[[#This Row],[Llegada a packing]]-OLDBD[[#This Row],[Inicio de Ruta]],"")</f>
        <v/>
      </c>
      <c r="AQ51" s="6" t="str">
        <f>IFERROR(OLDBD[[#This Row],[Inicio de Ruta]]-OLDBD[[#This Row],[Salida de almacén de retiro]],"")</f>
        <v/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" s="9" t="str">
        <f>IFERROR(OLDBD[[#This Row],[Ingreso Packing]]-OLDBD[[#This Row],[Registro en Packing]],"")</f>
        <v/>
      </c>
      <c r="AV51" s="9" t="str">
        <f>IFERROR(OLDBD[[#This Row],[Ingreso Packing]]-OLDBD[[#This Row],[Llegada a packing]],"")</f>
        <v/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" s="5" t="str">
        <f>IFERROR(OLDBD[[#This Row],[Llegada Almacén de Ingreso]]-OLDBD[[#This Row],[Salida Packing]],"")</f>
        <v/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" s="45" t="s">
        <v>181</v>
      </c>
      <c r="BB51" s="53" t="str">
        <f>IFERROR(IF(MARÍTIMOS[[#This Row],[Estatus]]="","",MARÍTIMOS[[#This Row],[Estatus]]),"")</f>
        <v>Confirmado</v>
      </c>
      <c r="BC51" s="45"/>
      <c r="BD51" s="52" t="str">
        <f>IFERROR(OLDBD[[#This Row],[Salida de almacén de retiro]]-OLDBD[[#This Row],[Ingreso Almacén de retiro]],"")</f>
        <v/>
      </c>
      <c r="BE51" s="52" t="str">
        <f>IFERROR(OLDBD[[#This Row],[Fin de Carga]]-OLDBD[[#This Row],[Inicio de Carga]],"")</f>
        <v/>
      </c>
    </row>
    <row r="52" spans="1:57" x14ac:dyDescent="0.35">
      <c r="A52" s="1"/>
      <c r="B52" s="1">
        <f>IFERROR(IF(MARÍTIMOS[[#This Row],[PP]]="","",MARÍTIMOS[[#This Row],[PP]]),"")</f>
        <v>29</v>
      </c>
      <c r="C52" s="1" t="str">
        <f>IFERROR(IF(MARÍTIMOS[[#This Row],[Sede]]="","",MARÍTIMOS[[#This Row],[Sede]]),"")</f>
        <v>Chao</v>
      </c>
      <c r="D52" s="1" t="str">
        <f>IFERROR(IF(MARÍTIMOS[[#This Row],[Instruction]]="","",MARÍTIMOS[[#This Row],[Instruction]]),"")</f>
        <v>RH-0194</v>
      </c>
      <c r="E52" s="1"/>
      <c r="F52" s="2" t="str">
        <f>IFERROR(IF(MARÍTIMOS[[#This Row],[Transportista]]="","",MARÍTIMOS[[#This Row],[Transportista]]),"")</f>
        <v>Expert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 xml:space="preserve">EXPERT TRANSPORT SAC </v>
      </c>
      <c r="I52" s="2">
        <f>IFERROR(IF(MARÍTIMOS[[#This Row],[RUC]]="","",MARÍTIMOS[[#This Row],[RUC]]),"")</f>
        <v>20544424751</v>
      </c>
      <c r="J52" s="2" t="str">
        <f>IFERROR(IF(MARÍTIMOS[[#This Row],[Placa Tracto]]="","",MARÍTIMOS[[#This Row],[Placa Tracto]]),"")</f>
        <v>BYR872</v>
      </c>
      <c r="K52" s="2" t="str">
        <f>IFERROR(IF(MARÍTIMOS[[#This Row],[Placa Carreta]]="","",MARÍTIMOS[[#This Row],[Placa Carreta]]),"")</f>
        <v>A3K983</v>
      </c>
      <c r="L52" s="46" t="str">
        <f>IFERROR(IF(MARÍTIMOS[[#This Row],[Conductor]]="","",MARÍTIMOS[[#This Row],[Conductor]]),"")</f>
        <v>HUMBERTO JESÚS SUAREZ ARGUINZONES</v>
      </c>
      <c r="M52" s="2" t="str">
        <f>IFERROR(IF(MARÍTIMOS[[#This Row],[Licencia]]="","",MARÍTIMOS[[#This Row],[Licencia]]),"")</f>
        <v>B007168026</v>
      </c>
      <c r="N52" s="2">
        <f>IFERROR(IF(MARÍTIMOS[[#This Row],[Número de Contacto]]="","",MARÍTIMOS[[#This Row],[Número de Contacto]]),"")</f>
        <v>934270711</v>
      </c>
      <c r="O52" s="10" t="str">
        <f>IFERROR(IF(MARÍTIMOS[[#This Row],[Booking|AWB|CRT]]="","",MARÍTIMOS[[#This Row],[Booking|AWB|CRT]]),"")</f>
        <v>PER9150717A</v>
      </c>
      <c r="P52" s="2" t="str">
        <f>IFERROR(IF(MARÍTIMOS[[#This Row],[Contenedor]]="","",MARÍTIMOS[[#This Row],[Contenedor]]),"")</f>
        <v>SEKU9426198 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DPW</v>
      </c>
      <c r="S52" s="11">
        <f>IFERROR(IF(MARÍTIMOS[[#This Row],[Etapa Retiro - Cita]]="","",MARÍTIMOS[[#This Row],[Etapa Retiro - Cita]]),"")</f>
        <v>46221.5</v>
      </c>
      <c r="T52" s="11">
        <f>IFERROR(IF(MARÍTIMOS[[#This Row],[Etapa Retiro - Llegada]]="","",MARÍTIMOS[[#This Row],[Etapa Retiro - Llegada]]),"")</f>
        <v>46221.477777777778</v>
      </c>
      <c r="U52" s="11">
        <f>IFERROR(IF(MARÍTIMOS[[#This Row],[Etapa Retiro - Ingreso]]="","",MARÍTIMOS[[#This Row],[Etapa Retiro - Ingreso]]),"")</f>
        <v>46221.502083333333</v>
      </c>
      <c r="V52" s="11">
        <f>IFERROR(IF(MARÍTIMOS[[#This Row],[Etapa Retiro - Atención]]="","",MARÍTIMOS[[#This Row],[Etapa Retiro - Atención]]),"")</f>
        <v>46221.513888888891</v>
      </c>
      <c r="W52" s="11">
        <f>IFERROR(IF(MARÍTIMOS[[#This Row],[Etapa Retiro - Salida]]="","",MARÍTIMOS[[#This Row],[Etapa Retiro - Salida]]),"")</f>
        <v>46221.576388888891</v>
      </c>
      <c r="X52" s="11">
        <f>IFERROR(IF(MARÍTIMOS[[#This Row],[Etapa Retiro - Inicio de Ruta]]="","",MARÍTIMOS[[#This Row],[Etapa Retiro - Inicio de Ruta]]),"")</f>
        <v>46221.589583333334</v>
      </c>
      <c r="Y52" s="11">
        <f>IFERROR(IF(MARÍTIMOS[[#This Row],[Hora de Posicionamiento]]="","",MARÍTIMOS[[#This Row],[Hora de Carga]]+MARÍTIMOS[[#This Row],[Hora de Posicionamiento]]),"")</f>
        <v>0.5</v>
      </c>
      <c r="Z52" s="11">
        <f>IFERROR(IF(MARÍTIMOS[[#This Row],[Etapa Despacho -  Llegada]]="","",MARÍTIMOS[[#This Row],[Etapa Despacho -  Llegada]]),"")</f>
        <v>46222.411805555559</v>
      </c>
      <c r="AA52" s="11">
        <f>IFERROR(IF(MARÍTIMOS[[#This Row],[Etapa Despacho -  Registro]]="","",MARÍTIMOS[[#This Row],[Etapa Despacho -  Registro]]),"")</f>
        <v>46222.413194444445</v>
      </c>
      <c r="AB52" s="11">
        <f>IFERROR(IF(MARÍTIMOS[[#This Row],[Inspección Externa]]="","",MARÍTIMOS[[#This Row],[Inspección Externa]]),"")</f>
        <v>46222.416666666664</v>
      </c>
      <c r="AC52" s="11">
        <f>IFERROR(IF(MARÍTIMOS[[#This Row],[Etapa Despacho -  Inicio de Carga]]="","",MARÍTIMOS[[#This Row],[Etapa Despacho -  Inicio de Carga]]),"")</f>
        <v>46222.831250000003</v>
      </c>
      <c r="AD52" s="11">
        <f>IFERROR(IF(MARÍTIMOS[[#This Row],[Etapa Despacho -  Fin de Carga]]="","",MARÍTIMOS[[#This Row],[Etapa Despacho -  Fin de Carga]]),"")</f>
        <v>46222.854166666664</v>
      </c>
      <c r="AE52" s="11">
        <f>IFERROR(IF(MARÍTIMOS[[#This Row],[Etapa Despacho -  Salida]]="","",MARÍTIMOS[[#This Row],[Etapa Despacho -  Salida]]),"")</f>
        <v>46222.868055555555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>
        <f>IFERROR(IF(MARÍTIMOS[[#This Row],[Etapa Ingreso - Cita]]="","",MARÍTIMOS[[#This Row],[Etapa Ingreso - Cita]]),"")</f>
        <v>46223.708333333336</v>
      </c>
      <c r="AI52" s="11">
        <f>IFERROR(IF(MARÍTIMOS[[#This Row],[Etapa Ingreso - Llegada]]="","",MARÍTIMOS[[#This Row],[Etapa Ingreso - Llegada]]),"")</f>
        <v>46223.648611111108</v>
      </c>
      <c r="AJ52" s="11">
        <f>IFERROR(IF(MARÍTIMOS[[#This Row],[Etapa Ingreso - Ingeso]]="","",MARÍTIMOS[[#This Row],[Etapa Ingreso - Ingeso]]),"")</f>
        <v>46223.65625</v>
      </c>
      <c r="AK52" s="11">
        <f>IFERROR(IF(MARÍTIMOS[[#This Row],[Etapa Ingreso - Atención]]="","",MARÍTIMOS[[#This Row],[Etapa Ingreso - Atención]]),"")</f>
        <v>46223.658333333333</v>
      </c>
      <c r="AL52" s="11">
        <f>IFERROR(IF(MARÍTIMOS[[#This Row],[Etapa Ingreso - Salida]]="","",MARÍTIMOS[[#This Row],[Etapa Ingreso - Salida]]),"")</f>
        <v>46223.661805555559</v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2" s="5">
        <f>IFERROR(OLDBD[[#This Row],[Llegada a packing]]-OLDBD[[#This Row],[Inicio de Ruta]],"")</f>
        <v>0.82222222222480923</v>
      </c>
      <c r="AQ52" s="6">
        <f>IFERROR(OLDBD[[#This Row],[Inicio de Ruta]]-OLDBD[[#This Row],[Salida de almacén de retiro]],"")</f>
        <v>1.3194444443797693E-2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2" s="9">
        <f>IFERROR(OLDBD[[#This Row],[Ingreso Packing]]-OLDBD[[#This Row],[Registro en Packing]],"")</f>
        <v>3.4722222189884633E-3</v>
      </c>
      <c r="AV52" s="9">
        <f>IFERROR(OLDBD[[#This Row],[Ingreso Packing]]-OLDBD[[#This Row],[Llegada a packing]],"")</f>
        <v>4.8611111051286571E-3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2" s="5">
        <f>IFERROR(OLDBD[[#This Row],[Llegada Almacén de Ingreso]]-OLDBD[[#This Row],[Salida Packing]],"")</f>
        <v>0.78055555555329192</v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2" s="45" t="s">
        <v>181</v>
      </c>
      <c r="BB52" s="53" t="str">
        <f>IFERROR(IF(MARÍTIMOS[[#This Row],[Estatus]]="","",MARÍTIMOS[[#This Row],[Estatus]]),"")</f>
        <v>Confirmado</v>
      </c>
      <c r="BC52" s="45"/>
      <c r="BD52" s="52">
        <f>IFERROR(OLDBD[[#This Row],[Salida de almacén de retiro]]-OLDBD[[#This Row],[Ingreso Almacén de retiro]],"")</f>
        <v>7.4305555557657499E-2</v>
      </c>
      <c r="BE52" s="52">
        <f>IFERROR(OLDBD[[#This Row],[Fin de Carga]]-OLDBD[[#This Row],[Inicio de Carga]],"")</f>
        <v>2.2916666661330964E-2</v>
      </c>
    </row>
    <row r="53" spans="1:57" x14ac:dyDescent="0.35">
      <c r="A53" s="1"/>
      <c r="B53" s="1">
        <f>IFERROR(IF(MARÍTIMOS[[#This Row],[PP]]="","",MARÍTIMOS[[#This Row],[PP]]),"")</f>
        <v>29</v>
      </c>
      <c r="C53" s="1" t="str">
        <f>IFERROR(IF(MARÍTIMOS[[#This Row],[Sede]]="","",MARÍTIMOS[[#This Row],[Sede]]),"")</f>
        <v>Chao</v>
      </c>
      <c r="D53" s="1" t="str">
        <f>IFERROR(IF(MARÍTIMOS[[#This Row],[Instruction]]="","",MARÍTIMOS[[#This Row],[Instruction]]),"")</f>
        <v>RH-0195</v>
      </c>
      <c r="E53" s="1"/>
      <c r="F53" s="2" t="str">
        <f>IFERROR(IF(MARÍTIMOS[[#This Row],[Transportista]]="","",MARÍTIMOS[[#This Row],[Transportista]]),"")</f>
        <v>Expert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 xml:space="preserve">EXPERT TRANSPORT SAC </v>
      </c>
      <c r="I53" s="2">
        <f>IFERROR(IF(MARÍTIMOS[[#This Row],[RUC]]="","",MARÍTIMOS[[#This Row],[RUC]]),"")</f>
        <v>20544424751</v>
      </c>
      <c r="J53" s="2" t="str">
        <f>IFERROR(IF(MARÍTIMOS[[#This Row],[Placa Tracto]]="","",MARÍTIMOS[[#This Row],[Placa Tracto]]),"")</f>
        <v>V4N706</v>
      </c>
      <c r="K53" s="2" t="str">
        <f>IFERROR(IF(MARÍTIMOS[[#This Row],[Placa Carreta]]="","",MARÍTIMOS[[#This Row],[Placa Carreta]]),"")</f>
        <v>TJD977</v>
      </c>
      <c r="L53" s="46" t="str">
        <f>IFERROR(IF(MARÍTIMOS[[#This Row],[Conductor]]="","",MARÍTIMOS[[#This Row],[Conductor]]),"")</f>
        <v>MARIO WILMER AVENDAÑO ACHA</v>
      </c>
      <c r="M53" s="2" t="str">
        <f>IFERROR(IF(MARÍTIMOS[[#This Row],[Licencia]]="","",MARÍTIMOS[[#This Row],[Licencia]]),"")</f>
        <v>B46445299</v>
      </c>
      <c r="N53" s="2">
        <f>IFERROR(IF(MARÍTIMOS[[#This Row],[Número de Contacto]]="","",MARÍTIMOS[[#This Row],[Número de Contacto]]),"")</f>
        <v>946500525</v>
      </c>
      <c r="O53" s="10" t="str">
        <f>IFERROR(IF(MARÍTIMOS[[#This Row],[Booking|AWB|CRT]]="","",MARÍTIMOS[[#This Row],[Booking|AWB|CRT]]),"")</f>
        <v>PER9150720A</v>
      </c>
      <c r="P53" s="2" t="str">
        <f>IFERROR(IF(MARÍTIMOS[[#This Row],[Contenedor]]="","",MARÍTIMOS[[#This Row],[Contenedor]]),"")</f>
        <v> CAAU4169317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DPW</v>
      </c>
      <c r="S53" s="11">
        <f>IFERROR(IF(MARÍTIMOS[[#This Row],[Etapa Retiro - Cita]]="","",MARÍTIMOS[[#This Row],[Etapa Retiro - Cita]]),"")</f>
        <v>46221.5</v>
      </c>
      <c r="T53" s="11">
        <f>IFERROR(IF(MARÍTIMOS[[#This Row],[Etapa Retiro - Llegada]]="","",MARÍTIMOS[[#This Row],[Etapa Retiro - Llegada]]),"")</f>
        <v>46221.48333333333</v>
      </c>
      <c r="U53" s="11">
        <f>IFERROR(IF(MARÍTIMOS[[#This Row],[Etapa Retiro - Ingreso]]="","",MARÍTIMOS[[#This Row],[Etapa Retiro - Ingreso]]),"")</f>
        <v>46221.488194444442</v>
      </c>
      <c r="V53" s="11">
        <f>IFERROR(IF(MARÍTIMOS[[#This Row],[Etapa Retiro - Atención]]="","",MARÍTIMOS[[#This Row],[Etapa Retiro - Atención]]),"")</f>
        <v>46221.495138888888</v>
      </c>
      <c r="W53" s="11">
        <f>IFERROR(IF(MARÍTIMOS[[#This Row],[Etapa Retiro - Salida]]="","",MARÍTIMOS[[#This Row],[Etapa Retiro - Salida]]),"")</f>
        <v>46221.571527777778</v>
      </c>
      <c r="X53" s="11">
        <f>IFERROR(IF(MARÍTIMOS[[#This Row],[Etapa Retiro - Inicio de Ruta]]="","",MARÍTIMOS[[#This Row],[Etapa Retiro - Inicio de Ruta]]),"")</f>
        <v>46221.589583333334</v>
      </c>
      <c r="Y53" s="11">
        <f>IFERROR(IF(MARÍTIMOS[[#This Row],[Hora de Posicionamiento]]="","",MARÍTIMOS[[#This Row],[Hora de Carga]]+MARÍTIMOS[[#This Row],[Hora de Posicionamiento]]),"")</f>
        <v>0.5</v>
      </c>
      <c r="Z53" s="11">
        <f>IFERROR(IF(MARÍTIMOS[[#This Row],[Etapa Despacho -  Llegada]]="","",MARÍTIMOS[[#This Row],[Etapa Despacho -  Llegada]]),"")</f>
        <v>46222.42083333333</v>
      </c>
      <c r="AA53" s="11">
        <f>IFERROR(IF(MARÍTIMOS[[#This Row],[Etapa Despacho -  Registro]]="","",MARÍTIMOS[[#This Row],[Etapa Despacho -  Registro]]),"")</f>
        <v>46222.422222222223</v>
      </c>
      <c r="AB53" s="11">
        <f>IFERROR(IF(MARÍTIMOS[[#This Row],[Inspección Externa]]="","",MARÍTIMOS[[#This Row],[Inspección Externa]]),"")</f>
        <v>46222.423611111109</v>
      </c>
      <c r="AC53" s="11">
        <f>IFERROR(IF(MARÍTIMOS[[#This Row],[Etapa Despacho -  Inicio de Carga]]="","",MARÍTIMOS[[#This Row],[Etapa Despacho -  Inicio de Carga]]),"")</f>
        <v>46222.831250000003</v>
      </c>
      <c r="AD53" s="11">
        <f>IFERROR(IF(MARÍTIMOS[[#This Row],[Etapa Despacho -  Fin de Carga]]="","",MARÍTIMOS[[#This Row],[Etapa Despacho -  Fin de Carga]]),"")</f>
        <v>46222.861111111109</v>
      </c>
      <c r="AE53" s="11">
        <f>IFERROR(IF(MARÍTIMOS[[#This Row],[Etapa Despacho -  Salida]]="","",MARÍTIMOS[[#This Row],[Etapa Despacho -  Salida]]),"")</f>
        <v>46222.890277777777</v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>
        <f>IFERROR(IF(MARÍTIMOS[[#This Row],[Etapa Ingreso - Cita]]="","",MARÍTIMOS[[#This Row],[Etapa Ingreso - Cita]]),"")</f>
        <v>46223.708333333336</v>
      </c>
      <c r="AI53" s="11">
        <f>IFERROR(IF(MARÍTIMOS[[#This Row],[Etapa Ingreso - Llegada]]="","",MARÍTIMOS[[#This Row],[Etapa Ingreso - Llegada]]),"")</f>
        <v>46223.646527777775</v>
      </c>
      <c r="AJ53" s="11">
        <f>IFERROR(IF(MARÍTIMOS[[#This Row],[Etapa Ingreso - Ingeso]]="","",MARÍTIMOS[[#This Row],[Etapa Ingreso - Ingeso]]),"")</f>
        <v>46223.654166666667</v>
      </c>
      <c r="AK53" s="11">
        <f>IFERROR(IF(MARÍTIMOS[[#This Row],[Etapa Ingreso - Atención]]="","",MARÍTIMOS[[#This Row],[Etapa Ingreso - Atención]]),"")</f>
        <v>46223.655555555553</v>
      </c>
      <c r="AL53" s="11">
        <f>IFERROR(IF(MARÍTIMOS[[#This Row],[Etapa Ingreso - Salida]]="","",MARÍTIMOS[[#This Row],[Etapa Ingreso - Salida]]),"")</f>
        <v>46223.663194444445</v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3" s="5">
        <f>IFERROR(OLDBD[[#This Row],[Llegada a packing]]-OLDBD[[#This Row],[Inicio de Ruta]],"")</f>
        <v>0.83124999999563443</v>
      </c>
      <c r="AQ53" s="6">
        <f>IFERROR(OLDBD[[#This Row],[Inicio de Ruta]]-OLDBD[[#This Row],[Salida de almacén de retiro]],"")</f>
        <v>1.8055555556202307E-2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3" s="9">
        <f>IFERROR(OLDBD[[#This Row],[Ingreso Packing]]-OLDBD[[#This Row],[Registro en Packing]],"")</f>
        <v>1.3888888861401938E-3</v>
      </c>
      <c r="AV53" s="9">
        <f>IFERROR(OLDBD[[#This Row],[Ingreso Packing]]-OLDBD[[#This Row],[Llegada a packing]],"")</f>
        <v>2.7777777795563452E-3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3" s="5">
        <f>IFERROR(OLDBD[[#This Row],[Llegada Almacén de Ingreso]]-OLDBD[[#This Row],[Salida Packing]],"")</f>
        <v>0.75624999999854481</v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3" s="45" t="s">
        <v>181</v>
      </c>
      <c r="BB53" s="53" t="str">
        <f>IFERROR(IF(MARÍTIMOS[[#This Row],[Estatus]]="","",MARÍTIMOS[[#This Row],[Estatus]]),"")</f>
        <v>Confirmado</v>
      </c>
      <c r="BC53" s="45"/>
      <c r="BD53" s="52">
        <f>IFERROR(OLDBD[[#This Row],[Salida de almacén de retiro]]-OLDBD[[#This Row],[Ingreso Almacén de retiro]],"")</f>
        <v>8.3333333335758653E-2</v>
      </c>
      <c r="BE53" s="52">
        <f>IFERROR(OLDBD[[#This Row],[Fin de Carga]]-OLDBD[[#This Row],[Inicio de Carga]],"")</f>
        <v>2.9861111106583849E-2</v>
      </c>
    </row>
    <row r="54" spans="1:57" x14ac:dyDescent="0.35">
      <c r="A54" s="1"/>
      <c r="B54" s="1">
        <f>IFERROR(IF(MARÍTIMOS[[#This Row],[PP]]="","",MARÍTIMOS[[#This Row],[PP]]),"")</f>
        <v>29</v>
      </c>
      <c r="C54" s="1" t="str">
        <f>IFERROR(IF(MARÍTIMOS[[#This Row],[Sede]]="","",MARÍTIMOS[[#This Row],[Sede]]),"")</f>
        <v>Chao</v>
      </c>
      <c r="D54" s="1" t="str">
        <f>IFERROR(IF(MARÍTIMOS[[#This Row],[Instruction]]="","",MARÍTIMOS[[#This Row],[Instruction]]),"")</f>
        <v>RH-0200</v>
      </c>
      <c r="E54" s="1"/>
      <c r="F54" s="2" t="str">
        <f>IFERROR(IF(MARÍTIMOS[[#This Row],[Transportista]]="","",MARÍTIMOS[[#This Row],[Transportista]]),"")</f>
        <v>Expert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 xml:space="preserve">EXPERT TRANSPORT SAC </v>
      </c>
      <c r="I54" s="2">
        <f>IFERROR(IF(MARÍTIMOS[[#This Row],[RUC]]="","",MARÍTIMOS[[#This Row],[RUC]]),"")</f>
        <v>20544424751</v>
      </c>
      <c r="J54" s="2" t="str">
        <f>IFERROR(IF(MARÍTIMOS[[#This Row],[Placa Tracto]]="","",MARÍTIMOS[[#This Row],[Placa Tracto]]),"")</f>
        <v>D1A797</v>
      </c>
      <c r="K54" s="2" t="str">
        <f>IFERROR(IF(MARÍTIMOS[[#This Row],[Placa Carreta]]="","",MARÍTIMOS[[#This Row],[Placa Carreta]]),"")</f>
        <v>TNQ977</v>
      </c>
      <c r="L54" s="46" t="str">
        <f>IFERROR(IF(MARÍTIMOS[[#This Row],[Conductor]]="","",MARÍTIMOS[[#This Row],[Conductor]]),"")</f>
        <v>FREDERIS JOSE PAVON RUIZ</v>
      </c>
      <c r="M54" s="2" t="str">
        <f>IFERROR(IF(MARÍTIMOS[[#This Row],[Licencia]]="","",MARÍTIMOS[[#This Row],[Licencia]]),"")</f>
        <v>Q005175672</v>
      </c>
      <c r="N54" s="2">
        <f>IFERROR(IF(MARÍTIMOS[[#This Row],[Número de Contacto]]="","",MARÍTIMOS[[#This Row],[Número de Contacto]]),"")</f>
        <v>904556157</v>
      </c>
      <c r="O54" s="10" t="str">
        <f>IFERROR(IF(MARÍTIMOS[[#This Row],[Booking|AWB|CRT]]="","",MARÍTIMOS[[#This Row],[Booking|AWB|CRT]]),"")</f>
        <v>PER9150723A</v>
      </c>
      <c r="P54" s="2" t="str">
        <f>IFERROR(IF(MARÍTIMOS[[#This Row],[Contenedor]]="","",MARÍTIMOS[[#This Row],[Contenedor]]),"")</f>
        <v>CAAU4079384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DPW</v>
      </c>
      <c r="S54" s="11">
        <f>IFERROR(IF(MARÍTIMOS[[#This Row],[Etapa Retiro - Cita]]="","",MARÍTIMOS[[#This Row],[Etapa Retiro - Cita]]),"")</f>
        <v>46222.666666666664</v>
      </c>
      <c r="T54" s="11">
        <f>IFERROR(IF(MARÍTIMOS[[#This Row],[Etapa Retiro - Llegada]]="","",MARÍTIMOS[[#This Row],[Etapa Retiro - Llegada]]),"")</f>
        <v>46222.673611111109</v>
      </c>
      <c r="U54" s="11">
        <f>IFERROR(IF(MARÍTIMOS[[#This Row],[Etapa Retiro - Ingreso]]="","",MARÍTIMOS[[#This Row],[Etapa Retiro - Ingreso]]),"")</f>
        <v>46222.695138888892</v>
      </c>
      <c r="V54" s="11">
        <f>IFERROR(IF(MARÍTIMOS[[#This Row],[Etapa Retiro - Atención]]="","",MARÍTIMOS[[#This Row],[Etapa Retiro - Atención]]),"")</f>
        <v>46222.697916666664</v>
      </c>
      <c r="W54" s="11">
        <f>IFERROR(IF(MARÍTIMOS[[#This Row],[Etapa Retiro - Salida]]="","",MARÍTIMOS[[#This Row],[Etapa Retiro - Salida]]),"")</f>
        <v>46222.833333333336</v>
      </c>
      <c r="X54" s="11">
        <f>IFERROR(IF(MARÍTIMOS[[#This Row],[Etapa Retiro - Inicio de Ruta]]="","",MARÍTIMOS[[#This Row],[Etapa Retiro - Inicio de Ruta]]),"")</f>
        <v>46222.854166666664</v>
      </c>
      <c r="Y54" s="11">
        <f>IFERROR(IF(MARÍTIMOS[[#This Row],[Hora de Posicionamiento]]="","",MARÍTIMOS[[#This Row],[Hora de Carga]]+MARÍTIMOS[[#This Row],[Hora de Posicionamiento]]),"")</f>
        <v>0.5</v>
      </c>
      <c r="Z54" s="11">
        <f>IFERROR(IF(MARÍTIMOS[[#This Row],[Etapa Despacho -  Llegada]]="","",MARÍTIMOS[[#This Row],[Etapa Despacho -  Llegada]]),"")</f>
        <v>46223.504166666666</v>
      </c>
      <c r="AA54" s="11">
        <f>IFERROR(IF(MARÍTIMOS[[#This Row],[Etapa Despacho -  Registro]]="","",MARÍTIMOS[[#This Row],[Etapa Despacho -  Registro]]),"")</f>
        <v>46223.513888888891</v>
      </c>
      <c r="AB54" s="11">
        <f>IFERROR(IF(MARÍTIMOS[[#This Row],[Inspección Externa]]="","",MARÍTIMOS[[#This Row],[Inspección Externa]]),"")</f>
        <v>46223.51666666667</v>
      </c>
      <c r="AC54" s="11">
        <f>IFERROR(IF(MARÍTIMOS[[#This Row],[Etapa Despacho -  Inicio de Carga]]="","",MARÍTIMOS[[#This Row],[Etapa Despacho -  Inicio de Carga]]),"")</f>
        <v>46223.59097222222</v>
      </c>
      <c r="AD54" s="11">
        <f>IFERROR(IF(MARÍTIMOS[[#This Row],[Etapa Despacho -  Fin de Carga]]="","",MARÍTIMOS[[#This Row],[Etapa Despacho -  Fin de Carga]]),"")</f>
        <v>46223.636805555558</v>
      </c>
      <c r="AE54" s="11">
        <f>IFERROR(IF(MARÍTIMOS[[#This Row],[Etapa Despacho -  Salida]]="","",MARÍTIMOS[[#This Row],[Etapa Despacho -  Salida]]),"")</f>
        <v>46223.686111111114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46224.458333333336</v>
      </c>
      <c r="AI54" s="11">
        <f>IFERROR(IF(MARÍTIMOS[[#This Row],[Etapa Ingreso - Llegada]]="","",MARÍTIMOS[[#This Row],[Etapa Ingreso - Llegada]]),"")</f>
        <v>46224.422222222223</v>
      </c>
      <c r="AJ54" s="11">
        <f>IFERROR(IF(MARÍTIMOS[[#This Row],[Etapa Ingreso - Ingeso]]="","",MARÍTIMOS[[#This Row],[Etapa Ingreso - Ingeso]]),"")</f>
        <v>46224.425694444442</v>
      </c>
      <c r="AK54" s="11">
        <f>IFERROR(IF(MARÍTIMOS[[#This Row],[Etapa Ingreso - Atención]]="","",MARÍTIMOS[[#This Row],[Etapa Ingreso - Atención]]),"")</f>
        <v>46224.427083333336</v>
      </c>
      <c r="AL54" s="11">
        <f>IFERROR(IF(MARÍTIMOS[[#This Row],[Etapa Ingreso - Salida]]="","",MARÍTIMOS[[#This Row],[Etapa Ingreso - Salida]]),"")</f>
        <v>46224.433333333334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4" s="5">
        <f>IFERROR(OLDBD[[#This Row],[Llegada a packing]]-OLDBD[[#This Row],[Inicio de Ruta]],"")</f>
        <v>0.65000000000145519</v>
      </c>
      <c r="AQ54" s="6">
        <f>IFERROR(OLDBD[[#This Row],[Inicio de Ruta]]-OLDBD[[#This Row],[Salida de almacén de retiro]],"")</f>
        <v>2.0833333328482695E-2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4" s="9">
        <f>IFERROR(OLDBD[[#This Row],[Ingreso Packing]]-OLDBD[[#This Row],[Registro en Packing]],"")</f>
        <v>2.7777777795563452E-3</v>
      </c>
      <c r="AV54" s="9">
        <f>IFERROR(OLDBD[[#This Row],[Ingreso Packing]]-OLDBD[[#This Row],[Llegada a packing]],"")</f>
        <v>1.2500000004365575E-2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4" s="5">
        <f>IFERROR(OLDBD[[#This Row],[Llegada Almacén de Ingreso]]-OLDBD[[#This Row],[Salida Packing]],"")</f>
        <v>0.73611111110949423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5" t="s">
        <v>181</v>
      </c>
      <c r="BB54" s="53" t="str">
        <f>IFERROR(IF(MARÍTIMOS[[#This Row],[Estatus]]="","",MARÍTIMOS[[#This Row],[Estatus]]),"")</f>
        <v>Confirmado</v>
      </c>
      <c r="BC54" s="45"/>
      <c r="BD54" s="52">
        <f>IFERROR(OLDBD[[#This Row],[Salida de almacén de retiro]]-OLDBD[[#This Row],[Ingreso Almacén de retiro]],"")</f>
        <v>0.13819444444379769</v>
      </c>
      <c r="BE54" s="52">
        <f>IFERROR(OLDBD[[#This Row],[Fin de Carga]]-OLDBD[[#This Row],[Inicio de Carga]],"")</f>
        <v>4.5833333337213844E-2</v>
      </c>
    </row>
    <row r="55" spans="1:57" x14ac:dyDescent="0.35">
      <c r="A55" s="1"/>
      <c r="B55" s="1">
        <f>IFERROR(IF(MARÍTIMOS[[#This Row],[PP]]="","",MARÍTIMOS[[#This Row],[PP]]),"")</f>
        <v>30</v>
      </c>
      <c r="C55" s="1" t="str">
        <f>IFERROR(IF(MARÍTIMOS[[#This Row],[Sede]]="","",MARÍTIMOS[[#This Row],[Sede]]),"")</f>
        <v>Chao</v>
      </c>
      <c r="D55" s="1" t="str">
        <f>IFERROR(IF(MARÍTIMOS[[#This Row],[Instruction]]="","",MARÍTIMOS[[#This Row],[Instruction]]),"")</f>
        <v>RH-0259</v>
      </c>
      <c r="E55" s="1"/>
      <c r="F55" s="2" t="str">
        <f>IFERROR(IF(MARÍTIMOS[[#This Row],[Transportista]]="","",MARÍTIMOS[[#This Row],[Transportista]]),"")</f>
        <v>Expert Transport</v>
      </c>
      <c r="G55" s="2" t="str">
        <f>IFERROR(IF(MARÍTIMOS[[#This Row],[Tercero]]="","",MARÍTIMOS[[#This Row],[Tercero]]),"")</f>
        <v>SI</v>
      </c>
      <c r="H55" s="2" t="str">
        <f>IFERROR(IF(MARÍTIMOS[[#This Row],[Razón Social]]="","",MARÍTIMOS[[#This Row],[Razón Social]]),"")</f>
        <v>MONTERRICO SRL</v>
      </c>
      <c r="I55" s="2">
        <f>IFERROR(IF(MARÍTIMOS[[#This Row],[RUC]]="","",MARÍTIMOS[[#This Row],[RUC]]),"")</f>
        <v>20525799027</v>
      </c>
      <c r="J55" s="2" t="str">
        <f>IFERROR(IF(MARÍTIMOS[[#This Row],[Placa Tracto]]="","",MARÍTIMOS[[#This Row],[Placa Tracto]]),"")</f>
        <v>F8H725</v>
      </c>
      <c r="K55" s="2" t="str">
        <f>IFERROR(IF(MARÍTIMOS[[#This Row],[Placa Carreta]]="","",MARÍTIMOS[[#This Row],[Placa Carreta]]),"")</f>
        <v>TJV974</v>
      </c>
      <c r="L55" s="46" t="str">
        <f>IFERROR(IF(MARÍTIMOS[[#This Row],[Conductor]]="","",MARÍTIMOS[[#This Row],[Conductor]]),"")</f>
        <v>WALTER ENRIQUE QUIROGA RAMIREZ</v>
      </c>
      <c r="M55" s="2" t="str">
        <f>IFERROR(IF(MARÍTIMOS[[#This Row],[Licencia]]="","",MARÍTIMOS[[#This Row],[Licencia]]),"")</f>
        <v>B41866333</v>
      </c>
      <c r="N55" s="2">
        <f>IFERROR(IF(MARÍTIMOS[[#This Row],[Número de Contacto]]="","",MARÍTIMOS[[#This Row],[Número de Contacto]]),"")</f>
        <v>921570545</v>
      </c>
      <c r="O55" s="10" t="str">
        <f>IFERROR(IF(MARÍTIMOS[[#This Row],[Booking|AWB|CRT]]="","",MARÍTIMOS[[#This Row],[Booking|AWB|CRT]]),"")</f>
        <v>PER9156768A</v>
      </c>
      <c r="P55" s="2" t="str">
        <f>IFERROR(IF(MARÍTIMOS[[#This Row],[Contenedor]]="","",MARÍTIMOS[[#This Row],[Contenedor]]),"")</f>
        <v>CAAU4075727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46227.625</v>
      </c>
      <c r="T55" s="11">
        <f>IFERROR(IF(MARÍTIMOS[[#This Row],[Etapa Retiro - Llegada]]="","",MARÍTIMOS[[#This Row],[Etapa Retiro - Llegada]]),"")</f>
        <v>46227.508333333331</v>
      </c>
      <c r="U55" s="11">
        <f>IFERROR(IF(MARÍTIMOS[[#This Row],[Etapa Retiro - Ingreso]]="","",MARÍTIMOS[[#This Row],[Etapa Retiro - Ingreso]]),"")</f>
        <v>46227.645138888889</v>
      </c>
      <c r="V55" s="11">
        <f>IFERROR(IF(MARÍTIMOS[[#This Row],[Etapa Retiro - Atención]]="","",MARÍTIMOS[[#This Row],[Etapa Retiro - Atención]]),"")</f>
        <v>46227.654166666667</v>
      </c>
      <c r="W55" s="11">
        <f>IFERROR(IF(MARÍTIMOS[[#This Row],[Etapa Retiro - Salida]]="","",MARÍTIMOS[[#This Row],[Etapa Retiro - Salida]]),"")</f>
        <v>46227.654166666667</v>
      </c>
      <c r="X55" s="11">
        <f>IFERROR(IF(MARÍTIMOS[[#This Row],[Etapa Retiro - Inicio de Ruta]]="","",MARÍTIMOS[[#This Row],[Etapa Retiro - Inicio de Ruta]]),"")</f>
        <v>46227.763888888891</v>
      </c>
      <c r="Y55" s="11">
        <f>IFERROR(IF(MARÍTIMOS[[#This Row],[Hora de Posicionamiento]]="","",MARÍTIMOS[[#This Row],[Hora de Carga]]+MARÍTIMOS[[#This Row],[Hora de Posicionamiento]]),"")</f>
        <v>0.5</v>
      </c>
      <c r="Z55" s="11">
        <f>IFERROR(IF(MARÍTIMOS[[#This Row],[Etapa Despacho -  Llegada]]="","",MARÍTIMOS[[#This Row],[Etapa Despacho -  Llegada]]),"")</f>
        <v>46228.520833333336</v>
      </c>
      <c r="AA55" s="11">
        <f>IFERROR(IF(MARÍTIMOS[[#This Row],[Etapa Despacho -  Registro]]="","",MARÍTIMOS[[#This Row],[Etapa Despacho -  Registro]]),"")</f>
        <v>46228.534722222219</v>
      </c>
      <c r="AB55" s="11">
        <f>IFERROR(IF(MARÍTIMOS[[#This Row],[Inspección Externa]]="","",MARÍTIMOS[[#This Row],[Inspección Externa]]),"")</f>
        <v>46228.5625</v>
      </c>
      <c r="AC55" s="11">
        <f>IFERROR(IF(MARÍTIMOS[[#This Row],[Etapa Despacho -  Inicio de Carga]]="","",MARÍTIMOS[[#This Row],[Etapa Despacho -  Inicio de Carga]]),"")</f>
        <v>46228.586805555555</v>
      </c>
      <c r="AD55" s="11">
        <f>IFERROR(IF(MARÍTIMOS[[#This Row],[Etapa Despacho -  Fin de Carga]]="","",MARÍTIMOS[[#This Row],[Etapa Despacho -  Fin de Carga]]),"")</f>
        <v>46228.680555555555</v>
      </c>
      <c r="AE55" s="11">
        <f>IFERROR(IF(MARÍTIMOS[[#This Row],[Etapa Despacho -  Salida]]="","",MARÍTIMOS[[#This Row],[Etapa Despacho -  Salida]]),"")</f>
        <v>46228.707638888889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46229.5</v>
      </c>
      <c r="AI55" s="11">
        <f>IFERROR(IF(MARÍTIMOS[[#This Row],[Etapa Ingreso - Llegada]]="","",MARÍTIMOS[[#This Row],[Etapa Ingreso - Llegada]]),"")</f>
        <v>46229.444444444445</v>
      </c>
      <c r="AJ55" s="11">
        <f>IFERROR(IF(MARÍTIMOS[[#This Row],[Etapa Ingreso - Ingeso]]="","",MARÍTIMOS[[#This Row],[Etapa Ingreso - Ingeso]]),"")</f>
        <v>46229.445833333331</v>
      </c>
      <c r="AK55" s="11">
        <f>IFERROR(IF(MARÍTIMOS[[#This Row],[Etapa Ingreso - Atención]]="","",MARÍTIMOS[[#This Row],[Etapa Ingreso - Atención]]),"")</f>
        <v>46229.447916666664</v>
      </c>
      <c r="AL55" s="11">
        <f>IFERROR(IF(MARÍTIMOS[[#This Row],[Etapa Ingreso - Salida]]="","",MARÍTIMOS[[#This Row],[Etapa Ingreso - Salida]]),"")</f>
        <v>46229.451388888891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5" s="5">
        <f>IFERROR(OLDBD[[#This Row],[Llegada a packing]]-OLDBD[[#This Row],[Inicio de Ruta]],"")</f>
        <v>0.75694444444525288</v>
      </c>
      <c r="AQ55" s="6">
        <f>IFERROR(OLDBD[[#This Row],[Inicio de Ruta]]-OLDBD[[#This Row],[Salida de almacén de retiro]],"")</f>
        <v>0.10972222222335404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5" s="9">
        <f>IFERROR(OLDBD[[#This Row],[Ingreso Packing]]-OLDBD[[#This Row],[Registro en Packing]],"")</f>
        <v>2.7777777781011537E-2</v>
      </c>
      <c r="AV55" s="9">
        <f>IFERROR(OLDBD[[#This Row],[Ingreso Packing]]-OLDBD[[#This Row],[Llegada a packing]],"")</f>
        <v>4.1666666664241347E-2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5" s="5">
        <f>IFERROR(OLDBD[[#This Row],[Llegada Almacén de Ingreso]]-OLDBD[[#This Row],[Salida Packing]],"")</f>
        <v>0.73680555555620231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5" t="s">
        <v>181</v>
      </c>
      <c r="BB55" s="53" t="str">
        <f>IFERROR(IF(MARÍTIMOS[[#This Row],[Estatus]]="","",MARÍTIMOS[[#This Row],[Estatus]]),"")</f>
        <v>Confirmado</v>
      </c>
      <c r="BC55" s="45"/>
      <c r="BD55" s="52">
        <f>IFERROR(OLDBD[[#This Row],[Salida de almacén de retiro]]-OLDBD[[#This Row],[Ingreso Almacén de retiro]],"")</f>
        <v>9.0277777781011537E-3</v>
      </c>
      <c r="BE55" s="52">
        <f>IFERROR(OLDBD[[#This Row],[Fin de Carga]]-OLDBD[[#This Row],[Inicio de Carga]],"")</f>
        <v>9.375E-2</v>
      </c>
    </row>
    <row r="56" spans="1:57" x14ac:dyDescent="0.35">
      <c r="A56" s="1"/>
      <c r="B56" s="1">
        <f>IFERROR(IF(MARÍTIMOS[[#This Row],[PP]]="","",MARÍTIMOS[[#This Row],[PP]]),"")</f>
        <v>30</v>
      </c>
      <c r="C56" s="1" t="str">
        <f>IFERROR(IF(MARÍTIMOS[[#This Row],[Sede]]="","",MARÍTIMOS[[#This Row],[Sede]]),"")</f>
        <v>Chao</v>
      </c>
      <c r="D56" s="1" t="str">
        <f>IFERROR(IF(MARÍTIMOS[[#This Row],[Instruction]]="","",MARÍTIMOS[[#This Row],[Instruction]]),"")</f>
        <v>RH-0268</v>
      </c>
      <c r="E56" s="1"/>
      <c r="F56" s="2" t="str">
        <f>IFERROR(IF(MARÍTIMOS[[#This Row],[Transportista]]="","",MARÍTIMOS[[#This Row],[Transportista]]),"")</f>
        <v>Expert Transport</v>
      </c>
      <c r="G56" s="2" t="str">
        <f>IFERROR(IF(MARÍTIMOS[[#This Row],[Tercero]]="","",MARÍTIMOS[[#This Row],[Tercero]]),"")</f>
        <v>NO</v>
      </c>
      <c r="H56" s="2" t="str">
        <f>IFERROR(IF(MARÍTIMOS[[#This Row],[Razón Social]]="","",MARÍTIMOS[[#This Row],[Razón Social]]),"")</f>
        <v xml:space="preserve">EXPERT TRANSPORT SAC </v>
      </c>
      <c r="I56" s="2">
        <f>IFERROR(IF(MARÍTIMOS[[#This Row],[RUC]]="","",MARÍTIMOS[[#This Row],[RUC]]),"")</f>
        <v>20544424751</v>
      </c>
      <c r="J56" s="2" t="str">
        <f>IFERROR(IF(MARÍTIMOS[[#This Row],[Placa Tracto]]="","",MARÍTIMOS[[#This Row],[Placa Tracto]]),"")</f>
        <v>D1A797</v>
      </c>
      <c r="K56" s="2" t="str">
        <f>IFERROR(IF(MARÍTIMOS[[#This Row],[Placa Carreta]]="","",MARÍTIMOS[[#This Row],[Placa Carreta]]),"")</f>
        <v>TNQ977</v>
      </c>
      <c r="L56" s="46" t="str">
        <f>IFERROR(IF(MARÍTIMOS[[#This Row],[Conductor]]="","",MARÍTIMOS[[#This Row],[Conductor]]),"")</f>
        <v>FREDERIS JOSE PAVON RUIZ</v>
      </c>
      <c r="M56" s="2" t="str">
        <f>IFERROR(IF(MARÍTIMOS[[#This Row],[Licencia]]="","",MARÍTIMOS[[#This Row],[Licencia]]),"")</f>
        <v>Q005175672</v>
      </c>
      <c r="N56" s="2">
        <f>IFERROR(IF(MARÍTIMOS[[#This Row],[Número de Contacto]]="","",MARÍTIMOS[[#This Row],[Número de Contacto]]),"")</f>
        <v>904556157</v>
      </c>
      <c r="O56" s="10" t="str">
        <f>IFERROR(IF(MARÍTIMOS[[#This Row],[Booking|AWB|CRT]]="","",MARÍTIMOS[[#This Row],[Booking|AWB|CRT]]),"")</f>
        <v>PER9157543A</v>
      </c>
      <c r="P56" s="2" t="str">
        <f>IFERROR(IF(MARÍTIMOS[[#This Row],[Contenedor]]="","",MARÍTIMOS[[#This Row],[Contenedor]]),"")</f>
        <v>TXGU9028516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46227.5</v>
      </c>
      <c r="T56" s="11">
        <f>IFERROR(IF(MARÍTIMOS[[#This Row],[Etapa Retiro - Llegada]]="","",MARÍTIMOS[[#This Row],[Etapa Retiro - Llegada]]),"")</f>
        <v>46227.62777777778</v>
      </c>
      <c r="U56" s="11">
        <f>IFERROR(IF(MARÍTIMOS[[#This Row],[Etapa Retiro - Ingreso]]="","",MARÍTIMOS[[#This Row],[Etapa Retiro - Ingreso]]),"")</f>
        <v>46227.647222222222</v>
      </c>
      <c r="V56" s="11">
        <f>IFERROR(IF(MARÍTIMOS[[#This Row],[Etapa Retiro - Atención]]="","",MARÍTIMOS[[#This Row],[Etapa Retiro - Atención]]),"")</f>
        <v>46227.652777777781</v>
      </c>
      <c r="W56" s="11">
        <f>IFERROR(IF(MARÍTIMOS[[#This Row],[Etapa Retiro - Salida]]="","",MARÍTIMOS[[#This Row],[Etapa Retiro - Salida]]),"")</f>
        <v>46227.686111111114</v>
      </c>
      <c r="X56" s="11">
        <f>IFERROR(IF(MARÍTIMOS[[#This Row],[Etapa Retiro - Inicio de Ruta]]="","",MARÍTIMOS[[#This Row],[Etapa Retiro - Inicio de Ruta]]),"")</f>
        <v>46227.724305555559</v>
      </c>
      <c r="Y56" s="11">
        <f>IFERROR(IF(MARÍTIMOS[[#This Row],[Hora de Posicionamiento]]="","",MARÍTIMOS[[#This Row],[Hora de Carga]]+MARÍTIMOS[[#This Row],[Hora de Posicionamiento]]),"")</f>
        <v>0.33333333333333331</v>
      </c>
      <c r="Z56" s="11">
        <f>IFERROR(IF(MARÍTIMOS[[#This Row],[Etapa Despacho -  Llegada]]="","",MARÍTIMOS[[#This Row],[Etapa Despacho -  Llegada]]),"")</f>
        <v>46228.395833333336</v>
      </c>
      <c r="AA56" s="11">
        <f>IFERROR(IF(MARÍTIMOS[[#This Row],[Etapa Despacho -  Registro]]="","",MARÍTIMOS[[#This Row],[Etapa Despacho -  Registro]]),"")</f>
        <v>46228.412499999999</v>
      </c>
      <c r="AB56" s="11">
        <f>IFERROR(IF(MARÍTIMOS[[#This Row],[Inspección Externa]]="","",MARÍTIMOS[[#This Row],[Inspección Externa]]),"")</f>
        <v>46229.423611111109</v>
      </c>
      <c r="AC56" s="11">
        <f>IFERROR(IF(MARÍTIMOS[[#This Row],[Etapa Despacho -  Inicio de Carga]]="","",MARÍTIMOS[[#This Row],[Etapa Despacho -  Inicio de Carga]]),"")</f>
        <v>46228.584722222222</v>
      </c>
      <c r="AD56" s="11">
        <f>IFERROR(IF(MARÍTIMOS[[#This Row],[Etapa Despacho -  Fin de Carga]]="","",MARÍTIMOS[[#This Row],[Etapa Despacho -  Fin de Carga]]),"")</f>
        <v>46228.686111111114</v>
      </c>
      <c r="AE56" s="11">
        <f>IFERROR(IF(MARÍTIMOS[[#This Row],[Etapa Despacho -  Salida]]="","",MARÍTIMOS[[#This Row],[Etapa Despacho -  Salida]]),"")</f>
        <v>46228.720138888886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46229.5</v>
      </c>
      <c r="AI56" s="11">
        <f>IFERROR(IF(MARÍTIMOS[[#This Row],[Etapa Ingreso - Llegada]]="","",MARÍTIMOS[[#This Row],[Etapa Ingreso - Llegada]]),"")</f>
        <v>46229.505555555559</v>
      </c>
      <c r="AJ56" s="11">
        <f>IFERROR(IF(MARÍTIMOS[[#This Row],[Etapa Ingreso - Ingeso]]="","",MARÍTIMOS[[#This Row],[Etapa Ingreso - Ingeso]]),"")</f>
        <v>46229.506944444445</v>
      </c>
      <c r="AK56" s="11">
        <f>IFERROR(IF(MARÍTIMOS[[#This Row],[Etapa Ingreso - Atención]]="","",MARÍTIMOS[[#This Row],[Etapa Ingreso - Atención]]),"")</f>
        <v>46229.510416666664</v>
      </c>
      <c r="AL56" s="11">
        <f>IFERROR(IF(MARÍTIMOS[[#This Row],[Etapa Ingreso - Salida]]="","",MARÍTIMOS[[#This Row],[Etapa Ingreso - Salida]]),"")</f>
        <v>46229.513888888891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0.67152777777664596</v>
      </c>
      <c r="AQ56" s="6">
        <f>IFERROR(OLDBD[[#This Row],[Inicio de Ruta]]-OLDBD[[#This Row],[Salida de almacén de retiro]],"")</f>
        <v>3.8194444445252884E-2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6" s="9">
        <f>IFERROR(OLDBD[[#This Row],[Ingreso Packing]]-OLDBD[[#This Row],[Registro en Packing]],"")</f>
        <v>1.0111111111109494</v>
      </c>
      <c r="AV56" s="9">
        <f>IFERROR(OLDBD[[#This Row],[Ingreso Packing]]-OLDBD[[#This Row],[Llegada a packing]],"")</f>
        <v>1.0277777777737356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6" s="5">
        <f>IFERROR(OLDBD[[#This Row],[Llegada Almacén de Ingreso]]-OLDBD[[#This Row],[Salida Packing]],"")</f>
        <v>0.7854166666729725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6" s="45" t="s">
        <v>181</v>
      </c>
      <c r="BB56" s="53" t="str">
        <f>IFERROR(IF(MARÍTIMOS[[#This Row],[Estatus]]="","",MARÍTIMOS[[#This Row],[Estatus]]),"")</f>
        <v>Confirmado</v>
      </c>
      <c r="BC56" s="45"/>
      <c r="BD56" s="52">
        <f>IFERROR(OLDBD[[#This Row],[Salida de almacén de retiro]]-OLDBD[[#This Row],[Ingreso Almacén de retiro]],"")</f>
        <v>3.888888889196096E-2</v>
      </c>
      <c r="BE56" s="52">
        <f>IFERROR(OLDBD[[#This Row],[Fin de Carga]]-OLDBD[[#This Row],[Inicio de Carga]],"")</f>
        <v>0.10138888889196096</v>
      </c>
    </row>
    <row r="57" spans="1:57" x14ac:dyDescent="0.35">
      <c r="A57" s="1"/>
      <c r="B57" s="1">
        <f>IFERROR(IF(MARÍTIMOS[[#This Row],[PP]]="","",MARÍTIMOS[[#This Row],[PP]]),"")</f>
        <v>30</v>
      </c>
      <c r="C57" s="1" t="str">
        <f>IFERROR(IF(MARÍTIMOS[[#This Row],[Sede]]="","",MARÍTIMOS[[#This Row],[Sede]]),"")</f>
        <v>Chao</v>
      </c>
      <c r="D57" s="1" t="str">
        <f>IFERROR(IF(MARÍTIMOS[[#This Row],[Instruction]]="","",MARÍTIMOS[[#This Row],[Instruction]]),"")</f>
        <v>RH-0270</v>
      </c>
      <c r="E57" s="1"/>
      <c r="F57" s="2" t="str">
        <f>IFERROR(IF(MARÍTIMOS[[#This Row],[Transportista]]="","",MARÍTIMOS[[#This Row],[Transportista]]),"")</f>
        <v>Expert Transport</v>
      </c>
      <c r="G57" s="2" t="str">
        <f>IFERROR(IF(MARÍTIMOS[[#This Row],[Tercero]]="","",MARÍTIMOS[[#This Row],[Tercero]]),"")</f>
        <v>NO</v>
      </c>
      <c r="H57" s="2" t="str">
        <f>IFERROR(IF(MARÍTIMOS[[#This Row],[Razón Social]]="","",MARÍTIMOS[[#This Row],[Razón Social]]),"")</f>
        <v xml:space="preserve">EXPERT TRANSPORT SAC </v>
      </c>
      <c r="I57" s="2">
        <f>IFERROR(IF(MARÍTIMOS[[#This Row],[RUC]]="","",MARÍTIMOS[[#This Row],[RUC]]),"")</f>
        <v>20544424751</v>
      </c>
      <c r="J57" s="2" t="str">
        <f>IFERROR(IF(MARÍTIMOS[[#This Row],[Placa Tracto]]="","",MARÍTIMOS[[#This Row],[Placa Tracto]]),"")</f>
        <v>V1B809</v>
      </c>
      <c r="K57" s="2" t="str">
        <f>IFERROR(IF(MARÍTIMOS[[#This Row],[Placa Carreta]]="","",MARÍTIMOS[[#This Row],[Placa Carreta]]),"")</f>
        <v>TKC975</v>
      </c>
      <c r="L57" s="46" t="str">
        <f>IFERROR(IF(MARÍTIMOS[[#This Row],[Conductor]]="","",MARÍTIMOS[[#This Row],[Conductor]]),"")</f>
        <v>GUILLERMO YOSNEY GONZALEZ RUIZ</v>
      </c>
      <c r="M57" s="2" t="str">
        <f>IFERROR(IF(MARÍTIMOS[[#This Row],[Licencia]]="","",MARÍTIMOS[[#This Row],[Licencia]]),"")</f>
        <v>Q005581456</v>
      </c>
      <c r="N57" s="2">
        <f>IFERROR(IF(MARÍTIMOS[[#This Row],[Número de Contacto]]="","",MARÍTIMOS[[#This Row],[Número de Contacto]]),"")</f>
        <v>914472332</v>
      </c>
      <c r="O57" s="10" t="str">
        <f>IFERROR(IF(MARÍTIMOS[[#This Row],[Booking|AWB|CRT]]="","",MARÍTIMOS[[#This Row],[Booking|AWB|CRT]]),"")</f>
        <v>PER9156800A</v>
      </c>
      <c r="P57" s="2" t="str">
        <f>IFERROR(IF(MARÍTIMOS[[#This Row],[Contenedor]]="","",MARÍTIMOS[[#This Row],[Contenedor]]),"")</f>
        <v>BEAU9705128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DPW</v>
      </c>
      <c r="S57" s="11">
        <f>IFERROR(IF(MARÍTIMOS[[#This Row],[Etapa Retiro - Cita]]="","",MARÍTIMOS[[#This Row],[Etapa Retiro - Cita]]),"")</f>
        <v>46228.5</v>
      </c>
      <c r="T57" s="11">
        <f>IFERROR(IF(MARÍTIMOS[[#This Row],[Etapa Retiro - Llegada]]="","",MARÍTIMOS[[#This Row],[Etapa Retiro - Llegada]]),"")</f>
        <v>46228.479166666664</v>
      </c>
      <c r="U57" s="11">
        <f>IFERROR(IF(MARÍTIMOS[[#This Row],[Etapa Retiro - Ingreso]]="","",MARÍTIMOS[[#This Row],[Etapa Retiro - Ingreso]]),"")</f>
        <v>46228.494444444441</v>
      </c>
      <c r="V57" s="11">
        <f>IFERROR(IF(MARÍTIMOS[[#This Row],[Etapa Retiro - Atención]]="","",MARÍTIMOS[[#This Row],[Etapa Retiro - Atención]]),"")</f>
        <v>46228.49722222222</v>
      </c>
      <c r="W57" s="11">
        <f>IFERROR(IF(MARÍTIMOS[[#This Row],[Etapa Retiro - Salida]]="","",MARÍTIMOS[[#This Row],[Etapa Retiro - Salida]]),"")</f>
        <v>46228.606249999997</v>
      </c>
      <c r="X57" s="11">
        <f>IFERROR(IF(MARÍTIMOS[[#This Row],[Etapa Retiro - Inicio de Ruta]]="","",MARÍTIMOS[[#This Row],[Etapa Retiro - Inicio de Ruta]]),"")</f>
        <v>46229.670138888891</v>
      </c>
      <c r="Y57" s="11">
        <f>IFERROR(IF(MARÍTIMOS[[#This Row],[Hora de Posicionamiento]]="","",MARÍTIMOS[[#This Row],[Hora de Carga]]+MARÍTIMOS[[#This Row],[Hora de Posicionamiento]]),"")</f>
        <v>0.66666666666666663</v>
      </c>
      <c r="Z57" s="11">
        <f>IFERROR(IF(MARÍTIMOS[[#This Row],[Etapa Despacho -  Llegada]]="","",MARÍTIMOS[[#This Row],[Etapa Despacho -  Llegada]]),"")</f>
        <v>46229.643055555556</v>
      </c>
      <c r="AA57" s="11">
        <f>IFERROR(IF(MARÍTIMOS[[#This Row],[Etapa Despacho -  Registro]]="","",MARÍTIMOS[[#This Row],[Etapa Despacho -  Registro]]),"")</f>
        <v>46229.662499999999</v>
      </c>
      <c r="AB57" s="11">
        <f>IFERROR(IF(MARÍTIMOS[[#This Row],[Inspección Externa]]="","",MARÍTIMOS[[#This Row],[Inspección Externa]]),"")</f>
        <v>46230.291666666664</v>
      </c>
      <c r="AC57" s="11">
        <f>IFERROR(IF(MARÍTIMOS[[#This Row],[Etapa Despacho -  Inicio de Carga]]="","",MARÍTIMOS[[#This Row],[Etapa Despacho -  Inicio de Carga]]),"")</f>
        <v>46230.667361111111</v>
      </c>
      <c r="AD57" s="11">
        <f>IFERROR(IF(MARÍTIMOS[[#This Row],[Etapa Despacho -  Fin de Carga]]="","",MARÍTIMOS[[#This Row],[Etapa Despacho -  Fin de Carga]]),"")</f>
        <v>46230.688194444447</v>
      </c>
      <c r="AE57" s="11">
        <f>IFERROR(IF(MARÍTIMOS[[#This Row],[Etapa Despacho -  Salida]]="","",MARÍTIMOS[[#This Row],[Etapa Despacho -  Salida]]),"")</f>
        <v>46230.811111111114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46231.583333333336</v>
      </c>
      <c r="AI57" s="11">
        <f>IFERROR(IF(MARÍTIMOS[[#This Row],[Etapa Ingreso - Llegada]]="","",MARÍTIMOS[[#This Row],[Etapa Ingreso - Llegada]]),"")</f>
        <v>46231.564583333333</v>
      </c>
      <c r="AJ57" s="11">
        <f>IFERROR(IF(MARÍTIMOS[[#This Row],[Etapa Ingreso - Ingeso]]="","",MARÍTIMOS[[#This Row],[Etapa Ingreso - Ingeso]]),"")</f>
        <v>46231.565972222219</v>
      </c>
      <c r="AK57" s="11">
        <f>IFERROR(IF(MARÍTIMOS[[#This Row],[Etapa Ingreso - Atención]]="","",MARÍTIMOS[[#This Row],[Etapa Ingreso - Atención]]),"")</f>
        <v>46231.569444444445</v>
      </c>
      <c r="AL57" s="11">
        <f>IFERROR(IF(MARÍTIMOS[[#This Row],[Etapa Ingreso - Salida]]="","",MARÍTIMOS[[#This Row],[Etapa Ingreso - Salida]]),"")</f>
        <v>46231.570833333331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7" s="5">
        <f>IFERROR(OLDBD[[#This Row],[Llegada a packing]]-OLDBD[[#This Row],[Inicio de Ruta]],"")</f>
        <v>-2.7083333334303461E-2</v>
      </c>
      <c r="AQ57" s="6">
        <f>IFERROR(OLDBD[[#This Row],[Inicio de Ruta]]-OLDBD[[#This Row],[Salida de almacén de retiro]],"")</f>
        <v>1.0638888888934162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7" s="9">
        <f>IFERROR(OLDBD[[#This Row],[Ingreso Packing]]-OLDBD[[#This Row],[Registro en Packing]],"")</f>
        <v>0.62916666666569654</v>
      </c>
      <c r="AV57" s="9">
        <f>IFERROR(OLDBD[[#This Row],[Ingreso Packing]]-OLDBD[[#This Row],[Llegada a packing]],"")</f>
        <v>0.64861111110803904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7" s="5">
        <f>IFERROR(OLDBD[[#This Row],[Llegada Almacén de Ingreso]]-OLDBD[[#This Row],[Salida Packing]],"")</f>
        <v>0.75347222221898846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7" s="45" t="s">
        <v>181</v>
      </c>
      <c r="BB57" s="53" t="str">
        <f>IFERROR(IF(MARÍTIMOS[[#This Row],[Estatus]]="","",MARÍTIMOS[[#This Row],[Estatus]]),"")</f>
        <v>Confirmado</v>
      </c>
      <c r="BC57" s="45"/>
      <c r="BD57" s="52">
        <f>IFERROR(OLDBD[[#This Row],[Salida de almacén de retiro]]-OLDBD[[#This Row],[Ingreso Almacén de retiro]],"")</f>
        <v>0.11180555555620231</v>
      </c>
      <c r="BE57" s="52">
        <f>IFERROR(OLDBD[[#This Row],[Fin de Carga]]-OLDBD[[#This Row],[Inicio de Carga]],"")</f>
        <v>2.0833333335758653E-2</v>
      </c>
    </row>
    <row r="58" spans="1:57" x14ac:dyDescent="0.35">
      <c r="A58" s="1"/>
      <c r="B58" s="1">
        <f>IFERROR(IF(MARÍTIMOS[[#This Row],[PP]]="","",MARÍTIMOS[[#This Row],[PP]]),"")</f>
        <v>30</v>
      </c>
      <c r="C58" s="1" t="str">
        <f>IFERROR(IF(MARÍTIMOS[[#This Row],[Sede]]="","",MARÍTIMOS[[#This Row],[Sede]]),"")</f>
        <v>Chao</v>
      </c>
      <c r="D58" s="1" t="str">
        <f>IFERROR(IF(MARÍTIMOS[[#This Row],[Instruction]]="","",MARÍTIMOS[[#This Row],[Instruction]]),"")</f>
        <v>RH-0270</v>
      </c>
      <c r="E58" s="1"/>
      <c r="F58" s="2" t="str">
        <f>IFERROR(IF(MARÍTIMOS[[#This Row],[Transportista]]="","",MARÍTIMOS[[#This Row],[Transportista]]),"")</f>
        <v>Expert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 xml:space="preserve">EXPERT TRANSPORT SAC </v>
      </c>
      <c r="I58" s="2">
        <f>IFERROR(IF(MARÍTIMOS[[#This Row],[RUC]]="","",MARÍTIMOS[[#This Row],[RUC]]),"")</f>
        <v>20544424751</v>
      </c>
      <c r="J58" s="2" t="str">
        <f>IFERROR(IF(MARÍTIMOS[[#This Row],[Placa Tracto]]="","",MARÍTIMOS[[#This Row],[Placa Tracto]]),"")</f>
        <v>V1B809</v>
      </c>
      <c r="K58" s="2" t="str">
        <f>IFERROR(IF(MARÍTIMOS[[#This Row],[Placa Carreta]]="","",MARÍTIMOS[[#This Row],[Placa Carreta]]),"")</f>
        <v>TKC975</v>
      </c>
      <c r="L58" s="46" t="str">
        <f>IFERROR(IF(MARÍTIMOS[[#This Row],[Conductor]]="","",MARÍTIMOS[[#This Row],[Conductor]]),"")</f>
        <v>GUILLERMO YOSNEY GONZALEZ RUIZ</v>
      </c>
      <c r="M58" s="2" t="str">
        <f>IFERROR(IF(MARÍTIMOS[[#This Row],[Licencia]]="","",MARÍTIMOS[[#This Row],[Licencia]]),"")</f>
        <v>Q005581456</v>
      </c>
      <c r="N58" s="2">
        <f>IFERROR(IF(MARÍTIMOS[[#This Row],[Número de Contacto]]="","",MARÍTIMOS[[#This Row],[Número de Contacto]]),"")</f>
        <v>914472332</v>
      </c>
      <c r="O58" s="10" t="str">
        <f>IFERROR(IF(MARÍTIMOS[[#This Row],[Booking|AWB|CRT]]="","",MARÍTIMOS[[#This Row],[Booking|AWB|CRT]]),"")</f>
        <v>PER9156800A</v>
      </c>
      <c r="P58" s="2" t="str">
        <f>IFERROR(IF(MARÍTIMOS[[#This Row],[Contenedor]]="","",MARÍTIMOS[[#This Row],[Contenedor]]),"")</f>
        <v>BEAU9705128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DPW</v>
      </c>
      <c r="S58" s="11">
        <f>IFERROR(IF(MARÍTIMOS[[#This Row],[Etapa Retiro - Cita]]="","",MARÍTIMOS[[#This Row],[Etapa Retiro - Cita]]),"")</f>
        <v>46228.5</v>
      </c>
      <c r="T58" s="11">
        <f>IFERROR(IF(MARÍTIMOS[[#This Row],[Etapa Retiro - Llegada]]="","",MARÍTIMOS[[#This Row],[Etapa Retiro - Llegada]]),"")</f>
        <v>46228.479166666664</v>
      </c>
      <c r="U58" s="11">
        <f>IFERROR(IF(MARÍTIMOS[[#This Row],[Etapa Retiro - Ingreso]]="","",MARÍTIMOS[[#This Row],[Etapa Retiro - Ingreso]]),"")</f>
        <v>46228.494444444441</v>
      </c>
      <c r="V58" s="11">
        <f>IFERROR(IF(MARÍTIMOS[[#This Row],[Etapa Retiro - Atención]]="","",MARÍTIMOS[[#This Row],[Etapa Retiro - Atención]]),"")</f>
        <v>46228.49722222222</v>
      </c>
      <c r="W58" s="11">
        <f>IFERROR(IF(MARÍTIMOS[[#This Row],[Etapa Retiro - Salida]]="","",MARÍTIMOS[[#This Row],[Etapa Retiro - Salida]]),"")</f>
        <v>46228.606249999997</v>
      </c>
      <c r="X58" s="11">
        <f>IFERROR(IF(MARÍTIMOS[[#This Row],[Etapa Retiro - Inicio de Ruta]]="","",MARÍTIMOS[[#This Row],[Etapa Retiro - Inicio de Ruta]]),"")</f>
        <v>46229.670138888891</v>
      </c>
      <c r="Y58" s="11">
        <f>IFERROR(IF(MARÍTIMOS[[#This Row],[Hora de Posicionamiento]]="","",MARÍTIMOS[[#This Row],[Hora de Carga]]+MARÍTIMOS[[#This Row],[Hora de Posicionamiento]]),"")</f>
        <v>0.66666666666666663</v>
      </c>
      <c r="Z58" s="11">
        <f>IFERROR(IF(MARÍTIMOS[[#This Row],[Etapa Despacho -  Llegada]]="","",MARÍTIMOS[[#This Row],[Etapa Despacho -  Llegada]]),"")</f>
        <v>46229.643055555556</v>
      </c>
      <c r="AA58" s="11">
        <f>IFERROR(IF(MARÍTIMOS[[#This Row],[Etapa Despacho -  Registro]]="","",MARÍTIMOS[[#This Row],[Etapa Despacho -  Registro]]),"")</f>
        <v>46229.662499999999</v>
      </c>
      <c r="AB58" s="11">
        <f>IFERROR(IF(MARÍTIMOS[[#This Row],[Inspección Externa]]="","",MARÍTIMOS[[#This Row],[Inspección Externa]]),"")</f>
        <v>46230.291666666664</v>
      </c>
      <c r="AC58" s="11">
        <f>IFERROR(IF(MARÍTIMOS[[#This Row],[Etapa Despacho -  Inicio de Carga]]="","",MARÍTIMOS[[#This Row],[Etapa Despacho -  Inicio de Carga]]),"")</f>
        <v>46230.667361111111</v>
      </c>
      <c r="AD58" s="11">
        <f>IFERROR(IF(MARÍTIMOS[[#This Row],[Etapa Despacho -  Fin de Carga]]="","",MARÍTIMOS[[#This Row],[Etapa Despacho -  Fin de Carga]]),"")</f>
        <v>46230.688194444447</v>
      </c>
      <c r="AE58" s="11">
        <f>IFERROR(IF(MARÍTIMOS[[#This Row],[Etapa Despacho -  Salida]]="","",MARÍTIMOS[[#This Row],[Etapa Despacho -  Salida]]),"")</f>
        <v>46230.811111111114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46231.583333333336</v>
      </c>
      <c r="AI58" s="11">
        <f>IFERROR(IF(MARÍTIMOS[[#This Row],[Etapa Ingreso - Llegada]]="","",MARÍTIMOS[[#This Row],[Etapa Ingreso - Llegada]]),"")</f>
        <v>46231.564583333333</v>
      </c>
      <c r="AJ58" s="11">
        <f>IFERROR(IF(MARÍTIMOS[[#This Row],[Etapa Ingreso - Ingeso]]="","",MARÍTIMOS[[#This Row],[Etapa Ingreso - Ingeso]]),"")</f>
        <v>46231.565972222219</v>
      </c>
      <c r="AK58" s="11">
        <f>IFERROR(IF(MARÍTIMOS[[#This Row],[Etapa Ingreso - Atención]]="","",MARÍTIMOS[[#This Row],[Etapa Ingreso - Atención]]),"")</f>
        <v>46231.569444444445</v>
      </c>
      <c r="AL58" s="11">
        <f>IFERROR(IF(MARÍTIMOS[[#This Row],[Etapa Ingreso - Salida]]="","",MARÍTIMOS[[#This Row],[Etapa Ingreso - Salida]]),"")</f>
        <v>46231.570833333331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8" s="5">
        <f>IFERROR(OLDBD[[#This Row],[Llegada a packing]]-OLDBD[[#This Row],[Inicio de Ruta]],"")</f>
        <v>-2.7083333334303461E-2</v>
      </c>
      <c r="AQ58" s="6">
        <f>IFERROR(OLDBD[[#This Row],[Inicio de Ruta]]-OLDBD[[#This Row],[Salida de almacén de retiro]],"")</f>
        <v>1.0638888888934162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0.62916666666569654</v>
      </c>
      <c r="AV58" s="9">
        <f>IFERROR(OLDBD[[#This Row],[Ingreso Packing]]-OLDBD[[#This Row],[Llegada a packing]],"")</f>
        <v>0.64861111110803904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8" s="5">
        <f>IFERROR(OLDBD[[#This Row],[Llegada Almacén de Ingreso]]-OLDBD[[#This Row],[Salida Packing]],"")</f>
        <v>0.75347222221898846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8" s="45" t="s">
        <v>181</v>
      </c>
      <c r="BB58" s="53" t="str">
        <f>IFERROR(IF(MARÍTIMOS[[#This Row],[Estatus]]="","",MARÍTIMOS[[#This Row],[Estatus]]),"")</f>
        <v>Confirmado</v>
      </c>
      <c r="BC58" s="45"/>
      <c r="BD58" s="52">
        <f>IFERROR(OLDBD[[#This Row],[Salida de almacén de retiro]]-OLDBD[[#This Row],[Ingreso Almacén de retiro]],"")</f>
        <v>0.11180555555620231</v>
      </c>
      <c r="BE58" s="52">
        <f>IFERROR(OLDBD[[#This Row],[Fin de Carga]]-OLDBD[[#This Row],[Inicio de Carga]],"")</f>
        <v>2.0833333335758653E-2</v>
      </c>
    </row>
    <row r="59" spans="1:57" x14ac:dyDescent="0.35">
      <c r="A59" s="1"/>
      <c r="B59" s="1">
        <f>IFERROR(IF(MARÍTIMOS[[#This Row],[PP]]="","",MARÍTIMOS[[#This Row],[PP]]),"")</f>
        <v>30</v>
      </c>
      <c r="C59" s="1" t="str">
        <f>IFERROR(IF(MARÍTIMOS[[#This Row],[Sede]]="","",MARÍTIMOS[[#This Row],[Sede]]),"")</f>
        <v>Chao</v>
      </c>
      <c r="D59" s="1" t="str">
        <f>IFERROR(IF(MARÍTIMOS[[#This Row],[Instruction]]="","",MARÍTIMOS[[#This Row],[Instruction]]),"")</f>
        <v>RH-0271</v>
      </c>
      <c r="E59" s="1"/>
      <c r="F59" s="2" t="str">
        <f>IFERROR(IF(MARÍTIMOS[[#This Row],[Transportista]]="","",MARÍTIMOS[[#This Row],[Transportista]]),"")</f>
        <v>Expert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 xml:space="preserve">EXPERT TRANSPORT SAC </v>
      </c>
      <c r="I59" s="2">
        <f>IFERROR(IF(MARÍTIMOS[[#This Row],[RUC]]="","",MARÍTIMOS[[#This Row],[RUC]]),"")</f>
        <v>20544424751</v>
      </c>
      <c r="J59" s="2" t="str">
        <f>IFERROR(IF(MARÍTIMOS[[#This Row],[Placa Tracto]]="","",MARÍTIMOS[[#This Row],[Placa Tracto]]),"")</f>
        <v>BYR872</v>
      </c>
      <c r="K59" s="2" t="str">
        <f>IFERROR(IF(MARÍTIMOS[[#This Row],[Placa Carreta]]="","",MARÍTIMOS[[#This Row],[Placa Carreta]]),"")</f>
        <v>A3K983</v>
      </c>
      <c r="L59" s="46" t="str">
        <f>IFERROR(IF(MARÍTIMOS[[#This Row],[Conductor]]="","",MARÍTIMOS[[#This Row],[Conductor]]),"")</f>
        <v>HUMBERTO JESÚS SUAREZ ARGUINZONES</v>
      </c>
      <c r="M59" s="2" t="str">
        <f>IFERROR(IF(MARÍTIMOS[[#This Row],[Licencia]]="","",MARÍTIMOS[[#This Row],[Licencia]]),"")</f>
        <v>B007168026</v>
      </c>
      <c r="N59" s="2">
        <f>IFERROR(IF(MARÍTIMOS[[#This Row],[Número de Contacto]]="","",MARÍTIMOS[[#This Row],[Número de Contacto]]),"")</f>
        <v>934270711</v>
      </c>
      <c r="O59" s="10" t="str">
        <f>IFERROR(IF(MARÍTIMOS[[#This Row],[Booking|AWB|CRT]]="","",MARÍTIMOS[[#This Row],[Booking|AWB|CRT]]),"")</f>
        <v>PER9156797A</v>
      </c>
      <c r="P59" s="2" t="str">
        <f>IFERROR(IF(MARÍTIMOS[[#This Row],[Contenedor]]="","",MARÍTIMOS[[#This Row],[Contenedor]]),"")</f>
        <v>SEKU9425268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DPW</v>
      </c>
      <c r="S59" s="11">
        <f>IFERROR(IF(MARÍTIMOS[[#This Row],[Etapa Retiro - Cita]]="","",MARÍTIMOS[[#This Row],[Etapa Retiro - Cita]]),"")</f>
        <v>46228.5</v>
      </c>
      <c r="T59" s="11">
        <f>IFERROR(IF(MARÍTIMOS[[#This Row],[Etapa Retiro - Llegada]]="","",MARÍTIMOS[[#This Row],[Etapa Retiro - Llegada]]),"")</f>
        <v>46228.48333333333</v>
      </c>
      <c r="U59" s="11">
        <f>IFERROR(IF(MARÍTIMOS[[#This Row],[Etapa Retiro - Ingreso]]="","",MARÍTIMOS[[#This Row],[Etapa Retiro - Ingreso]]),"")</f>
        <v>46228.504166666666</v>
      </c>
      <c r="V59" s="11">
        <f>IFERROR(IF(MARÍTIMOS[[#This Row],[Etapa Retiro - Atención]]="","",MARÍTIMOS[[#This Row],[Etapa Retiro - Atención]]),"")</f>
        <v>46228.510416666664</v>
      </c>
      <c r="W59" s="11">
        <f>IFERROR(IF(MARÍTIMOS[[#This Row],[Etapa Retiro - Salida]]="","",MARÍTIMOS[[#This Row],[Etapa Retiro - Salida]]),"")</f>
        <v>46228.618750000001</v>
      </c>
      <c r="X59" s="11">
        <f>IFERROR(IF(MARÍTIMOS[[#This Row],[Etapa Retiro - Inicio de Ruta]]="","",MARÍTIMOS[[#This Row],[Etapa Retiro - Inicio de Ruta]]),"")</f>
        <v>46229.543055555558</v>
      </c>
      <c r="Y59" s="11">
        <f>IFERROR(IF(MARÍTIMOS[[#This Row],[Hora de Posicionamiento]]="","",MARÍTIMOS[[#This Row],[Hora de Carga]]+MARÍTIMOS[[#This Row],[Hora de Posicionamiento]]),"")</f>
        <v>0.33333333333333331</v>
      </c>
      <c r="Z59" s="11">
        <f>IFERROR(IF(MARÍTIMOS[[#This Row],[Etapa Despacho -  Llegada]]="","",MARÍTIMOS[[#This Row],[Etapa Despacho -  Llegada]]),"")</f>
        <v>46230.3125</v>
      </c>
      <c r="AA59" s="11">
        <f>IFERROR(IF(MARÍTIMOS[[#This Row],[Etapa Despacho -  Registro]]="","",MARÍTIMOS[[#This Row],[Etapa Despacho -  Registro]]),"")</f>
        <v>46230.328472222223</v>
      </c>
      <c r="AB59" s="11">
        <f>IFERROR(IF(MARÍTIMOS[[#This Row],[Inspección Externa]]="","",MARÍTIMOS[[#This Row],[Inspección Externa]]),"")</f>
        <v>46230.352083333331</v>
      </c>
      <c r="AC59" s="11">
        <f>IFERROR(IF(MARÍTIMOS[[#This Row],[Etapa Despacho -  Inicio de Carga]]="","",MARÍTIMOS[[#This Row],[Etapa Despacho -  Inicio de Carga]]),"")</f>
        <v>46230.570833333331</v>
      </c>
      <c r="AD59" s="11">
        <f>IFERROR(IF(MARÍTIMOS[[#This Row],[Etapa Despacho -  Fin de Carga]]="","",MARÍTIMOS[[#This Row],[Etapa Despacho -  Fin de Carga]]),"")</f>
        <v>46230.588888888888</v>
      </c>
      <c r="AE59" s="11">
        <f>IFERROR(IF(MARÍTIMOS[[#This Row],[Etapa Despacho -  Salida]]="","",MARÍTIMOS[[#This Row],[Etapa Despacho -  Salida]]),"")</f>
        <v>46230.710416666669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46231.458333333336</v>
      </c>
      <c r="AI59" s="11">
        <f>IFERROR(IF(MARÍTIMOS[[#This Row],[Etapa Ingreso - Llegada]]="","",MARÍTIMOS[[#This Row],[Etapa Ingreso - Llegada]]),"")</f>
        <v>46231.416666666664</v>
      </c>
      <c r="AJ59" s="11">
        <f>IFERROR(IF(MARÍTIMOS[[#This Row],[Etapa Ingreso - Ingeso]]="","",MARÍTIMOS[[#This Row],[Etapa Ingreso - Ingeso]]),"")</f>
        <v>46231.425000000003</v>
      </c>
      <c r="AK59" s="11">
        <f>IFERROR(IF(MARÍTIMOS[[#This Row],[Etapa Ingreso - Atención]]="","",MARÍTIMOS[[#This Row],[Etapa Ingreso - Atención]]),"")</f>
        <v>46231.428472222222</v>
      </c>
      <c r="AL59" s="11">
        <f>IFERROR(IF(MARÍTIMOS[[#This Row],[Etapa Ingreso - Salida]]="","",MARÍTIMOS[[#This Row],[Etapa Ingreso - Salida]]),"")</f>
        <v>46231.436111111114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9" s="5">
        <f>IFERROR(OLDBD[[#This Row],[Llegada a packing]]-OLDBD[[#This Row],[Inicio de Ruta]],"")</f>
        <v>0.7694444444423425</v>
      </c>
      <c r="AQ59" s="6">
        <f>IFERROR(OLDBD[[#This Row],[Inicio de Ruta]]-OLDBD[[#This Row],[Salida de almacén de retiro]],"")</f>
        <v>0.92430555555620231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2.361111110803904E-2</v>
      </c>
      <c r="AV59" s="9">
        <f>IFERROR(OLDBD[[#This Row],[Ingreso Packing]]-OLDBD[[#This Row],[Llegada a packing]],"")</f>
        <v>3.9583333331393078E-2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9" s="5">
        <f>IFERROR(OLDBD[[#This Row],[Llegada Almacén de Ingreso]]-OLDBD[[#This Row],[Salida Packing]],"")</f>
        <v>0.70624999999563443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9" s="45" t="s">
        <v>181</v>
      </c>
      <c r="BB59" s="53" t="str">
        <f>IFERROR(IF(MARÍTIMOS[[#This Row],[Estatus]]="","",MARÍTIMOS[[#This Row],[Estatus]]),"")</f>
        <v>Confirmado</v>
      </c>
      <c r="BC59" s="45"/>
      <c r="BD59" s="52">
        <f>IFERROR(OLDBD[[#This Row],[Salida de almacén de retiro]]-OLDBD[[#This Row],[Ingreso Almacén de retiro]],"")</f>
        <v>0.11458333333575865</v>
      </c>
      <c r="BE59" s="52">
        <f>IFERROR(OLDBD[[#This Row],[Fin de Carga]]-OLDBD[[#This Row],[Inicio de Carga]],"")</f>
        <v>1.8055555556202307E-2</v>
      </c>
    </row>
    <row r="60" spans="1:57" x14ac:dyDescent="0.35">
      <c r="A60" s="1"/>
      <c r="B60" s="1">
        <f>IFERROR(IF(MARÍTIMOS[[#This Row],[PP]]="","",MARÍTIMOS[[#This Row],[PP]]),"")</f>
        <v>31</v>
      </c>
      <c r="C60" s="1" t="str">
        <f>IFERROR(IF(MARÍTIMOS[[#This Row],[Sede]]="","",MARÍTIMOS[[#This Row],[Sede]]),"")</f>
        <v>Chao</v>
      </c>
      <c r="D60" s="1" t="str">
        <f>IFERROR(IF(MARÍTIMOS[[#This Row],[Instruction]]="","",MARÍTIMOS[[#This Row],[Instruction]]),"")</f>
        <v>RH-0333</v>
      </c>
      <c r="E60" s="1"/>
      <c r="F60" s="2" t="str">
        <f>IFERROR(IF(MARÍTIMOS[[#This Row],[Transportista]]="","",MARÍTIMOS[[#This Row],[Transportista]]),"")</f>
        <v>Expert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 xml:space="preserve">EXPERT TRANSPORT SAC </v>
      </c>
      <c r="I60" s="2">
        <f>IFERROR(IF(MARÍTIMOS[[#This Row],[RUC]]="","",MARÍTIMOS[[#This Row],[RUC]]),"")</f>
        <v>20544424751</v>
      </c>
      <c r="J60" s="2" t="str">
        <f>IFERROR(IF(MARÍTIMOS[[#This Row],[Placa Tracto]]="","",MARÍTIMOS[[#This Row],[Placa Tracto]]),"")</f>
        <v>C5Z734</v>
      </c>
      <c r="K60" s="2" t="str">
        <f>IFERROR(IF(MARÍTIMOS[[#This Row],[Placa Carreta]]="","",MARÍTIMOS[[#This Row],[Placa Carreta]]),"")</f>
        <v>TJE975</v>
      </c>
      <c r="L60" s="46" t="str">
        <f>IFERROR(IF(MARÍTIMOS[[#This Row],[Conductor]]="","",MARÍTIMOS[[#This Row],[Conductor]]),"")</f>
        <v>LUIS CARLOS LAMAS RUIZ</v>
      </c>
      <c r="M60" s="2" t="str">
        <f>IFERROR(IF(MARÍTIMOS[[#This Row],[Licencia]]="","",MARÍTIMOS[[#This Row],[Licencia]]),"")</f>
        <v>B009531613</v>
      </c>
      <c r="N60" s="2">
        <f>IFERROR(IF(MARÍTIMOS[[#This Row],[Número de Contacto]]="","",MARÍTIMOS[[#This Row],[Número de Contacto]]),"")</f>
        <v>986078320</v>
      </c>
      <c r="O60" s="10" t="str">
        <f>IFERROR(IF(MARÍTIMOS[[#This Row],[Booking|AWB|CRT]]="","",MARÍTIMOS[[#This Row],[Booking|AWB|CRT]]),"")</f>
        <v>MBM250067107</v>
      </c>
      <c r="P60" s="2" t="str">
        <f>IFERROR(IF(MARÍTIMOS[[#This Row],[Contenedor]]="","",MARÍTIMOS[[#This Row],[Contenedor]]),"")</f>
        <v xml:space="preserve"> SEKU9364162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MACROMAR</v>
      </c>
      <c r="S60" s="11">
        <f>IFERROR(IF(MARÍTIMOS[[#This Row],[Etapa Retiro - Cita]]="","",MARÍTIMOS[[#This Row],[Etapa Retiro - Cita]]),"")</f>
        <v>46232.680555555555</v>
      </c>
      <c r="T60" s="11">
        <f>IFERROR(IF(MARÍTIMOS[[#This Row],[Etapa Retiro - Llegada]]="","",MARÍTIMOS[[#This Row],[Etapa Retiro - Llegada]]),"")</f>
        <v>46232.683333333334</v>
      </c>
      <c r="U60" s="11">
        <f>IFERROR(IF(MARÍTIMOS[[#This Row],[Etapa Retiro - Ingreso]]="","",MARÍTIMOS[[#This Row],[Etapa Retiro - Ingreso]]),"")</f>
        <v>46232.695833333331</v>
      </c>
      <c r="V60" s="11">
        <f>IFERROR(IF(MARÍTIMOS[[#This Row],[Etapa Retiro - Atención]]="","",MARÍTIMOS[[#This Row],[Etapa Retiro - Atención]]),"")</f>
        <v>46232.697222222225</v>
      </c>
      <c r="W60" s="11">
        <f>IFERROR(IF(MARÍTIMOS[[#This Row],[Etapa Retiro - Salida]]="","",MARÍTIMOS[[#This Row],[Etapa Retiro - Salida]]),"")</f>
        <v>46232.754861111112</v>
      </c>
      <c r="X60" s="11">
        <f>IFERROR(IF(MARÍTIMOS[[#This Row],[Etapa Retiro - Inicio de Ruta]]="","",MARÍTIMOS[[#This Row],[Etapa Retiro - Inicio de Ruta]]),"")</f>
        <v>46232.769444444442</v>
      </c>
      <c r="Y60" s="11">
        <f>IFERROR(IF(MARÍTIMOS[[#This Row],[Hora de Posicionamiento]]="","",MARÍTIMOS[[#This Row],[Hora de Carga]]+MARÍTIMOS[[#This Row],[Hora de Posicionamiento]]),"")</f>
        <v>0.58333333333333337</v>
      </c>
      <c r="Z60" s="11">
        <f>IFERROR(IF(MARÍTIMOS[[#This Row],[Etapa Despacho -  Llegada]]="","",MARÍTIMOS[[#This Row],[Etapa Despacho -  Llegada]]),"")</f>
        <v>46233.493055555555</v>
      </c>
      <c r="AA60" s="11">
        <f>IFERROR(IF(MARÍTIMOS[[#This Row],[Etapa Despacho -  Registro]]="","",MARÍTIMOS[[#This Row],[Etapa Despacho -  Registro]]),"")</f>
        <v>46233.513194444444</v>
      </c>
      <c r="AB60" s="11">
        <f>IFERROR(IF(MARÍTIMOS[[#This Row],[Inspección Externa]]="","",MARÍTIMOS[[#This Row],[Inspección Externa]]),"")</f>
        <v>46233.536111111112</v>
      </c>
      <c r="AC60" s="11">
        <f>IFERROR(IF(MARÍTIMOS[[#This Row],[Etapa Despacho -  Inicio de Carga]]="","",MARÍTIMOS[[#This Row],[Etapa Despacho -  Inicio de Carga]]),"")</f>
        <v>46233.612500000003</v>
      </c>
      <c r="AD60" s="11">
        <f>IFERROR(IF(MARÍTIMOS[[#This Row],[Etapa Despacho -  Fin de Carga]]="","",MARÍTIMOS[[#This Row],[Etapa Despacho -  Fin de Carga]]),"")</f>
        <v>46233.625694444447</v>
      </c>
      <c r="AE60" s="11">
        <f>IFERROR(IF(MARÍTIMOS[[#This Row],[Etapa Despacho -  Salida]]="","",MARÍTIMOS[[#This Row],[Etapa Despacho -  Salida]]),"")</f>
        <v>46233.643750000003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46234.416666666664</v>
      </c>
      <c r="AI60" s="11">
        <f>IFERROR(IF(MARÍTIMOS[[#This Row],[Etapa Ingreso - Llegada]]="","",MARÍTIMOS[[#This Row],[Etapa Ingreso - Llegada]]),"")</f>
        <v>46234.430555555555</v>
      </c>
      <c r="AJ60" s="11">
        <f>IFERROR(IF(MARÍTIMOS[[#This Row],[Etapa Ingreso - Ingeso]]="","",MARÍTIMOS[[#This Row],[Etapa Ingreso - Ingeso]]),"")</f>
        <v>46234.4375</v>
      </c>
      <c r="AK60" s="11">
        <f>IFERROR(IF(MARÍTIMOS[[#This Row],[Etapa Ingreso - Atención]]="","",MARÍTIMOS[[#This Row],[Etapa Ingreso - Atención]]),"")</f>
        <v>46234.440972222219</v>
      </c>
      <c r="AL60" s="11">
        <f>IFERROR(IF(MARÍTIMOS[[#This Row],[Etapa Ingreso - Salida]]="","",MARÍTIMOS[[#This Row],[Etapa Ingreso - Salida]]),"")</f>
        <v>46234.447916666664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0" s="5">
        <f>IFERROR(OLDBD[[#This Row],[Llegada a packing]]-OLDBD[[#This Row],[Inicio de Ruta]],"")</f>
        <v>0.72361111111240461</v>
      </c>
      <c r="AQ60" s="6">
        <f>IFERROR(OLDBD[[#This Row],[Inicio de Ruta]]-OLDBD[[#This Row],[Salida de almacén de retiro]],"")</f>
        <v>1.4583333329937886E-2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0" s="9">
        <f>IFERROR(OLDBD[[#This Row],[Ingreso Packing]]-OLDBD[[#This Row],[Registro en Packing]],"")</f>
        <v>2.2916666668606922E-2</v>
      </c>
      <c r="AV60" s="9">
        <f>IFERROR(OLDBD[[#This Row],[Ingreso Packing]]-OLDBD[[#This Row],[Llegada a packing]],"")</f>
        <v>4.3055555557657499E-2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0" s="5">
        <f>IFERROR(OLDBD[[#This Row],[Llegada Almacén de Ingreso]]-OLDBD[[#This Row],[Salida Packing]],"")</f>
        <v>0.78680555555183673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0" s="45" t="s">
        <v>181</v>
      </c>
      <c r="BB60" s="53" t="str">
        <f>IFERROR(IF(MARÍTIMOS[[#This Row],[Estatus]]="","",MARÍTIMOS[[#This Row],[Estatus]]),"")</f>
        <v>Confirmado</v>
      </c>
      <c r="BC60" s="45"/>
      <c r="BD60" s="52">
        <f>IFERROR(OLDBD[[#This Row],[Salida de almacén de retiro]]-OLDBD[[#This Row],[Ingreso Almacén de retiro]],"")</f>
        <v>5.9027777781011537E-2</v>
      </c>
      <c r="BE60" s="52">
        <f>IFERROR(OLDBD[[#This Row],[Fin de Carga]]-OLDBD[[#This Row],[Inicio de Carga]],"")</f>
        <v>1.3194444443797693E-2</v>
      </c>
    </row>
    <row r="61" spans="1:57" x14ac:dyDescent="0.35">
      <c r="A61" s="1"/>
      <c r="B61" s="1">
        <f>IFERROR(IF(MARÍTIMOS[[#This Row],[PP]]="","",MARÍTIMOS[[#This Row],[PP]]),"")</f>
        <v>31</v>
      </c>
      <c r="C61" s="1" t="str">
        <f>IFERROR(IF(MARÍTIMOS[[#This Row],[Sede]]="","",MARÍTIMOS[[#This Row],[Sede]]),"")</f>
        <v>Chao</v>
      </c>
      <c r="D61" s="1" t="str">
        <f>IFERROR(IF(MARÍTIMOS[[#This Row],[Instruction]]="","",MARÍTIMOS[[#This Row],[Instruction]]),"")</f>
        <v>RH-0334</v>
      </c>
      <c r="E61" s="1"/>
      <c r="F61" s="2" t="str">
        <f>IFERROR(IF(MARÍTIMOS[[#This Row],[Transportista]]="","",MARÍTIMOS[[#This Row],[Transportista]]),"")</f>
        <v>Expert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 xml:space="preserve">EXPERT TRANSPORT SAC </v>
      </c>
      <c r="I61" s="2">
        <f>IFERROR(IF(MARÍTIMOS[[#This Row],[RUC]]="","",MARÍTIMOS[[#This Row],[RUC]]),"")</f>
        <v>20544424751</v>
      </c>
      <c r="J61" s="2" t="str">
        <f>IFERROR(IF(MARÍTIMOS[[#This Row],[Placa Tracto]]="","",MARÍTIMOS[[#This Row],[Placa Tracto]]),"")</f>
        <v>V1B809</v>
      </c>
      <c r="K61" s="2" t="str">
        <f>IFERROR(IF(MARÍTIMOS[[#This Row],[Placa Carreta]]="","",MARÍTIMOS[[#This Row],[Placa Carreta]]),"")</f>
        <v>TKC975</v>
      </c>
      <c r="L61" s="46" t="str">
        <f>IFERROR(IF(MARÍTIMOS[[#This Row],[Conductor]]="","",MARÍTIMOS[[#This Row],[Conductor]]),"")</f>
        <v>GUILLERMO YOSNEY GONZALEZ RUIZ</v>
      </c>
      <c r="M61" s="2" t="str">
        <f>IFERROR(IF(MARÍTIMOS[[#This Row],[Licencia]]="","",MARÍTIMOS[[#This Row],[Licencia]]),"")</f>
        <v>Q005581456</v>
      </c>
      <c r="N61" s="2">
        <f>IFERROR(IF(MARÍTIMOS[[#This Row],[Número de Contacto]]="","",MARÍTIMOS[[#This Row],[Número de Contacto]]),"")</f>
        <v>914472332</v>
      </c>
      <c r="O61" s="10" t="str">
        <f>IFERROR(IF(MARÍTIMOS[[#This Row],[Booking|AWB|CRT]]="","",MARÍTIMOS[[#This Row],[Booking|AWB|CRT]]),"")</f>
        <v>MBM250067108</v>
      </c>
      <c r="P61" s="2" t="str">
        <f>IFERROR(IF(MARÍTIMOS[[#This Row],[Contenedor]]="","",MARÍTIMOS[[#This Row],[Contenedor]]),"")</f>
        <v>FBIU5312870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MACROMAR</v>
      </c>
      <c r="S61" s="11">
        <f>IFERROR(IF(MARÍTIMOS[[#This Row],[Etapa Retiro - Cita]]="","",MARÍTIMOS[[#This Row],[Etapa Retiro - Cita]]),"")</f>
        <v>46233.458333333336</v>
      </c>
      <c r="T61" s="11">
        <f>IFERROR(IF(MARÍTIMOS[[#This Row],[Etapa Retiro - Llegada]]="","",MARÍTIMOS[[#This Row],[Etapa Retiro - Llegada]]),"")</f>
        <v>46233.478472222225</v>
      </c>
      <c r="U61" s="11">
        <f>IFERROR(IF(MARÍTIMOS[[#This Row],[Etapa Retiro - Ingreso]]="","",MARÍTIMOS[[#This Row],[Etapa Retiro - Ingreso]]),"")</f>
        <v>46233.494444444441</v>
      </c>
      <c r="V61" s="11">
        <f>IFERROR(IF(MARÍTIMOS[[#This Row],[Etapa Retiro - Atención]]="","",MARÍTIMOS[[#This Row],[Etapa Retiro - Atención]]),"")</f>
        <v>46233.503472222219</v>
      </c>
      <c r="W61" s="11">
        <f>IFERROR(IF(MARÍTIMOS[[#This Row],[Etapa Retiro - Salida]]="","",MARÍTIMOS[[#This Row],[Etapa Retiro - Salida]]),"")</f>
        <v>46233.548611111109</v>
      </c>
      <c r="X61" s="11">
        <f>IFERROR(IF(MARÍTIMOS[[#This Row],[Etapa Retiro - Inicio de Ruta]]="","",MARÍTIMOS[[#This Row],[Etapa Retiro - Inicio de Ruta]]),"")</f>
        <v>46233.593055555553</v>
      </c>
      <c r="Y61" s="11">
        <f>IFERROR(IF(MARÍTIMOS[[#This Row],[Hora de Posicionamiento]]="","",MARÍTIMOS[[#This Row],[Hora de Carga]]+MARÍTIMOS[[#This Row],[Hora de Posicionamiento]]),"")</f>
        <v>0.33333333333333331</v>
      </c>
      <c r="Z61" s="11">
        <f>IFERROR(IF(MARÍTIMOS[[#This Row],[Etapa Despacho -  Llegada]]="","",MARÍTIMOS[[#This Row],[Etapa Despacho -  Llegada]]),"")</f>
        <v>46234.335416666669</v>
      </c>
      <c r="AA61" s="11">
        <f>IFERROR(IF(MARÍTIMOS[[#This Row],[Etapa Despacho -  Registro]]="","",MARÍTIMOS[[#This Row],[Etapa Despacho -  Registro]]),"")</f>
        <v>46234.354166666664</v>
      </c>
      <c r="AB61" s="11">
        <f>IFERROR(IF(MARÍTIMOS[[#This Row],[Inspección Externa]]="","",MARÍTIMOS[[#This Row],[Inspección Externa]]),"")</f>
        <v>46234.366666666669</v>
      </c>
      <c r="AC61" s="11">
        <f>IFERROR(IF(MARÍTIMOS[[#This Row],[Etapa Despacho -  Inicio de Carga]]="","",MARÍTIMOS[[#This Row],[Etapa Despacho -  Inicio de Carga]]),"")</f>
        <v>46234.538888888892</v>
      </c>
      <c r="AD61" s="11">
        <f>IFERROR(IF(MARÍTIMOS[[#This Row],[Etapa Despacho -  Fin de Carga]]="","",MARÍTIMOS[[#This Row],[Etapa Despacho -  Fin de Carga]]),"")</f>
        <v>46234.580555555556</v>
      </c>
      <c r="AE61" s="11">
        <f>IFERROR(IF(MARÍTIMOS[[#This Row],[Etapa Despacho -  Salida]]="","",MARÍTIMOS[[#This Row],[Etapa Despacho -  Salida]]),"")</f>
        <v>46234.605555555558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46235.458333333336</v>
      </c>
      <c r="AI61" s="11">
        <f>IFERROR(IF(MARÍTIMOS[[#This Row],[Etapa Ingreso - Llegada]]="","",MARÍTIMOS[[#This Row],[Etapa Ingreso - Llegada]]),"")</f>
        <v>46235.386805555558</v>
      </c>
      <c r="AJ61" s="11">
        <f>IFERROR(IF(MARÍTIMOS[[#This Row],[Etapa Ingreso - Ingeso]]="","",MARÍTIMOS[[#This Row],[Etapa Ingreso - Ingeso]]),"")</f>
        <v>46235.390972222223</v>
      </c>
      <c r="AK61" s="11">
        <f>IFERROR(IF(MARÍTIMOS[[#This Row],[Etapa Ingreso - Atención]]="","",MARÍTIMOS[[#This Row],[Etapa Ingreso - Atención]]),"")</f>
        <v>46235.397222222222</v>
      </c>
      <c r="AL61" s="11">
        <f>IFERROR(IF(MARÍTIMOS[[#This Row],[Etapa Ingreso - Salida]]="","",MARÍTIMOS[[#This Row],[Etapa Ingreso - Salida]]),"")</f>
        <v>46235.40625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1" s="5">
        <f>IFERROR(OLDBD[[#This Row],[Llegada a packing]]-OLDBD[[#This Row],[Inicio de Ruta]],"")</f>
        <v>0.742361111115315</v>
      </c>
      <c r="AQ61" s="6">
        <f>IFERROR(OLDBD[[#This Row],[Inicio de Ruta]]-OLDBD[[#This Row],[Salida de almacén de retiro]],"")</f>
        <v>4.4444444443797693E-2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1" s="9">
        <f>IFERROR(OLDBD[[#This Row],[Ingreso Packing]]-OLDBD[[#This Row],[Registro en Packing]],"")</f>
        <v>1.2500000004365575E-2</v>
      </c>
      <c r="AV61" s="9">
        <f>IFERROR(OLDBD[[#This Row],[Ingreso Packing]]-OLDBD[[#This Row],[Llegada a packing]],"")</f>
        <v>3.125E-2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1" s="5">
        <f>IFERROR(OLDBD[[#This Row],[Llegada Almacén de Ingreso]]-OLDBD[[#This Row],[Salida Packing]],"")</f>
        <v>0.78125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1" s="45" t="s">
        <v>181</v>
      </c>
      <c r="BB61" s="53" t="str">
        <f>IFERROR(IF(MARÍTIMOS[[#This Row],[Estatus]]="","",MARÍTIMOS[[#This Row],[Estatus]]),"")</f>
        <v>Confirmado</v>
      </c>
      <c r="BC61" s="45"/>
      <c r="BD61" s="52">
        <f>IFERROR(OLDBD[[#This Row],[Salida de almacén de retiro]]-OLDBD[[#This Row],[Ingreso Almacén de retiro]],"")</f>
        <v>5.4166666668606922E-2</v>
      </c>
      <c r="BE61" s="52">
        <f>IFERROR(OLDBD[[#This Row],[Fin de Carga]]-OLDBD[[#This Row],[Inicio de Carga]],"")</f>
        <v>4.1666666664241347E-2</v>
      </c>
    </row>
    <row r="62" spans="1:57" x14ac:dyDescent="0.35">
      <c r="A62" s="1"/>
      <c r="B62" s="1">
        <f>IFERROR(IF(MARÍTIMOS[[#This Row],[PP]]="","",MARÍTIMOS[[#This Row],[PP]]),"")</f>
        <v>31</v>
      </c>
      <c r="C62" s="1" t="str">
        <f>IFERROR(IF(MARÍTIMOS[[#This Row],[Sede]]="","",MARÍTIMOS[[#This Row],[Sede]]),"")</f>
        <v>Chao</v>
      </c>
      <c r="D62" s="1" t="str">
        <f>IFERROR(IF(MARÍTIMOS[[#This Row],[Instruction]]="","",MARÍTIMOS[[#This Row],[Instruction]]),"")</f>
        <v>RH-0338</v>
      </c>
      <c r="E62" s="1"/>
      <c r="F62" s="2" t="str">
        <f>IFERROR(IF(MARÍTIMOS[[#This Row],[Transportista]]="","",MARÍTIMOS[[#This Row],[Transportista]]),"")</f>
        <v>Expert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 xml:space="preserve">EXPERT TRANSPORT SAC </v>
      </c>
      <c r="I62" s="2">
        <f>IFERROR(IF(MARÍTIMOS[[#This Row],[RUC]]="","",MARÍTIMOS[[#This Row],[RUC]]),"")</f>
        <v>20544424751</v>
      </c>
      <c r="J62" s="2" t="str">
        <f>IFERROR(IF(MARÍTIMOS[[#This Row],[Placa Tracto]]="","",MARÍTIMOS[[#This Row],[Placa Tracto]]),"")</f>
        <v>BYR872</v>
      </c>
      <c r="K62" s="2" t="str">
        <f>IFERROR(IF(MARÍTIMOS[[#This Row],[Placa Carreta]]="","",MARÍTIMOS[[#This Row],[Placa Carreta]]),"")</f>
        <v>A3K983</v>
      </c>
      <c r="L62" s="46" t="str">
        <f>IFERROR(IF(MARÍTIMOS[[#This Row],[Conductor]]="","",MARÍTIMOS[[#This Row],[Conductor]]),"")</f>
        <v>HUMBERTO JESÚS SUAREZ ARGUINZONES</v>
      </c>
      <c r="M62" s="2" t="str">
        <f>IFERROR(IF(MARÍTIMOS[[#This Row],[Licencia]]="","",MARÍTIMOS[[#This Row],[Licencia]]),"")</f>
        <v>B007168026</v>
      </c>
      <c r="N62" s="2">
        <f>IFERROR(IF(MARÍTIMOS[[#This Row],[Número de Contacto]]="","",MARÍTIMOS[[#This Row],[Número de Contacto]]),"")</f>
        <v>934270711</v>
      </c>
      <c r="O62" s="10" t="str">
        <f>IFERROR(IF(MARÍTIMOS[[#This Row],[Booking|AWB|CRT]]="","",MARÍTIMOS[[#This Row],[Booking|AWB|CRT]]),"")</f>
        <v> PER9170849A</v>
      </c>
      <c r="P62" s="2" t="str">
        <f>IFERROR(IF(MARÍTIMOS[[#This Row],[Contenedor]]="","",MARÍTIMOS[[#This Row],[Contenedor]]),"")</f>
        <v> CAAU4160496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DPW</v>
      </c>
      <c r="S62" s="11">
        <f>IFERROR(IF(MARÍTIMOS[[#This Row],[Etapa Retiro - Cita]]="","",MARÍTIMOS[[#This Row],[Etapa Retiro - Cita]]),"")</f>
        <v>46235.5</v>
      </c>
      <c r="T62" s="11">
        <f>IFERROR(IF(MARÍTIMOS[[#This Row],[Etapa Retiro - Llegada]]="","",MARÍTIMOS[[#This Row],[Etapa Retiro - Llegada]]),"")</f>
        <v>46235.478472222225</v>
      </c>
      <c r="U62" s="11">
        <f>IFERROR(IF(MARÍTIMOS[[#This Row],[Etapa Retiro - Ingreso]]="","",MARÍTIMOS[[#This Row],[Etapa Retiro - Ingreso]]),"")</f>
        <v>46235.498611111114</v>
      </c>
      <c r="V62" s="11">
        <f>IFERROR(IF(MARÍTIMOS[[#This Row],[Etapa Retiro - Atención]]="","",MARÍTIMOS[[#This Row],[Etapa Retiro - Atención]]),"")</f>
        <v>46235.51666666667</v>
      </c>
      <c r="W62" s="11">
        <f>IFERROR(IF(MARÍTIMOS[[#This Row],[Etapa Retiro - Salida]]="","",MARÍTIMOS[[#This Row],[Etapa Retiro - Salida]]),"")</f>
        <v>46235.532638888886</v>
      </c>
      <c r="X62" s="11">
        <f>IFERROR(IF(MARÍTIMOS[[#This Row],[Etapa Retiro - Inicio de Ruta]]="","",MARÍTIMOS[[#This Row],[Etapa Retiro - Inicio de Ruta]]),"")</f>
        <v>46235.75</v>
      </c>
      <c r="Y62" s="11">
        <f>IFERROR(IF(MARÍTIMOS[[#This Row],[Hora de Posicionamiento]]="","",MARÍTIMOS[[#This Row],[Hora de Carga]]+MARÍTIMOS[[#This Row],[Hora de Posicionamiento]]),"")</f>
        <v>0.58333333333333337</v>
      </c>
      <c r="Z62" s="11">
        <f>IFERROR(IF(MARÍTIMOS[[#This Row],[Etapa Despacho -  Llegada]]="","",MARÍTIMOS[[#This Row],[Etapa Despacho -  Llegada]]),"")</f>
        <v>46236.553472222222</v>
      </c>
      <c r="AA62" s="11">
        <f>IFERROR(IF(MARÍTIMOS[[#This Row],[Etapa Despacho -  Registro]]="","",MARÍTIMOS[[#This Row],[Etapa Despacho -  Registro]]),"")</f>
        <v>46236.5625</v>
      </c>
      <c r="AB62" s="11">
        <f>IFERROR(IF(MARÍTIMOS[[#This Row],[Inspección Externa]]="","",MARÍTIMOS[[#This Row],[Inspección Externa]]),"")</f>
        <v>46236.579861111109</v>
      </c>
      <c r="AC62" s="11">
        <f>IFERROR(IF(MARÍTIMOS[[#This Row],[Etapa Despacho -  Inicio de Carga]]="","",MARÍTIMOS[[#This Row],[Etapa Despacho -  Inicio de Carga]]),"")</f>
        <v>46236.785416666666</v>
      </c>
      <c r="AD62" s="11">
        <f>IFERROR(IF(MARÍTIMOS[[#This Row],[Etapa Despacho -  Fin de Carga]]="","",MARÍTIMOS[[#This Row],[Etapa Despacho -  Fin de Carga]]),"")</f>
        <v>46236.821527777778</v>
      </c>
      <c r="AE62" s="11">
        <f>IFERROR(IF(MARÍTIMOS[[#This Row],[Etapa Despacho -  Salida]]="","",MARÍTIMOS[[#This Row],[Etapa Despacho -  Salida]]),"")</f>
        <v>46236.914583333331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46237.791666666664</v>
      </c>
      <c r="AI62" s="11">
        <f>IFERROR(IF(MARÍTIMOS[[#This Row],[Etapa Ingreso - Llegada]]="","",MARÍTIMOS[[#This Row],[Etapa Ingreso - Llegada]]),"")</f>
        <v>46237.75</v>
      </c>
      <c r="AJ62" s="11">
        <f>IFERROR(IF(MARÍTIMOS[[#This Row],[Etapa Ingreso - Ingeso]]="","",MARÍTIMOS[[#This Row],[Etapa Ingreso - Ingeso]]),"")</f>
        <v>46237.752083333333</v>
      </c>
      <c r="AK62" s="11">
        <f>IFERROR(IF(MARÍTIMOS[[#This Row],[Etapa Ingreso - Atención]]="","",MARÍTIMOS[[#This Row],[Etapa Ingreso - Atención]]),"")</f>
        <v>46237.760416666664</v>
      </c>
      <c r="AL62" s="11">
        <f>IFERROR(IF(MARÍTIMOS[[#This Row],[Etapa Ingreso - Salida]]="","",MARÍTIMOS[[#This Row],[Etapa Ingreso - Salida]]),"")</f>
        <v>46237.774305555555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2" s="5">
        <f>IFERROR(OLDBD[[#This Row],[Llegada a packing]]-OLDBD[[#This Row],[Inicio de Ruta]],"")</f>
        <v>0.80347222222189885</v>
      </c>
      <c r="AQ62" s="6">
        <f>IFERROR(OLDBD[[#This Row],[Inicio de Ruta]]-OLDBD[[#This Row],[Salida de almacén de retiro]],"")</f>
        <v>0.21736111111385981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2" s="9">
        <f>IFERROR(OLDBD[[#This Row],[Ingreso Packing]]-OLDBD[[#This Row],[Registro en Packing]],"")</f>
        <v>1.7361111109494232E-2</v>
      </c>
      <c r="AV62" s="9">
        <f>IFERROR(OLDBD[[#This Row],[Ingreso Packing]]-OLDBD[[#This Row],[Llegada a packing]],"")</f>
        <v>2.6388888887595385E-2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2" s="5">
        <f>IFERROR(OLDBD[[#This Row],[Llegada Almacén de Ingreso]]-OLDBD[[#This Row],[Salida Packing]],"")</f>
        <v>0.83541666666860692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2" s="45" t="s">
        <v>181</v>
      </c>
      <c r="BB62" s="53" t="str">
        <f>IFERROR(IF(MARÍTIMOS[[#This Row],[Estatus]]="","",MARÍTIMOS[[#This Row],[Estatus]]),"")</f>
        <v>Confirmado</v>
      </c>
      <c r="BC62" s="45"/>
      <c r="BD62" s="52">
        <f>IFERROR(OLDBD[[#This Row],[Salida de almacén de retiro]]-OLDBD[[#This Row],[Ingreso Almacén de retiro]],"")</f>
        <v>3.4027777772280388E-2</v>
      </c>
      <c r="BE62" s="52">
        <f>IFERROR(OLDBD[[#This Row],[Fin de Carga]]-OLDBD[[#This Row],[Inicio de Carga]],"")</f>
        <v>3.6111111112404615E-2</v>
      </c>
    </row>
    <row r="63" spans="1:57" x14ac:dyDescent="0.35">
      <c r="A63" s="1"/>
      <c r="B63" s="1">
        <f>IFERROR(IF(MARÍTIMOS[[#This Row],[PP]]="","",MARÍTIMOS[[#This Row],[PP]]),"")</f>
        <v>31</v>
      </c>
      <c r="C63" s="1" t="str">
        <f>IFERROR(IF(MARÍTIMOS[[#This Row],[Sede]]="","",MARÍTIMOS[[#This Row],[Sede]]),"")</f>
        <v>Chao</v>
      </c>
      <c r="D63" s="1" t="str">
        <f>IFERROR(IF(MARÍTIMOS[[#This Row],[Instruction]]="","",MARÍTIMOS[[#This Row],[Instruction]]),"")</f>
        <v>RH-0339</v>
      </c>
      <c r="E63" s="1"/>
      <c r="F63" s="2" t="str">
        <f>IFERROR(IF(MARÍTIMOS[[#This Row],[Transportista]]="","",MARÍTIMOS[[#This Row],[Transportista]]),"")</f>
        <v>Expert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 xml:space="preserve">EXPERT TRANSPORT SAC </v>
      </c>
      <c r="I63" s="2">
        <f>IFERROR(IF(MARÍTIMOS[[#This Row],[RUC]]="","",MARÍTIMOS[[#This Row],[RUC]]),"")</f>
        <v>20544424751</v>
      </c>
      <c r="J63" s="2" t="str">
        <f>IFERROR(IF(MARÍTIMOS[[#This Row],[Placa Tracto]]="","",MARÍTIMOS[[#This Row],[Placa Tracto]]),"")</f>
        <v>D1A797</v>
      </c>
      <c r="K63" s="2" t="str">
        <f>IFERROR(IF(MARÍTIMOS[[#This Row],[Placa Carreta]]="","",MARÍTIMOS[[#This Row],[Placa Carreta]]),"")</f>
        <v>TNQ977</v>
      </c>
      <c r="L63" s="46" t="str">
        <f>IFERROR(IF(MARÍTIMOS[[#This Row],[Conductor]]="","",MARÍTIMOS[[#This Row],[Conductor]]),"")</f>
        <v>FREDERIS JOSE PAVON RUIZ</v>
      </c>
      <c r="M63" s="2" t="str">
        <f>IFERROR(IF(MARÍTIMOS[[#This Row],[Licencia]]="","",MARÍTIMOS[[#This Row],[Licencia]]),"")</f>
        <v>Q005175672</v>
      </c>
      <c r="N63" s="2">
        <f>IFERROR(IF(MARÍTIMOS[[#This Row],[Número de Contacto]]="","",MARÍTIMOS[[#This Row],[Número de Contacto]]),"")</f>
        <v>904556157</v>
      </c>
      <c r="O63" s="10" t="str">
        <f>IFERROR(IF(MARÍTIMOS[[#This Row],[Booking|AWB|CRT]]="","",MARÍTIMOS[[#This Row],[Booking|AWB|CRT]]),"")</f>
        <v>BN80271</v>
      </c>
      <c r="P63" s="2" t="str">
        <f>IFERROR(IF(MARÍTIMOS[[#This Row],[Contenedor]]="","",MARÍTIMOS[[#This Row],[Contenedor]]),"")</f>
        <v>SEKU9346425 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DPW</v>
      </c>
      <c r="S63" s="11">
        <f>IFERROR(IF(MARÍTIMOS[[#This Row],[Etapa Retiro - Cita]]="","",MARÍTIMOS[[#This Row],[Etapa Retiro - Cita]]),"")</f>
        <v>46235.5</v>
      </c>
      <c r="T63" s="11">
        <f>IFERROR(IF(MARÍTIMOS[[#This Row],[Etapa Retiro - Llegada]]="","",MARÍTIMOS[[#This Row],[Etapa Retiro - Llegada]]),"")</f>
        <v>46235.46875</v>
      </c>
      <c r="U63" s="11">
        <f>IFERROR(IF(MARÍTIMOS[[#This Row],[Etapa Retiro - Ingreso]]="","",MARÍTIMOS[[#This Row],[Etapa Retiro - Ingreso]]),"")</f>
        <v>46235.600694444445</v>
      </c>
      <c r="V63" s="11">
        <f>IFERROR(IF(MARÍTIMOS[[#This Row],[Etapa Retiro - Atención]]="","",MARÍTIMOS[[#This Row],[Etapa Retiro - Atención]]),"")</f>
        <v>46235.628472222219</v>
      </c>
      <c r="W63" s="11">
        <f>IFERROR(IF(MARÍTIMOS[[#This Row],[Etapa Retiro - Salida]]="","",MARÍTIMOS[[#This Row],[Etapa Retiro - Salida]]),"")</f>
        <v>46235.714583333334</v>
      </c>
      <c r="X63" s="11">
        <f>IFERROR(IF(MARÍTIMOS[[#This Row],[Etapa Retiro - Inicio de Ruta]]="","",MARÍTIMOS[[#This Row],[Etapa Retiro - Inicio de Ruta]]),"")</f>
        <v>46235.736111111109</v>
      </c>
      <c r="Y63" s="11">
        <f>IFERROR(IF(MARÍTIMOS[[#This Row],[Hora de Posicionamiento]]="","",MARÍTIMOS[[#This Row],[Hora de Carga]]+MARÍTIMOS[[#This Row],[Hora de Posicionamiento]]),"")</f>
        <v>0.58333333333333337</v>
      </c>
      <c r="Z63" s="11">
        <f>IFERROR(IF(MARÍTIMOS[[#This Row],[Etapa Despacho -  Llegada]]="","",MARÍTIMOS[[#This Row],[Etapa Despacho -  Llegada]]),"")</f>
        <v>46236.555555555555</v>
      </c>
      <c r="AA63" s="11">
        <f>IFERROR(IF(MARÍTIMOS[[#This Row],[Etapa Despacho -  Registro]]="","",MARÍTIMOS[[#This Row],[Etapa Despacho -  Registro]]),"")</f>
        <v>46236.607638888891</v>
      </c>
      <c r="AB63" s="11">
        <f>IFERROR(IF(MARÍTIMOS[[#This Row],[Inspección Externa]]="","",MARÍTIMOS[[#This Row],[Inspección Externa]]),"")</f>
        <v>46236.620833333334</v>
      </c>
      <c r="AC63" s="11">
        <f>IFERROR(IF(MARÍTIMOS[[#This Row],[Etapa Despacho -  Inicio de Carga]]="","",MARÍTIMOS[[#This Row],[Etapa Despacho -  Inicio de Carga]]),"")</f>
        <v>46236.70416666667</v>
      </c>
      <c r="AD63" s="11">
        <f>IFERROR(IF(MARÍTIMOS[[#This Row],[Etapa Despacho -  Fin de Carga]]="","",MARÍTIMOS[[#This Row],[Etapa Despacho -  Fin de Carga]]),"")</f>
        <v>46236.820833333331</v>
      </c>
      <c r="AE63" s="11">
        <f>IFERROR(IF(MARÍTIMOS[[#This Row],[Etapa Despacho -  Salida]]="","",MARÍTIMOS[[#This Row],[Etapa Despacho -  Salida]]),"")</f>
        <v>46236.914583333331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46237.791666666664</v>
      </c>
      <c r="AI63" s="11">
        <f>IFERROR(IF(MARÍTIMOS[[#This Row],[Etapa Ingreso - Llegada]]="","",MARÍTIMOS[[#This Row],[Etapa Ingreso - Llegada]]),"")</f>
        <v>46237.755555555559</v>
      </c>
      <c r="AJ63" s="11">
        <f>IFERROR(IF(MARÍTIMOS[[#This Row],[Etapa Ingreso - Ingeso]]="","",MARÍTIMOS[[#This Row],[Etapa Ingreso - Ingeso]]),"")</f>
        <v>46237.757638888892</v>
      </c>
      <c r="AK63" s="11">
        <f>IFERROR(IF(MARÍTIMOS[[#This Row],[Etapa Ingreso - Atención]]="","",MARÍTIMOS[[#This Row],[Etapa Ingreso - Atención]]),"")</f>
        <v>46237.765972222223</v>
      </c>
      <c r="AL63" s="11">
        <f>IFERROR(IF(MARÍTIMOS[[#This Row],[Etapa Ingreso - Salida]]="","",MARÍTIMOS[[#This Row],[Etapa Ingreso - Salida]]),"")</f>
        <v>46237.775694444441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63" s="5">
        <f>IFERROR(OLDBD[[#This Row],[Llegada a packing]]-OLDBD[[#This Row],[Inicio de Ruta]],"")</f>
        <v>0.81944444444525288</v>
      </c>
      <c r="AQ63" s="6">
        <f>IFERROR(OLDBD[[#This Row],[Inicio de Ruta]]-OLDBD[[#This Row],[Salida de almacén de retiro]],"")</f>
        <v>2.1527777775190771E-2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1.3194444443797693E-2</v>
      </c>
      <c r="AV63" s="9">
        <f>IFERROR(OLDBD[[#This Row],[Ingreso Packing]]-OLDBD[[#This Row],[Llegada a packing]],"")</f>
        <v>6.5277777779556345E-2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3" s="5">
        <f>IFERROR(OLDBD[[#This Row],[Llegada Almacén de Ingreso]]-OLDBD[[#This Row],[Salida Packing]],"")</f>
        <v>0.84097222222771961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5" t="s">
        <v>181</v>
      </c>
      <c r="BB63" s="53" t="str">
        <f>IFERROR(IF(MARÍTIMOS[[#This Row],[Estatus]]="","",MARÍTIMOS[[#This Row],[Estatus]]),"")</f>
        <v>Confirmado</v>
      </c>
      <c r="BC63" s="45"/>
      <c r="BD63" s="52">
        <f>IFERROR(OLDBD[[#This Row],[Salida de almacén de retiro]]-OLDBD[[#This Row],[Ingreso Almacén de retiro]],"")</f>
        <v>0.11388888888905058</v>
      </c>
      <c r="BE63" s="52">
        <f>IFERROR(OLDBD[[#This Row],[Fin de Carga]]-OLDBD[[#This Row],[Inicio de Carga]],"")</f>
        <v>0.11666666666133096</v>
      </c>
    </row>
    <row r="64" spans="1:57" x14ac:dyDescent="0.35">
      <c r="A64" s="1"/>
      <c r="B64" s="1">
        <f>IFERROR(IF(MARÍTIMOS[[#This Row],[PP]]="","",MARÍTIMOS[[#This Row],[PP]]),"")</f>
        <v>31</v>
      </c>
      <c r="C64" s="1" t="str">
        <f>IFERROR(IF(MARÍTIMOS[[#This Row],[Sede]]="","",MARÍTIMOS[[#This Row],[Sede]]),"")</f>
        <v>Chao</v>
      </c>
      <c r="D64" s="1" t="str">
        <f>IFERROR(IF(MARÍTIMOS[[#This Row],[Instruction]]="","",MARÍTIMOS[[#This Row],[Instruction]]),"")</f>
        <v>RH-0340</v>
      </c>
      <c r="E64" s="1"/>
      <c r="F64" s="2" t="str">
        <f>IFERROR(IF(MARÍTIMOS[[#This Row],[Transportista]]="","",MARÍTIMOS[[#This Row],[Transportista]]),"")</f>
        <v>Expert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 xml:space="preserve">EXPERT TRANSPORT SAC </v>
      </c>
      <c r="I64" s="2">
        <f>IFERROR(IF(MARÍTIMOS[[#This Row],[RUC]]="","",MARÍTIMOS[[#This Row],[RUC]]),"")</f>
        <v>20544424751</v>
      </c>
      <c r="J64" s="2" t="str">
        <f>IFERROR(IF(MARÍTIMOS[[#This Row],[Placa Tracto]]="","",MARÍTIMOS[[#This Row],[Placa Tracto]]),"")</f>
        <v>V1B809</v>
      </c>
      <c r="K64" s="2" t="str">
        <f>IFERROR(IF(MARÍTIMOS[[#This Row],[Placa Carreta]]="","",MARÍTIMOS[[#This Row],[Placa Carreta]]),"")</f>
        <v>TKC975</v>
      </c>
      <c r="L64" s="46" t="str">
        <f>IFERROR(IF(MARÍTIMOS[[#This Row],[Conductor]]="","",MARÍTIMOS[[#This Row],[Conductor]]),"")</f>
        <v>GUILLERMO YOSNEY GONZALEZ RUIZ</v>
      </c>
      <c r="M64" s="2" t="str">
        <f>IFERROR(IF(MARÍTIMOS[[#This Row],[Licencia]]="","",MARÍTIMOS[[#This Row],[Licencia]]),"")</f>
        <v>Q005581456</v>
      </c>
      <c r="N64" s="2">
        <f>IFERROR(IF(MARÍTIMOS[[#This Row],[Número de Contacto]]="","",MARÍTIMOS[[#This Row],[Número de Contacto]]),"")</f>
        <v>914472332</v>
      </c>
      <c r="O64" s="10" t="str">
        <f>IFERROR(IF(MARÍTIMOS[[#This Row],[Booking|AWB|CRT]]="","",MARÍTIMOS[[#This Row],[Booking|AWB|CRT]]),"")</f>
        <v>BN80272</v>
      </c>
      <c r="P64" s="2" t="str">
        <f>IFERROR(IF(MARÍTIMOS[[#This Row],[Contenedor]]="","",MARÍTIMOS[[#This Row],[Contenedor]]),"")</f>
        <v>SEKU9152116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46235.5</v>
      </c>
      <c r="T64" s="11">
        <f>IFERROR(IF(MARÍTIMOS[[#This Row],[Etapa Retiro - Llegada]]="","",MARÍTIMOS[[#This Row],[Etapa Retiro - Llegada]]),"")</f>
        <v>46235.513888888891</v>
      </c>
      <c r="U64" s="11">
        <f>IFERROR(IF(MARÍTIMOS[[#This Row],[Etapa Retiro - Ingreso]]="","",MARÍTIMOS[[#This Row],[Etapa Retiro - Ingreso]]),"")</f>
        <v>46235.602083333331</v>
      </c>
      <c r="V64" s="11">
        <f>IFERROR(IF(MARÍTIMOS[[#This Row],[Etapa Retiro - Atención]]="","",MARÍTIMOS[[#This Row],[Etapa Retiro - Atención]]),"")</f>
        <v>46235.640277777777</v>
      </c>
      <c r="W64" s="11">
        <f>IFERROR(IF(MARÍTIMOS[[#This Row],[Etapa Retiro - Salida]]="","",MARÍTIMOS[[#This Row],[Etapa Retiro - Salida]]),"")</f>
        <v>46235.647916666669</v>
      </c>
      <c r="X64" s="11">
        <f>IFERROR(IF(MARÍTIMOS[[#This Row],[Etapa Retiro - Inicio de Ruta]]="","",MARÍTIMOS[[#This Row],[Etapa Retiro - Inicio de Ruta]]),"")</f>
        <v>46235.739583333336</v>
      </c>
      <c r="Y64" s="11">
        <f>IFERROR(IF(MARÍTIMOS[[#This Row],[Hora de Posicionamiento]]="","",MARÍTIMOS[[#This Row],[Hora de Carga]]+MARÍTIMOS[[#This Row],[Hora de Posicionamiento]]),"")</f>
        <v>0.58333333333333337</v>
      </c>
      <c r="Z64" s="11">
        <f>IFERROR(IF(MARÍTIMOS[[#This Row],[Etapa Despacho -  Llegada]]="","",MARÍTIMOS[[#This Row],[Etapa Despacho -  Llegada]]),"")</f>
        <v>46236.555555555555</v>
      </c>
      <c r="AA64" s="11">
        <f>IFERROR(IF(MARÍTIMOS[[#This Row],[Etapa Despacho -  Registro]]="","",MARÍTIMOS[[#This Row],[Etapa Despacho -  Registro]]),"")</f>
        <v>46236.604166666664</v>
      </c>
      <c r="AB64" s="11">
        <f>IFERROR(IF(MARÍTIMOS[[#This Row],[Inspección Externa]]="","",MARÍTIMOS[[#This Row],[Inspección Externa]]),"")</f>
        <v>46236.657638888886</v>
      </c>
      <c r="AC64" s="11">
        <f>IFERROR(IF(MARÍTIMOS[[#This Row],[Etapa Despacho -  Inicio de Carga]]="","",MARÍTIMOS[[#This Row],[Etapa Despacho -  Inicio de Carga]]),"")</f>
        <v>46236.754166666666</v>
      </c>
      <c r="AD64" s="11">
        <f>IFERROR(IF(MARÍTIMOS[[#This Row],[Etapa Despacho -  Fin de Carga]]="","",MARÍTIMOS[[#This Row],[Etapa Despacho -  Fin de Carga]]),"")</f>
        <v>46236.784722222219</v>
      </c>
      <c r="AE64" s="11">
        <f>IFERROR(IF(MARÍTIMOS[[#This Row],[Etapa Despacho -  Salida]]="","",MARÍTIMOS[[#This Row],[Etapa Despacho -  Salida]]),"")</f>
        <v>46236.914583333331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46237.791666666664</v>
      </c>
      <c r="AI64" s="11">
        <f>IFERROR(IF(MARÍTIMOS[[#This Row],[Etapa Ingreso - Llegada]]="","",MARÍTIMOS[[#This Row],[Etapa Ingreso - Llegada]]),"")</f>
        <v>46237.755555555559</v>
      </c>
      <c r="AJ64" s="11">
        <f>IFERROR(IF(MARÍTIMOS[[#This Row],[Etapa Ingreso - Ingeso]]="","",MARÍTIMOS[[#This Row],[Etapa Ingreso - Ingeso]]),"")</f>
        <v>46237.758333333331</v>
      </c>
      <c r="AK64" s="11">
        <f>IFERROR(IF(MARÍTIMOS[[#This Row],[Etapa Ingreso - Atención]]="","",MARÍTIMOS[[#This Row],[Etapa Ingreso - Atención]]),"")</f>
        <v>46237.763888888891</v>
      </c>
      <c r="AL64" s="11">
        <f>IFERROR(IF(MARÍTIMOS[[#This Row],[Etapa Ingreso - Salida]]="","",MARÍTIMOS[[#This Row],[Etapa Ingreso - Salida]]),"")</f>
        <v>46237.775000000001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4" s="5">
        <f>IFERROR(OLDBD[[#This Row],[Llegada a packing]]-OLDBD[[#This Row],[Inicio de Ruta]],"")</f>
        <v>0.81597222221898846</v>
      </c>
      <c r="AQ64" s="6">
        <f>IFERROR(OLDBD[[#This Row],[Inicio de Ruta]]-OLDBD[[#This Row],[Salida de almacén de retiro]],"")</f>
        <v>9.1666666667151731E-2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5.3472222221898846E-2</v>
      </c>
      <c r="AV64" s="9">
        <f>IFERROR(OLDBD[[#This Row],[Ingreso Packing]]-OLDBD[[#This Row],[Llegada a packing]],"")</f>
        <v>0.10208333333139308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4" s="5">
        <f>IFERROR(OLDBD[[#This Row],[Llegada Almacén de Ingreso]]-OLDBD[[#This Row],[Salida Packing]],"")</f>
        <v>0.84097222222771961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4" s="45" t="s">
        <v>181</v>
      </c>
      <c r="BB64" s="53" t="str">
        <f>IFERROR(IF(MARÍTIMOS[[#This Row],[Estatus]]="","",MARÍTIMOS[[#This Row],[Estatus]]),"")</f>
        <v>Confirmado</v>
      </c>
      <c r="BC64" s="45"/>
      <c r="BD64" s="52">
        <f>IFERROR(OLDBD[[#This Row],[Salida de almacén de retiro]]-OLDBD[[#This Row],[Ingreso Almacén de retiro]],"")</f>
        <v>4.5833333337213844E-2</v>
      </c>
      <c r="BE64" s="52">
        <f>IFERROR(OLDBD[[#This Row],[Fin de Carga]]-OLDBD[[#This Row],[Inicio de Carga]],"")</f>
        <v>3.0555555553291924E-2</v>
      </c>
    </row>
    <row r="65" spans="1:57" x14ac:dyDescent="0.35">
      <c r="A65" s="1"/>
      <c r="B65" s="1">
        <f>IFERROR(IF(MARÍTIMOS[[#This Row],[PP]]="","",MARÍTIMOS[[#This Row],[PP]]),"")</f>
        <v>31</v>
      </c>
      <c r="C65" s="1" t="str">
        <f>IFERROR(IF(MARÍTIMOS[[#This Row],[Sede]]="","",MARÍTIMOS[[#This Row],[Sede]]),"")</f>
        <v>Chao</v>
      </c>
      <c r="D65" s="1" t="str">
        <f>IFERROR(IF(MARÍTIMOS[[#This Row],[Instruction]]="","",MARÍTIMOS[[#This Row],[Instruction]]),"")</f>
        <v>RH-0364</v>
      </c>
      <c r="E65" s="1"/>
      <c r="F65" s="2" t="str">
        <f>IFERROR(IF(MARÍTIMOS[[#This Row],[Transportista]]="","",MARÍTIMOS[[#This Row],[Transportista]]),"")</f>
        <v>Expert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 xml:space="preserve">EXPERT TRANSPORT SAC </v>
      </c>
      <c r="I65" s="2">
        <f>IFERROR(IF(MARÍTIMOS[[#This Row],[RUC]]="","",MARÍTIMOS[[#This Row],[RUC]]),"")</f>
        <v>20544424751</v>
      </c>
      <c r="J65" s="2" t="str">
        <f>IFERROR(IF(MARÍTIMOS[[#This Row],[Placa Tracto]]="","",MARÍTIMOS[[#This Row],[Placa Tracto]]),"")</f>
        <v>C5Z734</v>
      </c>
      <c r="K65" s="2" t="str">
        <f>IFERROR(IF(MARÍTIMOS[[#This Row],[Placa Carreta]]="","",MARÍTIMOS[[#This Row],[Placa Carreta]]),"")</f>
        <v>TJE975</v>
      </c>
      <c r="L65" s="46" t="str">
        <f>IFERROR(IF(MARÍTIMOS[[#This Row],[Conductor]]="","",MARÍTIMOS[[#This Row],[Conductor]]),"")</f>
        <v>LUIS CARLOS LAMAS RUIZ</v>
      </c>
      <c r="M65" s="2" t="str">
        <f>IFERROR(IF(MARÍTIMOS[[#This Row],[Licencia]]="","",MARÍTIMOS[[#This Row],[Licencia]]),"")</f>
        <v>B009531613</v>
      </c>
      <c r="N65" s="2">
        <f>IFERROR(IF(MARÍTIMOS[[#This Row],[Número de Contacto]]="","",MARÍTIMOS[[#This Row],[Número de Contacto]]),"")</f>
        <v>986078320</v>
      </c>
      <c r="O65" s="10" t="str">
        <f>IFERROR(IF(MARÍTIMOS[[#This Row],[Booking|AWB|CRT]]="","",MARÍTIMOS[[#This Row],[Booking|AWB|CRT]]),"")</f>
        <v>PER9173257A</v>
      </c>
      <c r="P65" s="2" t="str">
        <f>IFERROR(IF(MARÍTIMOS[[#This Row],[Contenedor]]="","",MARÍTIMOS[[#This Row],[Contenedor]]),"")</f>
        <v>SEGU9887071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46235.708333333336</v>
      </c>
      <c r="T65" s="11">
        <f>IFERROR(IF(MARÍTIMOS[[#This Row],[Etapa Retiro - Llegada]]="","",MARÍTIMOS[[#This Row],[Etapa Retiro - Llegada]]),"")</f>
        <v>46235.70416666667</v>
      </c>
      <c r="U65" s="11">
        <f>IFERROR(IF(MARÍTIMOS[[#This Row],[Etapa Retiro - Ingreso]]="","",MARÍTIMOS[[#This Row],[Etapa Retiro - Ingreso]]),"")</f>
        <v>46235.715277777781</v>
      </c>
      <c r="V65" s="11">
        <f>IFERROR(IF(MARÍTIMOS[[#This Row],[Etapa Retiro - Atención]]="","",MARÍTIMOS[[#This Row],[Etapa Retiro - Atención]]),"")</f>
        <v>46235.71875</v>
      </c>
      <c r="W65" s="11">
        <f>IFERROR(IF(MARÍTIMOS[[#This Row],[Etapa Retiro - Salida]]="","",MARÍTIMOS[[#This Row],[Etapa Retiro - Salida]]),"")</f>
        <v>46235.767361111109</v>
      </c>
      <c r="X65" s="11">
        <f>IFERROR(IF(MARÍTIMOS[[#This Row],[Etapa Retiro - Inicio de Ruta]]="","",MARÍTIMOS[[#This Row],[Etapa Retiro - Inicio de Ruta]]),"")</f>
        <v>46235.78402777778</v>
      </c>
      <c r="Y65" s="11">
        <f>IFERROR(IF(MARÍTIMOS[[#This Row],[Hora de Posicionamiento]]="","",MARÍTIMOS[[#This Row],[Hora de Carga]]+MARÍTIMOS[[#This Row],[Hora de Posicionamiento]]),"")</f>
        <v>0.66666666666666663</v>
      </c>
      <c r="Z65" s="11">
        <f>IFERROR(IF(MARÍTIMOS[[#This Row],[Etapa Despacho -  Llegada]]="","",MARÍTIMOS[[#This Row],[Etapa Despacho -  Llegada]]),"")</f>
        <v>46236.554166666669</v>
      </c>
      <c r="AA65" s="11">
        <f>IFERROR(IF(MARÍTIMOS[[#This Row],[Etapa Despacho -  Registro]]="","",MARÍTIMOS[[#This Row],[Etapa Despacho -  Registro]]),"")</f>
        <v>46236.620138888888</v>
      </c>
      <c r="AB65" s="11">
        <f>IFERROR(IF(MARÍTIMOS[[#This Row],[Inspección Externa]]="","",MARÍTIMOS[[#This Row],[Inspección Externa]]),"")</f>
        <v>46236.611111111109</v>
      </c>
      <c r="AC65" s="11">
        <f>IFERROR(IF(MARÍTIMOS[[#This Row],[Etapa Despacho -  Inicio de Carga]]="","",MARÍTIMOS[[#This Row],[Etapa Despacho -  Inicio de Carga]]),"")</f>
        <v>46236.763888888891</v>
      </c>
      <c r="AD65" s="11">
        <f>IFERROR(IF(MARÍTIMOS[[#This Row],[Etapa Despacho -  Fin de Carga]]="","",MARÍTIMOS[[#This Row],[Etapa Despacho -  Fin de Carga]]),"")</f>
        <v>46236.792361111111</v>
      </c>
      <c r="AE65" s="11">
        <f>IFERROR(IF(MARÍTIMOS[[#This Row],[Etapa Despacho -  Salida]]="","",MARÍTIMOS[[#This Row],[Etapa Despacho -  Salida]]),"")</f>
        <v>46236.914583333331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46237.791666666664</v>
      </c>
      <c r="AI65" s="11">
        <f>IFERROR(IF(MARÍTIMOS[[#This Row],[Etapa Ingreso - Llegada]]="","",MARÍTIMOS[[#This Row],[Etapa Ingreso - Llegada]]),"")</f>
        <v>46237.754861111112</v>
      </c>
      <c r="AJ65" s="11">
        <f>IFERROR(IF(MARÍTIMOS[[#This Row],[Etapa Ingreso - Ingeso]]="","",MARÍTIMOS[[#This Row],[Etapa Ingreso - Ingeso]]),"")</f>
        <v>46237.757638888892</v>
      </c>
      <c r="AK65" s="11">
        <f>IFERROR(IF(MARÍTIMOS[[#This Row],[Etapa Ingreso - Atención]]="","",MARÍTIMOS[[#This Row],[Etapa Ingreso - Atención]]),"")</f>
        <v>46237.765972222223</v>
      </c>
      <c r="AL65" s="11">
        <f>IFERROR(IF(MARÍTIMOS[[#This Row],[Etapa Ingreso - Salida]]="","",MARÍTIMOS[[#This Row],[Etapa Ingreso - Salida]]),"")</f>
        <v>46237.775000000001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5" s="5">
        <f>IFERROR(OLDBD[[#This Row],[Llegada a packing]]-OLDBD[[#This Row],[Inicio de Ruta]],"")</f>
        <v>0.77013888888905058</v>
      </c>
      <c r="AQ65" s="6">
        <f>IFERROR(OLDBD[[#This Row],[Inicio de Ruta]]-OLDBD[[#This Row],[Salida de almacén de retiro]],"")</f>
        <v>1.6666666670062114E-2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-9.0277777781011537E-3</v>
      </c>
      <c r="AV65" s="9">
        <f>IFERROR(OLDBD[[#This Row],[Ingreso Packing]]-OLDBD[[#This Row],[Llegada a packing]],"")</f>
        <v>5.694444444088731E-2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5" s="5">
        <f>IFERROR(OLDBD[[#This Row],[Llegada Almacén de Ingreso]]-OLDBD[[#This Row],[Salida Packing]],"")</f>
        <v>0.84027777778101154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5" t="s">
        <v>181</v>
      </c>
      <c r="BB65" s="53" t="str">
        <f>IFERROR(IF(MARÍTIMOS[[#This Row],[Estatus]]="","",MARÍTIMOS[[#This Row],[Estatus]]),"")</f>
        <v>Confirmado</v>
      </c>
      <c r="BC65" s="45"/>
      <c r="BD65" s="52">
        <f>IFERROR(OLDBD[[#This Row],[Salida de almacén de retiro]]-OLDBD[[#This Row],[Ingreso Almacén de retiro]],"")</f>
        <v>5.2083333328482695E-2</v>
      </c>
      <c r="BE65" s="52">
        <f>IFERROR(OLDBD[[#This Row],[Fin de Carga]]-OLDBD[[#This Row],[Inicio de Carga]],"")</f>
        <v>2.8472222220443655E-2</v>
      </c>
    </row>
    <row r="66" spans="1:57" x14ac:dyDescent="0.35">
      <c r="A66" s="1"/>
      <c r="B66" s="1">
        <f>IFERROR(IF(MARÍTIMOS[[#This Row],[PP]]="","",MARÍTIMOS[[#This Row],[PP]]),"")</f>
        <v>31</v>
      </c>
      <c r="C66" s="1" t="str">
        <f>IFERROR(IF(MARÍTIMOS[[#This Row],[Sede]]="","",MARÍTIMOS[[#This Row],[Sede]]),"")</f>
        <v>Chao</v>
      </c>
      <c r="D66" s="1" t="str">
        <f>IFERROR(IF(MARÍTIMOS[[#This Row],[Instruction]]="","",MARÍTIMOS[[#This Row],[Instruction]]),"")</f>
        <v>RH-0347</v>
      </c>
      <c r="E66" s="1"/>
      <c r="F66" s="2" t="str">
        <f>IFERROR(IF(MARÍTIMOS[[#This Row],[Transportista]]="","",MARÍTIMOS[[#This Row],[Transportista]]),"")</f>
        <v>Expert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 xml:space="preserve">EXPERT TRANSPORT SAC </v>
      </c>
      <c r="I66" s="2">
        <f>IFERROR(IF(MARÍTIMOS[[#This Row],[RUC]]="","",MARÍTIMOS[[#This Row],[RUC]]),"")</f>
        <v>20544424751</v>
      </c>
      <c r="J66" s="2" t="str">
        <f>IFERROR(IF(MARÍTIMOS[[#This Row],[Placa Tracto]]="","",MARÍTIMOS[[#This Row],[Placa Tracto]]),"")</f>
        <v>V4N706</v>
      </c>
      <c r="K66" s="2" t="str">
        <f>IFERROR(IF(MARÍTIMOS[[#This Row],[Placa Carreta]]="","",MARÍTIMOS[[#This Row],[Placa Carreta]]),"")</f>
        <v>TJD977</v>
      </c>
      <c r="L66" s="46" t="str">
        <f>IFERROR(IF(MARÍTIMOS[[#This Row],[Conductor]]="","",MARÍTIMOS[[#This Row],[Conductor]]),"")</f>
        <v>MARIO WILMER AVENDAÑO ACHA</v>
      </c>
      <c r="M66" s="2" t="str">
        <f>IFERROR(IF(MARÍTIMOS[[#This Row],[Licencia]]="","",MARÍTIMOS[[#This Row],[Licencia]]),"")</f>
        <v>B46445299</v>
      </c>
      <c r="N66" s="2">
        <f>IFERROR(IF(MARÍTIMOS[[#This Row],[Número de Contacto]]="","",MARÍTIMOS[[#This Row],[Número de Contacto]]),"")</f>
        <v>946500525</v>
      </c>
      <c r="O66" s="10" t="str">
        <f>IFERROR(IF(MARÍTIMOS[[#This Row],[Booking|AWB|CRT]]="","",MARÍTIMOS[[#This Row],[Booking|AWB|CRT]]),"")</f>
        <v>PER9166892A</v>
      </c>
      <c r="P66" s="2" t="str">
        <f>IFERROR(IF(MARÍTIMOS[[#This Row],[Contenedor]]="","",MARÍTIMOS[[#This Row],[Contenedor]]),"")</f>
        <v>GCXU8016876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DPW</v>
      </c>
      <c r="S66" s="11">
        <f>IFERROR(IF(MARÍTIMOS[[#This Row],[Etapa Retiro - Cita]]="","",MARÍTIMOS[[#This Row],[Etapa Retiro - Cita]]),"")</f>
        <v>46236.416666666664</v>
      </c>
      <c r="T66" s="11">
        <f>IFERROR(IF(MARÍTIMOS[[#This Row],[Etapa Retiro - Llegada]]="","",MARÍTIMOS[[#This Row],[Etapa Retiro - Llegada]]),"")</f>
        <v>46236.423611111109</v>
      </c>
      <c r="U66" s="11">
        <f>IFERROR(IF(MARÍTIMOS[[#This Row],[Etapa Retiro - Ingreso]]="","",MARÍTIMOS[[#This Row],[Etapa Retiro - Ingreso]]),"")</f>
        <v>46236.444444444445</v>
      </c>
      <c r="V66" s="11">
        <f>IFERROR(IF(MARÍTIMOS[[#This Row],[Etapa Retiro - Atención]]="","",MARÍTIMOS[[#This Row],[Etapa Retiro - Atención]]),"")</f>
        <v>46236.493055555555</v>
      </c>
      <c r="W66" s="11">
        <f>IFERROR(IF(MARÍTIMOS[[#This Row],[Etapa Retiro - Salida]]="","",MARÍTIMOS[[#This Row],[Etapa Retiro - Salida]]),"")</f>
        <v>46236.500694444447</v>
      </c>
      <c r="X66" s="11">
        <f>IFERROR(IF(MARÍTIMOS[[#This Row],[Etapa Retiro - Inicio de Ruta]]="","",MARÍTIMOS[[#This Row],[Etapa Retiro - Inicio de Ruta]]),"")</f>
        <v>46236.576388888891</v>
      </c>
      <c r="Y66" s="11">
        <f>IFERROR(IF(MARÍTIMOS[[#This Row],[Hora de Posicionamiento]]="","",MARÍTIMOS[[#This Row],[Hora de Carga]]+MARÍTIMOS[[#This Row],[Hora de Posicionamiento]]),"")</f>
        <v>0.58333333333333337</v>
      </c>
      <c r="Z66" s="11">
        <f>IFERROR(IF(MARÍTIMOS[[#This Row],[Etapa Despacho -  Llegada]]="","",MARÍTIMOS[[#This Row],[Etapa Despacho -  Llegada]]),"")</f>
        <v>46237.461805555555</v>
      </c>
      <c r="AA66" s="11">
        <f>IFERROR(IF(MARÍTIMOS[[#This Row],[Etapa Despacho -  Registro]]="","",MARÍTIMOS[[#This Row],[Etapa Despacho -  Registro]]),"")</f>
        <v>46237.487500000003</v>
      </c>
      <c r="AB66" s="11">
        <f>IFERROR(IF(MARÍTIMOS[[#This Row],[Inspección Externa]]="","",MARÍTIMOS[[#This Row],[Inspección Externa]]),"")</f>
        <v>46237.565972222219</v>
      </c>
      <c r="AC66" s="11">
        <f>IFERROR(IF(MARÍTIMOS[[#This Row],[Etapa Despacho -  Inicio de Carga]]="","",MARÍTIMOS[[#This Row],[Etapa Despacho -  Inicio de Carga]]),"")</f>
        <v>46237.724305555559</v>
      </c>
      <c r="AD66" s="11">
        <f>IFERROR(IF(MARÍTIMOS[[#This Row],[Etapa Despacho -  Fin de Carga]]="","",MARÍTIMOS[[#This Row],[Etapa Despacho -  Fin de Carga]]),"")</f>
        <v>46237.752083333333</v>
      </c>
      <c r="AE66" s="11">
        <f>IFERROR(IF(MARÍTIMOS[[#This Row],[Etapa Despacho -  Salida]]="","",MARÍTIMOS[[#This Row],[Etapa Despacho -  Salida]]),"")</f>
        <v>46237.779861111114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46238.583333333336</v>
      </c>
      <c r="AI66" s="11">
        <f>IFERROR(IF(MARÍTIMOS[[#This Row],[Etapa Ingreso - Llegada]]="","",MARÍTIMOS[[#This Row],[Etapa Ingreso - Llegada]]),"")</f>
        <v>46238.550694444442</v>
      </c>
      <c r="AJ66" s="11">
        <f>IFERROR(IF(MARÍTIMOS[[#This Row],[Etapa Ingreso - Ingeso]]="","",MARÍTIMOS[[#This Row],[Etapa Ingreso - Ingeso]]),"")</f>
        <v>46238.560416666667</v>
      </c>
      <c r="AK66" s="11">
        <f>IFERROR(IF(MARÍTIMOS[[#This Row],[Etapa Ingreso - Atención]]="","",MARÍTIMOS[[#This Row],[Etapa Ingreso - Atención]]),"")</f>
        <v>46238.570138888892</v>
      </c>
      <c r="AL66" s="11">
        <f>IFERROR(IF(MARÍTIMOS[[#This Row],[Etapa Ingreso - Salida]]="","",MARÍTIMOS[[#This Row],[Etapa Ingreso - Salida]]),"")</f>
        <v>46238.572222222225</v>
      </c>
      <c r="AM66" s="2">
        <f>IFERROR(IF(MARÍTIMOS[[#This Row],[FCL]]="","",MARÍTIMOS[[#This Row],[FCL]]),"")</f>
        <v>0.5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6" s="5">
        <f>IFERROR(OLDBD[[#This Row],[Llegada a packing]]-OLDBD[[#This Row],[Inicio de Ruta]],"")</f>
        <v>0.88541666666424135</v>
      </c>
      <c r="AQ66" s="6">
        <f>IFERROR(OLDBD[[#This Row],[Inicio de Ruta]]-OLDBD[[#This Row],[Salida de almacén de retiro]],"")</f>
        <v>7.5694444443797693E-2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7.847222221607808E-2</v>
      </c>
      <c r="AV66" s="9">
        <f>IFERROR(OLDBD[[#This Row],[Ingreso Packing]]-OLDBD[[#This Row],[Llegada a packing]],"")</f>
        <v>0.10416666666424135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6" s="5">
        <f>IFERROR(OLDBD[[#This Row],[Llegada Almacén de Ingreso]]-OLDBD[[#This Row],[Salida Packing]],"")</f>
        <v>0.77083333332848269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5" t="s">
        <v>181</v>
      </c>
      <c r="BB66" s="53" t="str">
        <f>IFERROR(IF(MARÍTIMOS[[#This Row],[Estatus]]="","",MARÍTIMOS[[#This Row],[Estatus]]),"")</f>
        <v>Confirmado</v>
      </c>
      <c r="BC66" s="45"/>
      <c r="BD66" s="52">
        <f>IFERROR(OLDBD[[#This Row],[Salida de almacén de retiro]]-OLDBD[[#This Row],[Ingreso Almacén de retiro]],"")</f>
        <v>5.6250000001455192E-2</v>
      </c>
      <c r="BE66" s="52">
        <f>IFERROR(OLDBD[[#This Row],[Fin de Carga]]-OLDBD[[#This Row],[Inicio de Carga]],"")</f>
        <v>2.7777777773735579E-2</v>
      </c>
    </row>
    <row r="67" spans="1:57" x14ac:dyDescent="0.35">
      <c r="A67" s="1"/>
      <c r="B67" s="1">
        <f>IFERROR(IF(MARÍTIMOS[[#This Row],[PP]]="","",MARÍTIMOS[[#This Row],[PP]]),"")</f>
        <v>31</v>
      </c>
      <c r="C67" s="1" t="str">
        <f>IFERROR(IF(MARÍTIMOS[[#This Row],[Sede]]="","",MARÍTIMOS[[#This Row],[Sede]]),"")</f>
        <v>Chao</v>
      </c>
      <c r="D67" s="1" t="str">
        <f>IFERROR(IF(MARÍTIMOS[[#This Row],[Instruction]]="","",MARÍTIMOS[[#This Row],[Instruction]]),"")</f>
        <v>RH-0347</v>
      </c>
      <c r="E67" s="1"/>
      <c r="F67" s="2" t="str">
        <f>IFERROR(IF(MARÍTIMOS[[#This Row],[Transportista]]="","",MARÍTIMOS[[#This Row],[Transportista]]),"")</f>
        <v>Expert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 xml:space="preserve">EXPERT TRANSPORT SAC </v>
      </c>
      <c r="I67" s="2">
        <f>IFERROR(IF(MARÍTIMOS[[#This Row],[RUC]]="","",MARÍTIMOS[[#This Row],[RUC]]),"")</f>
        <v>20544424751</v>
      </c>
      <c r="J67" s="2" t="str">
        <f>IFERROR(IF(MARÍTIMOS[[#This Row],[Placa Tracto]]="","",MARÍTIMOS[[#This Row],[Placa Tracto]]),"")</f>
        <v>V4N706</v>
      </c>
      <c r="K67" s="2" t="str">
        <f>IFERROR(IF(MARÍTIMOS[[#This Row],[Placa Carreta]]="","",MARÍTIMOS[[#This Row],[Placa Carreta]]),"")</f>
        <v>TJD977</v>
      </c>
      <c r="L67" s="46" t="str">
        <f>IFERROR(IF(MARÍTIMOS[[#This Row],[Conductor]]="","",MARÍTIMOS[[#This Row],[Conductor]]),"")</f>
        <v>MARIO WILMER AVENDAÑO ACHA</v>
      </c>
      <c r="M67" s="2" t="str">
        <f>IFERROR(IF(MARÍTIMOS[[#This Row],[Licencia]]="","",MARÍTIMOS[[#This Row],[Licencia]]),"")</f>
        <v>B46445299</v>
      </c>
      <c r="N67" s="2">
        <f>IFERROR(IF(MARÍTIMOS[[#This Row],[Número de Contacto]]="","",MARÍTIMOS[[#This Row],[Número de Contacto]]),"")</f>
        <v>946500525</v>
      </c>
      <c r="O67" s="10" t="str">
        <f>IFERROR(IF(MARÍTIMOS[[#This Row],[Booking|AWB|CRT]]="","",MARÍTIMOS[[#This Row],[Booking|AWB|CRT]]),"")</f>
        <v>PER9166892A</v>
      </c>
      <c r="P67" s="2" t="str">
        <f>IFERROR(IF(MARÍTIMOS[[#This Row],[Contenedor]]="","",MARÍTIMOS[[#This Row],[Contenedor]]),"")</f>
        <v>GCXU8016876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DPW</v>
      </c>
      <c r="S67" s="11">
        <f>IFERROR(IF(MARÍTIMOS[[#This Row],[Etapa Retiro - Cita]]="","",MARÍTIMOS[[#This Row],[Etapa Retiro - Cita]]),"")</f>
        <v>46236.416666666664</v>
      </c>
      <c r="T67" s="11">
        <f>IFERROR(IF(MARÍTIMOS[[#This Row],[Etapa Retiro - Llegada]]="","",MARÍTIMOS[[#This Row],[Etapa Retiro - Llegada]]),"")</f>
        <v>46236.423611111109</v>
      </c>
      <c r="U67" s="11">
        <f>IFERROR(IF(MARÍTIMOS[[#This Row],[Etapa Retiro - Ingreso]]="","",MARÍTIMOS[[#This Row],[Etapa Retiro - Ingreso]]),"")</f>
        <v>46236.444444444445</v>
      </c>
      <c r="V67" s="11">
        <f>IFERROR(IF(MARÍTIMOS[[#This Row],[Etapa Retiro - Atención]]="","",MARÍTIMOS[[#This Row],[Etapa Retiro - Atención]]),"")</f>
        <v>46236.493055555555</v>
      </c>
      <c r="W67" s="11">
        <f>IFERROR(IF(MARÍTIMOS[[#This Row],[Etapa Retiro - Salida]]="","",MARÍTIMOS[[#This Row],[Etapa Retiro - Salida]]),"")</f>
        <v>46236.500694444447</v>
      </c>
      <c r="X67" s="11">
        <f>IFERROR(IF(MARÍTIMOS[[#This Row],[Etapa Retiro - Inicio de Ruta]]="","",MARÍTIMOS[[#This Row],[Etapa Retiro - Inicio de Ruta]]),"")</f>
        <v>46236.576388888891</v>
      </c>
      <c r="Y67" s="11">
        <f>IFERROR(IF(MARÍTIMOS[[#This Row],[Hora de Posicionamiento]]="","",MARÍTIMOS[[#This Row],[Hora de Carga]]+MARÍTIMOS[[#This Row],[Hora de Posicionamiento]]),"")</f>
        <v>0.58333333333333337</v>
      </c>
      <c r="Z67" s="11">
        <f>IFERROR(IF(MARÍTIMOS[[#This Row],[Etapa Despacho -  Llegada]]="","",MARÍTIMOS[[#This Row],[Etapa Despacho -  Llegada]]),"")</f>
        <v>46237.461805555555</v>
      </c>
      <c r="AA67" s="11">
        <f>IFERROR(IF(MARÍTIMOS[[#This Row],[Etapa Despacho -  Registro]]="","",MARÍTIMOS[[#This Row],[Etapa Despacho -  Registro]]),"")</f>
        <v>46237.487500000003</v>
      </c>
      <c r="AB67" s="11">
        <f>IFERROR(IF(MARÍTIMOS[[#This Row],[Inspección Externa]]="","",MARÍTIMOS[[#This Row],[Inspección Externa]]),"")</f>
        <v>46237.565972222219</v>
      </c>
      <c r="AC67" s="11">
        <f>IFERROR(IF(MARÍTIMOS[[#This Row],[Etapa Despacho -  Inicio de Carga]]="","",MARÍTIMOS[[#This Row],[Etapa Despacho -  Inicio de Carga]]),"")</f>
        <v>46237.724305555559</v>
      </c>
      <c r="AD67" s="11">
        <f>IFERROR(IF(MARÍTIMOS[[#This Row],[Etapa Despacho -  Fin de Carga]]="","",MARÍTIMOS[[#This Row],[Etapa Despacho -  Fin de Carga]]),"")</f>
        <v>46237.752083333333</v>
      </c>
      <c r="AE67" s="11">
        <f>IFERROR(IF(MARÍTIMOS[[#This Row],[Etapa Despacho -  Salida]]="","",MARÍTIMOS[[#This Row],[Etapa Despacho -  Salida]]),"")</f>
        <v>46237.779861111114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46238.583333333336</v>
      </c>
      <c r="AI67" s="11">
        <f>IFERROR(IF(MARÍTIMOS[[#This Row],[Etapa Ingreso - Llegada]]="","",MARÍTIMOS[[#This Row],[Etapa Ingreso - Llegada]]),"")</f>
        <v>46238.550694444442</v>
      </c>
      <c r="AJ67" s="11">
        <f>IFERROR(IF(MARÍTIMOS[[#This Row],[Etapa Ingreso - Ingeso]]="","",MARÍTIMOS[[#This Row],[Etapa Ingreso - Ingeso]]),"")</f>
        <v>46238.560416666667</v>
      </c>
      <c r="AK67" s="11">
        <f>IFERROR(IF(MARÍTIMOS[[#This Row],[Etapa Ingreso - Atención]]="","",MARÍTIMOS[[#This Row],[Etapa Ingreso - Atención]]),"")</f>
        <v>46238.570138888892</v>
      </c>
      <c r="AL67" s="11">
        <f>IFERROR(IF(MARÍTIMOS[[#This Row],[Etapa Ingreso - Salida]]="","",MARÍTIMOS[[#This Row],[Etapa Ingreso - Salida]]),"")</f>
        <v>46238.572222222225</v>
      </c>
      <c r="AM67" s="2">
        <f>IFERROR(IF(MARÍTIMOS[[#This Row],[FCL]]="","",MARÍTIMOS[[#This Row],[FCL]]),"")</f>
        <v>0.5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7" s="5">
        <f>IFERROR(OLDBD[[#This Row],[Llegada a packing]]-OLDBD[[#This Row],[Inicio de Ruta]],"")</f>
        <v>0.88541666666424135</v>
      </c>
      <c r="AQ67" s="6">
        <f>IFERROR(OLDBD[[#This Row],[Inicio de Ruta]]-OLDBD[[#This Row],[Salida de almacén de retiro]],"")</f>
        <v>7.5694444443797693E-2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7.847222221607808E-2</v>
      </c>
      <c r="AV67" s="9">
        <f>IFERROR(OLDBD[[#This Row],[Ingreso Packing]]-OLDBD[[#This Row],[Llegada a packing]],"")</f>
        <v>0.10416666666424135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7" s="5">
        <f>IFERROR(OLDBD[[#This Row],[Llegada Almacén de Ingreso]]-OLDBD[[#This Row],[Salida Packing]],"")</f>
        <v>0.77083333332848269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5" t="s">
        <v>181</v>
      </c>
      <c r="BB67" s="53" t="str">
        <f>IFERROR(IF(MARÍTIMOS[[#This Row],[Estatus]]="","",MARÍTIMOS[[#This Row],[Estatus]]),"")</f>
        <v>Confirmado</v>
      </c>
      <c r="BC67" s="45"/>
      <c r="BD67" s="52">
        <f>IFERROR(OLDBD[[#This Row],[Salida de almacén de retiro]]-OLDBD[[#This Row],[Ingreso Almacén de retiro]],"")</f>
        <v>5.6250000001455192E-2</v>
      </c>
      <c r="BE67" s="52">
        <f>IFERROR(OLDBD[[#This Row],[Fin de Carga]]-OLDBD[[#This Row],[Inicio de Carga]],"")</f>
        <v>2.7777777773735579E-2</v>
      </c>
    </row>
    <row r="68" spans="1:57" x14ac:dyDescent="0.35">
      <c r="A68" s="1"/>
      <c r="B68" s="1">
        <f>IFERROR(IF(MARÍTIMOS[[#This Row],[PP]]="","",MARÍTIMOS[[#This Row],[PP]]),"")</f>
        <v>31</v>
      </c>
      <c r="C68" s="1" t="str">
        <f>IFERROR(IF(MARÍTIMOS[[#This Row],[Sede]]="","",MARÍTIMOS[[#This Row],[Sede]]),"")</f>
        <v>Chao</v>
      </c>
      <c r="D68" s="1" t="str">
        <f>IFERROR(IF(MARÍTIMOS[[#This Row],[Instruction]]="","",MARÍTIMOS[[#This Row],[Instruction]]),"")</f>
        <v>RH-0348</v>
      </c>
      <c r="E68" s="1"/>
      <c r="F68" s="2" t="str">
        <f>IFERROR(IF(MARÍTIMOS[[#This Row],[Transportista]]="","",MARÍTIMOS[[#This Row],[Transportista]]),"")</f>
        <v>Expert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 xml:space="preserve">EXPERT TRANSPORT SAC </v>
      </c>
      <c r="I68" s="2">
        <f>IFERROR(IF(MARÍTIMOS[[#This Row],[RUC]]="","",MARÍTIMOS[[#This Row],[RUC]]),"")</f>
        <v>20544424751</v>
      </c>
      <c r="J68" s="2" t="str">
        <f>IFERROR(IF(MARÍTIMOS[[#This Row],[Placa Tracto]]="","",MARÍTIMOS[[#This Row],[Placa Tracto]]),"")</f>
        <v>V2N749</v>
      </c>
      <c r="K68" s="2" t="str">
        <f>IFERROR(IF(MARÍTIMOS[[#This Row],[Placa Carreta]]="","",MARÍTIMOS[[#This Row],[Placa Carreta]]),"")</f>
        <v>TNQ999</v>
      </c>
      <c r="L68" s="46" t="str">
        <f>IFERROR(IF(MARÍTIMOS[[#This Row],[Conductor]]="","",MARÍTIMOS[[#This Row],[Conductor]]),"")</f>
        <v>JUAN MIGUAL LAGOS VICHEZ</v>
      </c>
      <c r="M68" s="2" t="str">
        <f>IFERROR(IF(MARÍTIMOS[[#This Row],[Licencia]]="","",MARÍTIMOS[[#This Row],[Licencia]]),"")</f>
        <v>B05642160</v>
      </c>
      <c r="N68" s="2">
        <f>IFERROR(IF(MARÍTIMOS[[#This Row],[Número de Contacto]]="","",MARÍTIMOS[[#This Row],[Número de Contacto]]),"")</f>
        <v>952268872</v>
      </c>
      <c r="O68" s="10" t="str">
        <f>IFERROR(IF(MARÍTIMOS[[#This Row],[Booking|AWB|CRT]]="","",MARÍTIMOS[[#This Row],[Booking|AWB|CRT]]),"")</f>
        <v>PER9166893A</v>
      </c>
      <c r="P68" s="2" t="str">
        <f>IFERROR(IF(MARÍTIMOS[[#This Row],[Contenedor]]="","",MARÍTIMOS[[#This Row],[Contenedor]]),"")</f>
        <v>SEKU9119735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46236.5</v>
      </c>
      <c r="T68" s="11">
        <f>IFERROR(IF(MARÍTIMOS[[#This Row],[Etapa Retiro - Llegada]]="","",MARÍTIMOS[[#This Row],[Etapa Retiro - Llegada]]),"")</f>
        <v>46236.444444444445</v>
      </c>
      <c r="U68" s="11">
        <f>IFERROR(IF(MARÍTIMOS[[#This Row],[Etapa Retiro - Ingreso]]="","",MARÍTIMOS[[#This Row],[Etapa Retiro - Ingreso]]),"")</f>
        <v>46236.513888888891</v>
      </c>
      <c r="V68" s="11">
        <f>IFERROR(IF(MARÍTIMOS[[#This Row],[Etapa Retiro - Atención]]="","",MARÍTIMOS[[#This Row],[Etapa Retiro - Atención]]),"")</f>
        <v>46236.518055555556</v>
      </c>
      <c r="W68" s="11">
        <f>IFERROR(IF(MARÍTIMOS[[#This Row],[Etapa Retiro - Salida]]="","",MARÍTIMOS[[#This Row],[Etapa Retiro - Salida]]),"")</f>
        <v>46236.601388888892</v>
      </c>
      <c r="X68" s="11">
        <f>IFERROR(IF(MARÍTIMOS[[#This Row],[Etapa Retiro - Inicio de Ruta]]="","",MARÍTIMOS[[#This Row],[Etapa Retiro - Inicio de Ruta]]),"")</f>
        <v>46236.604861111111</v>
      </c>
      <c r="Y68" s="11">
        <f>IFERROR(IF(MARÍTIMOS[[#This Row],[Hora de Posicionamiento]]="","",MARÍTIMOS[[#This Row],[Hora de Carga]]+MARÍTIMOS[[#This Row],[Hora de Posicionamiento]]),"")</f>
        <v>0.58333333333333337</v>
      </c>
      <c r="Z68" s="11">
        <f>IFERROR(IF(MARÍTIMOS[[#This Row],[Etapa Despacho -  Llegada]]="","",MARÍTIMOS[[#This Row],[Etapa Despacho -  Llegada]]),"")</f>
        <v>46237.498611111114</v>
      </c>
      <c r="AA68" s="11">
        <f>IFERROR(IF(MARÍTIMOS[[#This Row],[Etapa Despacho -  Registro]]="","",MARÍTIMOS[[#This Row],[Etapa Despacho -  Registro]]),"")</f>
        <v>46237.52847222222</v>
      </c>
      <c r="AB68" s="11">
        <f>IFERROR(IF(MARÍTIMOS[[#This Row],[Inspección Externa]]="","",MARÍTIMOS[[#This Row],[Inspección Externa]]),"")</f>
        <v>46237.567361111112</v>
      </c>
      <c r="AC68" s="11">
        <f>IFERROR(IF(MARÍTIMOS[[#This Row],[Etapa Despacho -  Inicio de Carga]]="","",MARÍTIMOS[[#This Row],[Etapa Despacho -  Inicio de Carga]]),"")</f>
        <v>46237.731249999997</v>
      </c>
      <c r="AD68" s="11">
        <f>IFERROR(IF(MARÍTIMOS[[#This Row],[Etapa Despacho -  Fin de Carga]]="","",MARÍTIMOS[[#This Row],[Etapa Despacho -  Fin de Carga]]),"")</f>
        <v>46237.793749999997</v>
      </c>
      <c r="AE68" s="11">
        <f>IFERROR(IF(MARÍTIMOS[[#This Row],[Etapa Despacho -  Salida]]="","",MARÍTIMOS[[#This Row],[Etapa Despacho -  Salida]]),"")</f>
        <v>46237.813888888886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46238.625</v>
      </c>
      <c r="AI68" s="11">
        <f>IFERROR(IF(MARÍTIMOS[[#This Row],[Etapa Ingreso - Llegada]]="","",MARÍTIMOS[[#This Row],[Etapa Ingreso - Llegada]]),"")</f>
        <v>46238.555555555555</v>
      </c>
      <c r="AJ68" s="11">
        <f>IFERROR(IF(MARÍTIMOS[[#This Row],[Etapa Ingreso - Ingeso]]="","",MARÍTIMOS[[#This Row],[Etapa Ingreso - Ingeso]]),"")</f>
        <v>46238.563194444447</v>
      </c>
      <c r="AK68" s="11">
        <f>IFERROR(IF(MARÍTIMOS[[#This Row],[Etapa Ingreso - Atención]]="","",MARÍTIMOS[[#This Row],[Etapa Ingreso - Atención]]),"")</f>
        <v>46238.572222222225</v>
      </c>
      <c r="AL68" s="11">
        <f>IFERROR(IF(MARÍTIMOS[[#This Row],[Etapa Ingreso - Salida]]="","",MARÍTIMOS[[#This Row],[Etapa Ingreso - Salida]]),"")</f>
        <v>46238.575694444444</v>
      </c>
      <c r="AM68" s="2">
        <f>IFERROR(IF(MARÍTIMOS[[#This Row],[FCL]]="","",MARÍTIMOS[[#This Row],[FCL]]),"")</f>
        <v>1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68" s="5">
        <f>IFERROR(OLDBD[[#This Row],[Llegada a packing]]-OLDBD[[#This Row],[Inicio de Ruta]],"")</f>
        <v>0.89375000000291038</v>
      </c>
      <c r="AQ68" s="6">
        <f>IFERROR(OLDBD[[#This Row],[Inicio de Ruta]]-OLDBD[[#This Row],[Salida de almacén de retiro]],"")</f>
        <v>3.4722222189884633E-3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8" s="9">
        <f>IFERROR(OLDBD[[#This Row],[Ingreso Packing]]-OLDBD[[#This Row],[Registro en Packing]],"")</f>
        <v>3.888888889196096E-2</v>
      </c>
      <c r="AV68" s="9">
        <f>IFERROR(OLDBD[[#This Row],[Ingreso Packing]]-OLDBD[[#This Row],[Llegada a packing]],"")</f>
        <v>6.8749999998544808E-2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8" s="5">
        <f>IFERROR(OLDBD[[#This Row],[Llegada Almacén de Ingreso]]-OLDBD[[#This Row],[Salida Packing]],"")</f>
        <v>0.74166666666860692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5" t="s">
        <v>181</v>
      </c>
      <c r="BB68" s="53" t="str">
        <f>IFERROR(IF(MARÍTIMOS[[#This Row],[Estatus]]="","",MARÍTIMOS[[#This Row],[Estatus]]),"")</f>
        <v>Confirmado</v>
      </c>
      <c r="BC68" s="45"/>
      <c r="BD68" s="52">
        <f>IFERROR(OLDBD[[#This Row],[Salida de almacén de retiro]]-OLDBD[[#This Row],[Ingreso Almacén de retiro]],"")</f>
        <v>8.7500000001455192E-2</v>
      </c>
      <c r="BE68" s="52">
        <f>IFERROR(OLDBD[[#This Row],[Fin de Carga]]-OLDBD[[#This Row],[Inicio de Carga]],"")</f>
        <v>6.25E-2</v>
      </c>
    </row>
    <row r="69" spans="1:57" x14ac:dyDescent="0.35">
      <c r="A69" s="1"/>
      <c r="B69" s="1">
        <f>IFERROR(IF(MARÍTIMOS[[#This Row],[PP]]="","",MARÍTIMOS[[#This Row],[PP]]),"")</f>
        <v>31</v>
      </c>
      <c r="C69" s="1" t="str">
        <f>IFERROR(IF(MARÍTIMOS[[#This Row],[Sede]]="","",MARÍTIMOS[[#This Row],[Sede]]),"")</f>
        <v>Chao</v>
      </c>
      <c r="D69" s="1" t="str">
        <f>IFERROR(IF(MARÍTIMOS[[#This Row],[Instruction]]="","",MARÍTIMOS[[#This Row],[Instruction]]),"")</f>
        <v>RH-0349</v>
      </c>
      <c r="E69" s="1"/>
      <c r="F69" s="2" t="str">
        <f>IFERROR(IF(MARÍTIMOS[[#This Row],[Transportista]]="","",MARÍTIMOS[[#This Row],[Transportista]]),"")</f>
        <v>Expert Transport</v>
      </c>
      <c r="G69" s="2" t="str">
        <f>IFERROR(IF(MARÍTIMOS[[#This Row],[Tercero]]="","",MARÍTIMOS[[#This Row],[Tercero]]),"")</f>
        <v>SI</v>
      </c>
      <c r="H69" s="2" t="str">
        <f>IFERROR(IF(MARÍTIMOS[[#This Row],[Razón Social]]="","",MARÍTIMOS[[#This Row],[Razón Social]]),"")</f>
        <v xml:space="preserve">VIRGEN DE LA PUERTA S.R.L.	</v>
      </c>
      <c r="I69" s="2">
        <f>IFERROR(IF(MARÍTIMOS[[#This Row],[RUC]]="","",MARÍTIMOS[[#This Row],[RUC]]),"")</f>
        <v>20481610495</v>
      </c>
      <c r="J69" s="2" t="str">
        <f>IFERROR(IF(MARÍTIMOS[[#This Row],[Placa Tracto]]="","",MARÍTIMOS[[#This Row],[Placa Tracto]]),"")</f>
        <v>BPX827</v>
      </c>
      <c r="K69" s="2" t="str">
        <f>IFERROR(IF(MARÍTIMOS[[#This Row],[Placa Carreta]]="","",MARÍTIMOS[[#This Row],[Placa Carreta]]),"")</f>
        <v>TFS985</v>
      </c>
      <c r="L69" s="46" t="str">
        <f>IFERROR(IF(MARÍTIMOS[[#This Row],[Conductor]]="","",MARÍTIMOS[[#This Row],[Conductor]]),"")</f>
        <v>GILBERTO VIVAS LALUPU</v>
      </c>
      <c r="M69" s="2" t="str">
        <f>IFERROR(IF(MARÍTIMOS[[#This Row],[Licencia]]="","",MARÍTIMOS[[#This Row],[Licencia]]),"")</f>
        <v>B03507369</v>
      </c>
      <c r="N69" s="2">
        <f>IFERROR(IF(MARÍTIMOS[[#This Row],[Número de Contacto]]="","",MARÍTIMOS[[#This Row],[Número de Contacto]]),"")</f>
        <v>970458084</v>
      </c>
      <c r="O69" s="10" t="str">
        <f>IFERROR(IF(MARÍTIMOS[[#This Row],[Booking|AWB|CRT]]="","",MARÍTIMOS[[#This Row],[Booking|AWB|CRT]]),"")</f>
        <v>PER9166894A</v>
      </c>
      <c r="P69" s="2" t="str">
        <f>IFERROR(IF(MARÍTIMOS[[#This Row],[Contenedor]]="","",MARÍTIMOS[[#This Row],[Contenedor]]),"")</f>
        <v>CAAU4166909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46236.416666666664</v>
      </c>
      <c r="T69" s="11">
        <f>IFERROR(IF(MARÍTIMOS[[#This Row],[Etapa Retiro - Llegada]]="","",MARÍTIMOS[[#This Row],[Etapa Retiro - Llegada]]),"")</f>
        <v>46236.418055555558</v>
      </c>
      <c r="U69" s="11">
        <f>IFERROR(IF(MARÍTIMOS[[#This Row],[Etapa Retiro - Ingreso]]="","",MARÍTIMOS[[#This Row],[Etapa Retiro - Ingreso]]),"")</f>
        <v>46236.513888888891</v>
      </c>
      <c r="V69" s="11">
        <f>IFERROR(IF(MARÍTIMOS[[#This Row],[Etapa Retiro - Atención]]="","",MARÍTIMOS[[#This Row],[Etapa Retiro - Atención]]),"")</f>
        <v>46236.5625</v>
      </c>
      <c r="W69" s="11">
        <f>IFERROR(IF(MARÍTIMOS[[#This Row],[Etapa Retiro - Salida]]="","",MARÍTIMOS[[#This Row],[Etapa Retiro - Salida]]),"")</f>
        <v>46236.490277777775</v>
      </c>
      <c r="X69" s="11">
        <f>IFERROR(IF(MARÍTIMOS[[#This Row],[Etapa Retiro - Inicio de Ruta]]="","",MARÍTIMOS[[#This Row],[Etapa Retiro - Inicio de Ruta]]),"")</f>
        <v>46236.806944444441</v>
      </c>
      <c r="Y69" s="11">
        <f>IFERROR(IF(MARÍTIMOS[[#This Row],[Hora de Posicionamiento]]="","",MARÍTIMOS[[#This Row],[Hora de Carga]]+MARÍTIMOS[[#This Row],[Hora de Posicionamiento]]),"")</f>
        <v>0.58333333333333337</v>
      </c>
      <c r="Z69" s="11">
        <f>IFERROR(IF(MARÍTIMOS[[#This Row],[Etapa Despacho -  Llegada]]="","",MARÍTIMOS[[#This Row],[Etapa Despacho -  Llegada]]),"")</f>
        <v>46237.493055555555</v>
      </c>
      <c r="AA69" s="11">
        <f>IFERROR(IF(MARÍTIMOS[[#This Row],[Etapa Despacho -  Registro]]="","",MARÍTIMOS[[#This Row],[Etapa Despacho -  Registro]]),"")</f>
        <v>46237.572916666664</v>
      </c>
      <c r="AB69" s="11">
        <f>IFERROR(IF(MARÍTIMOS[[#This Row],[Inspección Externa]]="","",MARÍTIMOS[[#This Row],[Inspección Externa]]),"")</f>
        <v>46237.568749999999</v>
      </c>
      <c r="AC69" s="11">
        <f>IFERROR(IF(MARÍTIMOS[[#This Row],[Etapa Despacho -  Inicio de Carga]]="","",MARÍTIMOS[[#This Row],[Etapa Despacho -  Inicio de Carga]]),"")</f>
        <v>46237.584722222222</v>
      </c>
      <c r="AD69" s="11">
        <f>IFERROR(IF(MARÍTIMOS[[#This Row],[Etapa Despacho -  Fin de Carga]]="","",MARÍTIMOS[[#This Row],[Etapa Despacho -  Fin de Carga]]),"")</f>
        <v>46237.652083333334</v>
      </c>
      <c r="AE69" s="11">
        <f>IFERROR(IF(MARÍTIMOS[[#This Row],[Etapa Despacho -  Salida]]="","",MARÍTIMOS[[#This Row],[Etapa Despacho -  Salida]]),"")</f>
        <v>46237.821527777778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46238.458333333336</v>
      </c>
      <c r="AI69" s="11">
        <f>IFERROR(IF(MARÍTIMOS[[#This Row],[Etapa Ingreso - Llegada]]="","",MARÍTIMOS[[#This Row],[Etapa Ingreso - Llegada]]),"")</f>
        <v>46238.474999999999</v>
      </c>
      <c r="AJ69" s="11">
        <f>IFERROR(IF(MARÍTIMOS[[#This Row],[Etapa Ingreso - Ingeso]]="","",MARÍTIMOS[[#This Row],[Etapa Ingreso - Ingeso]]),"")</f>
        <v>46238.479861111111</v>
      </c>
      <c r="AK69" s="11">
        <f>IFERROR(IF(MARÍTIMOS[[#This Row],[Etapa Ingreso - Atención]]="","",MARÍTIMOS[[#This Row],[Etapa Ingreso - Atención]]),"")</f>
        <v>46238.484027777777</v>
      </c>
      <c r="AL69" s="11">
        <f>IFERROR(IF(MARÍTIMOS[[#This Row],[Etapa Ingreso - Salida]]="","",MARÍTIMOS[[#This Row],[Etapa Ingreso - Salida]]),"")</f>
        <v>46238.492361111108</v>
      </c>
      <c r="AM69" s="2">
        <f>IFERROR(IF(MARÍTIMOS[[#This Row],[FCL]]="","",MARÍTIMOS[[#This Row],[FCL]]),"")</f>
        <v>1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9" s="5">
        <f>IFERROR(OLDBD[[#This Row],[Llegada a packing]]-OLDBD[[#This Row],[Inicio de Ruta]],"")</f>
        <v>0.68611111111385981</v>
      </c>
      <c r="AQ69" s="6">
        <f>IFERROR(OLDBD[[#This Row],[Inicio de Ruta]]-OLDBD[[#This Row],[Salida de almacén de retiro]],"")</f>
        <v>0.31666666666569654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9" s="9">
        <f>IFERROR(OLDBD[[#This Row],[Ingreso Packing]]-OLDBD[[#This Row],[Registro en Packing]],"")</f>
        <v>-4.166666665696539E-3</v>
      </c>
      <c r="AV69" s="9">
        <f>IFERROR(OLDBD[[#This Row],[Ingreso Packing]]-OLDBD[[#This Row],[Llegada a packing]],"")</f>
        <v>7.5694444443797693E-2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9" s="5">
        <f>IFERROR(OLDBD[[#This Row],[Llegada Almacén de Ingreso]]-OLDBD[[#This Row],[Salida Packing]],"")</f>
        <v>0.65347222222044365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9" s="45" t="s">
        <v>181</v>
      </c>
      <c r="BB69" s="53" t="str">
        <f>IFERROR(IF(MARÍTIMOS[[#This Row],[Estatus]]="","",MARÍTIMOS[[#This Row],[Estatus]]),"")</f>
        <v>Confirmado</v>
      </c>
      <c r="BC69" s="45"/>
      <c r="BD69" s="52">
        <f>IFERROR(OLDBD[[#This Row],[Salida de almacén de retiro]]-OLDBD[[#This Row],[Ingreso Almacén de retiro]],"")</f>
        <v>-2.3611111115314998E-2</v>
      </c>
      <c r="BE69" s="52">
        <f>IFERROR(OLDBD[[#This Row],[Fin de Carga]]-OLDBD[[#This Row],[Inicio de Carga]],"")</f>
        <v>6.7361111112404615E-2</v>
      </c>
    </row>
    <row r="70" spans="1:57" x14ac:dyDescent="0.35">
      <c r="A70" s="1"/>
      <c r="B70" s="1">
        <f>IFERROR(IF(MARÍTIMOS[[#This Row],[PP]]="","",MARÍTIMOS[[#This Row],[PP]]),"")</f>
        <v>32</v>
      </c>
      <c r="C70" s="1" t="str">
        <f>IFERROR(IF(MARÍTIMOS[[#This Row],[Sede]]="","",MARÍTIMOS[[#This Row],[Sede]]),"")</f>
        <v>Chao</v>
      </c>
      <c r="D70" s="1" t="str">
        <f>IFERROR(IF(MARÍTIMOS[[#This Row],[Instruction]]="","",MARÍTIMOS[[#This Row],[Instruction]]),"")</f>
        <v>RH-0439</v>
      </c>
      <c r="E70" s="1"/>
      <c r="F70" s="2" t="str">
        <f>IFERROR(IF(MARÍTIMOS[[#This Row],[Transportista]]="","",MARÍTIMOS[[#This Row],[Transportista]]),"")</f>
        <v>Expert Transport</v>
      </c>
      <c r="G70" s="2" t="str">
        <f>IFERROR(IF(MARÍTIMOS[[#This Row],[Tercero]]="","",MARÍTIMOS[[#This Row],[Tercero]]),"")</f>
        <v>NO</v>
      </c>
      <c r="H70" s="2" t="str">
        <f>IFERROR(IF(MARÍTIMOS[[#This Row],[Razón Social]]="","",MARÍTIMOS[[#This Row],[Razón Social]]),"")</f>
        <v xml:space="preserve">EXPERT TRANSPORT SAC </v>
      </c>
      <c r="I70" s="2">
        <f>IFERROR(IF(MARÍTIMOS[[#This Row],[RUC]]="","",MARÍTIMOS[[#This Row],[RUC]]),"")</f>
        <v>20544424751</v>
      </c>
      <c r="J70" s="2" t="str">
        <f>IFERROR(IF(MARÍTIMOS[[#This Row],[Placa Tracto]]="","",MARÍTIMOS[[#This Row],[Placa Tracto]]),"")</f>
        <v>C5Z734</v>
      </c>
      <c r="K70" s="2" t="str">
        <f>IFERROR(IF(MARÍTIMOS[[#This Row],[Placa Carreta]]="","",MARÍTIMOS[[#This Row],[Placa Carreta]]),"")</f>
        <v>TJE975</v>
      </c>
      <c r="L70" s="46" t="str">
        <f>IFERROR(IF(MARÍTIMOS[[#This Row],[Conductor]]="","",MARÍTIMOS[[#This Row],[Conductor]]),"")</f>
        <v>LUIS CARLOS LAMAS RUIZ</v>
      </c>
      <c r="M70" s="2" t="str">
        <f>IFERROR(IF(MARÍTIMOS[[#This Row],[Licencia]]="","",MARÍTIMOS[[#This Row],[Licencia]]),"")</f>
        <v>B009531613</v>
      </c>
      <c r="N70" s="2">
        <f>IFERROR(IF(MARÍTIMOS[[#This Row],[Número de Contacto]]="","",MARÍTIMOS[[#This Row],[Número de Contacto]]),"")</f>
        <v>986078320</v>
      </c>
      <c r="O70" s="10" t="str">
        <f>IFERROR(IF(MARÍTIMOS[[#This Row],[Booking|AWB|CRT]]="","",MARÍTIMOS[[#This Row],[Booking|AWB|CRT]]),"")</f>
        <v>MBM250067114</v>
      </c>
      <c r="P70" s="2" t="str">
        <f>IFERROR(IF(MARÍTIMOS[[#This Row],[Contenedor]]="","",MARÍTIMOS[[#This Row],[Contenedor]]),"")</f>
        <v>CAAU4033510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MACROMAR</v>
      </c>
      <c r="S70" s="11">
        <f>IFERROR(IF(MARÍTIMOS[[#This Row],[Etapa Retiro - Cita]]="","",MARÍTIMOS[[#This Row],[Etapa Retiro - Cita]]),"")</f>
        <v>46240.416666666664</v>
      </c>
      <c r="T70" s="11">
        <f>IFERROR(IF(MARÍTIMOS[[#This Row],[Etapa Retiro - Llegada]]="","",MARÍTIMOS[[#This Row],[Etapa Retiro - Llegada]]),"")</f>
        <v>46240.393750000003</v>
      </c>
      <c r="U70" s="11">
        <f>IFERROR(IF(MARÍTIMOS[[#This Row],[Etapa Retiro - Ingreso]]="","",MARÍTIMOS[[#This Row],[Etapa Retiro - Ingreso]]),"")</f>
        <v>46240.404861111114</v>
      </c>
      <c r="V70" s="11">
        <f>IFERROR(IF(MARÍTIMOS[[#This Row],[Etapa Retiro - Atención]]="","",MARÍTIMOS[[#This Row],[Etapa Retiro - Atención]]),"")</f>
        <v>46240.409722222219</v>
      </c>
      <c r="W70" s="11">
        <f>IFERROR(IF(MARÍTIMOS[[#This Row],[Etapa Retiro - Salida]]="","",MARÍTIMOS[[#This Row],[Etapa Retiro - Salida]]),"")</f>
        <v>46240.503472222219</v>
      </c>
      <c r="X70" s="11">
        <f>IFERROR(IF(MARÍTIMOS[[#This Row],[Etapa Retiro - Inicio de Ruta]]="","",MARÍTIMOS[[#This Row],[Etapa Retiro - Inicio de Ruta]]),"")</f>
        <v>46240.642361111109</v>
      </c>
      <c r="Y70" s="11">
        <f>IFERROR(IF(MARÍTIMOS[[#This Row],[Hora de Posicionamiento]]="","",MARÍTIMOS[[#This Row],[Hora de Carga]]+MARÍTIMOS[[#This Row],[Hora de Posicionamiento]]),"")</f>
        <v>0.33333333333333331</v>
      </c>
      <c r="Z70" s="11">
        <f>IFERROR(IF(MARÍTIMOS[[#This Row],[Etapa Despacho -  Llegada]]="","",MARÍTIMOS[[#This Row],[Etapa Despacho -  Llegada]]),"")</f>
        <v>46241.328472222223</v>
      </c>
      <c r="AA70" s="11">
        <f>IFERROR(IF(MARÍTIMOS[[#This Row],[Etapa Despacho -  Registro]]="","",MARÍTIMOS[[#This Row],[Etapa Despacho -  Registro]]),"")</f>
        <v>46241.339583333334</v>
      </c>
      <c r="AB70" s="11">
        <f>IFERROR(IF(MARÍTIMOS[[#This Row],[Inspección Externa]]="","",MARÍTIMOS[[#This Row],[Inspección Externa]]),"")</f>
        <v>46241.357638888891</v>
      </c>
      <c r="AC70" s="11">
        <f>IFERROR(IF(MARÍTIMOS[[#This Row],[Etapa Despacho -  Inicio de Carga]]="","",MARÍTIMOS[[#This Row],[Etapa Despacho -  Inicio de Carga]]),"")</f>
        <v>46241.488888888889</v>
      </c>
      <c r="AD70" s="11">
        <f>IFERROR(IF(MARÍTIMOS[[#This Row],[Etapa Despacho -  Fin de Carga]]="","",MARÍTIMOS[[#This Row],[Etapa Despacho -  Fin de Carga]]),"")</f>
        <v>46241.522916666669</v>
      </c>
      <c r="AE70" s="11">
        <f>IFERROR(IF(MARÍTIMOS[[#This Row],[Etapa Despacho -  Salida]]="","",MARÍTIMOS[[#This Row],[Etapa Despacho -  Salida]]),"")</f>
        <v>46241.534722222219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46242.333333333336</v>
      </c>
      <c r="AI70" s="11">
        <f>IFERROR(IF(MARÍTIMOS[[#This Row],[Etapa Ingreso - Llegada]]="","",MARÍTIMOS[[#This Row],[Etapa Ingreso - Llegada]]),"")</f>
        <v>46242.363194444442</v>
      </c>
      <c r="AJ70" s="11">
        <f>IFERROR(IF(MARÍTIMOS[[#This Row],[Etapa Ingreso - Ingeso]]="","",MARÍTIMOS[[#This Row],[Etapa Ingreso - Ingeso]]),"")</f>
        <v>46242.365972222222</v>
      </c>
      <c r="AK70" s="11">
        <f>IFERROR(IF(MARÍTIMOS[[#This Row],[Etapa Ingreso - Atención]]="","",MARÍTIMOS[[#This Row],[Etapa Ingreso - Atención]]),"")</f>
        <v>46242.368055555555</v>
      </c>
      <c r="AL70" s="11">
        <f>IFERROR(IF(MARÍTIMOS[[#This Row],[Etapa Ingreso - Salida]]="","",MARÍTIMOS[[#This Row],[Etapa Ingreso - Salida]]),"")</f>
        <v>46242.37777777778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0" s="5">
        <f>IFERROR(OLDBD[[#This Row],[Llegada a packing]]-OLDBD[[#This Row],[Inicio de Ruta]],"")</f>
        <v>0.68611111111385981</v>
      </c>
      <c r="AQ70" s="6">
        <f>IFERROR(OLDBD[[#This Row],[Inicio de Ruta]]-OLDBD[[#This Row],[Salida de almacén de retiro]],"")</f>
        <v>0.13888888889050577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0" s="9">
        <f>IFERROR(OLDBD[[#This Row],[Ingreso Packing]]-OLDBD[[#This Row],[Registro en Packing]],"")</f>
        <v>1.8055555556202307E-2</v>
      </c>
      <c r="AV70" s="9">
        <f>IFERROR(OLDBD[[#This Row],[Ingreso Packing]]-OLDBD[[#This Row],[Llegada a packing]],"")</f>
        <v>2.9166666667151731E-2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0" s="5">
        <f>IFERROR(OLDBD[[#This Row],[Llegada Almacén de Ingreso]]-OLDBD[[#This Row],[Salida Packing]],"")</f>
        <v>0.82847222222335404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0" s="45" t="s">
        <v>181</v>
      </c>
      <c r="BB70" s="53" t="str">
        <f>IFERROR(IF(MARÍTIMOS[[#This Row],[Estatus]]="","",MARÍTIMOS[[#This Row],[Estatus]]),"")</f>
        <v>Confirmado</v>
      </c>
      <c r="BC70" s="45"/>
      <c r="BD70" s="52">
        <f>IFERROR(OLDBD[[#This Row],[Salida de almacén de retiro]]-OLDBD[[#This Row],[Ingreso Almacén de retiro]],"")</f>
        <v>9.8611111105128657E-2</v>
      </c>
      <c r="BE70" s="52">
        <f>IFERROR(OLDBD[[#This Row],[Fin de Carga]]-OLDBD[[#This Row],[Inicio de Carga]],"")</f>
        <v>3.4027777779556345E-2</v>
      </c>
    </row>
    <row r="71" spans="1:57" x14ac:dyDescent="0.35">
      <c r="A71" s="1"/>
      <c r="B71" s="1">
        <f>IFERROR(IF(MARÍTIMOS[[#This Row],[PP]]="","",MARÍTIMOS[[#This Row],[PP]]),"")</f>
        <v>32</v>
      </c>
      <c r="C71" s="1" t="str">
        <f>IFERROR(IF(MARÍTIMOS[[#This Row],[Sede]]="","",MARÍTIMOS[[#This Row],[Sede]]),"")</f>
        <v>Chao</v>
      </c>
      <c r="D71" s="1" t="str">
        <f>IFERROR(IF(MARÍTIMOS[[#This Row],[Instruction]]="","",MARÍTIMOS[[#This Row],[Instruction]]),"")</f>
        <v>RH-0440</v>
      </c>
      <c r="E71" s="1"/>
      <c r="F71" s="2" t="str">
        <f>IFERROR(IF(MARÍTIMOS[[#This Row],[Transportista]]="","",MARÍTIMOS[[#This Row],[Transportista]]),"")</f>
        <v>Expert Transport</v>
      </c>
      <c r="G71" s="2" t="str">
        <f>IFERROR(IF(MARÍTIMOS[[#This Row],[Tercero]]="","",MARÍTIMOS[[#This Row],[Tercero]]),"")</f>
        <v>NO</v>
      </c>
      <c r="H71" s="2" t="str">
        <f>IFERROR(IF(MARÍTIMOS[[#This Row],[Razón Social]]="","",MARÍTIMOS[[#This Row],[Razón Social]]),"")</f>
        <v xml:space="preserve">EXPERT TRANSPORT SAC </v>
      </c>
      <c r="I71" s="2">
        <f>IFERROR(IF(MARÍTIMOS[[#This Row],[RUC]]="","",MARÍTIMOS[[#This Row],[RUC]]),"")</f>
        <v>20544424751</v>
      </c>
      <c r="J71" s="2" t="str">
        <f>IFERROR(IF(MARÍTIMOS[[#This Row],[Placa Tracto]]="","",MARÍTIMOS[[#This Row],[Placa Tracto]]),"")</f>
        <v>BYR872</v>
      </c>
      <c r="K71" s="2" t="str">
        <f>IFERROR(IF(MARÍTIMOS[[#This Row],[Placa Carreta]]="","",MARÍTIMOS[[#This Row],[Placa Carreta]]),"")</f>
        <v>A3K983</v>
      </c>
      <c r="L71" s="46" t="str">
        <f>IFERROR(IF(MARÍTIMOS[[#This Row],[Conductor]]="","",MARÍTIMOS[[#This Row],[Conductor]]),"")</f>
        <v>HUMBERTO JESÚS SUAREZ ARGUINZONES</v>
      </c>
      <c r="M71" s="2" t="str">
        <f>IFERROR(IF(MARÍTIMOS[[#This Row],[Licencia]]="","",MARÍTIMOS[[#This Row],[Licencia]]),"")</f>
        <v>B007168026</v>
      </c>
      <c r="N71" s="2">
        <f>IFERROR(IF(MARÍTIMOS[[#This Row],[Número de Contacto]]="","",MARÍTIMOS[[#This Row],[Número de Contacto]]),"")</f>
        <v>934270711</v>
      </c>
      <c r="O71" s="10" t="str">
        <f>IFERROR(IF(MARÍTIMOS[[#This Row],[Booking|AWB|CRT]]="","",MARÍTIMOS[[#This Row],[Booking|AWB|CRT]]),"")</f>
        <v>MBM250067115</v>
      </c>
      <c r="P71" s="2" t="str">
        <f>IFERROR(IF(MARÍTIMOS[[#This Row],[Contenedor]]="","",MARÍTIMOS[[#This Row],[Contenedor]]),"")</f>
        <v>CAAU4035895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MACROMAR</v>
      </c>
      <c r="S71" s="11">
        <f>IFERROR(IF(MARÍTIMOS[[#This Row],[Etapa Retiro - Cita]]="","",MARÍTIMOS[[#This Row],[Etapa Retiro - Cita]]),"")</f>
        <v>46240.416666666664</v>
      </c>
      <c r="T71" s="11">
        <f>IFERROR(IF(MARÍTIMOS[[#This Row],[Etapa Retiro - Llegada]]="","",MARÍTIMOS[[#This Row],[Etapa Retiro - Llegada]]),"")</f>
        <v>46240.393750000003</v>
      </c>
      <c r="U71" s="11">
        <f>IFERROR(IF(MARÍTIMOS[[#This Row],[Etapa Retiro - Ingreso]]="","",MARÍTIMOS[[#This Row],[Etapa Retiro - Ingreso]]),"")</f>
        <v>46240.405555555553</v>
      </c>
      <c r="V71" s="11">
        <f>IFERROR(IF(MARÍTIMOS[[#This Row],[Etapa Retiro - Atención]]="","",MARÍTIMOS[[#This Row],[Etapa Retiro - Atención]]),"")</f>
        <v>46240.411111111112</v>
      </c>
      <c r="W71" s="11">
        <f>IFERROR(IF(MARÍTIMOS[[#This Row],[Etapa Retiro - Salida]]="","",MARÍTIMOS[[#This Row],[Etapa Retiro - Salida]]),"")</f>
        <v>46240.51458333333</v>
      </c>
      <c r="X71" s="11">
        <f>IFERROR(IF(MARÍTIMOS[[#This Row],[Etapa Retiro - Inicio de Ruta]]="","",MARÍTIMOS[[#This Row],[Etapa Retiro - Inicio de Ruta]]),"")</f>
        <v>46240.642361111109</v>
      </c>
      <c r="Y71" s="11">
        <f>IFERROR(IF(MARÍTIMOS[[#This Row],[Hora de Posicionamiento]]="","",MARÍTIMOS[[#This Row],[Hora de Carga]]+MARÍTIMOS[[#This Row],[Hora de Posicionamiento]]),"")</f>
        <v>0.41666666666666669</v>
      </c>
      <c r="Z71" s="11">
        <f>IFERROR(IF(MARÍTIMOS[[#This Row],[Etapa Despacho -  Llegada]]="","",MARÍTIMOS[[#This Row],[Etapa Despacho -  Llegada]]),"")</f>
        <v>46241.337500000001</v>
      </c>
      <c r="AA71" s="11">
        <f>IFERROR(IF(MARÍTIMOS[[#This Row],[Etapa Despacho -  Registro]]="","",MARÍTIMOS[[#This Row],[Etapa Despacho -  Registro]]),"")</f>
        <v>46241.352777777778</v>
      </c>
      <c r="AB71" s="11">
        <f>IFERROR(IF(MARÍTIMOS[[#This Row],[Inspección Externa]]="","",MARÍTIMOS[[#This Row],[Inspección Externa]]),"")</f>
        <v>46241.373611111114</v>
      </c>
      <c r="AC71" s="11">
        <f>IFERROR(IF(MARÍTIMOS[[#This Row],[Etapa Despacho -  Inicio de Carga]]="","",MARÍTIMOS[[#This Row],[Etapa Despacho -  Inicio de Carga]]),"")</f>
        <v>46241.459027777775</v>
      </c>
      <c r="AD71" s="11">
        <f>IFERROR(IF(MARÍTIMOS[[#This Row],[Etapa Despacho -  Fin de Carga]]="","",MARÍTIMOS[[#This Row],[Etapa Despacho -  Fin de Carga]]),"")</f>
        <v>46241.524305555555</v>
      </c>
      <c r="AE71" s="11">
        <f>IFERROR(IF(MARÍTIMOS[[#This Row],[Etapa Despacho -  Salida]]="","",MARÍTIMOS[[#This Row],[Etapa Despacho -  Salida]]),"")</f>
        <v>46241.534722222219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46242.375</v>
      </c>
      <c r="AI71" s="11">
        <f>IFERROR(IF(MARÍTIMOS[[#This Row],[Etapa Ingreso - Llegada]]="","",MARÍTIMOS[[#This Row],[Etapa Ingreso - Llegada]]),"")</f>
        <v>46242.364583333336</v>
      </c>
      <c r="AJ71" s="11">
        <f>IFERROR(IF(MARÍTIMOS[[#This Row],[Etapa Ingreso - Ingeso]]="","",MARÍTIMOS[[#This Row],[Etapa Ingreso - Ingeso]]),"")</f>
        <v>46242.366666666669</v>
      </c>
      <c r="AK71" s="11">
        <f>IFERROR(IF(MARÍTIMOS[[#This Row],[Etapa Ingreso - Atención]]="","",MARÍTIMOS[[#This Row],[Etapa Ingreso - Atención]]),"")</f>
        <v>46242.369444444441</v>
      </c>
      <c r="AL71" s="11">
        <f>IFERROR(IF(MARÍTIMOS[[#This Row],[Etapa Ingreso - Salida]]="","",MARÍTIMOS[[#This Row],[Etapa Ingreso - Salida]]),"")</f>
        <v>46242.378472222219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1" s="5">
        <f>IFERROR(OLDBD[[#This Row],[Llegada a packing]]-OLDBD[[#This Row],[Inicio de Ruta]],"")</f>
        <v>0.69513888889196096</v>
      </c>
      <c r="AQ71" s="6">
        <f>IFERROR(OLDBD[[#This Row],[Inicio de Ruta]]-OLDBD[[#This Row],[Salida de almacén de retiro]],"")</f>
        <v>0.12777777777955635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1" s="9">
        <f>IFERROR(OLDBD[[#This Row],[Ingreso Packing]]-OLDBD[[#This Row],[Registro en Packing]],"")</f>
        <v>2.0833333335758653E-2</v>
      </c>
      <c r="AV71" s="9">
        <f>IFERROR(OLDBD[[#This Row],[Ingreso Packing]]-OLDBD[[#This Row],[Llegada a packing]],"")</f>
        <v>3.6111111112404615E-2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1" s="5">
        <f>IFERROR(OLDBD[[#This Row],[Llegada Almacén de Ingreso]]-OLDBD[[#This Row],[Salida Packing]],"")</f>
        <v>0.82986111111677019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1" s="45" t="s">
        <v>181</v>
      </c>
      <c r="BB71" s="53" t="str">
        <f>IFERROR(IF(MARÍTIMOS[[#This Row],[Estatus]]="","",MARÍTIMOS[[#This Row],[Estatus]]),"")</f>
        <v>Confirmado</v>
      </c>
      <c r="BC71" s="45"/>
      <c r="BD71" s="52">
        <f>IFERROR(OLDBD[[#This Row],[Salida de almacén de retiro]]-OLDBD[[#This Row],[Ingreso Almacén de retiro]],"")</f>
        <v>0.10902777777664596</v>
      </c>
      <c r="BE71" s="52">
        <f>IFERROR(OLDBD[[#This Row],[Fin de Carga]]-OLDBD[[#This Row],[Inicio de Carga]],"")</f>
        <v>6.5277777779556345E-2</v>
      </c>
    </row>
    <row r="72" spans="1:57" x14ac:dyDescent="0.35">
      <c r="A72" s="1"/>
      <c r="B72" s="1">
        <f>IFERROR(IF(MARÍTIMOS[[#This Row],[PP]]="","",MARÍTIMOS[[#This Row],[PP]]),"")</f>
        <v>32</v>
      </c>
      <c r="C72" s="1" t="str">
        <f>IFERROR(IF(MARÍTIMOS[[#This Row],[Sede]]="","",MARÍTIMOS[[#This Row],[Sede]]),"")</f>
        <v>Chao</v>
      </c>
      <c r="D72" s="1" t="str">
        <f>IFERROR(IF(MARÍTIMOS[[#This Row],[Instruction]]="","",MARÍTIMOS[[#This Row],[Instruction]]),"")</f>
        <v>RH-0452</v>
      </c>
      <c r="E72" s="1"/>
      <c r="F72" s="2" t="str">
        <f>IFERROR(IF(MARÍTIMOS[[#This Row],[Transportista]]="","",MARÍTIMOS[[#This Row],[Transportista]]),"")</f>
        <v>Expert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 xml:space="preserve">EXPERT TRANSPORT SAC </v>
      </c>
      <c r="I72" s="2">
        <f>IFERROR(IF(MARÍTIMOS[[#This Row],[RUC]]="","",MARÍTIMOS[[#This Row],[RUC]]),"")</f>
        <v>20544424751</v>
      </c>
      <c r="J72" s="2" t="str">
        <f>IFERROR(IF(MARÍTIMOS[[#This Row],[Placa Tracto]]="","",MARÍTIMOS[[#This Row],[Placa Tracto]]),"")</f>
        <v>V4N706</v>
      </c>
      <c r="K72" s="2" t="str">
        <f>IFERROR(IF(MARÍTIMOS[[#This Row],[Placa Carreta]]="","",MARÍTIMOS[[#This Row],[Placa Carreta]]),"")</f>
        <v>TJD977</v>
      </c>
      <c r="L72" s="46" t="str">
        <f>IFERROR(IF(MARÍTIMOS[[#This Row],[Conductor]]="","",MARÍTIMOS[[#This Row],[Conductor]]),"")</f>
        <v>MARIO WILMER AVENDAÑO ACHA</v>
      </c>
      <c r="M72" s="2" t="str">
        <f>IFERROR(IF(MARÍTIMOS[[#This Row],[Licencia]]="","",MARÍTIMOS[[#This Row],[Licencia]]),"")</f>
        <v>B46445299</v>
      </c>
      <c r="N72" s="2">
        <f>IFERROR(IF(MARÍTIMOS[[#This Row],[Número de Contacto]]="","",MARÍTIMOS[[#This Row],[Número de Contacto]]),"")</f>
        <v>946500525</v>
      </c>
      <c r="O72" s="10" t="str">
        <f>IFERROR(IF(MARÍTIMOS[[#This Row],[Booking|AWB|CRT]]="","",MARÍTIMOS[[#This Row],[Booking|AWB|CRT]]),"")</f>
        <v>PER9174383A</v>
      </c>
      <c r="P72" s="2" t="str">
        <f>IFERROR(IF(MARÍTIMOS[[#This Row],[Contenedor]]="","",MARÍTIMOS[[#This Row],[Contenedor]]),"")</f>
        <v>SEGU9819502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DPW</v>
      </c>
      <c r="S72" s="11">
        <f>IFERROR(IF(MARÍTIMOS[[#This Row],[Etapa Retiro - Cita]]="","",MARÍTIMOS[[#This Row],[Etapa Retiro - Cita]]),"")</f>
        <v>46241.625</v>
      </c>
      <c r="T72" s="11">
        <f>IFERROR(IF(MARÍTIMOS[[#This Row],[Etapa Retiro - Llegada]]="","",MARÍTIMOS[[#This Row],[Etapa Retiro - Llegada]]),"")</f>
        <v>46241.60833333333</v>
      </c>
      <c r="U72" s="11">
        <f>IFERROR(IF(MARÍTIMOS[[#This Row],[Etapa Retiro - Ingreso]]="","",MARÍTIMOS[[#This Row],[Etapa Retiro - Ingreso]]),"")</f>
        <v>46241.638194444444</v>
      </c>
      <c r="V72" s="11">
        <f>IFERROR(IF(MARÍTIMOS[[#This Row],[Etapa Retiro - Atención]]="","",MARÍTIMOS[[#This Row],[Etapa Retiro - Atención]]),"")</f>
        <v>46241.646527777775</v>
      </c>
      <c r="W72" s="11">
        <f>IFERROR(IF(MARÍTIMOS[[#This Row],[Etapa Retiro - Salida]]="","",MARÍTIMOS[[#This Row],[Etapa Retiro - Salida]]),"")</f>
        <v>46241.69027777778</v>
      </c>
      <c r="X72" s="11">
        <f>IFERROR(IF(MARÍTIMOS[[#This Row],[Etapa Retiro - Inicio de Ruta]]="","",MARÍTIMOS[[#This Row],[Etapa Retiro - Inicio de Ruta]]),"")</f>
        <v>46241.709027777775</v>
      </c>
      <c r="Y72" s="11">
        <f>IFERROR(IF(MARÍTIMOS[[#This Row],[Hora de Posicionamiento]]="","",MARÍTIMOS[[#This Row],[Hora de Carga]]+MARÍTIMOS[[#This Row],[Hora de Posicionamiento]]),"")</f>
        <v>0.41666666666666669</v>
      </c>
      <c r="Z72" s="11">
        <f>IFERROR(IF(MARÍTIMOS[[#This Row],[Etapa Despacho -  Llegada]]="","",MARÍTIMOS[[#This Row],[Etapa Despacho -  Llegada]]),"")</f>
        <v>46242.474999999999</v>
      </c>
      <c r="AA72" s="11">
        <f>IFERROR(IF(MARÍTIMOS[[#This Row],[Etapa Despacho -  Registro]]="","",MARÍTIMOS[[#This Row],[Etapa Despacho -  Registro]]),"")</f>
        <v>46242.479166666664</v>
      </c>
      <c r="AB72" s="11">
        <f>IFERROR(IF(MARÍTIMOS[[#This Row],[Inspección Externa]]="","",MARÍTIMOS[[#This Row],[Inspección Externa]]),"")</f>
        <v>46242.484027777777</v>
      </c>
      <c r="AC72" s="11">
        <f>IFERROR(IF(MARÍTIMOS[[#This Row],[Etapa Despacho -  Inicio de Carga]]="","",MARÍTIMOS[[#This Row],[Etapa Despacho -  Inicio de Carga]]),"")</f>
        <v>46242.838194444441</v>
      </c>
      <c r="AD72" s="11">
        <f>IFERROR(IF(MARÍTIMOS[[#This Row],[Etapa Despacho -  Fin de Carga]]="","",MARÍTIMOS[[#This Row],[Etapa Despacho -  Fin de Carga]]),"")</f>
        <v>46242.875</v>
      </c>
      <c r="AE72" s="11">
        <f>IFERROR(IF(MARÍTIMOS[[#This Row],[Etapa Despacho -  Salida]]="","",MARÍTIMOS[[#This Row],[Etapa Despacho -  Salida]]),"")</f>
        <v>46242.938194444447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46243.708333333336</v>
      </c>
      <c r="AI72" s="11">
        <f>IFERROR(IF(MARÍTIMOS[[#This Row],[Etapa Ingreso - Llegada]]="","",MARÍTIMOS[[#This Row],[Etapa Ingreso - Llegada]]),"")</f>
        <v>46243.666666666664</v>
      </c>
      <c r="AJ72" s="11">
        <f>IFERROR(IF(MARÍTIMOS[[#This Row],[Etapa Ingreso - Ingeso]]="","",MARÍTIMOS[[#This Row],[Etapa Ingreso - Ingeso]]),"")</f>
        <v>46243.668055555558</v>
      </c>
      <c r="AK72" s="11">
        <f>IFERROR(IF(MARÍTIMOS[[#This Row],[Etapa Ingreso - Atención]]="","",MARÍTIMOS[[#This Row],[Etapa Ingreso - Atención]]),"")</f>
        <v>46243.673611111109</v>
      </c>
      <c r="AL72" s="11">
        <f>IFERROR(IF(MARÍTIMOS[[#This Row],[Etapa Ingreso - Salida]]="","",MARÍTIMOS[[#This Row],[Etapa Ingreso - Salida]]),"")</f>
        <v>46243.680555555555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2" s="5">
        <f>IFERROR(OLDBD[[#This Row],[Llegada a packing]]-OLDBD[[#This Row],[Inicio de Ruta]],"")</f>
        <v>0.76597222222335404</v>
      </c>
      <c r="AQ72" s="6">
        <f>IFERROR(OLDBD[[#This Row],[Inicio de Ruta]]-OLDBD[[#This Row],[Salida de almacén de retiro]],"")</f>
        <v>1.8749999995634425E-2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2" s="9">
        <f>IFERROR(OLDBD[[#This Row],[Ingreso Packing]]-OLDBD[[#This Row],[Registro en Packing]],"")</f>
        <v>4.8611111124046147E-3</v>
      </c>
      <c r="AV72" s="9">
        <f>IFERROR(OLDBD[[#This Row],[Ingreso Packing]]-OLDBD[[#This Row],[Llegada a packing]],"")</f>
        <v>9.0277777781011537E-3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2" s="5">
        <f>IFERROR(OLDBD[[#This Row],[Llegada Almacén de Ingreso]]-OLDBD[[#This Row],[Salida Packing]],"")</f>
        <v>0.72847222221753327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2" s="45" t="s">
        <v>181</v>
      </c>
      <c r="BB72" s="53" t="str">
        <f>IFERROR(IF(MARÍTIMOS[[#This Row],[Estatus]]="","",MARÍTIMOS[[#This Row],[Estatus]]),"")</f>
        <v>Confirmado</v>
      </c>
      <c r="BC72" s="45"/>
      <c r="BD72" s="52">
        <f>IFERROR(OLDBD[[#This Row],[Salida de almacén de retiro]]-OLDBD[[#This Row],[Ingreso Almacén de retiro]],"")</f>
        <v>5.2083333335758653E-2</v>
      </c>
      <c r="BE72" s="52">
        <f>IFERROR(OLDBD[[#This Row],[Fin de Carga]]-OLDBD[[#This Row],[Inicio de Carga]],"")</f>
        <v>3.680555555911269E-2</v>
      </c>
    </row>
    <row r="73" spans="1:57" x14ac:dyDescent="0.35">
      <c r="A73" s="1"/>
      <c r="B73" s="1">
        <f>IFERROR(IF(MARÍTIMOS[[#This Row],[PP]]="","",MARÍTIMOS[[#This Row],[PP]]),"")</f>
        <v>32</v>
      </c>
      <c r="C73" s="1" t="str">
        <f>IFERROR(IF(MARÍTIMOS[[#This Row],[Sede]]="","",MARÍTIMOS[[#This Row],[Sede]]),"")</f>
        <v>Chao</v>
      </c>
      <c r="D73" s="1" t="str">
        <f>IFERROR(IF(MARÍTIMOS[[#This Row],[Instruction]]="","",MARÍTIMOS[[#This Row],[Instruction]]),"")</f>
        <v>RH-0453</v>
      </c>
      <c r="E73" s="1"/>
      <c r="F73" s="2" t="str">
        <f>IFERROR(IF(MARÍTIMOS[[#This Row],[Transportista]]="","",MARÍTIMOS[[#This Row],[Transportista]]),"")</f>
        <v>Expert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 xml:space="preserve">EXPERT TRANSPORT SAC </v>
      </c>
      <c r="I73" s="2">
        <f>IFERROR(IF(MARÍTIMOS[[#This Row],[RUC]]="","",MARÍTIMOS[[#This Row],[RUC]]),"")</f>
        <v>20544424751</v>
      </c>
      <c r="J73" s="2" t="str">
        <f>IFERROR(IF(MARÍTIMOS[[#This Row],[Placa Tracto]]="","",MARÍTIMOS[[#This Row],[Placa Tracto]]),"")</f>
        <v>D1A797</v>
      </c>
      <c r="K73" s="2" t="str">
        <f>IFERROR(IF(MARÍTIMOS[[#This Row],[Placa Carreta]]="","",MARÍTIMOS[[#This Row],[Placa Carreta]]),"")</f>
        <v>TNQ977</v>
      </c>
      <c r="L73" s="46" t="str">
        <f>IFERROR(IF(MARÍTIMOS[[#This Row],[Conductor]]="","",MARÍTIMOS[[#This Row],[Conductor]]),"")</f>
        <v>FREDERIS JOSE PAVON RUIZ</v>
      </c>
      <c r="M73" s="2" t="str">
        <f>IFERROR(IF(MARÍTIMOS[[#This Row],[Licencia]]="","",MARÍTIMOS[[#This Row],[Licencia]]),"")</f>
        <v>Q005175672</v>
      </c>
      <c r="N73" s="2">
        <f>IFERROR(IF(MARÍTIMOS[[#This Row],[Número de Contacto]]="","",MARÍTIMOS[[#This Row],[Número de Contacto]]),"")</f>
        <v>904556157</v>
      </c>
      <c r="O73" s="10" t="str">
        <f>IFERROR(IF(MARÍTIMOS[[#This Row],[Booking|AWB|CRT]]="","",MARÍTIMOS[[#This Row],[Booking|AWB|CRT]]),"")</f>
        <v>PER9174384A</v>
      </c>
      <c r="P73" s="2" t="str">
        <f>IFERROR(IF(MARÍTIMOS[[#This Row],[Contenedor]]="","",MARÍTIMOS[[#This Row],[Contenedor]]),"")</f>
        <v>CAAU4160428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DPW</v>
      </c>
      <c r="S73" s="11">
        <f>IFERROR(IF(MARÍTIMOS[[#This Row],[Etapa Retiro - Cita]]="","",MARÍTIMOS[[#This Row],[Etapa Retiro - Cita]]),"")</f>
        <v>46241.625</v>
      </c>
      <c r="T73" s="11">
        <f>IFERROR(IF(MARÍTIMOS[[#This Row],[Etapa Retiro - Llegada]]="","",MARÍTIMOS[[#This Row],[Etapa Retiro - Llegada]]),"")</f>
        <v>46241.611111111109</v>
      </c>
      <c r="U73" s="11">
        <f>IFERROR(IF(MARÍTIMOS[[#This Row],[Etapa Retiro - Ingreso]]="","",MARÍTIMOS[[#This Row],[Etapa Retiro - Ingreso]]),"")</f>
        <v>46241.638888888891</v>
      </c>
      <c r="V73" s="11">
        <f>IFERROR(IF(MARÍTIMOS[[#This Row],[Etapa Retiro - Atención]]="","",MARÍTIMOS[[#This Row],[Etapa Retiro - Atención]]),"")</f>
        <v>46241.662499999999</v>
      </c>
      <c r="W73" s="11">
        <f>IFERROR(IF(MARÍTIMOS[[#This Row],[Etapa Retiro - Salida]]="","",MARÍTIMOS[[#This Row],[Etapa Retiro - Salida]]),"")</f>
        <v>46241.743750000001</v>
      </c>
      <c r="X73" s="11">
        <f>IFERROR(IF(MARÍTIMOS[[#This Row],[Etapa Retiro - Inicio de Ruta]]="","",MARÍTIMOS[[#This Row],[Etapa Retiro - Inicio de Ruta]]),"")</f>
        <v>46241.765972222223</v>
      </c>
      <c r="Y73" s="11">
        <f>IFERROR(IF(MARÍTIMOS[[#This Row],[Hora de Posicionamiento]]="","",MARÍTIMOS[[#This Row],[Hora de Carga]]+MARÍTIMOS[[#This Row],[Hora de Posicionamiento]]),"")</f>
        <v>0.41666666666666669</v>
      </c>
      <c r="Z73" s="11">
        <f>IFERROR(IF(MARÍTIMOS[[#This Row],[Etapa Despacho -  Llegada]]="","",MARÍTIMOS[[#This Row],[Etapa Despacho -  Llegada]]),"")</f>
        <v>46242.531944444447</v>
      </c>
      <c r="AA73" s="11">
        <f>IFERROR(IF(MARÍTIMOS[[#This Row],[Etapa Despacho -  Registro]]="","",MARÍTIMOS[[#This Row],[Etapa Despacho -  Registro]]),"")</f>
        <v>46242.55972222222</v>
      </c>
      <c r="AB73" s="11">
        <f>IFERROR(IF(MARÍTIMOS[[#This Row],[Inspección Externa]]="","",MARÍTIMOS[[#This Row],[Inspección Externa]]),"")</f>
        <v>46242.584027777775</v>
      </c>
      <c r="AC73" s="11">
        <f>IFERROR(IF(MARÍTIMOS[[#This Row],[Etapa Despacho -  Inicio de Carga]]="","",MARÍTIMOS[[#This Row],[Etapa Despacho -  Inicio de Carga]]),"")</f>
        <v>46242.853472222225</v>
      </c>
      <c r="AD73" s="11">
        <f>IFERROR(IF(MARÍTIMOS[[#This Row],[Etapa Despacho -  Fin de Carga]]="","",MARÍTIMOS[[#This Row],[Etapa Despacho -  Fin de Carga]]),"")</f>
        <v>46242.881249999999</v>
      </c>
      <c r="AE73" s="11">
        <f>IFERROR(IF(MARÍTIMOS[[#This Row],[Etapa Despacho -  Salida]]="","",MARÍTIMOS[[#This Row],[Etapa Despacho -  Salida]]),"")</f>
        <v>46242.930555555555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46243.708333333336</v>
      </c>
      <c r="AI73" s="11">
        <f>IFERROR(IF(MARÍTIMOS[[#This Row],[Etapa Ingreso - Llegada]]="","",MARÍTIMOS[[#This Row],[Etapa Ingreso - Llegada]]),"")</f>
        <v>46243.664583333331</v>
      </c>
      <c r="AJ73" s="11">
        <f>IFERROR(IF(MARÍTIMOS[[#This Row],[Etapa Ingreso - Ingeso]]="","",MARÍTIMOS[[#This Row],[Etapa Ingreso - Ingeso]]),"")</f>
        <v>46243.666666666664</v>
      </c>
      <c r="AK73" s="11">
        <f>IFERROR(IF(MARÍTIMOS[[#This Row],[Etapa Ingreso - Atención]]="","",MARÍTIMOS[[#This Row],[Etapa Ingreso - Atención]]),"")</f>
        <v>46243.672222222223</v>
      </c>
      <c r="AL73" s="11">
        <f>IFERROR(IF(MARÍTIMOS[[#This Row],[Etapa Ingreso - Salida]]="","",MARÍTIMOS[[#This Row],[Etapa Ingreso - Salida]]),"")</f>
        <v>46243.679166666669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3" s="5">
        <f>IFERROR(OLDBD[[#This Row],[Llegada a packing]]-OLDBD[[#This Row],[Inicio de Ruta]],"")</f>
        <v>0.76597222222335404</v>
      </c>
      <c r="AQ73" s="6">
        <f>IFERROR(OLDBD[[#This Row],[Inicio de Ruta]]-OLDBD[[#This Row],[Salida de almacén de retiro]],"")</f>
        <v>2.2222222221898846E-2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3" s="9">
        <f>IFERROR(OLDBD[[#This Row],[Ingreso Packing]]-OLDBD[[#This Row],[Registro en Packing]],"")</f>
        <v>2.4305555554747116E-2</v>
      </c>
      <c r="AV73" s="9">
        <f>IFERROR(OLDBD[[#This Row],[Ingreso Packing]]-OLDBD[[#This Row],[Llegada a packing]],"")</f>
        <v>5.2083333328482695E-2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3" s="5">
        <f>IFERROR(OLDBD[[#This Row],[Llegada Almacén de Ingreso]]-OLDBD[[#This Row],[Salida Packing]],"")</f>
        <v>0.73402777777664596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3" s="45" t="s">
        <v>181</v>
      </c>
      <c r="BB73" s="53" t="str">
        <f>IFERROR(IF(MARÍTIMOS[[#This Row],[Estatus]]="","",MARÍTIMOS[[#This Row],[Estatus]]),"")</f>
        <v>Confirmado</v>
      </c>
      <c r="BC73" s="45"/>
      <c r="BD73" s="52">
        <f>IFERROR(OLDBD[[#This Row],[Salida de almacén de retiro]]-OLDBD[[#This Row],[Ingreso Almacén de retiro]],"")</f>
        <v>0.10486111111094942</v>
      </c>
      <c r="BE73" s="52">
        <f>IFERROR(OLDBD[[#This Row],[Fin de Carga]]-OLDBD[[#This Row],[Inicio de Carga]],"")</f>
        <v>2.7777777773735579E-2</v>
      </c>
    </row>
    <row r="74" spans="1:57" x14ac:dyDescent="0.35">
      <c r="A74" s="1"/>
      <c r="B74" s="1">
        <f>IFERROR(IF(MARÍTIMOS[[#This Row],[PP]]="","",MARÍTIMOS[[#This Row],[PP]]),"")</f>
        <v>32</v>
      </c>
      <c r="C74" s="1" t="str">
        <f>IFERROR(IF(MARÍTIMOS[[#This Row],[Sede]]="","",MARÍTIMOS[[#This Row],[Sede]]),"")</f>
        <v>Chao</v>
      </c>
      <c r="D74" s="1" t="str">
        <f>IFERROR(IF(MARÍTIMOS[[#This Row],[Instruction]]="","",MARÍTIMOS[[#This Row],[Instruction]]),"")</f>
        <v>RH-0454</v>
      </c>
      <c r="E74" s="1"/>
      <c r="F74" s="2" t="str">
        <f>IFERROR(IF(MARÍTIMOS[[#This Row],[Transportista]]="","",MARÍTIMOS[[#This Row],[Transportista]]),"")</f>
        <v>Expert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 xml:space="preserve">EXPERT TRANSPORT SAC </v>
      </c>
      <c r="I74" s="2">
        <f>IFERROR(IF(MARÍTIMOS[[#This Row],[RUC]]="","",MARÍTIMOS[[#This Row],[RUC]]),"")</f>
        <v>20544424751</v>
      </c>
      <c r="J74" s="2" t="str">
        <f>IFERROR(IF(MARÍTIMOS[[#This Row],[Placa Tracto]]="","",MARÍTIMOS[[#This Row],[Placa Tracto]]),"")</f>
        <v>V1B809</v>
      </c>
      <c r="K74" s="2" t="str">
        <f>IFERROR(IF(MARÍTIMOS[[#This Row],[Placa Carreta]]="","",MARÍTIMOS[[#This Row],[Placa Carreta]]),"")</f>
        <v>TKC975</v>
      </c>
      <c r="L74" s="46" t="str">
        <f>IFERROR(IF(MARÍTIMOS[[#This Row],[Conductor]]="","",MARÍTIMOS[[#This Row],[Conductor]]),"")</f>
        <v>GUILLERMO YOSNEY GONZALEZ RUIZ</v>
      </c>
      <c r="M74" s="2" t="str">
        <f>IFERROR(IF(MARÍTIMOS[[#This Row],[Licencia]]="","",MARÍTIMOS[[#This Row],[Licencia]]),"")</f>
        <v>Q005581456</v>
      </c>
      <c r="N74" s="2">
        <f>IFERROR(IF(MARÍTIMOS[[#This Row],[Número de Contacto]]="","",MARÍTIMOS[[#This Row],[Número de Contacto]]),"")</f>
        <v>914472332</v>
      </c>
      <c r="O74" s="10" t="str">
        <f>IFERROR(IF(MARÍTIMOS[[#This Row],[Booking|AWB|CRT]]="","",MARÍTIMOS[[#This Row],[Booking|AWB|CRT]]),"")</f>
        <v>PER9174385A</v>
      </c>
      <c r="P74" s="2" t="str">
        <f>IFERROR(IF(MARÍTIMOS[[#This Row],[Contenedor]]="","",MARÍTIMOS[[#This Row],[Contenedor]]),"")</f>
        <v>CAAU4162478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DPW</v>
      </c>
      <c r="S74" s="11">
        <f>IFERROR(IF(MARÍTIMOS[[#This Row],[Etapa Retiro - Cita]]="","",MARÍTIMOS[[#This Row],[Etapa Retiro - Cita]]),"")</f>
        <v>46241.625</v>
      </c>
      <c r="T74" s="11">
        <f>IFERROR(IF(MARÍTIMOS[[#This Row],[Etapa Retiro - Llegada]]="","",MARÍTIMOS[[#This Row],[Etapa Retiro - Llegada]]),"")</f>
        <v>46241.611111111109</v>
      </c>
      <c r="U74" s="11">
        <f>IFERROR(IF(MARÍTIMOS[[#This Row],[Etapa Retiro - Ingreso]]="","",MARÍTIMOS[[#This Row],[Etapa Retiro - Ingreso]]),"")</f>
        <v>46241.636111111111</v>
      </c>
      <c r="V74" s="11">
        <f>IFERROR(IF(MARÍTIMOS[[#This Row],[Etapa Retiro - Atención]]="","",MARÍTIMOS[[#This Row],[Etapa Retiro - Atención]]),"")</f>
        <v>46241.637499999997</v>
      </c>
      <c r="W74" s="11">
        <f>IFERROR(IF(MARÍTIMOS[[#This Row],[Etapa Retiro - Salida]]="","",MARÍTIMOS[[#This Row],[Etapa Retiro - Salida]]),"")</f>
        <v>46241.743750000001</v>
      </c>
      <c r="X74" s="11">
        <f>IFERROR(IF(MARÍTIMOS[[#This Row],[Etapa Retiro - Inicio de Ruta]]="","",MARÍTIMOS[[#This Row],[Etapa Retiro - Inicio de Ruta]]),"")</f>
        <v>46241.765972222223</v>
      </c>
      <c r="Y74" s="11">
        <f>IFERROR(IF(MARÍTIMOS[[#This Row],[Hora de Posicionamiento]]="","",MARÍTIMOS[[#This Row],[Hora de Carga]]+MARÍTIMOS[[#This Row],[Hora de Posicionamiento]]),"")</f>
        <v>0.5</v>
      </c>
      <c r="Z74" s="11">
        <f>IFERROR(IF(MARÍTIMOS[[#This Row],[Etapa Despacho -  Llegada]]="","",MARÍTIMOS[[#This Row],[Etapa Despacho -  Llegada]]),"")</f>
        <v>46242.531944444447</v>
      </c>
      <c r="AA74" s="11">
        <f>IFERROR(IF(MARÍTIMOS[[#This Row],[Etapa Despacho -  Registro]]="","",MARÍTIMOS[[#This Row],[Etapa Despacho -  Registro]]),"")</f>
        <v>46242.563888888886</v>
      </c>
      <c r="AB74" s="11">
        <f>IFERROR(IF(MARÍTIMOS[[#This Row],[Inspección Externa]]="","",MARÍTIMOS[[#This Row],[Inspección Externa]]),"")</f>
        <v>46242.623611111114</v>
      </c>
      <c r="AC74" s="11">
        <f>IFERROR(IF(MARÍTIMOS[[#This Row],[Etapa Despacho -  Inicio de Carga]]="","",MARÍTIMOS[[#This Row],[Etapa Despacho -  Inicio de Carga]]),"")</f>
        <v>46242.852777777778</v>
      </c>
      <c r="AD74" s="11">
        <f>IFERROR(IF(MARÍTIMOS[[#This Row],[Etapa Despacho -  Fin de Carga]]="","",MARÍTIMOS[[#This Row],[Etapa Despacho -  Fin de Carga]]),"")</f>
        <v>46242.880555555559</v>
      </c>
      <c r="AE74" s="11">
        <f>IFERROR(IF(MARÍTIMOS[[#This Row],[Etapa Despacho -  Salida]]="","",MARÍTIMOS[[#This Row],[Etapa Despacho -  Salida]]),"")</f>
        <v>46242.930555555555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46243.708333333336</v>
      </c>
      <c r="AI74" s="11">
        <f>IFERROR(IF(MARÍTIMOS[[#This Row],[Etapa Ingreso - Llegada]]="","",MARÍTIMOS[[#This Row],[Etapa Ingreso - Llegada]]),"")</f>
        <v>46243.659722222219</v>
      </c>
      <c r="AJ74" s="11">
        <f>IFERROR(IF(MARÍTIMOS[[#This Row],[Etapa Ingreso - Ingeso]]="","",MARÍTIMOS[[#This Row],[Etapa Ingreso - Ingeso]]),"")</f>
        <v>46243.664583333331</v>
      </c>
      <c r="AK74" s="11">
        <f>IFERROR(IF(MARÍTIMOS[[#This Row],[Etapa Ingreso - Atención]]="","",MARÍTIMOS[[#This Row],[Etapa Ingreso - Atención]]),"")</f>
        <v>46243.67083333333</v>
      </c>
      <c r="AL74" s="11">
        <f>IFERROR(IF(MARÍTIMOS[[#This Row],[Etapa Ingreso - Salida]]="","",MARÍTIMOS[[#This Row],[Etapa Ingreso - Salida]]),"")</f>
        <v>46243.677083333336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4" s="5">
        <f>IFERROR(OLDBD[[#This Row],[Llegada a packing]]-OLDBD[[#This Row],[Inicio de Ruta]],"")</f>
        <v>0.76597222222335404</v>
      </c>
      <c r="AQ74" s="6">
        <f>IFERROR(OLDBD[[#This Row],[Inicio de Ruta]]-OLDBD[[#This Row],[Salida de almacén de retiro]],"")</f>
        <v>2.2222222221898846E-2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5.9722222227719612E-2</v>
      </c>
      <c r="AV74" s="9">
        <f>IFERROR(OLDBD[[#This Row],[Ingreso Packing]]-OLDBD[[#This Row],[Llegada a packing]],"")</f>
        <v>9.1666666667151731E-2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4" s="5">
        <f>IFERROR(OLDBD[[#This Row],[Llegada Almacén de Ingreso]]-OLDBD[[#This Row],[Salida Packing]],"")</f>
        <v>0.72916666666424135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4" s="45" t="s">
        <v>181</v>
      </c>
      <c r="BB74" s="53" t="str">
        <f>IFERROR(IF(MARÍTIMOS[[#This Row],[Estatus]]="","",MARÍTIMOS[[#This Row],[Estatus]]),"")</f>
        <v>Confirmado</v>
      </c>
      <c r="BC74" s="45"/>
      <c r="BD74" s="52">
        <f>IFERROR(OLDBD[[#This Row],[Salida de almacén de retiro]]-OLDBD[[#This Row],[Ingreso Almacén de retiro]],"")</f>
        <v>0.10763888889050577</v>
      </c>
      <c r="BE74" s="52">
        <f>IFERROR(OLDBD[[#This Row],[Fin de Carga]]-OLDBD[[#This Row],[Inicio de Carga]],"")</f>
        <v>2.7777777781011537E-2</v>
      </c>
    </row>
    <row r="75" spans="1:57" x14ac:dyDescent="0.35">
      <c r="A75" s="1"/>
      <c r="B75" s="1">
        <f>IFERROR(IF(MARÍTIMOS[[#This Row],[PP]]="","",MARÍTIMOS[[#This Row],[PP]]),"")</f>
        <v>32</v>
      </c>
      <c r="C75" s="1" t="str">
        <f>IFERROR(IF(MARÍTIMOS[[#This Row],[Sede]]="","",MARÍTIMOS[[#This Row],[Sede]]),"")</f>
        <v>Chao</v>
      </c>
      <c r="D75" s="1" t="str">
        <f>IFERROR(IF(MARÍTIMOS[[#This Row],[Instruction]]="","",MARÍTIMOS[[#This Row],[Instruction]]),"")</f>
        <v>RH-0443</v>
      </c>
      <c r="E75" s="1"/>
      <c r="F75" s="2" t="str">
        <f>IFERROR(IF(MARÍTIMOS[[#This Row],[Transportista]]="","",MARÍTIMOS[[#This Row],[Transportista]]),"")</f>
        <v>Expert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 xml:space="preserve">EXPERT TRANSPORT SAC </v>
      </c>
      <c r="I75" s="2">
        <f>IFERROR(IF(MARÍTIMOS[[#This Row],[RUC]]="","",MARÍTIMOS[[#This Row],[RUC]]),"")</f>
        <v>20544424751</v>
      </c>
      <c r="J75" s="2" t="str">
        <f>IFERROR(IF(MARÍTIMOS[[#This Row],[Placa Tracto]]="","",MARÍTIMOS[[#This Row],[Placa Tracto]]),"")</f>
        <v>V4N706</v>
      </c>
      <c r="K75" s="2" t="str">
        <f>IFERROR(IF(MARÍTIMOS[[#This Row],[Placa Carreta]]="","",MARÍTIMOS[[#This Row],[Placa Carreta]]),"")</f>
        <v>TJD977</v>
      </c>
      <c r="L75" s="46" t="str">
        <f>IFERROR(IF(MARÍTIMOS[[#This Row],[Conductor]]="","",MARÍTIMOS[[#This Row],[Conductor]]),"")</f>
        <v>MARIO WILMER AVENDAÑO ACHA</v>
      </c>
      <c r="M75" s="2" t="str">
        <f>IFERROR(IF(MARÍTIMOS[[#This Row],[Licencia]]="","",MARÍTIMOS[[#This Row],[Licencia]]),"")</f>
        <v>B46445299</v>
      </c>
      <c r="N75" s="2">
        <f>IFERROR(IF(MARÍTIMOS[[#This Row],[Número de Contacto]]="","",MARÍTIMOS[[#This Row],[Número de Contacto]]),"")</f>
        <v>946500525</v>
      </c>
      <c r="O75" s="10" t="str">
        <f>IFERROR(IF(MARÍTIMOS[[#This Row],[Booking|AWB|CRT]]="","",MARÍTIMOS[[#This Row],[Booking|AWB|CRT]]),"")</f>
        <v>PER9174394A</v>
      </c>
      <c r="P75" s="2" t="str">
        <f>IFERROR(IF(MARÍTIMOS[[#This Row],[Contenedor]]="","",MARÍTIMOS[[#This Row],[Contenedor]]),"")</f>
        <v>CAXU5294637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DPW</v>
      </c>
      <c r="S75" s="11">
        <f>IFERROR(IF(MARÍTIMOS[[#This Row],[Etapa Retiro - Cita]]="","",MARÍTIMOS[[#This Row],[Etapa Retiro - Cita]]),"")</f>
        <v>46243.708333333336</v>
      </c>
      <c r="T75" s="11">
        <f>IFERROR(IF(MARÍTIMOS[[#This Row],[Etapa Retiro - Llegada]]="","",MARÍTIMOS[[#This Row],[Etapa Retiro - Llegada]]),"")</f>
        <v>46243.717361111114</v>
      </c>
      <c r="U75" s="11">
        <f>IFERROR(IF(MARÍTIMOS[[#This Row],[Etapa Retiro - Ingreso]]="","",MARÍTIMOS[[#This Row],[Etapa Retiro - Ingreso]]),"")</f>
        <v>46243.759722222225</v>
      </c>
      <c r="V75" s="11">
        <f>IFERROR(IF(MARÍTIMOS[[#This Row],[Etapa Retiro - Atención]]="","",MARÍTIMOS[[#This Row],[Etapa Retiro - Atención]]),"")</f>
        <v>46243.768750000003</v>
      </c>
      <c r="W75" s="11">
        <f>IFERROR(IF(MARÍTIMOS[[#This Row],[Etapa Retiro - Salida]]="","",MARÍTIMOS[[#This Row],[Etapa Retiro - Salida]]),"")</f>
        <v>46243.880555555559</v>
      </c>
      <c r="X75" s="11">
        <f>IFERROR(IF(MARÍTIMOS[[#This Row],[Etapa Retiro - Inicio de Ruta]]="","",MARÍTIMOS[[#This Row],[Etapa Retiro - Inicio de Ruta]]),"")</f>
        <v>46243.902777777781</v>
      </c>
      <c r="Y75" s="11">
        <f>IFERROR(IF(MARÍTIMOS[[#This Row],[Hora de Posicionamiento]]="","",MARÍTIMOS[[#This Row],[Hora de Carga]]+MARÍTIMOS[[#This Row],[Hora de Posicionamiento]]),"")</f>
        <v>0.41666666666666669</v>
      </c>
      <c r="Z75" s="11">
        <f>IFERROR(IF(MARÍTIMOS[[#This Row],[Etapa Despacho -  Llegada]]="","",MARÍTIMOS[[#This Row],[Etapa Despacho -  Llegada]]),"")</f>
        <v>46244.706250000003</v>
      </c>
      <c r="AA75" s="11">
        <f>IFERROR(IF(MARÍTIMOS[[#This Row],[Etapa Despacho -  Registro]]="","",MARÍTIMOS[[#This Row],[Etapa Despacho -  Registro]]),"")</f>
        <v>46244.743055555555</v>
      </c>
      <c r="AB75" s="11">
        <f>IFERROR(IF(MARÍTIMOS[[#This Row],[Inspección Externa]]="","",MARÍTIMOS[[#This Row],[Inspección Externa]]),"")</f>
        <v>46244.753472222219</v>
      </c>
      <c r="AC75" s="11">
        <f>IFERROR(IF(MARÍTIMOS[[#This Row],[Etapa Despacho -  Inicio de Carga]]="","",MARÍTIMOS[[#This Row],[Etapa Despacho -  Inicio de Carga]]),"")</f>
        <v>46244.791666666664</v>
      </c>
      <c r="AD75" s="11">
        <f>IFERROR(IF(MARÍTIMOS[[#This Row],[Etapa Despacho -  Fin de Carga]]="","",MARÍTIMOS[[#This Row],[Etapa Despacho -  Fin de Carga]]),"")</f>
        <v>46244.819444444445</v>
      </c>
      <c r="AE75" s="11">
        <f>IFERROR(IF(MARÍTIMOS[[#This Row],[Etapa Despacho -  Salida]]="","",MARÍTIMOS[[#This Row],[Etapa Despacho -  Salida]]),"")</f>
        <v>46244.841666666667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46245.708333333336</v>
      </c>
      <c r="AI75" s="11">
        <f>IFERROR(IF(MARÍTIMOS[[#This Row],[Etapa Ingreso - Llegada]]="","",MARÍTIMOS[[#This Row],[Etapa Ingreso - Llegada]]),"")</f>
        <v>46245.671527777777</v>
      </c>
      <c r="AJ75" s="11">
        <f>IFERROR(IF(MARÍTIMOS[[#This Row],[Etapa Ingreso - Ingeso]]="","",MARÍTIMOS[[#This Row],[Etapa Ingreso - Ingeso]]),"")</f>
        <v>46245.673611111109</v>
      </c>
      <c r="AK75" s="11">
        <f>IFERROR(IF(MARÍTIMOS[[#This Row],[Etapa Ingreso - Atención]]="","",MARÍTIMOS[[#This Row],[Etapa Ingreso - Atención]]),"")</f>
        <v>46245.680555555555</v>
      </c>
      <c r="AL75" s="11">
        <f>IFERROR(IF(MARÍTIMOS[[#This Row],[Etapa Ingreso - Salida]]="","",MARÍTIMOS[[#This Row],[Etapa Ingreso - Salida]]),"")</f>
        <v>46245.708333333336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5" s="5">
        <f>IFERROR(OLDBD[[#This Row],[Llegada a packing]]-OLDBD[[#This Row],[Inicio de Ruta]],"")</f>
        <v>0.80347222222189885</v>
      </c>
      <c r="AQ75" s="6">
        <f>IFERROR(OLDBD[[#This Row],[Inicio de Ruta]]-OLDBD[[#This Row],[Salida de almacén de retiro]],"")</f>
        <v>2.2222222221898846E-2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5" s="9">
        <f>IFERROR(OLDBD[[#This Row],[Ingreso Packing]]-OLDBD[[#This Row],[Registro en Packing]],"")</f>
        <v>1.0416666664241347E-2</v>
      </c>
      <c r="AV75" s="9">
        <f>IFERROR(OLDBD[[#This Row],[Ingreso Packing]]-OLDBD[[#This Row],[Llegada a packing]],"")</f>
        <v>4.722222221607808E-2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5" s="5">
        <f>IFERROR(OLDBD[[#This Row],[Llegada Almacén de Ingreso]]-OLDBD[[#This Row],[Salida Packing]],"")</f>
        <v>0.82986111110949423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5" t="s">
        <v>181</v>
      </c>
      <c r="BB75" s="53" t="str">
        <f>IFERROR(IF(MARÍTIMOS[[#This Row],[Estatus]]="","",MARÍTIMOS[[#This Row],[Estatus]]),"")</f>
        <v>Confirmado</v>
      </c>
      <c r="BC75" s="45"/>
      <c r="BD75" s="52">
        <f>IFERROR(OLDBD[[#This Row],[Salida de almacén de retiro]]-OLDBD[[#This Row],[Ingreso Almacén de retiro]],"")</f>
        <v>0.12083333333430346</v>
      </c>
      <c r="BE75" s="52">
        <f>IFERROR(OLDBD[[#This Row],[Fin de Carga]]-OLDBD[[#This Row],[Inicio de Carga]],"")</f>
        <v>2.7777777781011537E-2</v>
      </c>
    </row>
    <row r="76" spans="1:57" x14ac:dyDescent="0.35">
      <c r="A76" s="1"/>
      <c r="B76" s="1">
        <f>IFERROR(IF(MARÍTIMOS[[#This Row],[PP]]="","",MARÍTIMOS[[#This Row],[PP]]),"")</f>
        <v>32</v>
      </c>
      <c r="C76" s="1" t="str">
        <f>IFERROR(IF(MARÍTIMOS[[#This Row],[Sede]]="","",MARÍTIMOS[[#This Row],[Sede]]),"")</f>
        <v>Chao</v>
      </c>
      <c r="D76" s="1" t="str">
        <f>IFERROR(IF(MARÍTIMOS[[#This Row],[Instruction]]="","",MARÍTIMOS[[#This Row],[Instruction]]),"")</f>
        <v>RH-0444</v>
      </c>
      <c r="E76" s="1"/>
      <c r="F76" s="2" t="str">
        <f>IFERROR(IF(MARÍTIMOS[[#This Row],[Transportista]]="","",MARÍTIMOS[[#This Row],[Transportista]]),"")</f>
        <v>Expert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 xml:space="preserve">EXPERT TRANSPORT SAC </v>
      </c>
      <c r="I76" s="2">
        <f>IFERROR(IF(MARÍTIMOS[[#This Row],[RUC]]="","",MARÍTIMOS[[#This Row],[RUC]]),"")</f>
        <v>20544424751</v>
      </c>
      <c r="J76" s="2" t="str">
        <f>IFERROR(IF(MARÍTIMOS[[#This Row],[Placa Tracto]]="","",MARÍTIMOS[[#This Row],[Placa Tracto]]),"")</f>
        <v>D1A797</v>
      </c>
      <c r="K76" s="2" t="str">
        <f>IFERROR(IF(MARÍTIMOS[[#This Row],[Placa Carreta]]="","",MARÍTIMOS[[#This Row],[Placa Carreta]]),"")</f>
        <v>TNQ977</v>
      </c>
      <c r="L76" s="46" t="str">
        <f>IFERROR(IF(MARÍTIMOS[[#This Row],[Conductor]]="","",MARÍTIMOS[[#This Row],[Conductor]]),"")</f>
        <v>FREDERIS JOSE PAVON RUIZ</v>
      </c>
      <c r="M76" s="2" t="str">
        <f>IFERROR(IF(MARÍTIMOS[[#This Row],[Licencia]]="","",MARÍTIMOS[[#This Row],[Licencia]]),"")</f>
        <v>Q005175672</v>
      </c>
      <c r="N76" s="2">
        <f>IFERROR(IF(MARÍTIMOS[[#This Row],[Número de Contacto]]="","",MARÍTIMOS[[#This Row],[Número de Contacto]]),"")</f>
        <v>904556157</v>
      </c>
      <c r="O76" s="10" t="str">
        <f>IFERROR(IF(MARÍTIMOS[[#This Row],[Booking|AWB|CRT]]="","",MARÍTIMOS[[#This Row],[Booking|AWB|CRT]]),"")</f>
        <v>PER9174395A</v>
      </c>
      <c r="P76" s="2" t="str">
        <f>IFERROR(IF(MARÍTIMOS[[#This Row],[Contenedor]]="","",MARÍTIMOS[[#This Row],[Contenedor]]),"")</f>
        <v>CAAU4166112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46243.833333333336</v>
      </c>
      <c r="T76" s="11">
        <f>IFERROR(IF(MARÍTIMOS[[#This Row],[Etapa Retiro - Llegada]]="","",MARÍTIMOS[[#This Row],[Etapa Retiro - Llegada]]),"")</f>
        <v>46243.822916666664</v>
      </c>
      <c r="U76" s="11">
        <f>IFERROR(IF(MARÍTIMOS[[#This Row],[Etapa Retiro - Ingreso]]="","",MARÍTIMOS[[#This Row],[Etapa Retiro - Ingreso]]),"")</f>
        <v>46243.909722222219</v>
      </c>
      <c r="V76" s="11">
        <f>IFERROR(IF(MARÍTIMOS[[#This Row],[Etapa Retiro - Atención]]="","",MARÍTIMOS[[#This Row],[Etapa Retiro - Atención]]),"")</f>
        <v>46243.910416666666</v>
      </c>
      <c r="W76" s="11">
        <f>IFERROR(IF(MARÍTIMOS[[#This Row],[Etapa Retiro - Salida]]="","",MARÍTIMOS[[#This Row],[Etapa Retiro - Salida]]),"")</f>
        <v>46243.961805555555</v>
      </c>
      <c r="X76" s="11">
        <f>IFERROR(IF(MARÍTIMOS[[#This Row],[Etapa Retiro - Inicio de Ruta]]="","",MARÍTIMOS[[#This Row],[Etapa Retiro - Inicio de Ruta]]),"")</f>
        <v>46243.981944444444</v>
      </c>
      <c r="Y76" s="11">
        <f>IFERROR(IF(MARÍTIMOS[[#This Row],[Hora de Posicionamiento]]="","",MARÍTIMOS[[#This Row],[Hora de Carga]]+MARÍTIMOS[[#This Row],[Hora de Posicionamiento]]),"")</f>
        <v>0.5</v>
      </c>
      <c r="Z76" s="11">
        <f>IFERROR(IF(MARÍTIMOS[[#This Row],[Etapa Despacho -  Llegada]]="","",MARÍTIMOS[[#This Row],[Etapa Despacho -  Llegada]]),"")</f>
        <v>46244.706944444442</v>
      </c>
      <c r="AA76" s="11">
        <f>IFERROR(IF(MARÍTIMOS[[#This Row],[Etapa Despacho -  Registro]]="","",MARÍTIMOS[[#This Row],[Etapa Despacho -  Registro]]),"")</f>
        <v>46244.728472222225</v>
      </c>
      <c r="AB76" s="11">
        <f>IFERROR(IF(MARÍTIMOS[[#This Row],[Inspección Externa]]="","",MARÍTIMOS[[#This Row],[Inspección Externa]]),"")</f>
        <v>46244.737500000003</v>
      </c>
      <c r="AC76" s="11">
        <f>IFERROR(IF(MARÍTIMOS[[#This Row],[Etapa Despacho -  Inicio de Carga]]="","",MARÍTIMOS[[#This Row],[Etapa Despacho -  Inicio de Carga]]),"")</f>
        <v>46244.78125</v>
      </c>
      <c r="AD76" s="11">
        <f>IFERROR(IF(MARÍTIMOS[[#This Row],[Etapa Despacho -  Fin de Carga]]="","",MARÍTIMOS[[#This Row],[Etapa Despacho -  Fin de Carga]]),"")</f>
        <v>46244.822916666664</v>
      </c>
      <c r="AE76" s="11">
        <f>IFERROR(IF(MARÍTIMOS[[#This Row],[Etapa Despacho -  Salida]]="","",MARÍTIMOS[[#This Row],[Etapa Despacho -  Salida]]),"")</f>
        <v>46244.835416666669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46245.666666666664</v>
      </c>
      <c r="AI76" s="11">
        <f>IFERROR(IF(MARÍTIMOS[[#This Row],[Etapa Ingreso - Llegada]]="","",MARÍTIMOS[[#This Row],[Etapa Ingreso - Llegada]]),"")</f>
        <v>46245.659722222219</v>
      </c>
      <c r="AJ76" s="11">
        <f>IFERROR(IF(MARÍTIMOS[[#This Row],[Etapa Ingreso - Ingeso]]="","",MARÍTIMOS[[#This Row],[Etapa Ingreso - Ingeso]]),"")</f>
        <v>46245.662499999999</v>
      </c>
      <c r="AK76" s="11">
        <f>IFERROR(IF(MARÍTIMOS[[#This Row],[Etapa Ingreso - Atención]]="","",MARÍTIMOS[[#This Row],[Etapa Ingreso - Atención]]),"")</f>
        <v>46245.669444444444</v>
      </c>
      <c r="AL76" s="11">
        <f>IFERROR(IF(MARÍTIMOS[[#This Row],[Etapa Ingreso - Salida]]="","",MARÍTIMOS[[#This Row],[Etapa Ingreso - Salida]]),"")</f>
        <v>46245.677083333336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6" s="5">
        <f>IFERROR(OLDBD[[#This Row],[Llegada a packing]]-OLDBD[[#This Row],[Inicio de Ruta]],"")</f>
        <v>0.72499999999854481</v>
      </c>
      <c r="AQ76" s="6">
        <f>IFERROR(OLDBD[[#This Row],[Inicio de Ruta]]-OLDBD[[#This Row],[Salida de almacén de retiro]],"")</f>
        <v>2.0138888889050577E-2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6" s="9">
        <f>IFERROR(OLDBD[[#This Row],[Ingreso Packing]]-OLDBD[[#This Row],[Registro en Packing]],"")</f>
        <v>9.0277777781011537E-3</v>
      </c>
      <c r="AV76" s="9">
        <f>IFERROR(OLDBD[[#This Row],[Ingreso Packing]]-OLDBD[[#This Row],[Llegada a packing]],"")</f>
        <v>3.0555555560567882E-2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6" s="5">
        <f>IFERROR(OLDBD[[#This Row],[Llegada Almacén de Ingreso]]-OLDBD[[#This Row],[Salida Packing]],"")</f>
        <v>0.82430555555038154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6" s="45" t="s">
        <v>181</v>
      </c>
      <c r="BB76" s="53" t="str">
        <f>IFERROR(IF(MARÍTIMOS[[#This Row],[Estatus]]="","",MARÍTIMOS[[#This Row],[Estatus]]),"")</f>
        <v>Confirmado</v>
      </c>
      <c r="BC76" s="45"/>
      <c r="BD76" s="52">
        <f>IFERROR(OLDBD[[#This Row],[Salida de almacén de retiro]]-OLDBD[[#This Row],[Ingreso Almacén de retiro]],"")</f>
        <v>5.2083333335758653E-2</v>
      </c>
      <c r="BE76" s="52">
        <f>IFERROR(OLDBD[[#This Row],[Fin de Carga]]-OLDBD[[#This Row],[Inicio de Carga]],"")</f>
        <v>4.1666666664241347E-2</v>
      </c>
    </row>
    <row r="77" spans="1:57" x14ac:dyDescent="0.35">
      <c r="A77" s="1"/>
      <c r="B77" s="1">
        <f>IFERROR(IF(MARÍTIMOS[[#This Row],[PP]]="","",MARÍTIMOS[[#This Row],[PP]]),"")</f>
        <v>32</v>
      </c>
      <c r="C77" s="1" t="str">
        <f>IFERROR(IF(MARÍTIMOS[[#This Row],[Sede]]="","",MARÍTIMOS[[#This Row],[Sede]]),"")</f>
        <v>Chao</v>
      </c>
      <c r="D77" s="1" t="str">
        <f>IFERROR(IF(MARÍTIMOS[[#This Row],[Instruction]]="","",MARÍTIMOS[[#This Row],[Instruction]]),"")</f>
        <v>RH-0449</v>
      </c>
      <c r="E77" s="1"/>
      <c r="F77" s="2" t="str">
        <f>IFERROR(IF(MARÍTIMOS[[#This Row],[Transportista]]="","",MARÍTIMOS[[#This Row],[Transportista]]),"")</f>
        <v>Expert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 xml:space="preserve">EXPERT TRANSPORT SAC </v>
      </c>
      <c r="I77" s="2">
        <f>IFERROR(IF(MARÍTIMOS[[#This Row],[RUC]]="","",MARÍTIMOS[[#This Row],[RUC]]),"")</f>
        <v>20544424751</v>
      </c>
      <c r="J77" s="2" t="str">
        <f>IFERROR(IF(MARÍTIMOS[[#This Row],[Placa Tracto]]="","",MARÍTIMOS[[#This Row],[Placa Tracto]]),"")</f>
        <v>V2N749</v>
      </c>
      <c r="K77" s="2" t="str">
        <f>IFERROR(IF(MARÍTIMOS[[#This Row],[Placa Carreta]]="","",MARÍTIMOS[[#This Row],[Placa Carreta]]),"")</f>
        <v>TNQ999</v>
      </c>
      <c r="L77" s="46" t="str">
        <f>IFERROR(IF(MARÍTIMOS[[#This Row],[Conductor]]="","",MARÍTIMOS[[#This Row],[Conductor]]),"")</f>
        <v>JUAN MIGUAL LAGOS VICHEZ</v>
      </c>
      <c r="M77" s="2" t="str">
        <f>IFERROR(IF(MARÍTIMOS[[#This Row],[Licencia]]="","",MARÍTIMOS[[#This Row],[Licencia]]),"")</f>
        <v>B05642160</v>
      </c>
      <c r="N77" s="2">
        <f>IFERROR(IF(MARÍTIMOS[[#This Row],[Número de Contacto]]="","",MARÍTIMOS[[#This Row],[Número de Contacto]]),"")</f>
        <v>952268872</v>
      </c>
      <c r="O77" s="10" t="str">
        <f>IFERROR(IF(MARÍTIMOS[[#This Row],[Booking|AWB|CRT]]="","",MARÍTIMOS[[#This Row],[Booking|AWB|CRT]]),"")</f>
        <v>BN80684</v>
      </c>
      <c r="P77" s="2" t="str">
        <f>IFERROR(IF(MARÍTIMOS[[#This Row],[Contenedor]]="","",MARÍTIMOS[[#This Row],[Contenedor]]),"")</f>
        <v>BMOU9333940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46243.416666666664</v>
      </c>
      <c r="T77" s="11">
        <f>IFERROR(IF(MARÍTIMOS[[#This Row],[Etapa Retiro - Llegada]]="","",MARÍTIMOS[[#This Row],[Etapa Retiro - Llegada]]),"")</f>
        <v>46243.418749999997</v>
      </c>
      <c r="U77" s="11">
        <f>IFERROR(IF(MARÍTIMOS[[#This Row],[Etapa Retiro - Ingreso]]="","",MARÍTIMOS[[#This Row],[Etapa Retiro - Ingreso]]),"")</f>
        <v>46243.433333333334</v>
      </c>
      <c r="V77" s="11">
        <f>IFERROR(IF(MARÍTIMOS[[#This Row],[Etapa Retiro - Atención]]="","",MARÍTIMOS[[#This Row],[Etapa Retiro - Atención]]),"")</f>
        <v>46243.465277777781</v>
      </c>
      <c r="W77" s="11">
        <f>IFERROR(IF(MARÍTIMOS[[#This Row],[Etapa Retiro - Salida]]="","",MARÍTIMOS[[#This Row],[Etapa Retiro - Salida]]),"")</f>
        <v>46243.498611111114</v>
      </c>
      <c r="X77" s="11">
        <f>IFERROR(IF(MARÍTIMOS[[#This Row],[Etapa Retiro - Inicio de Ruta]]="","",MARÍTIMOS[[#This Row],[Etapa Retiro - Inicio de Ruta]]),"")</f>
        <v>46243.501388888886</v>
      </c>
      <c r="Y77" s="11">
        <f>IFERROR(IF(MARÍTIMOS[[#This Row],[Hora de Posicionamiento]]="","",MARÍTIMOS[[#This Row],[Hora de Carga]]+MARÍTIMOS[[#This Row],[Hora de Posicionamiento]]),"")</f>
        <v>0.33333333333333331</v>
      </c>
      <c r="Z77" s="11">
        <f>IFERROR(IF(MARÍTIMOS[[#This Row],[Etapa Despacho -  Llegada]]="","",MARÍTIMOS[[#This Row],[Etapa Despacho -  Llegada]]),"")</f>
        <v>46244.311111111114</v>
      </c>
      <c r="AA77" s="11">
        <f>IFERROR(IF(MARÍTIMOS[[#This Row],[Etapa Despacho -  Registro]]="","",MARÍTIMOS[[#This Row],[Etapa Despacho -  Registro]]),"")</f>
        <v>46244.338194444441</v>
      </c>
      <c r="AB77" s="11">
        <f>IFERROR(IF(MARÍTIMOS[[#This Row],[Inspección Externa]]="","",MARÍTIMOS[[#This Row],[Inspección Externa]]),"")</f>
        <v>46244.347222222219</v>
      </c>
      <c r="AC77" s="11">
        <f>IFERROR(IF(MARÍTIMOS[[#This Row],[Etapa Despacho -  Inicio de Carga]]="","",MARÍTIMOS[[#This Row],[Etapa Despacho -  Inicio de Carga]]),"")</f>
        <v>46244.427083333336</v>
      </c>
      <c r="AD77" s="11">
        <f>IFERROR(IF(MARÍTIMOS[[#This Row],[Etapa Despacho -  Fin de Carga]]="","",MARÍTIMOS[[#This Row],[Etapa Despacho -  Fin de Carga]]),"")</f>
        <v>46244.5</v>
      </c>
      <c r="AE77" s="11">
        <f>IFERROR(IF(MARÍTIMOS[[#This Row],[Etapa Despacho -  Salida]]="","",MARÍTIMOS[[#This Row],[Etapa Despacho -  Salida]]),"")</f>
        <v>46244.534722222219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46245.416666666664</v>
      </c>
      <c r="AI77" s="11">
        <f>IFERROR(IF(MARÍTIMOS[[#This Row],[Etapa Ingreso - Llegada]]="","",MARÍTIMOS[[#This Row],[Etapa Ingreso - Llegada]]),"")</f>
        <v>46245.373611111114</v>
      </c>
      <c r="AJ77" s="11">
        <f>IFERROR(IF(MARÍTIMOS[[#This Row],[Etapa Ingreso - Ingeso]]="","",MARÍTIMOS[[#This Row],[Etapa Ingreso - Ingeso]]),"")</f>
        <v>46245.376388888886</v>
      </c>
      <c r="AK77" s="11">
        <f>IFERROR(IF(MARÍTIMOS[[#This Row],[Etapa Ingreso - Atención]]="","",MARÍTIMOS[[#This Row],[Etapa Ingreso - Atención]]),"")</f>
        <v>46245.384027777778</v>
      </c>
      <c r="AL77" s="11">
        <f>IFERROR(IF(MARÍTIMOS[[#This Row],[Etapa Ingreso - Salida]]="","",MARÍTIMOS[[#This Row],[Etapa Ingreso - Salida]]),"")</f>
        <v>46245.388888888891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7" s="5">
        <f>IFERROR(OLDBD[[#This Row],[Llegada a packing]]-OLDBD[[#This Row],[Inicio de Ruta]],"")</f>
        <v>0.80972222222771961</v>
      </c>
      <c r="AQ77" s="6">
        <f>IFERROR(OLDBD[[#This Row],[Inicio de Ruta]]-OLDBD[[#This Row],[Salida de almacén de retiro]],"")</f>
        <v>2.7777777722803876E-3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7" s="9">
        <f>IFERROR(OLDBD[[#This Row],[Ingreso Packing]]-OLDBD[[#This Row],[Registro en Packing]],"")</f>
        <v>9.0277777781011537E-3</v>
      </c>
      <c r="AV77" s="9">
        <f>IFERROR(OLDBD[[#This Row],[Ingreso Packing]]-OLDBD[[#This Row],[Llegada a packing]],"")</f>
        <v>3.6111111105128657E-2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0.83888888889487134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7" s="45" t="s">
        <v>181</v>
      </c>
      <c r="BB77" s="53" t="str">
        <f>IFERROR(IF(MARÍTIMOS[[#This Row],[Estatus]]="","",MARÍTIMOS[[#This Row],[Estatus]]),"")</f>
        <v>Confirmado</v>
      </c>
      <c r="BC77" s="45"/>
      <c r="BD77" s="52">
        <f>IFERROR(OLDBD[[#This Row],[Salida de almacén de retiro]]-OLDBD[[#This Row],[Ingreso Almacén de retiro]],"")</f>
        <v>6.5277777779556345E-2</v>
      </c>
      <c r="BE77" s="52">
        <f>IFERROR(OLDBD[[#This Row],[Fin de Carga]]-OLDBD[[#This Row],[Inicio de Carga]],"")</f>
        <v>7.2916666664241347E-2</v>
      </c>
    </row>
    <row r="78" spans="1:57" x14ac:dyDescent="0.35">
      <c r="A78" s="1"/>
      <c r="B78" s="1">
        <f>IFERROR(IF(MARÍTIMOS[[#This Row],[PP]]="","",MARÍTIMOS[[#This Row],[PP]]),"")</f>
        <v>32</v>
      </c>
      <c r="C78" s="1" t="str">
        <f>IFERROR(IF(MARÍTIMOS[[#This Row],[Sede]]="","",MARÍTIMOS[[#This Row],[Sede]]),"")</f>
        <v>Chao</v>
      </c>
      <c r="D78" s="1" t="str">
        <f>IFERROR(IF(MARÍTIMOS[[#This Row],[Instruction]]="","",MARÍTIMOS[[#This Row],[Instruction]]),"")</f>
        <v>RH-0450</v>
      </c>
      <c r="E78" s="1"/>
      <c r="F78" s="2" t="str">
        <f>IFERROR(IF(MARÍTIMOS[[#This Row],[Transportista]]="","",MARÍTIMOS[[#This Row],[Transportista]]),"")</f>
        <v>Expert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 xml:space="preserve">EXPERT TRANSPORT SAC </v>
      </c>
      <c r="I78" s="2">
        <f>IFERROR(IF(MARÍTIMOS[[#This Row],[RUC]]="","",MARÍTIMOS[[#This Row],[RUC]]),"")</f>
        <v>20544424751</v>
      </c>
      <c r="J78" s="2" t="str">
        <f>IFERROR(IF(MARÍTIMOS[[#This Row],[Placa Tracto]]="","",MARÍTIMOS[[#This Row],[Placa Tracto]]),"")</f>
        <v>C5Z734</v>
      </c>
      <c r="K78" s="2" t="str">
        <f>IFERROR(IF(MARÍTIMOS[[#This Row],[Placa Carreta]]="","",MARÍTIMOS[[#This Row],[Placa Carreta]]),"")</f>
        <v>TJE975</v>
      </c>
      <c r="L78" s="46" t="str">
        <f>IFERROR(IF(MARÍTIMOS[[#This Row],[Conductor]]="","",MARÍTIMOS[[#This Row],[Conductor]]),"")</f>
        <v>LUIS CARLOS LAMAS RUIZ</v>
      </c>
      <c r="M78" s="2" t="str">
        <f>IFERROR(IF(MARÍTIMOS[[#This Row],[Licencia]]="","",MARÍTIMOS[[#This Row],[Licencia]]),"")</f>
        <v>B009531613</v>
      </c>
      <c r="N78" s="2">
        <f>IFERROR(IF(MARÍTIMOS[[#This Row],[Número de Contacto]]="","",MARÍTIMOS[[#This Row],[Número de Contacto]]),"")</f>
        <v>986078320</v>
      </c>
      <c r="O78" s="10" t="str">
        <f>IFERROR(IF(MARÍTIMOS[[#This Row],[Booking|AWB|CRT]]="","",MARÍTIMOS[[#This Row],[Booking|AWB|CRT]]),"")</f>
        <v>BN80685</v>
      </c>
      <c r="P78" s="2" t="str">
        <f>IFERROR(IF(MARÍTIMOS[[#This Row],[Contenedor]]="","",MARÍTIMOS[[#This Row],[Contenedor]]),"")</f>
        <v>CAAU4283588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46243.416666666664</v>
      </c>
      <c r="T78" s="11">
        <f>IFERROR(IF(MARÍTIMOS[[#This Row],[Etapa Retiro - Llegada]]="","",MARÍTIMOS[[#This Row],[Etapa Retiro - Llegada]]),"")</f>
        <v>46243.413194444445</v>
      </c>
      <c r="U78" s="11">
        <f>IFERROR(IF(MARÍTIMOS[[#This Row],[Etapa Retiro - Ingreso]]="","",MARÍTIMOS[[#This Row],[Etapa Retiro - Ingreso]]),"")</f>
        <v>46243.431944444441</v>
      </c>
      <c r="V78" s="11">
        <f>IFERROR(IF(MARÍTIMOS[[#This Row],[Etapa Retiro - Atención]]="","",MARÍTIMOS[[#This Row],[Etapa Retiro - Atención]]),"")</f>
        <v>46243.451388888891</v>
      </c>
      <c r="W78" s="11">
        <f>IFERROR(IF(MARÍTIMOS[[#This Row],[Etapa Retiro - Salida]]="","",MARÍTIMOS[[#This Row],[Etapa Retiro - Salida]]),"")</f>
        <v>46243.493750000001</v>
      </c>
      <c r="X78" s="11">
        <f>IFERROR(IF(MARÍTIMOS[[#This Row],[Etapa Retiro - Inicio de Ruta]]="","",MARÍTIMOS[[#This Row],[Etapa Retiro - Inicio de Ruta]]),"")</f>
        <v>46243.501388888886</v>
      </c>
      <c r="Y78" s="11">
        <f>IFERROR(IF(MARÍTIMOS[[#This Row],[Hora de Posicionamiento]]="","",MARÍTIMOS[[#This Row],[Hora de Carga]]+MARÍTIMOS[[#This Row],[Hora de Posicionamiento]]),"")</f>
        <v>0.33333333333333331</v>
      </c>
      <c r="Z78" s="11">
        <f>IFERROR(IF(MARÍTIMOS[[#This Row],[Etapa Despacho -  Llegada]]="","",MARÍTIMOS[[#This Row],[Etapa Despacho -  Llegada]]),"")</f>
        <v>46244.306944444441</v>
      </c>
      <c r="AA78" s="11">
        <f>IFERROR(IF(MARÍTIMOS[[#This Row],[Etapa Despacho -  Registro]]="","",MARÍTIMOS[[#This Row],[Etapa Despacho -  Registro]]),"")</f>
        <v>46244.326388888891</v>
      </c>
      <c r="AB78" s="11">
        <f>IFERROR(IF(MARÍTIMOS[[#This Row],[Inspección Externa]]="","",MARÍTIMOS[[#This Row],[Inspección Externa]]),"")</f>
        <v>46244.386111111111</v>
      </c>
      <c r="AC78" s="11">
        <f>IFERROR(IF(MARÍTIMOS[[#This Row],[Etapa Despacho -  Inicio de Carga]]="","",MARÍTIMOS[[#This Row],[Etapa Despacho -  Inicio de Carga]]),"")</f>
        <v>46244.479166666664</v>
      </c>
      <c r="AD78" s="11">
        <f>IFERROR(IF(MARÍTIMOS[[#This Row],[Etapa Despacho -  Fin de Carga]]="","",MARÍTIMOS[[#This Row],[Etapa Despacho -  Fin de Carga]]),"")</f>
        <v>46244.54791666667</v>
      </c>
      <c r="AE78" s="11">
        <f>IFERROR(IF(MARÍTIMOS[[#This Row],[Etapa Despacho -  Salida]]="","",MARÍTIMOS[[#This Row],[Etapa Despacho -  Salida]]),"")</f>
        <v>46244.548611111109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46245.416666666664</v>
      </c>
      <c r="AI78" s="11">
        <f>IFERROR(IF(MARÍTIMOS[[#This Row],[Etapa Ingreso - Llegada]]="","",MARÍTIMOS[[#This Row],[Etapa Ingreso - Llegada]]),"")</f>
        <v>46245.385416666664</v>
      </c>
      <c r="AJ78" s="11">
        <f>IFERROR(IF(MARÍTIMOS[[#This Row],[Etapa Ingreso - Ingeso]]="","",MARÍTIMOS[[#This Row],[Etapa Ingreso - Ingeso]]),"")</f>
        <v>46245.388888888891</v>
      </c>
      <c r="AK78" s="11">
        <f>IFERROR(IF(MARÍTIMOS[[#This Row],[Etapa Ingreso - Atención]]="","",MARÍTIMOS[[#This Row],[Etapa Ingreso - Atención]]),"")</f>
        <v>46245.394444444442</v>
      </c>
      <c r="AL78" s="11">
        <f>IFERROR(IF(MARÍTIMOS[[#This Row],[Etapa Ingreso - Salida]]="","",MARÍTIMOS[[#This Row],[Etapa Ingreso - Salida]]),"")</f>
        <v>46245.40625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8" s="5">
        <f>IFERROR(OLDBD[[#This Row],[Llegada a packing]]-OLDBD[[#This Row],[Inicio de Ruta]],"")</f>
        <v>0.80555555555474712</v>
      </c>
      <c r="AQ78" s="6">
        <f>IFERROR(OLDBD[[#This Row],[Inicio de Ruta]]-OLDBD[[#This Row],[Salida de almacén de retiro]],"")</f>
        <v>7.6388888846850023E-3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8" s="9">
        <f>IFERROR(OLDBD[[#This Row],[Ingreso Packing]]-OLDBD[[#This Row],[Registro en Packing]],"")</f>
        <v>5.9722222220443655E-2</v>
      </c>
      <c r="AV78" s="9">
        <f>IFERROR(OLDBD[[#This Row],[Ingreso Packing]]-OLDBD[[#This Row],[Llegada a packing]],"")</f>
        <v>7.9166666670062114E-2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0.83680555555474712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8" s="45" t="s">
        <v>181</v>
      </c>
      <c r="BB78" s="53" t="str">
        <f>IFERROR(IF(MARÍTIMOS[[#This Row],[Estatus]]="","",MARÍTIMOS[[#This Row],[Estatus]]),"")</f>
        <v>Confirmado</v>
      </c>
      <c r="BC78" s="45"/>
      <c r="BD78" s="52">
        <f>IFERROR(OLDBD[[#This Row],[Salida de almacén de retiro]]-OLDBD[[#This Row],[Ingreso Almacén de retiro]],"")</f>
        <v>6.1805555560567882E-2</v>
      </c>
      <c r="BE78" s="52">
        <f>IFERROR(OLDBD[[#This Row],[Fin de Carga]]-OLDBD[[#This Row],[Inicio de Carga]],"")</f>
        <v>6.8750000005820766E-2</v>
      </c>
    </row>
    <row r="79" spans="1:57" x14ac:dyDescent="0.35">
      <c r="A79" s="1"/>
      <c r="B79" s="1">
        <f>IFERROR(IF(MARÍTIMOS[[#This Row],[PP]]="","",MARÍTIMOS[[#This Row],[PP]]),"")</f>
        <v>33</v>
      </c>
      <c r="C79" s="1" t="str">
        <f>IFERROR(IF(MARÍTIMOS[[#This Row],[Sede]]="","",MARÍTIMOS[[#This Row],[Sede]]),"")</f>
        <v>Chao</v>
      </c>
      <c r="D79" s="1" t="str">
        <f>IFERROR(IF(MARÍTIMOS[[#This Row],[Instruction]]="","",MARÍTIMOS[[#This Row],[Instruction]]),"")</f>
        <v>RH-0483</v>
      </c>
      <c r="E79" s="1"/>
      <c r="F79" s="2" t="str">
        <f>IFERROR(IF(MARÍTIMOS[[#This Row],[Transportista]]="","",MARÍTIMOS[[#This Row],[Transportista]]),"")</f>
        <v>Expert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 xml:space="preserve">EXPERT TRANSPORT SAC </v>
      </c>
      <c r="I79" s="2">
        <f>IFERROR(IF(MARÍTIMOS[[#This Row],[RUC]]="","",MARÍTIMOS[[#This Row],[RUC]]),"")</f>
        <v>20544424751</v>
      </c>
      <c r="J79" s="2" t="str">
        <f>IFERROR(IF(MARÍTIMOS[[#This Row],[Placa Tracto]]="","",MARÍTIMOS[[#This Row],[Placa Tracto]]),"")</f>
        <v>D1A797</v>
      </c>
      <c r="K79" s="2" t="str">
        <f>IFERROR(IF(MARÍTIMOS[[#This Row],[Placa Carreta]]="","",MARÍTIMOS[[#This Row],[Placa Carreta]]),"")</f>
        <v>TNQ977</v>
      </c>
      <c r="L79" s="46" t="str">
        <f>IFERROR(IF(MARÍTIMOS[[#This Row],[Conductor]]="","",MARÍTIMOS[[#This Row],[Conductor]]),"")</f>
        <v>FREDERIS JOSE PAVON RUIZ</v>
      </c>
      <c r="M79" s="2" t="str">
        <f>IFERROR(IF(MARÍTIMOS[[#This Row],[Licencia]]="","",MARÍTIMOS[[#This Row],[Licencia]]),"")</f>
        <v>Q005175672</v>
      </c>
      <c r="N79" s="2">
        <f>IFERROR(IF(MARÍTIMOS[[#This Row],[Número de Contacto]]="","",MARÍTIMOS[[#This Row],[Número de Contacto]]),"")</f>
        <v>904556157</v>
      </c>
      <c r="O79" s="10" t="str">
        <f>IFERROR(IF(MARÍTIMOS[[#This Row],[Booking|AWB|CRT]]="","",MARÍTIMOS[[#This Row],[Booking|AWB|CRT]]),"")</f>
        <v>MBM250067117</v>
      </c>
      <c r="P79" s="2" t="str">
        <f>IFERROR(IF(MARÍTIMOS[[#This Row],[Contenedor]]="","",MARÍTIMOS[[#This Row],[Contenedor]]),"")</f>
        <v>BMOU9621741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MACROMAR</v>
      </c>
      <c r="S79" s="11">
        <f>IFERROR(IF(MARÍTIMOS[[#This Row],[Etapa Retiro - Cita]]="","",MARÍTIMOS[[#This Row],[Etapa Retiro - Cita]]),"")</f>
        <v>46246.666666666664</v>
      </c>
      <c r="T79" s="11">
        <f>IFERROR(IF(MARÍTIMOS[[#This Row],[Etapa Retiro - Llegada]]="","",MARÍTIMOS[[#This Row],[Etapa Retiro - Llegada]]),"")</f>
        <v>46246.688194444447</v>
      </c>
      <c r="U79" s="11">
        <f>IFERROR(IF(MARÍTIMOS[[#This Row],[Etapa Retiro - Ingreso]]="","",MARÍTIMOS[[#This Row],[Etapa Retiro - Ingreso]]),"")</f>
        <v>46246.731249999997</v>
      </c>
      <c r="V79" s="11">
        <f>IFERROR(IF(MARÍTIMOS[[#This Row],[Etapa Retiro - Atención]]="","",MARÍTIMOS[[#This Row],[Etapa Retiro - Atención]]),"")</f>
        <v>46246.736111111109</v>
      </c>
      <c r="W79" s="11">
        <f>IFERROR(IF(MARÍTIMOS[[#This Row],[Etapa Retiro - Salida]]="","",MARÍTIMOS[[#This Row],[Etapa Retiro - Salida]]),"")</f>
        <v>46246.783333333333</v>
      </c>
      <c r="X79" s="11">
        <f>IFERROR(IF(MARÍTIMOS[[#This Row],[Etapa Retiro - Inicio de Ruta]]="","",MARÍTIMOS[[#This Row],[Etapa Retiro - Inicio de Ruta]]),"")</f>
        <v>46246.813888888886</v>
      </c>
      <c r="Y79" s="11">
        <f>IFERROR(IF(MARÍTIMOS[[#This Row],[Hora de Posicionamiento]]="","",MARÍTIMOS[[#This Row],[Hora de Carga]]+MARÍTIMOS[[#This Row],[Hora de Posicionamiento]]),"")</f>
        <v>0.54166666666666663</v>
      </c>
      <c r="Z79" s="11">
        <f>IFERROR(IF(MARÍTIMOS[[#This Row],[Etapa Despacho -  Llegada]]="","",MARÍTIMOS[[#This Row],[Etapa Despacho -  Llegada]]),"")</f>
        <v>46247.545138888891</v>
      </c>
      <c r="AA79" s="11">
        <f>IFERROR(IF(MARÍTIMOS[[#This Row],[Etapa Despacho -  Registro]]="","",MARÍTIMOS[[#This Row],[Etapa Despacho -  Registro]]),"")</f>
        <v>46247.54791666667</v>
      </c>
      <c r="AB79" s="11">
        <f>IFERROR(IF(MARÍTIMOS[[#This Row],[Inspección Externa]]="","",MARÍTIMOS[[#This Row],[Inspección Externa]]),"")</f>
        <v>46247.591666666667</v>
      </c>
      <c r="AC79" s="11">
        <f>IFERROR(IF(MARÍTIMOS[[#This Row],[Etapa Despacho -  Inicio de Carga]]="","",MARÍTIMOS[[#This Row],[Etapa Despacho -  Inicio de Carga]]),"")</f>
        <v>46247.62777777778</v>
      </c>
      <c r="AD79" s="11">
        <f>IFERROR(IF(MARÍTIMOS[[#This Row],[Etapa Despacho -  Fin de Carga]]="","",MARÍTIMOS[[#This Row],[Etapa Despacho -  Fin de Carga]]),"")</f>
        <v>46247.658333333333</v>
      </c>
      <c r="AE79" s="11">
        <f>IFERROR(IF(MARÍTIMOS[[#This Row],[Etapa Despacho -  Salida]]="","",MARÍTIMOS[[#This Row],[Etapa Despacho -  Salida]]),"")</f>
        <v>46247.670138888891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46248.5</v>
      </c>
      <c r="AI79" s="11">
        <f>IFERROR(IF(MARÍTIMOS[[#This Row],[Etapa Ingreso - Llegada]]="","",MARÍTIMOS[[#This Row],[Etapa Ingreso - Llegada]]),"")</f>
        <v>46248.464583333334</v>
      </c>
      <c r="AJ79" s="11">
        <f>IFERROR(IF(MARÍTIMOS[[#This Row],[Etapa Ingreso - Ingeso]]="","",MARÍTIMOS[[#This Row],[Etapa Ingreso - Ingeso]]),"")</f>
        <v>46248.46875</v>
      </c>
      <c r="AK79" s="11">
        <f>IFERROR(IF(MARÍTIMOS[[#This Row],[Etapa Ingreso - Atención]]="","",MARÍTIMOS[[#This Row],[Etapa Ingreso - Atención]]),"")</f>
        <v>46248.470833333333</v>
      </c>
      <c r="AL79" s="11">
        <f>IFERROR(IF(MARÍTIMOS[[#This Row],[Etapa Ingreso - Salida]]="","",MARÍTIMOS[[#This Row],[Etapa Ingreso - Salida]]),"")</f>
        <v>46248.478472222225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9" s="5">
        <f>IFERROR(OLDBD[[#This Row],[Llegada a packing]]-OLDBD[[#This Row],[Inicio de Ruta]],"")</f>
        <v>0.73125000000436557</v>
      </c>
      <c r="AQ79" s="6">
        <f>IFERROR(OLDBD[[#This Row],[Inicio de Ruta]]-OLDBD[[#This Row],[Salida de almacén de retiro]],"")</f>
        <v>3.0555555553291924E-2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9" s="9">
        <f>IFERROR(OLDBD[[#This Row],[Ingreso Packing]]-OLDBD[[#This Row],[Registro en Packing]],"")</f>
        <v>4.3749999997089617E-2</v>
      </c>
      <c r="AV79" s="9">
        <f>IFERROR(OLDBD[[#This Row],[Ingreso Packing]]-OLDBD[[#This Row],[Llegada a packing]],"")</f>
        <v>4.6527777776645962E-2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0.79444444444379769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5" t="s">
        <v>181</v>
      </c>
      <c r="BB79" s="53" t="str">
        <f>IFERROR(IF(MARÍTIMOS[[#This Row],[Estatus]]="","",MARÍTIMOS[[#This Row],[Estatus]]),"")</f>
        <v>Confirmado</v>
      </c>
      <c r="BC79" s="45"/>
      <c r="BD79" s="52">
        <f>IFERROR(OLDBD[[#This Row],[Salida de almacén de retiro]]-OLDBD[[#This Row],[Ingreso Almacén de retiro]],"")</f>
        <v>5.2083333335758653E-2</v>
      </c>
      <c r="BE79" s="52">
        <f>IFERROR(OLDBD[[#This Row],[Fin de Carga]]-OLDBD[[#This Row],[Inicio de Carga]],"")</f>
        <v>3.0555555553291924E-2</v>
      </c>
    </row>
    <row r="80" spans="1:57" x14ac:dyDescent="0.35">
      <c r="A80" s="1"/>
      <c r="B80" s="1">
        <f>IFERROR(IF(MARÍTIMOS[[#This Row],[PP]]="","",MARÍTIMOS[[#This Row],[PP]]),"")</f>
        <v>33</v>
      </c>
      <c r="C80" s="1" t="str">
        <f>IFERROR(IF(MARÍTIMOS[[#This Row],[Sede]]="","",MARÍTIMOS[[#This Row],[Sede]]),"")</f>
        <v>Chao</v>
      </c>
      <c r="D80" s="1" t="str">
        <f>IFERROR(IF(MARÍTIMOS[[#This Row],[Instruction]]="","",MARÍTIMOS[[#This Row],[Instruction]]),"")</f>
        <v>RH-0501</v>
      </c>
      <c r="E80" s="1"/>
      <c r="F80" s="2" t="str">
        <f>IFERROR(IF(MARÍTIMOS[[#This Row],[Transportista]]="","",MARÍTIMOS[[#This Row],[Transportista]]),"")</f>
        <v>Expert Transport</v>
      </c>
      <c r="G80" s="2" t="str">
        <f>IFERROR(IF(MARÍTIMOS[[#This Row],[Tercero]]="","",MARÍTIMOS[[#This Row],[Tercero]]),"")</f>
        <v>NO</v>
      </c>
      <c r="H80" s="2" t="str">
        <f>IFERROR(IF(MARÍTIMOS[[#This Row],[Razón Social]]="","",MARÍTIMOS[[#This Row],[Razón Social]]),"")</f>
        <v xml:space="preserve">EXPERT TRANSPORT SAC </v>
      </c>
      <c r="I80" s="2">
        <f>IFERROR(IF(MARÍTIMOS[[#This Row],[RUC]]="","",MARÍTIMOS[[#This Row],[RUC]]),"")</f>
        <v>20544424751</v>
      </c>
      <c r="J80" s="2" t="str">
        <f>IFERROR(IF(MARÍTIMOS[[#This Row],[Placa Tracto]]="","",MARÍTIMOS[[#This Row],[Placa Tracto]]),"")</f>
        <v>C5Z734</v>
      </c>
      <c r="K80" s="2" t="str">
        <f>IFERROR(IF(MARÍTIMOS[[#This Row],[Placa Carreta]]="","",MARÍTIMOS[[#This Row],[Placa Carreta]]),"")</f>
        <v>TJE975</v>
      </c>
      <c r="L80" s="46" t="str">
        <f>IFERROR(IF(MARÍTIMOS[[#This Row],[Conductor]]="","",MARÍTIMOS[[#This Row],[Conductor]]),"")</f>
        <v>LUIS CARLOS LAMAS RUIZ</v>
      </c>
      <c r="M80" s="2" t="str">
        <f>IFERROR(IF(MARÍTIMOS[[#This Row],[Licencia]]="","",MARÍTIMOS[[#This Row],[Licencia]]),"")</f>
        <v>B009531613</v>
      </c>
      <c r="N80" s="2">
        <f>IFERROR(IF(MARÍTIMOS[[#This Row],[Número de Contacto]]="","",MARÍTIMOS[[#This Row],[Número de Contacto]]),"")</f>
        <v>986078320</v>
      </c>
      <c r="O80" s="10" t="str">
        <f>IFERROR(IF(MARÍTIMOS[[#This Row],[Booking|AWB|CRT]]="","",MARÍTIMOS[[#This Row],[Booking|AWB|CRT]]),"")</f>
        <v>PER9184417A</v>
      </c>
      <c r="P80" s="2" t="str">
        <f>IFERROR(IF(MARÍTIMOS[[#This Row],[Contenedor]]="","",MARÍTIMOS[[#This Row],[Contenedor]]),"")</f>
        <v>SEKU9375362 </v>
      </c>
      <c r="Q80" s="2" t="str">
        <f>IFERROR(IF(MARÍTIMOS[[#This Row],[Puerto de Retiro]]="","",MARÍTIMOS[[#This Row],[Puerto de Retiro]]),"")</f>
        <v>PAITA</v>
      </c>
      <c r="R80" s="2" t="str">
        <f>IFERROR(IF(MARÍTIMOS[[#This Row],[Almacén de Retiro]]="","",MARÍTIMOS[[#This Row],[Almacén de Retiro]]),"")</f>
        <v>DPW</v>
      </c>
      <c r="S80" s="11">
        <f>IFERROR(IF(MARÍTIMOS[[#This Row],[Etapa Retiro - Cita]]="","",MARÍTIMOS[[#This Row],[Etapa Retiro - Cita]]),"")</f>
        <v>46248.625</v>
      </c>
      <c r="T80" s="11">
        <f>IFERROR(IF(MARÍTIMOS[[#This Row],[Etapa Retiro - Llegada]]="","",MARÍTIMOS[[#This Row],[Etapa Retiro - Llegada]]),"")</f>
        <v>46244.631944444445</v>
      </c>
      <c r="U80" s="11">
        <f>IFERROR(IF(MARÍTIMOS[[#This Row],[Etapa Retiro - Ingreso]]="","",MARÍTIMOS[[#This Row],[Etapa Retiro - Ingreso]]),"")</f>
        <v>46248.634027777778</v>
      </c>
      <c r="V80" s="11">
        <f>IFERROR(IF(MARÍTIMOS[[#This Row],[Etapa Retiro - Atención]]="","",MARÍTIMOS[[#This Row],[Etapa Retiro - Atención]]),"")</f>
        <v>46248.671527777777</v>
      </c>
      <c r="W80" s="11">
        <f>IFERROR(IF(MARÍTIMOS[[#This Row],[Etapa Retiro - Salida]]="","",MARÍTIMOS[[#This Row],[Etapa Retiro - Salida]]),"")</f>
        <v>46248.808333333334</v>
      </c>
      <c r="X80" s="11">
        <f>IFERROR(IF(MARÍTIMOS[[#This Row],[Etapa Retiro - Inicio de Ruta]]="","",MARÍTIMOS[[#This Row],[Etapa Retiro - Inicio de Ruta]]),"")</f>
        <v>46248.824999999997</v>
      </c>
      <c r="Y80" s="11">
        <f>IFERROR(IF(MARÍTIMOS[[#This Row],[Hora de Posicionamiento]]="","",MARÍTIMOS[[#This Row],[Hora de Carga]]+MARÍTIMOS[[#This Row],[Hora de Posicionamiento]]),"")</f>
        <v>0.58333333333333337</v>
      </c>
      <c r="Z80" s="11">
        <f>IFERROR(IF(MARÍTIMOS[[#This Row],[Etapa Despacho -  Llegada]]="","",MARÍTIMOS[[#This Row],[Etapa Despacho -  Llegada]]),"")</f>
        <v>46249.519444444442</v>
      </c>
      <c r="AA80" s="11">
        <f>IFERROR(IF(MARÍTIMOS[[#This Row],[Etapa Despacho -  Registro]]="","",MARÍTIMOS[[#This Row],[Etapa Despacho -  Registro]]),"")</f>
        <v>46249.527777777781</v>
      </c>
      <c r="AB80" s="11">
        <f>IFERROR(IF(MARÍTIMOS[[#This Row],[Inspección Externa]]="","",MARÍTIMOS[[#This Row],[Inspección Externa]]),"")</f>
        <v>46249.547222222223</v>
      </c>
      <c r="AC80" s="11">
        <f>IFERROR(IF(MARÍTIMOS[[#This Row],[Etapa Despacho -  Inicio de Carga]]="","",MARÍTIMOS[[#This Row],[Etapa Despacho -  Inicio de Carga]]),"")</f>
        <v>46249.668749999997</v>
      </c>
      <c r="AD80" s="11">
        <f>IFERROR(IF(MARÍTIMOS[[#This Row],[Etapa Despacho -  Fin de Carga]]="","",MARÍTIMOS[[#This Row],[Etapa Despacho -  Fin de Carga]]),"")</f>
        <v>46249.691666666666</v>
      </c>
      <c r="AE80" s="11">
        <f>IFERROR(IF(MARÍTIMOS[[#This Row],[Etapa Despacho -  Salida]]="","",MARÍTIMOS[[#This Row],[Etapa Despacho -  Salida]]),"")</f>
        <v>46249.709722222222</v>
      </c>
      <c r="AF80" s="2" t="str">
        <f>IFERROR(IF(MARÍTIMOS[[#This Row],[Puerto de Embarque]]="","",MARÍTIMOS[[#This Row],[Puerto de Embarque]]),"")</f>
        <v>Paita</v>
      </c>
      <c r="AG80" s="2" t="str">
        <f>IFERROR(IF(MARÍTIMOS[[#This Row],[Almacén de Ingreso]]="","",MARÍTIMOS[[#This Row],[Almacén de Ingreso]]),"")</f>
        <v>TPE</v>
      </c>
      <c r="AH80" s="11">
        <f>IFERROR(IF(MARÍTIMOS[[#This Row],[Etapa Ingreso - Cita]]="","",MARÍTIMOS[[#This Row],[Etapa Ingreso - Cita]]),"")</f>
        <v>46250.5</v>
      </c>
      <c r="AI80" s="11">
        <f>IFERROR(IF(MARÍTIMOS[[#This Row],[Etapa Ingreso - Llegada]]="","",MARÍTIMOS[[#This Row],[Etapa Ingreso - Llegada]]),"")</f>
        <v>46250.45208333333</v>
      </c>
      <c r="AJ80" s="11">
        <f>IFERROR(IF(MARÍTIMOS[[#This Row],[Etapa Ingreso - Ingeso]]="","",MARÍTIMOS[[#This Row],[Etapa Ingreso - Ingeso]]),"")</f>
        <v>46250.456250000003</v>
      </c>
      <c r="AK80" s="11">
        <f>IFERROR(IF(MARÍTIMOS[[#This Row],[Etapa Ingreso - Atención]]="","",MARÍTIMOS[[#This Row],[Etapa Ingreso - Atención]]),"")</f>
        <v>46250.458333333336</v>
      </c>
      <c r="AL80" s="11">
        <f>IFERROR(IF(MARÍTIMOS[[#This Row],[Etapa Ingreso - Salida]]="","",MARÍTIMOS[[#This Row],[Etapa Ingreso - Salida]]),"")</f>
        <v>46250.463194444441</v>
      </c>
      <c r="AM80" s="2">
        <f>IFERROR(IF(MARÍTIMOS[[#This Row],[FCL]]="","",MARÍTIMOS[[#This Row],[FCL]]),"")</f>
        <v>1</v>
      </c>
      <c r="AN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0" s="5">
        <f>IFERROR(OLDBD[[#This Row],[Llegada a packing]]-OLDBD[[#This Row],[Inicio de Ruta]],"")</f>
        <v>0.69444444444525288</v>
      </c>
      <c r="AQ80" s="6">
        <f>IFERROR(OLDBD[[#This Row],[Inicio de Ruta]]-OLDBD[[#This Row],[Salida de almacén de retiro]],"")</f>
        <v>1.6666666662786156E-2</v>
      </c>
      <c r="AR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0" s="9">
        <f>IFERROR(OLDBD[[#This Row],[Ingreso Packing]]-OLDBD[[#This Row],[Registro en Packing]],"")</f>
        <v>1.9444444442342501E-2</v>
      </c>
      <c r="AV80" s="9">
        <f>IFERROR(OLDBD[[#This Row],[Ingreso Packing]]-OLDBD[[#This Row],[Llegada a packing]],"")</f>
        <v>2.7777777781011537E-2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0" s="5">
        <f>IFERROR(OLDBD[[#This Row],[Llegada Almacén de Ingreso]]-OLDBD[[#This Row],[Salida Packing]],"")</f>
        <v>0.74236111110803904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45" t="s">
        <v>181</v>
      </c>
      <c r="BB80" s="53" t="str">
        <f>IFERROR(IF(MARÍTIMOS[[#This Row],[Estatus]]="","",MARÍTIMOS[[#This Row],[Estatus]]),"")</f>
        <v>Confirmado</v>
      </c>
      <c r="BC80" s="45"/>
      <c r="BD80" s="52">
        <f>IFERROR(OLDBD[[#This Row],[Salida de almacén de retiro]]-OLDBD[[#This Row],[Ingreso Almacén de retiro]],"")</f>
        <v>0.17430555555620231</v>
      </c>
      <c r="BE80" s="52">
        <f>IFERROR(OLDBD[[#This Row],[Fin de Carga]]-OLDBD[[#This Row],[Inicio de Carga]],"")</f>
        <v>2.2916666668606922E-2</v>
      </c>
    </row>
    <row r="81" spans="1:57" x14ac:dyDescent="0.35">
      <c r="A81" s="1"/>
      <c r="B81" s="1">
        <f>IFERROR(IF(MARÍTIMOS[[#This Row],[PP]]="","",MARÍTIMOS[[#This Row],[PP]]),"")</f>
        <v>33</v>
      </c>
      <c r="C81" s="1" t="str">
        <f>IFERROR(IF(MARÍTIMOS[[#This Row],[Sede]]="","",MARÍTIMOS[[#This Row],[Sede]]),"")</f>
        <v>Chao</v>
      </c>
      <c r="D81" s="1" t="str">
        <f>IFERROR(IF(MARÍTIMOS[[#This Row],[Instruction]]="","",MARÍTIMOS[[#This Row],[Instruction]]),"")</f>
        <v>RH-0490</v>
      </c>
      <c r="E81" s="1"/>
      <c r="F81" s="2" t="str">
        <f>IFERROR(IF(MARÍTIMOS[[#This Row],[Transportista]]="","",MARÍTIMOS[[#This Row],[Transportista]]),"")</f>
        <v>Expert Transport</v>
      </c>
      <c r="G81" s="2" t="str">
        <f>IFERROR(IF(MARÍTIMOS[[#This Row],[Tercero]]="","",MARÍTIMOS[[#This Row],[Tercero]]),"")</f>
        <v>NO</v>
      </c>
      <c r="H81" s="2" t="str">
        <f>IFERROR(IF(MARÍTIMOS[[#This Row],[Razón Social]]="","",MARÍTIMOS[[#This Row],[Razón Social]]),"")</f>
        <v xml:space="preserve">EXPERT TRANSPORT SAC </v>
      </c>
      <c r="I81" s="2">
        <f>IFERROR(IF(MARÍTIMOS[[#This Row],[RUC]]="","",MARÍTIMOS[[#This Row],[RUC]]),"")</f>
        <v>20544424751</v>
      </c>
      <c r="J81" s="2" t="str">
        <f>IFERROR(IF(MARÍTIMOS[[#This Row],[Placa Tracto]]="","",MARÍTIMOS[[#This Row],[Placa Tracto]]),"")</f>
        <v>BYR872</v>
      </c>
      <c r="K81" s="2" t="str">
        <f>IFERROR(IF(MARÍTIMOS[[#This Row],[Placa Carreta]]="","",MARÍTIMOS[[#This Row],[Placa Carreta]]),"")</f>
        <v>A3K983</v>
      </c>
      <c r="L81" s="46" t="str">
        <f>IFERROR(IF(MARÍTIMOS[[#This Row],[Conductor]]="","",MARÍTIMOS[[#This Row],[Conductor]]),"")</f>
        <v>HUMBERTO JESÚS SUAREZ ARGUINZONES</v>
      </c>
      <c r="M81" s="2" t="str">
        <f>IFERROR(IF(MARÍTIMOS[[#This Row],[Licencia]]="","",MARÍTIMOS[[#This Row],[Licencia]]),"")</f>
        <v>B007168026</v>
      </c>
      <c r="N81" s="2">
        <f>IFERROR(IF(MARÍTIMOS[[#This Row],[Número de Contacto]]="","",MARÍTIMOS[[#This Row],[Número de Contacto]]),"")</f>
        <v>934270711</v>
      </c>
      <c r="O81" s="10" t="str">
        <f>IFERROR(IF(MARÍTIMOS[[#This Row],[Booking|AWB|CRT]]="","",MARÍTIMOS[[#This Row],[Booking|AWB|CRT]]),"")</f>
        <v>BN81290</v>
      </c>
      <c r="P81" s="2" t="str">
        <f>IFERROR(IF(MARÍTIMOS[[#This Row],[Contenedor]]="","",MARÍTIMOS[[#This Row],[Contenedor]]),"")</f>
        <v>TEMU9491831</v>
      </c>
      <c r="Q81" s="2" t="str">
        <f>IFERROR(IF(MARÍTIMOS[[#This Row],[Puerto de Retiro]]="","",MARÍTIMOS[[#This Row],[Puerto de Retiro]]),"")</f>
        <v>PAITA</v>
      </c>
      <c r="R81" s="2" t="str">
        <f>IFERROR(IF(MARÍTIMOS[[#This Row],[Almacén de Retiro]]="","",MARÍTIMOS[[#This Row],[Almacén de Retiro]]),"")</f>
        <v>DPW</v>
      </c>
      <c r="S81" s="11">
        <f>IFERROR(IF(MARÍTIMOS[[#This Row],[Etapa Retiro - Cita]]="","",MARÍTIMOS[[#This Row],[Etapa Retiro - Cita]]),"")</f>
        <v>46249.625</v>
      </c>
      <c r="T81" s="11">
        <f>IFERROR(IF(MARÍTIMOS[[#This Row],[Etapa Retiro - Llegada]]="","",MARÍTIMOS[[#This Row],[Etapa Retiro - Llegada]]),"")</f>
        <v>46249.613888888889</v>
      </c>
      <c r="U81" s="11">
        <f>IFERROR(IF(MARÍTIMOS[[#This Row],[Etapa Retiro - Ingreso]]="","",MARÍTIMOS[[#This Row],[Etapa Retiro - Ingreso]]),"")</f>
        <v>46249.673611111109</v>
      </c>
      <c r="V81" s="11">
        <f>IFERROR(IF(MARÍTIMOS[[#This Row],[Etapa Retiro - Atención]]="","",MARÍTIMOS[[#This Row],[Etapa Retiro - Atención]]),"")</f>
        <v>46249.677777777775</v>
      </c>
      <c r="W81" s="11">
        <f>IFERROR(IF(MARÍTIMOS[[#This Row],[Etapa Retiro - Salida]]="","",MARÍTIMOS[[#This Row],[Etapa Retiro - Salida]]),"")</f>
        <v>46249.776388888888</v>
      </c>
      <c r="X81" s="11">
        <f>IFERROR(IF(MARÍTIMOS[[#This Row],[Etapa Retiro - Inicio de Ruta]]="","",MARÍTIMOS[[#This Row],[Etapa Retiro - Inicio de Ruta]]),"")</f>
        <v>46249.802083333336</v>
      </c>
      <c r="Y81" s="11">
        <f>IFERROR(IF(MARÍTIMOS[[#This Row],[Hora de Posicionamiento]]="","",MARÍTIMOS[[#This Row],[Hora de Carga]]+MARÍTIMOS[[#This Row],[Hora de Posicionamiento]]),"")</f>
        <v>0.58333333333333337</v>
      </c>
      <c r="Z81" s="11">
        <f>IFERROR(IF(MARÍTIMOS[[#This Row],[Etapa Despacho -  Llegada]]="","",MARÍTIMOS[[#This Row],[Etapa Despacho -  Llegada]]),"")</f>
        <v>46250.579861111109</v>
      </c>
      <c r="AA81" s="11">
        <f>IFERROR(IF(MARÍTIMOS[[#This Row],[Etapa Despacho -  Registro]]="","",MARÍTIMOS[[#This Row],[Etapa Despacho -  Registro]]),"")</f>
        <v>46250.593055555553</v>
      </c>
      <c r="AB81" s="11">
        <f>IFERROR(IF(MARÍTIMOS[[#This Row],[Inspección Externa]]="","",MARÍTIMOS[[#This Row],[Inspección Externa]]),"")</f>
        <v>46250.583333333336</v>
      </c>
      <c r="AC81" s="11">
        <f>IFERROR(IF(MARÍTIMOS[[#This Row],[Etapa Despacho -  Inicio de Carga]]="","",MARÍTIMOS[[#This Row],[Etapa Despacho -  Inicio de Carga]]),"")</f>
        <v>46250.655555555553</v>
      </c>
      <c r="AD81" s="11">
        <f>IFERROR(IF(MARÍTIMOS[[#This Row],[Etapa Despacho -  Fin de Carga]]="","",MARÍTIMOS[[#This Row],[Etapa Despacho -  Fin de Carga]]),"")</f>
        <v>46250.694444444445</v>
      </c>
      <c r="AE81" s="11">
        <f>IFERROR(IF(MARÍTIMOS[[#This Row],[Etapa Despacho -  Salida]]="","",MARÍTIMOS[[#This Row],[Etapa Despacho -  Salida]]),"")</f>
        <v>46250.755555555559</v>
      </c>
      <c r="AF81" s="2" t="str">
        <f>IFERROR(IF(MARÍTIMOS[[#This Row],[Puerto de Embarque]]="","",MARÍTIMOS[[#This Row],[Puerto de Embarque]]),"")</f>
        <v>Paita</v>
      </c>
      <c r="AG81" s="2" t="str">
        <f>IFERROR(IF(MARÍTIMOS[[#This Row],[Almacén de Ingreso]]="","",MARÍTIMOS[[#This Row],[Almacén de Ingreso]]),"")</f>
        <v>TPE</v>
      </c>
      <c r="AH81" s="11">
        <f>IFERROR(IF(MARÍTIMOS[[#This Row],[Etapa Ingreso - Cita]]="","",MARÍTIMOS[[#This Row],[Etapa Ingreso - Cita]]),"")</f>
        <v>46251.625</v>
      </c>
      <c r="AI81" s="11">
        <f>IFERROR(IF(MARÍTIMOS[[#This Row],[Etapa Ingreso - Llegada]]="","",MARÍTIMOS[[#This Row],[Etapa Ingreso - Llegada]]),"")</f>
        <v>46251.615972222222</v>
      </c>
      <c r="AJ81" s="11">
        <f>IFERROR(IF(MARÍTIMOS[[#This Row],[Etapa Ingreso - Ingeso]]="","",MARÍTIMOS[[#This Row],[Etapa Ingreso - Ingeso]]),"")</f>
        <v>46251.619444444441</v>
      </c>
      <c r="AK81" s="11">
        <f>IFERROR(IF(MARÍTIMOS[[#This Row],[Etapa Ingreso - Atención]]="","",MARÍTIMOS[[#This Row],[Etapa Ingreso - Atención]]),"")</f>
        <v>46251.626388888886</v>
      </c>
      <c r="AL81" s="11">
        <f>IFERROR(IF(MARÍTIMOS[[#This Row],[Etapa Ingreso - Salida]]="","",MARÍTIMOS[[#This Row],[Etapa Ingreso - Salida]]),"")</f>
        <v>46251.626388888886</v>
      </c>
      <c r="AM81" s="2">
        <f>IFERROR(IF(MARÍTIMOS[[#This Row],[FCL]]="","",MARÍTIMOS[[#This Row],[FCL]]),"")</f>
        <v>1</v>
      </c>
      <c r="AN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1" s="5">
        <f>IFERROR(OLDBD[[#This Row],[Llegada a packing]]-OLDBD[[#This Row],[Inicio de Ruta]],"")</f>
        <v>0.77777777777373558</v>
      </c>
      <c r="AQ81" s="6">
        <f>IFERROR(OLDBD[[#This Row],[Inicio de Ruta]]-OLDBD[[#This Row],[Salida de almacén de retiro]],"")</f>
        <v>2.5694444448163267E-2</v>
      </c>
      <c r="AR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1" s="9">
        <f>IFERROR(OLDBD[[#This Row],[Ingreso Packing]]-OLDBD[[#This Row],[Registro en Packing]],"")</f>
        <v>-9.7222222175332718E-3</v>
      </c>
      <c r="AV81" s="9">
        <f>IFERROR(OLDBD[[#This Row],[Ingreso Packing]]-OLDBD[[#This Row],[Llegada a packing]],"")</f>
        <v>3.4722222262644209E-3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5">
        <f>IFERROR(OLDBD[[#This Row],[Llegada Almacén de Ingreso]]-OLDBD[[#This Row],[Salida Packing]],"")</f>
        <v>0.86041666666278616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1" s="45" t="s">
        <v>181</v>
      </c>
      <c r="BB81" s="53" t="str">
        <f>IFERROR(IF(MARÍTIMOS[[#This Row],[Estatus]]="","",MARÍTIMOS[[#This Row],[Estatus]]),"")</f>
        <v>Confirmado</v>
      </c>
      <c r="BC81" s="45"/>
      <c r="BD81" s="52">
        <f>IFERROR(OLDBD[[#This Row],[Salida de almacén de retiro]]-OLDBD[[#This Row],[Ingreso Almacén de retiro]],"")</f>
        <v>0.10277777777810115</v>
      </c>
      <c r="BE81" s="52">
        <f>IFERROR(OLDBD[[#This Row],[Fin de Carga]]-OLDBD[[#This Row],[Inicio de Carga]],"")</f>
        <v>3.888888889196096E-2</v>
      </c>
    </row>
    <row r="82" spans="1:57" x14ac:dyDescent="0.35">
      <c r="A82" s="1"/>
      <c r="B82" s="1">
        <f>IFERROR(IF(MARÍTIMOS[[#This Row],[PP]]="","",MARÍTIMOS[[#This Row],[PP]]),"")</f>
        <v>33</v>
      </c>
      <c r="C82" s="1" t="str">
        <f>IFERROR(IF(MARÍTIMOS[[#This Row],[Sede]]="","",MARÍTIMOS[[#This Row],[Sede]]),"")</f>
        <v>Chao</v>
      </c>
      <c r="D82" s="1" t="str">
        <f>IFERROR(IF(MARÍTIMOS[[#This Row],[Instruction]]="","",MARÍTIMOS[[#This Row],[Instruction]]),"")</f>
        <v>RH-0491</v>
      </c>
      <c r="E82" s="1"/>
      <c r="F82" s="2" t="str">
        <f>IFERROR(IF(MARÍTIMOS[[#This Row],[Transportista]]="","",MARÍTIMOS[[#This Row],[Transportista]]),"")</f>
        <v>Expert Transport</v>
      </c>
      <c r="G82" s="2" t="str">
        <f>IFERROR(IF(MARÍTIMOS[[#This Row],[Tercero]]="","",MARÍTIMOS[[#This Row],[Tercero]]),"")</f>
        <v>NO</v>
      </c>
      <c r="H82" s="2" t="str">
        <f>IFERROR(IF(MARÍTIMOS[[#This Row],[Razón Social]]="","",MARÍTIMOS[[#This Row],[Razón Social]]),"")</f>
        <v xml:space="preserve">EXPERT TRANSPORT SAC </v>
      </c>
      <c r="I82" s="2">
        <f>IFERROR(IF(MARÍTIMOS[[#This Row],[RUC]]="","",MARÍTIMOS[[#This Row],[RUC]]),"")</f>
        <v>20544424751</v>
      </c>
      <c r="J82" s="2" t="str">
        <f>IFERROR(IF(MARÍTIMOS[[#This Row],[Placa Tracto]]="","",MARÍTIMOS[[#This Row],[Placa Tracto]]),"")</f>
        <v>V1B809</v>
      </c>
      <c r="K82" s="2" t="str">
        <f>IFERROR(IF(MARÍTIMOS[[#This Row],[Placa Carreta]]="","",MARÍTIMOS[[#This Row],[Placa Carreta]]),"")</f>
        <v>TKC975</v>
      </c>
      <c r="L82" s="46" t="str">
        <f>IFERROR(IF(MARÍTIMOS[[#This Row],[Conductor]]="","",MARÍTIMOS[[#This Row],[Conductor]]),"")</f>
        <v>GUILLERMO YOSNEY GONZALEZ RUIZ</v>
      </c>
      <c r="M82" s="2" t="str">
        <f>IFERROR(IF(MARÍTIMOS[[#This Row],[Licencia]]="","",MARÍTIMOS[[#This Row],[Licencia]]),"")</f>
        <v>Q005581456</v>
      </c>
      <c r="N82" s="2">
        <f>IFERROR(IF(MARÍTIMOS[[#This Row],[Número de Contacto]]="","",MARÍTIMOS[[#This Row],[Número de Contacto]]),"")</f>
        <v>914472332</v>
      </c>
      <c r="O82" s="10" t="str">
        <f>IFERROR(IF(MARÍTIMOS[[#This Row],[Booking|AWB|CRT]]="","",MARÍTIMOS[[#This Row],[Booking|AWB|CRT]]),"")</f>
        <v>BN81291</v>
      </c>
      <c r="P82" s="2" t="str">
        <f>IFERROR(IF(MARÍTIMOS[[#This Row],[Contenedor]]="","",MARÍTIMOS[[#This Row],[Contenedor]]),"")</f>
        <v>TEMU9595796</v>
      </c>
      <c r="Q82" s="2" t="str">
        <f>IFERROR(IF(MARÍTIMOS[[#This Row],[Puerto de Retiro]]="","",MARÍTIMOS[[#This Row],[Puerto de Retiro]]),"")</f>
        <v>PAITA</v>
      </c>
      <c r="R82" s="2" t="str">
        <f>IFERROR(IF(MARÍTIMOS[[#This Row],[Almacén de Retiro]]="","",MARÍTIMOS[[#This Row],[Almacén de Retiro]]),"")</f>
        <v>DPW</v>
      </c>
      <c r="S82" s="11">
        <f>IFERROR(IF(MARÍTIMOS[[#This Row],[Etapa Retiro - Cita]]="","",MARÍTIMOS[[#This Row],[Etapa Retiro - Cita]]),"")</f>
        <v>46249.625</v>
      </c>
      <c r="T82" s="11">
        <f>IFERROR(IF(MARÍTIMOS[[#This Row],[Etapa Retiro - Llegada]]="","",MARÍTIMOS[[#This Row],[Etapa Retiro - Llegada]]),"")</f>
        <v>46249.640277777777</v>
      </c>
      <c r="U82" s="11">
        <f>IFERROR(IF(MARÍTIMOS[[#This Row],[Etapa Retiro - Ingreso]]="","",MARÍTIMOS[[#This Row],[Etapa Retiro - Ingreso]]),"")</f>
        <v>46249.697916666664</v>
      </c>
      <c r="V82" s="11">
        <f>IFERROR(IF(MARÍTIMOS[[#This Row],[Etapa Retiro - Atención]]="","",MARÍTIMOS[[#This Row],[Etapa Retiro - Atención]]),"")</f>
        <v>46249.700694444444</v>
      </c>
      <c r="W82" s="11">
        <f>IFERROR(IF(MARÍTIMOS[[#This Row],[Etapa Retiro - Salida]]="","",MARÍTIMOS[[#This Row],[Etapa Retiro - Salida]]),"")</f>
        <v>46249.791666666664</v>
      </c>
      <c r="X82" s="11">
        <f>IFERROR(IF(MARÍTIMOS[[#This Row],[Etapa Retiro - Inicio de Ruta]]="","",MARÍTIMOS[[#This Row],[Etapa Retiro - Inicio de Ruta]]),"")</f>
        <v>46249.805555555555</v>
      </c>
      <c r="Y82" s="11">
        <f>IFERROR(IF(MARÍTIMOS[[#This Row],[Hora de Posicionamiento]]="","",MARÍTIMOS[[#This Row],[Hora de Carga]]+MARÍTIMOS[[#This Row],[Hora de Posicionamiento]]),"")</f>
        <v>0.58333333333333337</v>
      </c>
      <c r="Z82" s="11">
        <f>IFERROR(IF(MARÍTIMOS[[#This Row],[Etapa Despacho -  Llegada]]="","",MARÍTIMOS[[#This Row],[Etapa Despacho -  Llegada]]),"")</f>
        <v>46250.580555555556</v>
      </c>
      <c r="AA82" s="11">
        <f>IFERROR(IF(MARÍTIMOS[[#This Row],[Etapa Despacho -  Registro]]="","",MARÍTIMOS[[#This Row],[Etapa Despacho -  Registro]]),"")</f>
        <v>46250.593055555553</v>
      </c>
      <c r="AB82" s="11">
        <f>IFERROR(IF(MARÍTIMOS[[#This Row],[Inspección Externa]]="","",MARÍTIMOS[[#This Row],[Inspección Externa]]),"")</f>
        <v>46250.590277777781</v>
      </c>
      <c r="AC82" s="11">
        <f>IFERROR(IF(MARÍTIMOS[[#This Row],[Etapa Despacho -  Inicio de Carga]]="","",MARÍTIMOS[[#This Row],[Etapa Despacho -  Inicio de Carga]]),"")</f>
        <v>46250.713194444441</v>
      </c>
      <c r="AD82" s="11">
        <f>IFERROR(IF(MARÍTIMOS[[#This Row],[Etapa Despacho -  Fin de Carga]]="","",MARÍTIMOS[[#This Row],[Etapa Despacho -  Fin de Carga]]),"")</f>
        <v>46250.724999999999</v>
      </c>
      <c r="AE82" s="11">
        <f>IFERROR(IF(MARÍTIMOS[[#This Row],[Etapa Despacho -  Salida]]="","",MARÍTIMOS[[#This Row],[Etapa Despacho -  Salida]]),"")</f>
        <v>46250.785416666666</v>
      </c>
      <c r="AF82" s="2" t="str">
        <f>IFERROR(IF(MARÍTIMOS[[#This Row],[Puerto de Embarque]]="","",MARÍTIMOS[[#This Row],[Puerto de Embarque]]),"")</f>
        <v>Paita</v>
      </c>
      <c r="AG82" s="2" t="str">
        <f>IFERROR(IF(MARÍTIMOS[[#This Row],[Almacén de Ingreso]]="","",MARÍTIMOS[[#This Row],[Almacén de Ingreso]]),"")</f>
        <v>TPE</v>
      </c>
      <c r="AH82" s="11">
        <f>IFERROR(IF(MARÍTIMOS[[#This Row],[Etapa Ingreso - Cita]]="","",MARÍTIMOS[[#This Row],[Etapa Ingreso - Cita]]),"")</f>
        <v>46251.625</v>
      </c>
      <c r="AI82" s="11">
        <f>IFERROR(IF(MARÍTIMOS[[#This Row],[Etapa Ingreso - Llegada]]="","",MARÍTIMOS[[#This Row],[Etapa Ingreso - Llegada]]),"")</f>
        <v>46251.609722222223</v>
      </c>
      <c r="AJ82" s="11">
        <f>IFERROR(IF(MARÍTIMOS[[#This Row],[Etapa Ingreso - Ingeso]]="","",MARÍTIMOS[[#This Row],[Etapa Ingreso - Ingeso]]),"")</f>
        <v>46251.612500000003</v>
      </c>
      <c r="AK82" s="11">
        <f>IFERROR(IF(MARÍTIMOS[[#This Row],[Etapa Ingreso - Atención]]="","",MARÍTIMOS[[#This Row],[Etapa Ingreso - Atención]]),"")</f>
        <v>46251.622916666667</v>
      </c>
      <c r="AL82" s="11">
        <f>IFERROR(IF(MARÍTIMOS[[#This Row],[Etapa Ingreso - Salida]]="","",MARÍTIMOS[[#This Row],[Etapa Ingreso - Salida]]),"")</f>
        <v>46251.622916666667</v>
      </c>
      <c r="AM82" s="2">
        <f>IFERROR(IF(MARÍTIMOS[[#This Row],[FCL]]="","",MARÍTIMOS[[#This Row],[FCL]]),"")</f>
        <v>1</v>
      </c>
      <c r="AN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2" s="5">
        <f>IFERROR(OLDBD[[#This Row],[Llegada a packing]]-OLDBD[[#This Row],[Inicio de Ruta]],"")</f>
        <v>0.77500000000145519</v>
      </c>
      <c r="AQ82" s="6">
        <f>IFERROR(OLDBD[[#This Row],[Inicio de Ruta]]-OLDBD[[#This Row],[Salida de almacén de retiro]],"")</f>
        <v>1.3888888890505768E-2</v>
      </c>
      <c r="AR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2" s="9">
        <f>IFERROR(OLDBD[[#This Row],[Ingreso Packing]]-OLDBD[[#This Row],[Registro en Packing]],"")</f>
        <v>-2.7777777722803876E-3</v>
      </c>
      <c r="AV82" s="9">
        <f>IFERROR(OLDBD[[#This Row],[Ingreso Packing]]-OLDBD[[#This Row],[Llegada a packing]],"")</f>
        <v>9.7222222248092294E-3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5">
        <f>IFERROR(OLDBD[[#This Row],[Llegada Almacén de Ingreso]]-OLDBD[[#This Row],[Salida Packing]],"")</f>
        <v>0.8243055555576575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2" s="45" t="s">
        <v>181</v>
      </c>
      <c r="BB82" s="53" t="str">
        <f>IFERROR(IF(MARÍTIMOS[[#This Row],[Estatus]]="","",MARÍTIMOS[[#This Row],[Estatus]]),"")</f>
        <v>Confirmado</v>
      </c>
      <c r="BC82" s="45"/>
      <c r="BD82" s="52">
        <f>IFERROR(OLDBD[[#This Row],[Salida de almacén de retiro]]-OLDBD[[#This Row],[Ingreso Almacén de retiro]],"")</f>
        <v>9.375E-2</v>
      </c>
      <c r="BE82" s="52">
        <f>IFERROR(OLDBD[[#This Row],[Fin de Carga]]-OLDBD[[#This Row],[Inicio de Carga]],"")</f>
        <v>1.1805555557657499E-2</v>
      </c>
    </row>
    <row r="83" spans="1:57" x14ac:dyDescent="0.35">
      <c r="A83" s="1"/>
      <c r="B83" s="1">
        <f>IFERROR(IF(MARÍTIMOS[[#This Row],[PP]]="","",MARÍTIMOS[[#This Row],[PP]]),"")</f>
        <v>33</v>
      </c>
      <c r="C83" s="1" t="str">
        <f>IFERROR(IF(MARÍTIMOS[[#This Row],[Sede]]="","",MARÍTIMOS[[#This Row],[Sede]]),"")</f>
        <v>Chao</v>
      </c>
      <c r="D83" s="1" t="str">
        <f>IFERROR(IF(MARÍTIMOS[[#This Row],[Instruction]]="","",MARÍTIMOS[[#This Row],[Instruction]]),"")</f>
        <v>RH-0506</v>
      </c>
      <c r="E83" s="1"/>
      <c r="F83" s="2" t="str">
        <f>IFERROR(IF(MARÍTIMOS[[#This Row],[Transportista]]="","",MARÍTIMOS[[#This Row],[Transportista]]),"")</f>
        <v>Expert Transport</v>
      </c>
      <c r="G83" s="2" t="str">
        <f>IFERROR(IF(MARÍTIMOS[[#This Row],[Tercero]]="","",MARÍTIMOS[[#This Row],[Tercero]]),"")</f>
        <v>NO</v>
      </c>
      <c r="H83" s="2" t="str">
        <f>IFERROR(IF(MARÍTIMOS[[#This Row],[Razón Social]]="","",MARÍTIMOS[[#This Row],[Razón Social]]),"")</f>
        <v xml:space="preserve">EXPERT TRANSPORT SAC </v>
      </c>
      <c r="I83" s="2">
        <f>IFERROR(IF(MARÍTIMOS[[#This Row],[RUC]]="","",MARÍTIMOS[[#This Row],[RUC]]),"")</f>
        <v>20544424751</v>
      </c>
      <c r="J83" s="2" t="str">
        <f>IFERROR(IF(MARÍTIMOS[[#This Row],[Placa Tracto]]="","",MARÍTIMOS[[#This Row],[Placa Tracto]]),"")</f>
        <v>C5Z734</v>
      </c>
      <c r="K83" s="2" t="str">
        <f>IFERROR(IF(MARÍTIMOS[[#This Row],[Placa Carreta]]="","",MARÍTIMOS[[#This Row],[Placa Carreta]]),"")</f>
        <v>TJE975</v>
      </c>
      <c r="L83" s="46" t="str">
        <f>IFERROR(IF(MARÍTIMOS[[#This Row],[Conductor]]="","",MARÍTIMOS[[#This Row],[Conductor]]),"")</f>
        <v>LUIS CARLOS LAMAS RUIZ</v>
      </c>
      <c r="M83" s="2" t="str">
        <f>IFERROR(IF(MARÍTIMOS[[#This Row],[Licencia]]="","",MARÍTIMOS[[#This Row],[Licencia]]),"")</f>
        <v>B009531613</v>
      </c>
      <c r="N83" s="2">
        <f>IFERROR(IF(MARÍTIMOS[[#This Row],[Número de Contacto]]="","",MARÍTIMOS[[#This Row],[Número de Contacto]]),"")</f>
        <v>986078320</v>
      </c>
      <c r="O83" s="10" t="str">
        <f>IFERROR(IF(MARÍTIMOS[[#This Row],[Booking|AWB|CRT]]="","",MARÍTIMOS[[#This Row],[Booking|AWB|CRT]]),"")</f>
        <v>PER9184422A</v>
      </c>
      <c r="P83" s="2" t="str">
        <f>IFERROR(IF(MARÍTIMOS[[#This Row],[Contenedor]]="","",MARÍTIMOS[[#This Row],[Contenedor]]),"")</f>
        <v>SZLU7011191</v>
      </c>
      <c r="Q83" s="2" t="str">
        <f>IFERROR(IF(MARÍTIMOS[[#This Row],[Puerto de Retiro]]="","",MARÍTIMOS[[#This Row],[Puerto de Retiro]]),"")</f>
        <v>PAITA</v>
      </c>
      <c r="R83" s="2" t="str">
        <f>IFERROR(IF(MARÍTIMOS[[#This Row],[Almacén de Retiro]]="","",MARÍTIMOS[[#This Row],[Almacén de Retiro]]),"")</f>
        <v>DPW</v>
      </c>
      <c r="S83" s="11">
        <f>IFERROR(IF(MARÍTIMOS[[#This Row],[Etapa Retiro - Cita]]="","",MARÍTIMOS[[#This Row],[Etapa Retiro - Cita]]),"")</f>
        <v>46250.666666666664</v>
      </c>
      <c r="T83" s="11">
        <f>IFERROR(IF(MARÍTIMOS[[#This Row],[Etapa Retiro - Llegada]]="","",MARÍTIMOS[[#This Row],[Etapa Retiro - Llegada]]),"")</f>
        <v>46250.689583333333</v>
      </c>
      <c r="U83" s="11">
        <f>IFERROR(IF(MARÍTIMOS[[#This Row],[Etapa Retiro - Ingreso]]="","",MARÍTIMOS[[#This Row],[Etapa Retiro - Ingreso]]),"")</f>
        <v>46250.694444444445</v>
      </c>
      <c r="V83" s="11">
        <f>IFERROR(IF(MARÍTIMOS[[#This Row],[Etapa Retiro - Atención]]="","",MARÍTIMOS[[#This Row],[Etapa Retiro - Atención]]),"")</f>
        <v>46250.705555555556</v>
      </c>
      <c r="W83" s="11">
        <f>IFERROR(IF(MARÍTIMOS[[#This Row],[Etapa Retiro - Salida]]="","",MARÍTIMOS[[#This Row],[Etapa Retiro - Salida]]),"")</f>
        <v>46250.820138888892</v>
      </c>
      <c r="X83" s="11">
        <f>IFERROR(IF(MARÍTIMOS[[#This Row],[Etapa Retiro - Inicio de Ruta]]="","",MARÍTIMOS[[#This Row],[Etapa Retiro - Inicio de Ruta]]),"")</f>
        <v>46250.845138888886</v>
      </c>
      <c r="Y83" s="11">
        <f>IFERROR(IF(MARÍTIMOS[[#This Row],[Hora de Posicionamiento]]="","",MARÍTIMOS[[#This Row],[Hora de Carga]]+MARÍTIMOS[[#This Row],[Hora de Posicionamiento]]),"")</f>
        <v>0.58333333333333337</v>
      </c>
      <c r="Z83" s="11">
        <f>IFERROR(IF(MARÍTIMOS[[#This Row],[Etapa Despacho -  Llegada]]="","",MARÍTIMOS[[#This Row],[Etapa Despacho -  Llegada]]),"")</f>
        <v>46251.603472222225</v>
      </c>
      <c r="AA83" s="11">
        <f>IFERROR(IF(MARÍTIMOS[[#This Row],[Etapa Despacho -  Registro]]="","",MARÍTIMOS[[#This Row],[Etapa Despacho -  Registro]]),"")</f>
        <v>46251.693749999999</v>
      </c>
      <c r="AB83" s="11">
        <f>IFERROR(IF(MARÍTIMOS[[#This Row],[Inspección Externa]]="","",MARÍTIMOS[[#This Row],[Inspección Externa]]),"")</f>
        <v>46251.621527777781</v>
      </c>
      <c r="AC83" s="11">
        <f>IFERROR(IF(MARÍTIMOS[[#This Row],[Etapa Despacho -  Inicio de Carga]]="","",MARÍTIMOS[[#This Row],[Etapa Despacho -  Inicio de Carga]]),"")</f>
        <v>46251.583333333336</v>
      </c>
      <c r="AD83" s="11">
        <f>IFERROR(IF(MARÍTIMOS[[#This Row],[Etapa Despacho -  Fin de Carga]]="","",MARÍTIMOS[[#This Row],[Etapa Despacho -  Fin de Carga]]),"")</f>
        <v>46251.568055555559</v>
      </c>
      <c r="AE83" s="11">
        <f>IFERROR(IF(MARÍTIMOS[[#This Row],[Etapa Despacho -  Salida]]="","",MARÍTIMOS[[#This Row],[Etapa Despacho -  Salida]]),"")</f>
        <v>46251.603472222225</v>
      </c>
      <c r="AF83" s="2" t="str">
        <f>IFERROR(IF(MARÍTIMOS[[#This Row],[Puerto de Embarque]]="","",MARÍTIMOS[[#This Row],[Puerto de Embarque]]),"")</f>
        <v>Paita</v>
      </c>
      <c r="AG83" s="2" t="str">
        <f>IFERROR(IF(MARÍTIMOS[[#This Row],[Almacén de Ingreso]]="","",MARÍTIMOS[[#This Row],[Almacén de Ingreso]]),"")</f>
        <v>TPE</v>
      </c>
      <c r="AH83" s="11">
        <f>IFERROR(IF(MARÍTIMOS[[#This Row],[Etapa Ingreso - Cita]]="","",MARÍTIMOS[[#This Row],[Etapa Ingreso - Cita]]),"")</f>
        <v>46252.541666666664</v>
      </c>
      <c r="AI83" s="11">
        <f>IFERROR(IF(MARÍTIMOS[[#This Row],[Etapa Ingreso - Llegada]]="","",MARÍTIMOS[[#This Row],[Etapa Ingreso - Llegada]]),"")</f>
        <v>46252.529166666667</v>
      </c>
      <c r="AJ83" s="11">
        <f>IFERROR(IF(MARÍTIMOS[[#This Row],[Etapa Ingreso - Ingeso]]="","",MARÍTIMOS[[#This Row],[Etapa Ingreso - Ingeso]]),"")</f>
        <v>46252.534722222219</v>
      </c>
      <c r="AK83" s="11">
        <f>IFERROR(IF(MARÍTIMOS[[#This Row],[Etapa Ingreso - Atención]]="","",MARÍTIMOS[[#This Row],[Etapa Ingreso - Atención]]),"")</f>
        <v>46252.536805555559</v>
      </c>
      <c r="AL83" s="11">
        <f>IFERROR(IF(MARÍTIMOS[[#This Row],[Etapa Ingreso - Salida]]="","",MARÍTIMOS[[#This Row],[Etapa Ingreso - Salida]]),"")</f>
        <v>46252.539583333331</v>
      </c>
      <c r="AM83" s="2">
        <f>IFERROR(IF(MARÍTIMOS[[#This Row],[FCL]]="","",MARÍTIMOS[[#This Row],[FCL]]),"")</f>
        <v>1</v>
      </c>
      <c r="AN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3" s="5">
        <f>IFERROR(OLDBD[[#This Row],[Llegada a packing]]-OLDBD[[#This Row],[Inicio de Ruta]],"")</f>
        <v>0.75833333333866904</v>
      </c>
      <c r="AQ83" s="6">
        <f>IFERROR(OLDBD[[#This Row],[Inicio de Ruta]]-OLDBD[[#This Row],[Salida de almacén de retiro]],"")</f>
        <v>2.4999999994179234E-2</v>
      </c>
      <c r="AR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3" s="9">
        <f>IFERROR(OLDBD[[#This Row],[Ingreso Packing]]-OLDBD[[#This Row],[Registro en Packing]],"")</f>
        <v>-7.2222222217533272E-2</v>
      </c>
      <c r="AV83" s="9">
        <f>IFERROR(OLDBD[[#This Row],[Ingreso Packing]]-OLDBD[[#This Row],[Llegada a packing]],"")</f>
        <v>1.8055555556202307E-2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5">
        <f>IFERROR(OLDBD[[#This Row],[Llegada Almacén de Ingreso]]-OLDBD[[#This Row],[Salida Packing]],"")</f>
        <v>0.9256944444423425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3" s="45" t="s">
        <v>181</v>
      </c>
      <c r="BB83" s="53" t="str">
        <f>IFERROR(IF(MARÍTIMOS[[#This Row],[Estatus]]="","",MARÍTIMOS[[#This Row],[Estatus]]),"")</f>
        <v>Confirmado</v>
      </c>
      <c r="BC83" s="45"/>
      <c r="BD83" s="52">
        <f>IFERROR(OLDBD[[#This Row],[Salida de almacén de retiro]]-OLDBD[[#This Row],[Ingreso Almacén de retiro]],"")</f>
        <v>0.12569444444670808</v>
      </c>
      <c r="BE83" s="52">
        <f>IFERROR(OLDBD[[#This Row],[Fin de Carga]]-OLDBD[[#This Row],[Inicio de Carga]],"")</f>
        <v>-1.5277777776645962E-2</v>
      </c>
    </row>
    <row r="84" spans="1:57" x14ac:dyDescent="0.35">
      <c r="A84" s="1"/>
      <c r="B84" s="1">
        <f>IFERROR(IF(MARÍTIMOS[[#This Row],[PP]]="","",MARÍTIMOS[[#This Row],[PP]]),"")</f>
        <v>34</v>
      </c>
      <c r="C84" s="1" t="str">
        <f>IFERROR(IF(MARÍTIMOS[[#This Row],[Sede]]="","",MARÍTIMOS[[#This Row],[Sede]]),"")</f>
        <v>Chao</v>
      </c>
      <c r="D84" s="1" t="str">
        <f>IFERROR(IF(MARÍTIMOS[[#This Row],[Instruction]]="","",MARÍTIMOS[[#This Row],[Instruction]]),"")</f>
        <v>RH-0550</v>
      </c>
      <c r="E84" s="1"/>
      <c r="F84" s="2" t="str">
        <f>IFERROR(IF(MARÍTIMOS[[#This Row],[Transportista]]="","",MARÍTIMOS[[#This Row],[Transportista]]),"")</f>
        <v>Expert Transport</v>
      </c>
      <c r="G84" s="2" t="str">
        <f>IFERROR(IF(MARÍTIMOS[[#This Row],[Tercero]]="","",MARÍTIMOS[[#This Row],[Tercero]]),"")</f>
        <v>NO</v>
      </c>
      <c r="H84" s="2" t="str">
        <f>IFERROR(IF(MARÍTIMOS[[#This Row],[Razón Social]]="","",MARÍTIMOS[[#This Row],[Razón Social]]),"")</f>
        <v xml:space="preserve">EXPERT TRANSPORT SAC </v>
      </c>
      <c r="I84" s="2">
        <f>IFERROR(IF(MARÍTIMOS[[#This Row],[RUC]]="","",MARÍTIMOS[[#This Row],[RUC]]),"")</f>
        <v>20544424751</v>
      </c>
      <c r="J84" s="2" t="str">
        <f>IFERROR(IF(MARÍTIMOS[[#This Row],[Placa Tracto]]="","",MARÍTIMOS[[#This Row],[Placa Tracto]]),"")</f>
        <v>V1B809</v>
      </c>
      <c r="K84" s="2" t="str">
        <f>IFERROR(IF(MARÍTIMOS[[#This Row],[Placa Carreta]]="","",MARÍTIMOS[[#This Row],[Placa Carreta]]),"")</f>
        <v>TKC975</v>
      </c>
      <c r="L84" s="46" t="str">
        <f>IFERROR(IF(MARÍTIMOS[[#This Row],[Conductor]]="","",MARÍTIMOS[[#This Row],[Conductor]]),"")</f>
        <v>GUILLERMO YOSNEY GONZALEZ RUIZ</v>
      </c>
      <c r="M84" s="2" t="str">
        <f>IFERROR(IF(MARÍTIMOS[[#This Row],[Licencia]]="","",MARÍTIMOS[[#This Row],[Licencia]]),"")</f>
        <v>Q005581456</v>
      </c>
      <c r="N84" s="2">
        <f>IFERROR(IF(MARÍTIMOS[[#This Row],[Número de Contacto]]="","",MARÍTIMOS[[#This Row],[Número de Contacto]]),"")</f>
        <v>914472332</v>
      </c>
      <c r="O84" s="10" t="str">
        <f>IFERROR(IF(MARÍTIMOS[[#This Row],[Booking|AWB|CRT]]="","",MARÍTIMOS[[#This Row],[Booking|AWB|CRT]]),"")</f>
        <v>MBM250067124</v>
      </c>
      <c r="P84" s="2" t="str">
        <f>IFERROR(IF(MARÍTIMOS[[#This Row],[Contenedor]]="","",MARÍTIMOS[[#This Row],[Contenedor]]),"")</f>
        <v>FDDU2542787</v>
      </c>
      <c r="Q84" s="2" t="str">
        <f>IFERROR(IF(MARÍTIMOS[[#This Row],[Puerto de Retiro]]="","",MARÍTIMOS[[#This Row],[Puerto de Retiro]]),"")</f>
        <v>PAITA</v>
      </c>
      <c r="R84" s="2" t="str">
        <f>IFERROR(IF(MARÍTIMOS[[#This Row],[Almacén de Retiro]]="","",MARÍTIMOS[[#This Row],[Almacén de Retiro]]),"")</f>
        <v>MACROMAR</v>
      </c>
      <c r="S84" s="11">
        <f>IFERROR(IF(MARÍTIMOS[[#This Row],[Etapa Retiro - Cita]]="","",MARÍTIMOS[[#This Row],[Etapa Retiro - Cita]]),"")</f>
        <v>46253.666666666664</v>
      </c>
      <c r="T84" s="11">
        <f>IFERROR(IF(MARÍTIMOS[[#This Row],[Etapa Retiro - Llegada]]="","",MARÍTIMOS[[#This Row],[Etapa Retiro - Llegada]]),"")</f>
        <v>46253.659722222219</v>
      </c>
      <c r="U84" s="11">
        <f>IFERROR(IF(MARÍTIMOS[[#This Row],[Etapa Retiro - Ingreso]]="","",MARÍTIMOS[[#This Row],[Etapa Retiro - Ingreso]]),"")</f>
        <v>46253.706250000003</v>
      </c>
      <c r="V84" s="11">
        <f>IFERROR(IF(MARÍTIMOS[[#This Row],[Etapa Retiro - Atención]]="","",MARÍTIMOS[[#This Row],[Etapa Retiro - Atención]]),"")</f>
        <v>46253.725694444445</v>
      </c>
      <c r="W84" s="11">
        <f>IFERROR(IF(MARÍTIMOS[[#This Row],[Etapa Retiro - Salida]]="","",MARÍTIMOS[[#This Row],[Etapa Retiro - Salida]]),"")</f>
        <v>46253.763888888891</v>
      </c>
      <c r="X84" s="11">
        <f>IFERROR(IF(MARÍTIMOS[[#This Row],[Etapa Retiro - Inicio de Ruta]]="","",MARÍTIMOS[[#This Row],[Etapa Retiro - Inicio de Ruta]]),"")</f>
        <v>46254.656944444447</v>
      </c>
      <c r="Y84" s="11">
        <f>IFERROR(IF(MARÍTIMOS[[#This Row],[Hora de Posicionamiento]]="","",MARÍTIMOS[[#This Row],[Hora de Carga]]+MARÍTIMOS[[#This Row],[Hora de Posicionamiento]]),"")</f>
        <v>0.58333333333333337</v>
      </c>
      <c r="Z84" s="11">
        <f>IFERROR(IF(MARÍTIMOS[[#This Row],[Etapa Despacho -  Llegada]]="","",MARÍTIMOS[[#This Row],[Etapa Despacho -  Llegada]]),"")</f>
        <v>46255.10833333333</v>
      </c>
      <c r="AA84" s="11">
        <f>IFERROR(IF(MARÍTIMOS[[#This Row],[Etapa Despacho -  Registro]]="","",MARÍTIMOS[[#This Row],[Etapa Despacho -  Registro]]),"")</f>
        <v>46255.125</v>
      </c>
      <c r="AB84" s="11">
        <f>IFERROR(IF(MARÍTIMOS[[#This Row],[Inspección Externa]]="","",MARÍTIMOS[[#This Row],[Inspección Externa]]),"")</f>
        <v>46255.131944444445</v>
      </c>
      <c r="AC84" s="11">
        <f>IFERROR(IF(MARÍTIMOS[[#This Row],[Etapa Despacho -  Inicio de Carga]]="","",MARÍTIMOS[[#This Row],[Etapa Despacho -  Inicio de Carga]]),"")</f>
        <v>46255.140972222223</v>
      </c>
      <c r="AD84" s="11">
        <f>IFERROR(IF(MARÍTIMOS[[#This Row],[Etapa Despacho -  Fin de Carga]]="","",MARÍTIMOS[[#This Row],[Etapa Despacho -  Fin de Carga]]),"")</f>
        <v>46255.165972222225</v>
      </c>
      <c r="AE84" s="11">
        <f>IFERROR(IF(MARÍTIMOS[[#This Row],[Etapa Despacho -  Salida]]="","",MARÍTIMOS[[#This Row],[Etapa Despacho -  Salida]]),"")</f>
        <v>46255.181944444441</v>
      </c>
      <c r="AF84" s="2" t="str">
        <f>IFERROR(IF(MARÍTIMOS[[#This Row],[Puerto de Embarque]]="","",MARÍTIMOS[[#This Row],[Puerto de Embarque]]),"")</f>
        <v>Paita</v>
      </c>
      <c r="AG84" s="2" t="str">
        <f>IFERROR(IF(MARÍTIMOS[[#This Row],[Almacén de Ingreso]]="","",MARÍTIMOS[[#This Row],[Almacén de Ingreso]]),"")</f>
        <v>TPE</v>
      </c>
      <c r="AH84" s="11">
        <f>IFERROR(IF(MARÍTIMOS[[#This Row],[Etapa Ingreso - Cita]]="","",MARÍTIMOS[[#This Row],[Etapa Ingreso - Cita]]),"")</f>
        <v>46255.916666666664</v>
      </c>
      <c r="AI84" s="11">
        <f>IFERROR(IF(MARÍTIMOS[[#This Row],[Etapa Ingreso - Llegada]]="","",MARÍTIMOS[[#This Row],[Etapa Ingreso - Llegada]]),"")</f>
        <v>46255.888888888891</v>
      </c>
      <c r="AJ84" s="11">
        <f>IFERROR(IF(MARÍTIMOS[[#This Row],[Etapa Ingreso - Ingeso]]="","",MARÍTIMOS[[#This Row],[Etapa Ingreso - Ingeso]]),"")</f>
        <v>46255.895138888889</v>
      </c>
      <c r="AK84" s="11">
        <f>IFERROR(IF(MARÍTIMOS[[#This Row],[Etapa Ingreso - Atención]]="","",MARÍTIMOS[[#This Row],[Etapa Ingreso - Atención]]),"")</f>
        <v>46255.899305555555</v>
      </c>
      <c r="AL84" s="11">
        <f>IFERROR(IF(MARÍTIMOS[[#This Row],[Etapa Ingreso - Salida]]="","",MARÍTIMOS[[#This Row],[Etapa Ingreso - Salida]]),"")</f>
        <v>46255.904166666667</v>
      </c>
      <c r="AM84" s="2">
        <f>IFERROR(IF(MARÍTIMOS[[#This Row],[FCL]]="","",MARÍTIMOS[[#This Row],[FCL]]),"")</f>
        <v>1</v>
      </c>
      <c r="AN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4" s="5">
        <f>IFERROR(OLDBD[[#This Row],[Llegada a packing]]-OLDBD[[#This Row],[Inicio de Ruta]],"")</f>
        <v>0.45138888888322981</v>
      </c>
      <c r="AQ84" s="6">
        <f>IFERROR(OLDBD[[#This Row],[Inicio de Ruta]]-OLDBD[[#This Row],[Salida de almacén de retiro]],"")</f>
        <v>0.89305555555620231</v>
      </c>
      <c r="AR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4" s="9">
        <f>IFERROR(OLDBD[[#This Row],[Ingreso Packing]]-OLDBD[[#This Row],[Registro en Packing]],"")</f>
        <v>6.9444444452528842E-3</v>
      </c>
      <c r="AV84" s="9">
        <f>IFERROR(OLDBD[[#This Row],[Ingreso Packing]]-OLDBD[[#This Row],[Llegada a packing]],"")</f>
        <v>2.3611111115314998E-2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5">
        <f>IFERROR(OLDBD[[#This Row],[Llegada Almacén de Ingreso]]-OLDBD[[#This Row],[Salida Packing]],"")</f>
        <v>0.70694444444961846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4" s="45" t="s">
        <v>181</v>
      </c>
      <c r="BB84" s="53" t="str">
        <f>IFERROR(IF(MARÍTIMOS[[#This Row],[Estatus]]="","",MARÍTIMOS[[#This Row],[Estatus]]),"")</f>
        <v>Confirmado</v>
      </c>
      <c r="BC84" s="45"/>
      <c r="BD84" s="52">
        <f>IFERROR(OLDBD[[#This Row],[Salida de almacén de retiro]]-OLDBD[[#This Row],[Ingreso Almacén de retiro]],"")</f>
        <v>5.7638888887595385E-2</v>
      </c>
      <c r="BE84" s="52">
        <f>IFERROR(OLDBD[[#This Row],[Fin de Carga]]-OLDBD[[#This Row],[Inicio de Carga]],"")</f>
        <v>2.5000000001455192E-2</v>
      </c>
    </row>
    <row r="85" spans="1:57" x14ac:dyDescent="0.35">
      <c r="A85" s="1"/>
      <c r="B85" s="1">
        <f>IFERROR(IF(MARÍTIMOS[[#This Row],[PP]]="","",MARÍTIMOS[[#This Row],[PP]]),"")</f>
        <v>34</v>
      </c>
      <c r="C85" s="1" t="str">
        <f>IFERROR(IF(MARÍTIMOS[[#This Row],[Sede]]="","",MARÍTIMOS[[#This Row],[Sede]]),"")</f>
        <v>Chao</v>
      </c>
      <c r="D85" s="1" t="str">
        <f>IFERROR(IF(MARÍTIMOS[[#This Row],[Instruction]]="","",MARÍTIMOS[[#This Row],[Instruction]]),"")</f>
        <v>RH-0555</v>
      </c>
      <c r="E85" s="1"/>
      <c r="F85" s="2" t="str">
        <f>IFERROR(IF(MARÍTIMOS[[#This Row],[Transportista]]="","",MARÍTIMOS[[#This Row],[Transportista]]),"")</f>
        <v>Expert Transport</v>
      </c>
      <c r="G85" s="2" t="str">
        <f>IFERROR(IF(MARÍTIMOS[[#This Row],[Tercero]]="","",MARÍTIMOS[[#This Row],[Tercero]]),"")</f>
        <v>NO</v>
      </c>
      <c r="H85" s="2" t="str">
        <f>IFERROR(IF(MARÍTIMOS[[#This Row],[Razón Social]]="","",MARÍTIMOS[[#This Row],[Razón Social]]),"")</f>
        <v xml:space="preserve">EXPERT TRANSPORT SAC </v>
      </c>
      <c r="I85" s="2">
        <f>IFERROR(IF(MARÍTIMOS[[#This Row],[RUC]]="","",MARÍTIMOS[[#This Row],[RUC]]),"")</f>
        <v>20544424751</v>
      </c>
      <c r="J85" s="2" t="str">
        <f>IFERROR(IF(MARÍTIMOS[[#This Row],[Placa Tracto]]="","",MARÍTIMOS[[#This Row],[Placa Tracto]]),"")</f>
        <v>BYR872</v>
      </c>
      <c r="K85" s="2" t="str">
        <f>IFERROR(IF(MARÍTIMOS[[#This Row],[Placa Carreta]]="","",MARÍTIMOS[[#This Row],[Placa Carreta]]),"")</f>
        <v>A3K983</v>
      </c>
      <c r="L85" s="46" t="str">
        <f>IFERROR(IF(MARÍTIMOS[[#This Row],[Conductor]]="","",MARÍTIMOS[[#This Row],[Conductor]]),"")</f>
        <v>HUMBERTO JESÚS SUAREZ ARGUINZONES</v>
      </c>
      <c r="M85" s="2" t="str">
        <f>IFERROR(IF(MARÍTIMOS[[#This Row],[Licencia]]="","",MARÍTIMOS[[#This Row],[Licencia]]),"")</f>
        <v>B007168026</v>
      </c>
      <c r="N85" s="2">
        <f>IFERROR(IF(MARÍTIMOS[[#This Row],[Número de Contacto]]="","",MARÍTIMOS[[#This Row],[Número de Contacto]]),"")</f>
        <v>934270711</v>
      </c>
      <c r="O85" s="10" t="str">
        <f>IFERROR(IF(MARÍTIMOS[[#This Row],[Booking|AWB|CRT]]="","",MARÍTIMOS[[#This Row],[Booking|AWB|CRT]]),"")</f>
        <v>PER9194106A</v>
      </c>
      <c r="P85" s="2" t="str">
        <f>IFERROR(IF(MARÍTIMOS[[#This Row],[Contenedor]]="","",MARÍTIMOS[[#This Row],[Contenedor]]),"")</f>
        <v>SEKU9367114</v>
      </c>
      <c r="Q85" s="2" t="str">
        <f>IFERROR(IF(MARÍTIMOS[[#This Row],[Puerto de Retiro]]="","",MARÍTIMOS[[#This Row],[Puerto de Retiro]]),"")</f>
        <v>PAITA</v>
      </c>
      <c r="R85" s="2" t="str">
        <f>IFERROR(IF(MARÍTIMOS[[#This Row],[Almacén de Retiro]]="","",MARÍTIMOS[[#This Row],[Almacén de Retiro]]),"")</f>
        <v>DPW</v>
      </c>
      <c r="S85" s="11">
        <f>IFERROR(IF(MARÍTIMOS[[#This Row],[Etapa Retiro - Cita]]="","",MARÍTIMOS[[#This Row],[Etapa Retiro - Cita]]),"")</f>
        <v>46257.625</v>
      </c>
      <c r="T85" s="11">
        <f>IFERROR(IF(MARÍTIMOS[[#This Row],[Etapa Retiro - Llegada]]="","",MARÍTIMOS[[#This Row],[Etapa Retiro - Llegada]]),"")</f>
        <v>46257.618055555555</v>
      </c>
      <c r="U85" s="11">
        <f>IFERROR(IF(MARÍTIMOS[[#This Row],[Etapa Retiro - Ingreso]]="","",MARÍTIMOS[[#This Row],[Etapa Retiro - Ingreso]]),"")</f>
        <v>46257.621527777781</v>
      </c>
      <c r="V85" s="11">
        <f>IFERROR(IF(MARÍTIMOS[[#This Row],[Etapa Retiro - Atención]]="","",MARÍTIMOS[[#This Row],[Etapa Retiro - Atención]]),"")</f>
        <v>46257.630555555559</v>
      </c>
      <c r="W85" s="11">
        <f>IFERROR(IF(MARÍTIMOS[[#This Row],[Etapa Retiro - Salida]]="","",MARÍTIMOS[[#This Row],[Etapa Retiro - Salida]]),"")</f>
        <v>46257.660416666666</v>
      </c>
      <c r="X85" s="11">
        <f>IFERROR(IF(MARÍTIMOS[[#This Row],[Etapa Retiro - Inicio de Ruta]]="","",MARÍTIMOS[[#This Row],[Etapa Retiro - Inicio de Ruta]]),"")</f>
        <v>46257.670138888891</v>
      </c>
      <c r="Y85" s="11">
        <f>IFERROR(IF(MARÍTIMOS[[#This Row],[Hora de Posicionamiento]]="","",MARÍTIMOS[[#This Row],[Hora de Carga]]+MARÍTIMOS[[#This Row],[Hora de Posicionamiento]]),"")</f>
        <v>0.58333333333333337</v>
      </c>
      <c r="Z85" s="11">
        <f>IFERROR(IF(MARÍTIMOS[[#This Row],[Etapa Despacho -  Llegada]]="","",MARÍTIMOS[[#This Row],[Etapa Despacho -  Llegada]]),"")</f>
        <v>46258.489583333336</v>
      </c>
      <c r="AA85" s="11">
        <f>IFERROR(IF(MARÍTIMOS[[#This Row],[Etapa Despacho -  Registro]]="","",MARÍTIMOS[[#This Row],[Etapa Despacho -  Registro]]),"")</f>
        <v>46258.536805555559</v>
      </c>
      <c r="AB85" s="11">
        <f>IFERROR(IF(MARÍTIMOS[[#This Row],[Inspección Externa]]="","",MARÍTIMOS[[#This Row],[Inspección Externa]]),"")</f>
        <v>46258.5</v>
      </c>
      <c r="AC85" s="11">
        <f>IFERROR(IF(MARÍTIMOS[[#This Row],[Etapa Despacho -  Inicio de Carga]]="","",MARÍTIMOS[[#This Row],[Etapa Despacho -  Inicio de Carga]]),"")</f>
        <v>46258.607638888891</v>
      </c>
      <c r="AD85" s="11">
        <f>IFERROR(IF(MARÍTIMOS[[#This Row],[Etapa Despacho -  Fin de Carga]]="","",MARÍTIMOS[[#This Row],[Etapa Despacho -  Fin de Carga]]),"")</f>
        <v>46258.676388888889</v>
      </c>
      <c r="AE85" s="11">
        <f>IFERROR(IF(MARÍTIMOS[[#This Row],[Etapa Despacho -  Salida]]="","",MARÍTIMOS[[#This Row],[Etapa Despacho -  Salida]]),"")</f>
        <v>46258.7</v>
      </c>
      <c r="AF85" s="2" t="str">
        <f>IFERROR(IF(MARÍTIMOS[[#This Row],[Puerto de Embarque]]="","",MARÍTIMOS[[#This Row],[Puerto de Embarque]]),"")</f>
        <v>Paita</v>
      </c>
      <c r="AG85" s="2" t="str">
        <f>IFERROR(IF(MARÍTIMOS[[#This Row],[Almacén de Ingreso]]="","",MARÍTIMOS[[#This Row],[Almacén de Ingreso]]),"")</f>
        <v>TPE</v>
      </c>
      <c r="AH85" s="11">
        <f>IFERROR(IF(MARÍTIMOS[[#This Row],[Etapa Ingreso - Cita]]="","",MARÍTIMOS[[#This Row],[Etapa Ingreso - Cita]]),"")</f>
        <v>46259.583333333336</v>
      </c>
      <c r="AI85" s="11">
        <f>IFERROR(IF(MARÍTIMOS[[#This Row],[Etapa Ingreso - Llegada]]="","",MARÍTIMOS[[#This Row],[Etapa Ingreso - Llegada]]),"")</f>
        <v>46259.534722222219</v>
      </c>
      <c r="AJ85" s="11">
        <f>IFERROR(IF(MARÍTIMOS[[#This Row],[Etapa Ingreso - Ingeso]]="","",MARÍTIMOS[[#This Row],[Etapa Ingreso - Ingeso]]),"")</f>
        <v>46259.547222222223</v>
      </c>
      <c r="AK85" s="11">
        <f>IFERROR(IF(MARÍTIMOS[[#This Row],[Etapa Ingreso - Atención]]="","",MARÍTIMOS[[#This Row],[Etapa Ingreso - Atención]]),"")</f>
        <v>46259.548611111109</v>
      </c>
      <c r="AL85" s="11">
        <f>IFERROR(IF(MARÍTIMOS[[#This Row],[Etapa Ingreso - Salida]]="","",MARÍTIMOS[[#This Row],[Etapa Ingreso - Salida]]),"")</f>
        <v>46259.556944444441</v>
      </c>
      <c r="AM85" s="2">
        <f>IFERROR(IF(MARÍTIMOS[[#This Row],[FCL]]="","",MARÍTIMOS[[#This Row],[FCL]]),"")</f>
        <v>1</v>
      </c>
      <c r="AN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5" s="5">
        <f>IFERROR(OLDBD[[#This Row],[Llegada a packing]]-OLDBD[[#This Row],[Inicio de Ruta]],"")</f>
        <v>0.81944444444525288</v>
      </c>
      <c r="AQ85" s="6">
        <f>IFERROR(OLDBD[[#This Row],[Inicio de Ruta]]-OLDBD[[#This Row],[Salida de almacén de retiro]],"")</f>
        <v>9.7222222248092294E-3</v>
      </c>
      <c r="AR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5" s="9">
        <f>IFERROR(OLDBD[[#This Row],[Ingreso Packing]]-OLDBD[[#This Row],[Registro en Packing]],"")</f>
        <v>-3.680555555911269E-2</v>
      </c>
      <c r="AV85" s="9">
        <f>IFERROR(OLDBD[[#This Row],[Ingreso Packing]]-OLDBD[[#This Row],[Llegada a packing]],"")</f>
        <v>1.0416666664241347E-2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5">
        <f>IFERROR(OLDBD[[#This Row],[Llegada Almacén de Ingreso]]-OLDBD[[#This Row],[Salida Packing]],"")</f>
        <v>0.83472222222189885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5" s="45" t="s">
        <v>181</v>
      </c>
      <c r="BB85" s="53" t="str">
        <f>IFERROR(IF(MARÍTIMOS[[#This Row],[Estatus]]="","",MARÍTIMOS[[#This Row],[Estatus]]),"")</f>
        <v>Confirmado</v>
      </c>
      <c r="BC85" s="45"/>
      <c r="BD85" s="52">
        <f>IFERROR(OLDBD[[#This Row],[Salida de almacén de retiro]]-OLDBD[[#This Row],[Ingreso Almacén de retiro]],"")</f>
        <v>3.8888888884685002E-2</v>
      </c>
      <c r="BE85" s="52">
        <f>IFERROR(OLDBD[[#This Row],[Fin de Carga]]-OLDBD[[#This Row],[Inicio de Carga]],"")</f>
        <v>6.8749999998544808E-2</v>
      </c>
    </row>
    <row r="86" spans="1:57" x14ac:dyDescent="0.35">
      <c r="A86" s="1"/>
      <c r="B86" s="1">
        <f>IFERROR(IF(MARÍTIMOS[[#This Row],[PP]]="","",MARÍTIMOS[[#This Row],[PP]]),"")</f>
        <v>34</v>
      </c>
      <c r="C86" s="1" t="str">
        <f>IFERROR(IF(MARÍTIMOS[[#This Row],[Sede]]="","",MARÍTIMOS[[#This Row],[Sede]]),"")</f>
        <v>Chao</v>
      </c>
      <c r="D86" s="1" t="str">
        <f>IFERROR(IF(MARÍTIMOS[[#This Row],[Instruction]]="","",MARÍTIMOS[[#This Row],[Instruction]]),"")</f>
        <v>RH-0560</v>
      </c>
      <c r="E86" s="1"/>
      <c r="F86" s="2" t="str">
        <f>IFERROR(IF(MARÍTIMOS[[#This Row],[Transportista]]="","",MARÍTIMOS[[#This Row],[Transportista]]),"")</f>
        <v>Expert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 xml:space="preserve">EXPERT TRANSPORT SAC </v>
      </c>
      <c r="I86" s="2">
        <f>IFERROR(IF(MARÍTIMOS[[#This Row],[RUC]]="","",MARÍTIMOS[[#This Row],[RUC]]),"")</f>
        <v>20544424751</v>
      </c>
      <c r="J86" s="2" t="str">
        <f>IFERROR(IF(MARÍTIMOS[[#This Row],[Placa Tracto]]="","",MARÍTIMOS[[#This Row],[Placa Tracto]]),"")</f>
        <v>V4N706</v>
      </c>
      <c r="K86" s="2" t="str">
        <f>IFERROR(IF(MARÍTIMOS[[#This Row],[Placa Carreta]]="","",MARÍTIMOS[[#This Row],[Placa Carreta]]),"")</f>
        <v>TJD977</v>
      </c>
      <c r="L86" s="46" t="str">
        <f>IFERROR(IF(MARÍTIMOS[[#This Row],[Conductor]]="","",MARÍTIMOS[[#This Row],[Conductor]]),"")</f>
        <v>MARIO WILMER AVENDAÑO ACHA</v>
      </c>
      <c r="M86" s="2" t="str">
        <f>IFERROR(IF(MARÍTIMOS[[#This Row],[Licencia]]="","",MARÍTIMOS[[#This Row],[Licencia]]),"")</f>
        <v>B46445299</v>
      </c>
      <c r="N86" s="2">
        <f>IFERROR(IF(MARÍTIMOS[[#This Row],[Número de Contacto]]="","",MARÍTIMOS[[#This Row],[Número de Contacto]]),"")</f>
        <v>946500525</v>
      </c>
      <c r="O86" s="10" t="str">
        <f>IFERROR(IF(MARÍTIMOS[[#This Row],[Booking|AWB|CRT]]="","",MARÍTIMOS[[#This Row],[Booking|AWB|CRT]]),"")</f>
        <v>BN81743</v>
      </c>
      <c r="P86" s="2" t="str">
        <f>IFERROR(IF(MARÍTIMOS[[#This Row],[Contenedor]]="","",MARÍTIMOS[[#This Row],[Contenedor]]),"")</f>
        <v>SEKU9262710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DPW</v>
      </c>
      <c r="S86" s="11">
        <f>IFERROR(IF(MARÍTIMOS[[#This Row],[Etapa Retiro - Cita]]="","",MARÍTIMOS[[#This Row],[Etapa Retiro - Cita]]),"")</f>
        <v>46257.625</v>
      </c>
      <c r="T86" s="11">
        <f>IFERROR(IF(MARÍTIMOS[[#This Row],[Etapa Retiro - Llegada]]="","",MARÍTIMOS[[#This Row],[Etapa Retiro - Llegada]]),"")</f>
        <v>46257.621527777781</v>
      </c>
      <c r="U86" s="11">
        <f>IFERROR(IF(MARÍTIMOS[[#This Row],[Etapa Retiro - Ingreso]]="","",MARÍTIMOS[[#This Row],[Etapa Retiro - Ingreso]]),"")</f>
        <v>46257.625</v>
      </c>
      <c r="V86" s="11">
        <f>IFERROR(IF(MARÍTIMOS[[#This Row],[Etapa Retiro - Atención]]="","",MARÍTIMOS[[#This Row],[Etapa Retiro - Atención]]),"")</f>
        <v>46257.633333333331</v>
      </c>
      <c r="W86" s="11">
        <f>IFERROR(IF(MARÍTIMOS[[#This Row],[Etapa Retiro - Salida]]="","",MARÍTIMOS[[#This Row],[Etapa Retiro - Salida]]),"")</f>
        <v>46257.697916666664</v>
      </c>
      <c r="X86" s="11">
        <f>IFERROR(IF(MARÍTIMOS[[#This Row],[Etapa Retiro - Inicio de Ruta]]="","",MARÍTIMOS[[#This Row],[Etapa Retiro - Inicio de Ruta]]),"")</f>
        <v>46257.722222222219</v>
      </c>
      <c r="Y86" s="11">
        <f>IFERROR(IF(MARÍTIMOS[[#This Row],[Hora de Posicionamiento]]="","",MARÍTIMOS[[#This Row],[Hora de Carga]]+MARÍTIMOS[[#This Row],[Hora de Posicionamiento]]),"")</f>
        <v>0.58333333333333337</v>
      </c>
      <c r="Z86" s="11">
        <f>IFERROR(IF(MARÍTIMOS[[#This Row],[Etapa Despacho -  Llegada]]="","",MARÍTIMOS[[#This Row],[Etapa Despacho -  Llegada]]),"")</f>
        <v>46258.489583333336</v>
      </c>
      <c r="AA86" s="11">
        <f>IFERROR(IF(MARÍTIMOS[[#This Row],[Etapa Despacho -  Registro]]="","",MARÍTIMOS[[#This Row],[Etapa Despacho -  Registro]]),"")</f>
        <v>46258.522916666669</v>
      </c>
      <c r="AB86" s="11">
        <f>IFERROR(IF(MARÍTIMOS[[#This Row],[Inspección Externa]]="","",MARÍTIMOS[[#This Row],[Inspección Externa]]),"")</f>
        <v>46258.513888888891</v>
      </c>
      <c r="AC86" s="11">
        <f>IFERROR(IF(MARÍTIMOS[[#This Row],[Etapa Despacho -  Inicio de Carga]]="","",MARÍTIMOS[[#This Row],[Etapa Despacho -  Inicio de Carga]]),"")</f>
        <v>46258.607638888891</v>
      </c>
      <c r="AD86" s="11">
        <f>IFERROR(IF(MARÍTIMOS[[#This Row],[Etapa Despacho -  Fin de Carga]]="","",MARÍTIMOS[[#This Row],[Etapa Despacho -  Fin de Carga]]),"")</f>
        <v>46258.676388888889</v>
      </c>
      <c r="AE86" s="11">
        <f>IFERROR(IF(MARÍTIMOS[[#This Row],[Etapa Despacho -  Salida]]="","",MARÍTIMOS[[#This Row],[Etapa Despacho -  Salida]]),"")</f>
        <v>46258.70208333333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46259.583333333336</v>
      </c>
      <c r="AI86" s="11">
        <f>IFERROR(IF(MARÍTIMOS[[#This Row],[Etapa Ingreso - Llegada]]="","",MARÍTIMOS[[#This Row],[Etapa Ingreso - Llegada]]),"")</f>
        <v>46259.555555555555</v>
      </c>
      <c r="AJ86" s="11">
        <f>IFERROR(IF(MARÍTIMOS[[#This Row],[Etapa Ingreso - Ingeso]]="","",MARÍTIMOS[[#This Row],[Etapa Ingreso - Ingeso]]),"")</f>
        <v>46259.558333333334</v>
      </c>
      <c r="AK86" s="11">
        <f>IFERROR(IF(MARÍTIMOS[[#This Row],[Etapa Ingreso - Atención]]="","",MARÍTIMOS[[#This Row],[Etapa Ingreso - Atención]]),"")</f>
        <v>46259.561111111114</v>
      </c>
      <c r="AL86" s="11">
        <f>IFERROR(IF(MARÍTIMOS[[#This Row],[Etapa Ingreso - Salida]]="","",MARÍTIMOS[[#This Row],[Etapa Ingreso - Salida]]),"")</f>
        <v>46259.568055555559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6" s="5">
        <f>IFERROR(OLDBD[[#This Row],[Llegada a packing]]-OLDBD[[#This Row],[Inicio de Ruta]],"")</f>
        <v>0.76736111111677019</v>
      </c>
      <c r="AQ86" s="6">
        <f>IFERROR(OLDBD[[#This Row],[Inicio de Ruta]]-OLDBD[[#This Row],[Salida de almacén de retiro]],"")</f>
        <v>2.4305555554747116E-2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-9.0277777781011537E-3</v>
      </c>
      <c r="AV86" s="9">
        <f>IFERROR(OLDBD[[#This Row],[Ingreso Packing]]-OLDBD[[#This Row],[Llegada a packing]],"")</f>
        <v>2.4305555554747116E-2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6" s="5">
        <f>IFERROR(OLDBD[[#This Row],[Llegada Almacén de Ingreso]]-OLDBD[[#This Row],[Salida Packing]],"")</f>
        <v>0.85347222222480923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6" s="45" t="s">
        <v>181</v>
      </c>
      <c r="BB86" s="53" t="str">
        <f>IFERROR(IF(MARÍTIMOS[[#This Row],[Estatus]]="","",MARÍTIMOS[[#This Row],[Estatus]]),"")</f>
        <v>Confirmado</v>
      </c>
      <c r="BC86" s="45"/>
      <c r="BD86" s="52">
        <f>IFERROR(OLDBD[[#This Row],[Salida de almacén de retiro]]-OLDBD[[#This Row],[Ingreso Almacén de retiro]],"")</f>
        <v>7.2916666664241347E-2</v>
      </c>
      <c r="BE86" s="52">
        <f>IFERROR(OLDBD[[#This Row],[Fin de Carga]]-OLDBD[[#This Row],[Inicio de Carga]],"")</f>
        <v>6.8749999998544808E-2</v>
      </c>
    </row>
    <row r="87" spans="1:57" x14ac:dyDescent="0.35">
      <c r="A87" s="1"/>
      <c r="B87" s="1">
        <f>IFERROR(IF(MARÍTIMOS[[#This Row],[PP]]="","",MARÍTIMOS[[#This Row],[PP]]),"")</f>
        <v>34</v>
      </c>
      <c r="C87" s="1" t="str">
        <f>IFERROR(IF(MARÍTIMOS[[#This Row],[Sede]]="","",MARÍTIMOS[[#This Row],[Sede]]),"")</f>
        <v>Chao</v>
      </c>
      <c r="D87" s="1" t="str">
        <f>IFERROR(IF(MARÍTIMOS[[#This Row],[Instruction]]="","",MARÍTIMOS[[#This Row],[Instruction]]),"")</f>
        <v>RH-0568</v>
      </c>
      <c r="E87" s="1"/>
      <c r="F87" s="2" t="str">
        <f>IFERROR(IF(MARÍTIMOS[[#This Row],[Transportista]]="","",MARÍTIMOS[[#This Row],[Transportista]]),"")</f>
        <v>Expert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 xml:space="preserve">EXPERT TRANSPORT SAC </v>
      </c>
      <c r="I87" s="2">
        <f>IFERROR(IF(MARÍTIMOS[[#This Row],[RUC]]="","",MARÍTIMOS[[#This Row],[RUC]]),"")</f>
        <v>20544424751</v>
      </c>
      <c r="J87" s="2" t="str">
        <f>IFERROR(IF(MARÍTIMOS[[#This Row],[Placa Tracto]]="","",MARÍTIMOS[[#This Row],[Placa Tracto]]),"")</f>
        <v>C5Z734</v>
      </c>
      <c r="K87" s="2" t="str">
        <f>IFERROR(IF(MARÍTIMOS[[#This Row],[Placa Carreta]]="","",MARÍTIMOS[[#This Row],[Placa Carreta]]),"")</f>
        <v>TJE975</v>
      </c>
      <c r="L87" s="46" t="str">
        <f>IFERROR(IF(MARÍTIMOS[[#This Row],[Conductor]]="","",MARÍTIMOS[[#This Row],[Conductor]]),"")</f>
        <v>LUIS CARLOS LAMAS RUIZ</v>
      </c>
      <c r="M87" s="2" t="str">
        <f>IFERROR(IF(MARÍTIMOS[[#This Row],[Licencia]]="","",MARÍTIMOS[[#This Row],[Licencia]]),"")</f>
        <v>B009531613</v>
      </c>
      <c r="N87" s="2">
        <f>IFERROR(IF(MARÍTIMOS[[#This Row],[Número de Contacto]]="","",MARÍTIMOS[[#This Row],[Número de Contacto]]),"")</f>
        <v>986078320</v>
      </c>
      <c r="O87" s="10" t="str">
        <f>IFERROR(IF(MARÍTIMOS[[#This Row],[Booking|AWB|CRT]]="","",MARÍTIMOS[[#This Row],[Booking|AWB|CRT]]),"")</f>
        <v>PER9193557A</v>
      </c>
      <c r="P87" s="2" t="str">
        <f>IFERROR(IF(MARÍTIMOS[[#This Row],[Contenedor]]="","",MARÍTIMOS[[#This Row],[Contenedor]]),"")</f>
        <v>SEKU9421072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DPW</v>
      </c>
      <c r="S87" s="11">
        <f>IFERROR(IF(MARÍTIMOS[[#This Row],[Etapa Retiro - Cita]]="","",MARÍTIMOS[[#This Row],[Etapa Retiro - Cita]]),"")</f>
        <v>46257.625</v>
      </c>
      <c r="T87" s="11">
        <f>IFERROR(IF(MARÍTIMOS[[#This Row],[Etapa Retiro - Llegada]]="","",MARÍTIMOS[[#This Row],[Etapa Retiro - Llegada]]),"")</f>
        <v>46257.672222222223</v>
      </c>
      <c r="U87" s="11">
        <f>IFERROR(IF(MARÍTIMOS[[#This Row],[Etapa Retiro - Ingreso]]="","",MARÍTIMOS[[#This Row],[Etapa Retiro - Ingreso]]),"")</f>
        <v>46257.678472222222</v>
      </c>
      <c r="V87" s="11">
        <f>IFERROR(IF(MARÍTIMOS[[#This Row],[Etapa Retiro - Atención]]="","",MARÍTIMOS[[#This Row],[Etapa Retiro - Atención]]),"")</f>
        <v>46257.683333333334</v>
      </c>
      <c r="W87" s="11">
        <f>IFERROR(IF(MARÍTIMOS[[#This Row],[Etapa Retiro - Salida]]="","",MARÍTIMOS[[#This Row],[Etapa Retiro - Salida]]),"")</f>
        <v>46257.734027777777</v>
      </c>
      <c r="X87" s="11">
        <f>IFERROR(IF(MARÍTIMOS[[#This Row],[Etapa Retiro - Inicio de Ruta]]="","",MARÍTIMOS[[#This Row],[Etapa Retiro - Inicio de Ruta]]),"")</f>
        <v>46257.736805555556</v>
      </c>
      <c r="Y87" s="11">
        <f>IFERROR(IF(MARÍTIMOS[[#This Row],[Hora de Posicionamiento]]="","",MARÍTIMOS[[#This Row],[Hora de Carga]]+MARÍTIMOS[[#This Row],[Hora de Posicionamiento]]),"")</f>
        <v>0.58333333333333337</v>
      </c>
      <c r="Z87" s="11">
        <f>IFERROR(IF(MARÍTIMOS[[#This Row],[Etapa Despacho -  Llegada]]="","",MARÍTIMOS[[#This Row],[Etapa Despacho -  Llegada]]),"")</f>
        <v>46258.489583333336</v>
      </c>
      <c r="AA87" s="11">
        <f>IFERROR(IF(MARÍTIMOS[[#This Row],[Etapa Despacho -  Registro]]="","",MARÍTIMOS[[#This Row],[Etapa Despacho -  Registro]]),"")</f>
        <v>46258.522916666669</v>
      </c>
      <c r="AB87" s="11">
        <f>IFERROR(IF(MARÍTIMOS[[#This Row],[Inspección Externa]]="","",MARÍTIMOS[[#This Row],[Inspección Externa]]),"")</f>
        <v>46258.513888888891</v>
      </c>
      <c r="AC87" s="11">
        <f>IFERROR(IF(MARÍTIMOS[[#This Row],[Etapa Despacho -  Inicio de Carga]]="","",MARÍTIMOS[[#This Row],[Etapa Despacho -  Inicio de Carga]]),"")</f>
        <v>46258.652777777781</v>
      </c>
      <c r="AD87" s="11">
        <f>IFERROR(IF(MARÍTIMOS[[#This Row],[Etapa Despacho -  Fin de Carga]]="","",MARÍTIMOS[[#This Row],[Etapa Despacho -  Fin de Carga]]),"")</f>
        <v>46258.690972222219</v>
      </c>
      <c r="AE87" s="11">
        <f>IFERROR(IF(MARÍTIMOS[[#This Row],[Etapa Despacho -  Salida]]="","",MARÍTIMOS[[#This Row],[Etapa Despacho -  Salida]]),"")</f>
        <v>46258.693055555559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46259.5</v>
      </c>
      <c r="AI87" s="11">
        <f>IFERROR(IF(MARÍTIMOS[[#This Row],[Etapa Ingreso - Llegada]]="","",MARÍTIMOS[[#This Row],[Etapa Ingreso - Llegada]]),"")</f>
        <v>46259.486111111109</v>
      </c>
      <c r="AJ87" s="11">
        <f>IFERROR(IF(MARÍTIMOS[[#This Row],[Etapa Ingreso - Ingeso]]="","",MARÍTIMOS[[#This Row],[Etapa Ingreso - Ingeso]]),"")</f>
        <v>46259.493055555555</v>
      </c>
      <c r="AK87" s="11">
        <f>IFERROR(IF(MARÍTIMOS[[#This Row],[Etapa Ingreso - Atención]]="","",MARÍTIMOS[[#This Row],[Etapa Ingreso - Atención]]),"")</f>
        <v>46259.494444444441</v>
      </c>
      <c r="AL87" s="11">
        <f>IFERROR(IF(MARÍTIMOS[[#This Row],[Etapa Ingreso - Salida]]="","",MARÍTIMOS[[#This Row],[Etapa Ingreso - Salida]]),"")</f>
        <v>46259.499305555553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7" s="5">
        <f>IFERROR(OLDBD[[#This Row],[Llegada a packing]]-OLDBD[[#This Row],[Inicio de Ruta]],"")</f>
        <v>0.75277777777955635</v>
      </c>
      <c r="AQ87" s="6">
        <f>IFERROR(OLDBD[[#This Row],[Inicio de Ruta]]-OLDBD[[#This Row],[Salida de almacén de retiro]],"")</f>
        <v>2.7777777795563452E-3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7" s="9">
        <f>IFERROR(OLDBD[[#This Row],[Ingreso Packing]]-OLDBD[[#This Row],[Registro en Packing]],"")</f>
        <v>-9.0277777781011537E-3</v>
      </c>
      <c r="AV87" s="9">
        <f>IFERROR(OLDBD[[#This Row],[Ingreso Packing]]-OLDBD[[#This Row],[Llegada a packing]],"")</f>
        <v>2.4305555554747116E-2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0.79305555555038154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7" s="45" t="s">
        <v>181</v>
      </c>
      <c r="BB87" s="53" t="str">
        <f>IFERROR(IF(MARÍTIMOS[[#This Row],[Estatus]]="","",MARÍTIMOS[[#This Row],[Estatus]]),"")</f>
        <v>Confirmado</v>
      </c>
      <c r="BC87" s="45"/>
      <c r="BD87" s="52">
        <f>IFERROR(OLDBD[[#This Row],[Salida de almacén de retiro]]-OLDBD[[#This Row],[Ingreso Almacén de retiro]],"")</f>
        <v>5.5555555554747116E-2</v>
      </c>
      <c r="BE87" s="52">
        <f>IFERROR(OLDBD[[#This Row],[Fin de Carga]]-OLDBD[[#This Row],[Inicio de Carga]],"")</f>
        <v>3.8194444437976927E-2</v>
      </c>
    </row>
    <row r="88" spans="1:57" x14ac:dyDescent="0.35">
      <c r="A88" s="1"/>
      <c r="B88" s="1">
        <f>IFERROR(IF(MARÍTIMOS[[#This Row],[PP]]="","",MARÍTIMOS[[#This Row],[PP]]),"")</f>
        <v>21</v>
      </c>
      <c r="C88" s="1" t="str">
        <f>IFERROR(IF(MARÍTIMOS[[#This Row],[Sede]]="","",MARÍTIMOS[[#This Row],[Sede]]),"")</f>
        <v>Chao</v>
      </c>
      <c r="D88" s="1" t="str">
        <f>IFERROR(IF(MARÍTIMOS[[#This Row],[Instruction]]="","",MARÍTIMOS[[#This Row],[Instruction]]),"")</f>
        <v>RH-0006</v>
      </c>
      <c r="E88" s="1"/>
      <c r="F88" s="2" t="str">
        <f>IFERROR(IF(MARÍTIMOS[[#This Row],[Transportista]]="","",MARÍTIMOS[[#This Row],[Transportista]]),"")</f>
        <v>LIP</v>
      </c>
      <c r="G88" s="2" t="str">
        <f>IFERROR(IF(MARÍTIMOS[[#This Row],[Tercero]]="","",MARÍTIMOS[[#This Row],[Tercero]]),"")</f>
        <v>SI</v>
      </c>
      <c r="H88" s="2" t="str">
        <f>IFERROR(IF(MARÍTIMOS[[#This Row],[Razón Social]]="","",MARÍTIMOS[[#This Row],[Razón Social]]),"")</f>
        <v>LOGISTICA INTERMODAL DEL PERU S.A.C.</v>
      </c>
      <c r="I88" s="2">
        <f>IFERROR(IF(MARÍTIMOS[[#This Row],[RUC]]="","",MARÍTIMOS[[#This Row],[RUC]]),"")</f>
        <v>20513040718</v>
      </c>
      <c r="J88" s="2" t="str">
        <f>IFERROR(IF(MARÍTIMOS[[#This Row],[Placa Tracto]]="","",MARÍTIMOS[[#This Row],[Placa Tracto]]),"")</f>
        <v>AYS-737</v>
      </c>
      <c r="K88" s="2" t="str">
        <f>IFERROR(IF(MARÍTIMOS[[#This Row],[Placa Carreta]]="","",MARÍTIMOS[[#This Row],[Placa Carreta]]),"")</f>
        <v>AZL-997</v>
      </c>
      <c r="L88" s="46" t="str">
        <f>IFERROR(IF(MARÍTIMOS[[#This Row],[Conductor]]="","",MARÍTIMOS[[#This Row],[Conductor]]),"")</f>
        <v>PIÑAS MERCADO FREDDY ABEL</v>
      </c>
      <c r="M88" s="2" t="str">
        <f>IFERROR(IF(MARÍTIMOS[[#This Row],[Licencia]]="","",MARÍTIMOS[[#This Row],[Licencia]]),"")</f>
        <v>Q41001873</v>
      </c>
      <c r="N88" s="2" t="str">
        <f>IFERROR(IF(MARÍTIMOS[[#This Row],[Número de Contacto]]="","",MARÍTIMOS[[#This Row],[Número de Contacto]]),"")</f>
        <v/>
      </c>
      <c r="O88" s="10" t="str">
        <f>IFERROR(IF(MARÍTIMOS[[#This Row],[Booking|AWB|CRT]]="","",MARÍTIMOS[[#This Row],[Booking|AWB|CRT]]),"")</f>
        <v>6502210210 </v>
      </c>
      <c r="P88" s="2" t="str">
        <f>IFERROR(IF(MARÍTIMOS[[#This Row],[Contenedor]]="","",MARÍTIMOS[[#This Row],[Contenedor]]),"")</f>
        <v>OERU4327243</v>
      </c>
      <c r="Q88" s="2" t="str">
        <f>IFERROR(IF(MARÍTIMOS[[#This Row],[Puerto de Retiro]]="","",MARÍTIMOS[[#This Row],[Puerto de Retiro]]),"")</f>
        <v>CHANCAY</v>
      </c>
      <c r="R88" s="2" t="str">
        <f>IFERROR(IF(MARÍTIMOS[[#This Row],[Almacén de Retiro]]="","",MARÍTIMOS[[#This Row],[Almacén de Retiro]]),"")</f>
        <v>CSPCP</v>
      </c>
      <c r="S88" s="11">
        <f>IFERROR(IF(MARÍTIMOS[[#This Row],[Etapa Retiro - Cita]]="","",MARÍTIMOS[[#This Row],[Etapa Retiro - Cita]]),"")</f>
        <v>46167.416666666664</v>
      </c>
      <c r="T88" s="11">
        <f>IFERROR(IF(MARÍTIMOS[[#This Row],[Etapa Retiro - Llegada]]="","",MARÍTIMOS[[#This Row],[Etapa Retiro - Llegada]]),"")</f>
        <v>46167.552777777775</v>
      </c>
      <c r="U88" s="11">
        <f>IFERROR(IF(MARÍTIMOS[[#This Row],[Etapa Retiro - Ingreso]]="","",MARÍTIMOS[[#This Row],[Etapa Retiro - Ingreso]]),"")</f>
        <v>46167.720138888886</v>
      </c>
      <c r="V88" s="11">
        <f>IFERROR(IF(MARÍTIMOS[[#This Row],[Etapa Retiro - Atención]]="","",MARÍTIMOS[[#This Row],[Etapa Retiro - Atención]]),"")</f>
        <v>46167.770833333336</v>
      </c>
      <c r="W88" s="11">
        <f>IFERROR(IF(MARÍTIMOS[[#This Row],[Etapa Retiro - Salida]]="","",MARÍTIMOS[[#This Row],[Etapa Retiro - Salida]]),"")</f>
        <v>46167.850694444445</v>
      </c>
      <c r="X88" s="11">
        <f>IFERROR(IF(MARÍTIMOS[[#This Row],[Etapa Retiro - Inicio de Ruta]]="","",MARÍTIMOS[[#This Row],[Etapa Retiro - Inicio de Ruta]]),"")</f>
        <v>46167.916666666664</v>
      </c>
      <c r="Y88" s="11">
        <f>IFERROR(IF(MARÍTIMOS[[#This Row],[Hora de Posicionamiento]]="","",MARÍTIMOS[[#This Row],[Hora de Carga]]+MARÍTIMOS[[#This Row],[Hora de Posicionamiento]]),"")</f>
        <v>0.33333333333333331</v>
      </c>
      <c r="Z88" s="11">
        <f>IFERROR(IF(MARÍTIMOS[[#This Row],[Etapa Despacho -  Llegada]]="","",MARÍTIMOS[[#This Row],[Etapa Despacho -  Llegada]]),"")</f>
        <v>46168.597222222219</v>
      </c>
      <c r="AA88" s="11">
        <f>IFERROR(IF(MARÍTIMOS[[#This Row],[Etapa Despacho -  Registro]]="","",MARÍTIMOS[[#This Row],[Etapa Despacho -  Registro]]),"")</f>
        <v>46169.583333333336</v>
      </c>
      <c r="AB88" s="11">
        <f>IFERROR(IF(MARÍTIMOS[[#This Row],[Inspección Externa]]="","",MARÍTIMOS[[#This Row],[Inspección Externa]]),"")</f>
        <v>46168.607638888891</v>
      </c>
      <c r="AC88" s="11">
        <f>IFERROR(IF(MARÍTIMOS[[#This Row],[Etapa Despacho -  Inicio de Carga]]="","",MARÍTIMOS[[#This Row],[Etapa Despacho -  Inicio de Carga]]),"")</f>
        <v>46168.611111111109</v>
      </c>
      <c r="AD88" s="11">
        <f>IFERROR(IF(MARÍTIMOS[[#This Row],[Etapa Despacho -  Fin de Carga]]="","",MARÍTIMOS[[#This Row],[Etapa Despacho -  Fin de Carga]]),"")</f>
        <v>46168.694444444445</v>
      </c>
      <c r="AE88" s="11">
        <f>IFERROR(IF(MARÍTIMOS[[#This Row],[Etapa Despacho -  Salida]]="","",MARÍTIMOS[[#This Row],[Etapa Despacho -  Salida]]),"")</f>
        <v>46168.722222222219</v>
      </c>
      <c r="AF88" s="2" t="str">
        <f>IFERROR(IF(MARÍTIMOS[[#This Row],[Puerto de Embarque]]="","",MARÍTIMOS[[#This Row],[Puerto de Embarque]]),"")</f>
        <v>CHANCAY</v>
      </c>
      <c r="AG88" s="2" t="str">
        <f>IFERROR(IF(MARÍTIMOS[[#This Row],[Almacén de Ingreso]]="","",MARÍTIMOS[[#This Row],[Almacén de Ingreso]]),"")</f>
        <v>DPW</v>
      </c>
      <c r="AH88" s="11">
        <f>IFERROR(IF(MARÍTIMOS[[#This Row],[Etapa Ingreso - Cita]]="","",MARÍTIMOS[[#This Row],[Etapa Ingreso - Cita]]),"")</f>
        <v>46169.541666666664</v>
      </c>
      <c r="AI88" s="11">
        <f>IFERROR(IF(MARÍTIMOS[[#This Row],[Etapa Ingreso - Llegada]]="","",MARÍTIMOS[[#This Row],[Etapa Ingreso - Llegada]]),"")</f>
        <v>46169.581944444442</v>
      </c>
      <c r="AJ88" s="11">
        <f>IFERROR(IF(MARÍTIMOS[[#This Row],[Etapa Ingreso - Ingeso]]="","",MARÍTIMOS[[#This Row],[Etapa Ingreso - Ingeso]]),"")</f>
        <v>46169.582638888889</v>
      </c>
      <c r="AK88" s="11">
        <f>IFERROR(IF(MARÍTIMOS[[#This Row],[Etapa Ingreso - Atención]]="","",MARÍTIMOS[[#This Row],[Etapa Ingreso - Atención]]),"")</f>
        <v>46169.569444444445</v>
      </c>
      <c r="AL88" s="11">
        <f>IFERROR(IF(MARÍTIMOS[[#This Row],[Etapa Ingreso - Salida]]="","",MARÍTIMOS[[#This Row],[Etapa Ingreso - Salida]]),"")</f>
        <v>46169.595138888886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8" s="5">
        <f>IFERROR(OLDBD[[#This Row],[Llegada a packing]]-OLDBD[[#This Row],[Inicio de Ruta]],"")</f>
        <v>0.68055555555474712</v>
      </c>
      <c r="AQ88" s="6">
        <f>IFERROR(OLDBD[[#This Row],[Inicio de Ruta]]-OLDBD[[#This Row],[Salida de almacén de retiro]],"")</f>
        <v>6.5972222218988463E-2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8" s="9">
        <f>IFERROR(OLDBD[[#This Row],[Ingreso Packing]]-OLDBD[[#This Row],[Registro en Packing]],"")</f>
        <v>-0.97569444444525288</v>
      </c>
      <c r="AV88" s="9">
        <f>IFERROR(OLDBD[[#This Row],[Ingreso Packing]]-OLDBD[[#This Row],[Llegada a packing]],"")</f>
        <v>1.0416666671517305E-2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0.85972222222335404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8" s="45" t="s">
        <v>181</v>
      </c>
      <c r="BB88" s="53" t="str">
        <f>IFERROR(IF(MARÍTIMOS[[#This Row],[Estatus]]="","",MARÍTIMOS[[#This Row],[Estatus]]),"")</f>
        <v>Confirmado</v>
      </c>
      <c r="BC88" s="45"/>
      <c r="BD88" s="52">
        <f>IFERROR(OLDBD[[#This Row],[Salida de almacén de retiro]]-OLDBD[[#This Row],[Ingreso Almacén de retiro]],"")</f>
        <v>0.13055555555911269</v>
      </c>
      <c r="BE88" s="52">
        <f>IFERROR(OLDBD[[#This Row],[Fin de Carga]]-OLDBD[[#This Row],[Inicio de Carga]],"")</f>
        <v>8.3333333335758653E-2</v>
      </c>
    </row>
    <row r="89" spans="1:57" x14ac:dyDescent="0.35">
      <c r="A89" s="1"/>
      <c r="B89" s="1">
        <f>IFERROR(IF(MARÍTIMOS[[#This Row],[PP]]="","",MARÍTIMOS[[#This Row],[PP]]),"")</f>
        <v>22</v>
      </c>
      <c r="C89" s="1" t="str">
        <f>IFERROR(IF(MARÍTIMOS[[#This Row],[Sede]]="","",MARÍTIMOS[[#This Row],[Sede]]),"")</f>
        <v>Chao</v>
      </c>
      <c r="D89" s="1" t="str">
        <f>IFERROR(IF(MARÍTIMOS[[#This Row],[Instruction]]="","",MARÍTIMOS[[#This Row],[Instruction]]),"")</f>
        <v>RH-0015</v>
      </c>
      <c r="E89" s="1"/>
      <c r="F89" s="2" t="str">
        <f>IFERROR(IF(MARÍTIMOS[[#This Row],[Transportista]]="","",MARÍTIMOS[[#This Row],[Transportista]]),"")</f>
        <v>LIP</v>
      </c>
      <c r="G89" s="2" t="str">
        <f>IFERROR(IF(MARÍTIMOS[[#This Row],[Tercero]]="","",MARÍTIMOS[[#This Row],[Tercero]]),"")</f>
        <v>SI</v>
      </c>
      <c r="H89" s="2" t="str">
        <f>IFERROR(IF(MARÍTIMOS[[#This Row],[Razón Social]]="","",MARÍTIMOS[[#This Row],[Razón Social]]),"")</f>
        <v>LOGISTICA INTERMODAL DEL PERU S.A.C.</v>
      </c>
      <c r="I89" s="2">
        <f>IFERROR(IF(MARÍTIMOS[[#This Row],[RUC]]="","",MARÍTIMOS[[#This Row],[RUC]]),"")</f>
        <v>20513040718</v>
      </c>
      <c r="J89" s="2" t="str">
        <f>IFERROR(IF(MARÍTIMOS[[#This Row],[Placa Tracto]]="","",MARÍTIMOS[[#This Row],[Placa Tracto]]),"")</f>
        <v>AZH-735</v>
      </c>
      <c r="K89" s="2" t="str">
        <f>IFERROR(IF(MARÍTIMOS[[#This Row],[Placa Carreta]]="","",MARÍTIMOS[[#This Row],[Placa Carreta]]),"")</f>
        <v>AXU-994</v>
      </c>
      <c r="L89" s="46" t="str">
        <f>IFERROR(IF(MARÍTIMOS[[#This Row],[Conductor]]="","",MARÍTIMOS[[#This Row],[Conductor]]),"")</f>
        <v>CANO PADILLA ALEJANDRO ROGER</v>
      </c>
      <c r="M89" s="2" t="str">
        <f>IFERROR(IF(MARÍTIMOS[[#This Row],[Licencia]]="","",MARÍTIMOS[[#This Row],[Licencia]]),"")</f>
        <v>Q09044728</v>
      </c>
      <c r="N89" s="2" t="str">
        <f>IFERROR(IF(MARÍTIMOS[[#This Row],[Número de Contacto]]="","",MARÍTIMOS[[#This Row],[Número de Contacto]]),"")</f>
        <v/>
      </c>
      <c r="O89" s="10">
        <f>IFERROR(IF(MARÍTIMOS[[#This Row],[Booking|AWB|CRT]]="","",MARÍTIMOS[[#This Row],[Booking|AWB|CRT]]),"")</f>
        <v>6503163460</v>
      </c>
      <c r="P89" s="2" t="str">
        <f>IFERROR(IF(MARÍTIMOS[[#This Row],[Contenedor]]="","",MARÍTIMOS[[#This Row],[Contenedor]]),"")</f>
        <v>FBIU5460286</v>
      </c>
      <c r="Q89" s="2" t="str">
        <f>IFERROR(IF(MARÍTIMOS[[#This Row],[Puerto de Retiro]]="","",MARÍTIMOS[[#This Row],[Puerto de Retiro]]),"")</f>
        <v>CALLAO</v>
      </c>
      <c r="R89" s="2" t="str">
        <f>IFERROR(IF(MARÍTIMOS[[#This Row],[Almacén de Retiro]]="","",MARÍTIMOS[[#This Row],[Almacén de Retiro]]),"")</f>
        <v>CSPCP</v>
      </c>
      <c r="S89" s="11">
        <f>IFERROR(IF(MARÍTIMOS[[#This Row],[Etapa Retiro - Cita]]="","",MARÍTIMOS[[#This Row],[Etapa Retiro - Cita]]),"")</f>
        <v>46174.541666666664</v>
      </c>
      <c r="T89" s="11">
        <f>IFERROR(IF(MARÍTIMOS[[#This Row],[Etapa Retiro - Llegada]]="","",MARÍTIMOS[[#This Row],[Etapa Retiro - Llegada]]),"")</f>
        <v>46174.680555555555</v>
      </c>
      <c r="U89" s="11">
        <f>IFERROR(IF(MARÍTIMOS[[#This Row],[Etapa Retiro - Ingreso]]="","",MARÍTIMOS[[#This Row],[Etapa Retiro - Ingreso]]),"")</f>
        <v>46174.694444444445</v>
      </c>
      <c r="V89" s="11">
        <f>IFERROR(IF(MARÍTIMOS[[#This Row],[Etapa Retiro - Atención]]="","",MARÍTIMOS[[#This Row],[Etapa Retiro - Atención]]),"")</f>
        <v>46174.704861111109</v>
      </c>
      <c r="W89" s="11">
        <f>IFERROR(IF(MARÍTIMOS[[#This Row],[Etapa Retiro - Salida]]="","",MARÍTIMOS[[#This Row],[Etapa Retiro - Salida]]),"")</f>
        <v>46174.767361111109</v>
      </c>
      <c r="X89" s="11">
        <f>IFERROR(IF(MARÍTIMOS[[#This Row],[Etapa Retiro - Inicio de Ruta]]="","",MARÍTIMOS[[#This Row],[Etapa Retiro - Inicio de Ruta]]),"")</f>
        <v>46174.791666666664</v>
      </c>
      <c r="Y89" s="11">
        <f>IFERROR(IF(MARÍTIMOS[[#This Row],[Hora de Posicionamiento]]="","",MARÍTIMOS[[#This Row],[Hora de Carga]]+MARÍTIMOS[[#This Row],[Hora de Posicionamiento]]),"")</f>
        <v>0.5</v>
      </c>
      <c r="Z89" s="11">
        <f>IFERROR(IF(MARÍTIMOS[[#This Row],[Etapa Despacho -  Llegada]]="","",MARÍTIMOS[[#This Row],[Etapa Despacho -  Llegada]]),"")</f>
        <v>46175.425694444442</v>
      </c>
      <c r="AA89" s="11">
        <f>IFERROR(IF(MARÍTIMOS[[#This Row],[Etapa Despacho -  Registro]]="","",MARÍTIMOS[[#This Row],[Etapa Despacho -  Registro]]),"")</f>
        <v>46176.041666666664</v>
      </c>
      <c r="AB89" s="11">
        <f>IFERROR(IF(MARÍTIMOS[[#This Row],[Inspección Externa]]="","",MARÍTIMOS[[#This Row],[Inspección Externa]]),"")</f>
        <v>46175.604166666664</v>
      </c>
      <c r="AC89" s="11">
        <f>IFERROR(IF(MARÍTIMOS[[#This Row],[Etapa Despacho -  Inicio de Carga]]="","",MARÍTIMOS[[#This Row],[Etapa Despacho -  Inicio de Carga]]),"")</f>
        <v>46175.618055555555</v>
      </c>
      <c r="AD89" s="11">
        <f>IFERROR(IF(MARÍTIMOS[[#This Row],[Etapa Despacho -  Fin de Carga]]="","",MARÍTIMOS[[#This Row],[Etapa Despacho -  Fin de Carga]]),"")</f>
        <v>46175.638888888891</v>
      </c>
      <c r="AE89" s="11">
        <f>IFERROR(IF(MARÍTIMOS[[#This Row],[Etapa Despacho -  Salida]]="","",MARÍTIMOS[[#This Row],[Etapa Despacho -  Salida]]),"")</f>
        <v>46175.586805555555</v>
      </c>
      <c r="AF89" s="2" t="str">
        <f>IFERROR(IF(MARÍTIMOS[[#This Row],[Puerto de Embarque]]="","",MARÍTIMOS[[#This Row],[Puerto de Embarque]]),"")</f>
        <v>CALLAO</v>
      </c>
      <c r="AG89" s="2" t="str">
        <f>IFERROR(IF(MARÍTIMOS[[#This Row],[Almacén de Ingreso]]="","",MARÍTIMOS[[#This Row],[Almacén de Ingreso]]),"")</f>
        <v>CSPCP</v>
      </c>
      <c r="AH89" s="11">
        <f>IFERROR(IF(MARÍTIMOS[[#This Row],[Etapa Ingreso - Cita]]="","",MARÍTIMOS[[#This Row],[Etapa Ingreso - Cita]]),"")</f>
        <v>46176</v>
      </c>
      <c r="AI89" s="11">
        <f>IFERROR(IF(MARÍTIMOS[[#This Row],[Etapa Ingreso - Llegada]]="","",MARÍTIMOS[[#This Row],[Etapa Ingreso - Llegada]]),"")</f>
        <v>46176.032638888886</v>
      </c>
      <c r="AJ89" s="11">
        <f>IFERROR(IF(MARÍTIMOS[[#This Row],[Etapa Ingreso - Ingeso]]="","",MARÍTIMOS[[#This Row],[Etapa Ingreso - Ingeso]]),"")</f>
        <v>46176.048611111109</v>
      </c>
      <c r="AK89" s="11">
        <f>IFERROR(IF(MARÍTIMOS[[#This Row],[Etapa Ingreso - Atención]]="","",MARÍTIMOS[[#This Row],[Etapa Ingreso - Atención]]),"")</f>
        <v>46176.0625</v>
      </c>
      <c r="AL89" s="11">
        <f>IFERROR(IF(MARÍTIMOS[[#This Row],[Etapa Ingreso - Salida]]="","",MARÍTIMOS[[#This Row],[Etapa Ingreso - Salida]]),"")</f>
        <v>46176.65625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9" s="5">
        <f>IFERROR(OLDBD[[#This Row],[Llegada a packing]]-OLDBD[[#This Row],[Inicio de Ruta]],"")</f>
        <v>0.63402777777810115</v>
      </c>
      <c r="AQ89" s="6">
        <f>IFERROR(OLDBD[[#This Row],[Inicio de Ruta]]-OLDBD[[#This Row],[Salida de almacén de retiro]],"")</f>
        <v>2.4305555554747116E-2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9" s="9">
        <f>IFERROR(OLDBD[[#This Row],[Ingreso Packing]]-OLDBD[[#This Row],[Registro en Packing]],"")</f>
        <v>-0.4375</v>
      </c>
      <c r="AV89" s="9">
        <f>IFERROR(OLDBD[[#This Row],[Ingreso Packing]]-OLDBD[[#This Row],[Llegada a packing]],"")</f>
        <v>0.17847222222189885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0.44583333333139308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9" s="45" t="s">
        <v>181</v>
      </c>
      <c r="BB89" s="53" t="str">
        <f>IFERROR(IF(MARÍTIMOS[[#This Row],[Estatus]]="","",MARÍTIMOS[[#This Row],[Estatus]]),"")</f>
        <v>Confirmado</v>
      </c>
      <c r="BC89" s="45"/>
      <c r="BD89" s="52">
        <f>IFERROR(OLDBD[[#This Row],[Salida de almacén de retiro]]-OLDBD[[#This Row],[Ingreso Almacén de retiro]],"")</f>
        <v>7.2916666664241347E-2</v>
      </c>
      <c r="BE89" s="52">
        <f>IFERROR(OLDBD[[#This Row],[Fin de Carga]]-OLDBD[[#This Row],[Inicio de Carga]],"")</f>
        <v>2.0833333335758653E-2</v>
      </c>
    </row>
    <row r="90" spans="1:57" x14ac:dyDescent="0.35">
      <c r="A90" s="1"/>
      <c r="B90" s="1">
        <f>IFERROR(IF(MARÍTIMOS[[#This Row],[PP]]="","",MARÍTIMOS[[#This Row],[PP]]),"")</f>
        <v>23</v>
      </c>
      <c r="C90" s="1" t="str">
        <f>IFERROR(IF(MARÍTIMOS[[#This Row],[Sede]]="","",MARÍTIMOS[[#This Row],[Sede]]),"")</f>
        <v>Chao</v>
      </c>
      <c r="D90" s="1" t="str">
        <f>IFERROR(IF(MARÍTIMOS[[#This Row],[Instruction]]="","",MARÍTIMOS[[#This Row],[Instruction]]),"")</f>
        <v>RH-0026</v>
      </c>
      <c r="E90" s="1"/>
      <c r="F90" s="2" t="str">
        <f>IFERROR(IF(MARÍTIMOS[[#This Row],[Transportista]]="","",MARÍTIMOS[[#This Row],[Transportista]]),"")</f>
        <v>LIP</v>
      </c>
      <c r="G90" s="2" t="str">
        <f>IFERROR(IF(MARÍTIMOS[[#This Row],[Tercero]]="","",MARÍTIMOS[[#This Row],[Tercero]]),"")</f>
        <v>SI</v>
      </c>
      <c r="H90" s="2" t="str">
        <f>IFERROR(IF(MARÍTIMOS[[#This Row],[Razón Social]]="","",MARÍTIMOS[[#This Row],[Razón Social]]),"")</f>
        <v>LOGISTICA INTERMODAL DEL PERU S.A.C.</v>
      </c>
      <c r="I90" s="2">
        <f>IFERROR(IF(MARÍTIMOS[[#This Row],[RUC]]="","",MARÍTIMOS[[#This Row],[RUC]]),"")</f>
        <v>20513040718</v>
      </c>
      <c r="J90" s="2" t="str">
        <f>IFERROR(IF(MARÍTIMOS[[#This Row],[Placa Tracto]]="","",MARÍTIMOS[[#This Row],[Placa Tracto]]),"")</f>
        <v>AZH-828</v>
      </c>
      <c r="K90" s="2" t="str">
        <f>IFERROR(IF(MARÍTIMOS[[#This Row],[Placa Carreta]]="","",MARÍTIMOS[[#This Row],[Placa Carreta]]),"")</f>
        <v>AXO-972</v>
      </c>
      <c r="L90" s="46" t="str">
        <f>IFERROR(IF(MARÍTIMOS[[#This Row],[Conductor]]="","",MARÍTIMOS[[#This Row],[Conductor]]),"")</f>
        <v>JARA RAMOS CARLOS AUGUSTO</v>
      </c>
      <c r="M90" s="2" t="str">
        <f>IFERROR(IF(MARÍTIMOS[[#This Row],[Licencia]]="","",MARÍTIMOS[[#This Row],[Licencia]]),"")</f>
        <v>Q45899911</v>
      </c>
      <c r="N90" s="2" t="str">
        <f>IFERROR(IF(MARÍTIMOS[[#This Row],[Número de Contacto]]="","",MARÍTIMOS[[#This Row],[Número de Contacto]]),"")</f>
        <v/>
      </c>
      <c r="O90" s="10">
        <f>IFERROR(IF(MARÍTIMOS[[#This Row],[Booking|AWB|CRT]]="","",MARÍTIMOS[[#This Row],[Booking|AWB|CRT]]),"")</f>
        <v>751600031888</v>
      </c>
      <c r="P90" s="2" t="str">
        <f>IFERROR(IF(MARÍTIMOS[[#This Row],[Contenedor]]="","",MARÍTIMOS[[#This Row],[Contenedor]]),"")</f>
        <v>EGSU5056740</v>
      </c>
      <c r="Q90" s="2" t="str">
        <f>IFERROR(IF(MARÍTIMOS[[#This Row],[Puerto de Retiro]]="","",MARÍTIMOS[[#This Row],[Puerto de Retiro]]),"")</f>
        <v>CALLAO</v>
      </c>
      <c r="R90" s="2" t="str">
        <f>IFERROR(IF(MARÍTIMOS[[#This Row],[Almacén de Retiro]]="","",MARÍTIMOS[[#This Row],[Almacén de Retiro]]),"")</f>
        <v>TPP</v>
      </c>
      <c r="S90" s="11">
        <f>IFERROR(IF(MARÍTIMOS[[#This Row],[Etapa Retiro - Cita]]="","",MARÍTIMOS[[#This Row],[Etapa Retiro - Cita]]),"")</f>
        <v>46180.833333333336</v>
      </c>
      <c r="T90" s="11">
        <f>IFERROR(IF(MARÍTIMOS[[#This Row],[Etapa Retiro - Llegada]]="","",MARÍTIMOS[[#This Row],[Etapa Retiro - Llegada]]),"")</f>
        <v>46180.85</v>
      </c>
      <c r="U90" s="11">
        <f>IFERROR(IF(MARÍTIMOS[[#This Row],[Etapa Retiro - Ingreso]]="","",MARÍTIMOS[[#This Row],[Etapa Retiro - Ingreso]]),"")</f>
        <v>46180.854166666664</v>
      </c>
      <c r="V90" s="11">
        <f>IFERROR(IF(MARÍTIMOS[[#This Row],[Etapa Retiro - Atención]]="","",MARÍTIMOS[[#This Row],[Etapa Retiro - Atención]]),"")</f>
        <v>46180.856249999997</v>
      </c>
      <c r="W90" s="11">
        <f>IFERROR(IF(MARÍTIMOS[[#This Row],[Etapa Retiro - Salida]]="","",MARÍTIMOS[[#This Row],[Etapa Retiro - Salida]]),"")</f>
        <v>46180.915277777778</v>
      </c>
      <c r="X90" s="11">
        <f>IFERROR(IF(MARÍTIMOS[[#This Row],[Etapa Retiro - Inicio de Ruta]]="","",MARÍTIMOS[[#This Row],[Etapa Retiro - Inicio de Ruta]]),"")</f>
        <v>46180.916666666664</v>
      </c>
      <c r="Y90" s="11">
        <f>IFERROR(IF(MARÍTIMOS[[#This Row],[Hora de Posicionamiento]]="","",MARÍTIMOS[[#This Row],[Hora de Carga]]+MARÍTIMOS[[#This Row],[Hora de Posicionamiento]]),"")</f>
        <v>0.41666666666666669</v>
      </c>
      <c r="Z90" s="11">
        <f>IFERROR(IF(MARÍTIMOS[[#This Row],[Etapa Despacho -  Llegada]]="","",MARÍTIMOS[[#This Row],[Etapa Despacho -  Llegada]]),"")</f>
        <v>46181.458333333336</v>
      </c>
      <c r="AA90" s="11">
        <f>IFERROR(IF(MARÍTIMOS[[#This Row],[Etapa Despacho -  Registro]]="","",MARÍTIMOS[[#This Row],[Etapa Despacho -  Registro]]),"")</f>
        <v>46182.208333333336</v>
      </c>
      <c r="AB90" s="11">
        <f>IFERROR(IF(MARÍTIMOS[[#This Row],[Inspección Externa]]="","",MARÍTIMOS[[#This Row],[Inspección Externa]]),"")</f>
        <v>46181.481249999997</v>
      </c>
      <c r="AC90" s="11">
        <f>IFERROR(IF(MARÍTIMOS[[#This Row],[Etapa Despacho -  Inicio de Carga]]="","",MARÍTIMOS[[#This Row],[Etapa Despacho -  Inicio de Carga]]),"")</f>
        <v>46181.5</v>
      </c>
      <c r="AD90" s="11">
        <f>IFERROR(IF(MARÍTIMOS[[#This Row],[Etapa Despacho -  Fin de Carga]]="","",MARÍTIMOS[[#This Row],[Etapa Despacho -  Fin de Carga]]),"")</f>
        <v>46181.680555555555</v>
      </c>
      <c r="AE90" s="11">
        <f>IFERROR(IF(MARÍTIMOS[[#This Row],[Etapa Despacho -  Salida]]="","",MARÍTIMOS[[#This Row],[Etapa Despacho -  Salida]]),"")</f>
        <v>46181.713888888888</v>
      </c>
      <c r="AF90" s="2" t="str">
        <f>IFERROR(IF(MARÍTIMOS[[#This Row],[Puerto de Embarque]]="","",MARÍTIMOS[[#This Row],[Puerto de Embarque]]),"")</f>
        <v>CALLAO</v>
      </c>
      <c r="AG90" s="2" t="str">
        <f>IFERROR(IF(MARÍTIMOS[[#This Row],[Almacén de Ingreso]]="","",MARÍTIMOS[[#This Row],[Almacén de Ingreso]]),"")</f>
        <v>DPW</v>
      </c>
      <c r="AH90" s="11">
        <f>IFERROR(IF(MARÍTIMOS[[#This Row],[Etapa Ingreso - Cita]]="","",MARÍTIMOS[[#This Row],[Etapa Ingreso - Cita]]),"")</f>
        <v>46182.166666666664</v>
      </c>
      <c r="AI90" s="11">
        <f>IFERROR(IF(MARÍTIMOS[[#This Row],[Etapa Ingreso - Llegada]]="","",MARÍTIMOS[[#This Row],[Etapa Ingreso - Llegada]]),"")</f>
        <v>46182.206250000003</v>
      </c>
      <c r="AJ90" s="11">
        <f>IFERROR(IF(MARÍTIMOS[[#This Row],[Etapa Ingreso - Ingeso]]="","",MARÍTIMOS[[#This Row],[Etapa Ingreso - Ingeso]]),"")</f>
        <v>46182.208333333336</v>
      </c>
      <c r="AK90" s="11">
        <f>IFERROR(IF(MARÍTIMOS[[#This Row],[Etapa Ingreso - Atención]]="","",MARÍTIMOS[[#This Row],[Etapa Ingreso - Atención]]),"")</f>
        <v>46182.246527777781</v>
      </c>
      <c r="AL90" s="11">
        <f>IFERROR(IF(MARÍTIMOS[[#This Row],[Etapa Ingreso - Salida]]="","",MARÍTIMOS[[#This Row],[Etapa Ingreso - Salida]]),"")</f>
        <v>46182.258333333331</v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0.54166666667151731</v>
      </c>
      <c r="AQ90" s="6">
        <f>IFERROR(OLDBD[[#This Row],[Inicio de Ruta]]-OLDBD[[#This Row],[Salida de almacén de retiro]],"")</f>
        <v>1.3888888861401938E-3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0" s="9">
        <f>IFERROR(OLDBD[[#This Row],[Ingreso Packing]]-OLDBD[[#This Row],[Registro en Packing]],"")</f>
        <v>-0.72708333333866904</v>
      </c>
      <c r="AV90" s="9">
        <f>IFERROR(OLDBD[[#This Row],[Ingreso Packing]]-OLDBD[[#This Row],[Llegada a packing]],"")</f>
        <v>2.2916666661330964E-2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0" s="5">
        <f>IFERROR(OLDBD[[#This Row],[Llegada Almacén de Ingreso]]-OLDBD[[#This Row],[Salida Packing]],"")</f>
        <v>0.492361111115315</v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0" s="45" t="s">
        <v>181</v>
      </c>
      <c r="BB90" s="53" t="str">
        <f>IFERROR(IF(MARÍTIMOS[[#This Row],[Estatus]]="","",MARÍTIMOS[[#This Row],[Estatus]]),"")</f>
        <v>Confirmado</v>
      </c>
      <c r="BC90" s="45"/>
      <c r="BD90" s="52">
        <f>IFERROR(OLDBD[[#This Row],[Salida de almacén de retiro]]-OLDBD[[#This Row],[Ingreso Almacén de retiro]],"")</f>
        <v>6.1111111113859806E-2</v>
      </c>
      <c r="BE90" s="52">
        <f>IFERROR(OLDBD[[#This Row],[Fin de Carga]]-OLDBD[[#This Row],[Inicio de Carga]],"")</f>
        <v>0.18055555555474712</v>
      </c>
    </row>
    <row r="91" spans="1:57" x14ac:dyDescent="0.35">
      <c r="A91" s="1"/>
      <c r="B91" s="1">
        <f>IFERROR(IF(MARÍTIMOS[[#This Row],[PP]]="","",MARÍTIMOS[[#This Row],[PP]]),"")</f>
        <v>23</v>
      </c>
      <c r="C91" s="1" t="str">
        <f>IFERROR(IF(MARÍTIMOS[[#This Row],[Sede]]="","",MARÍTIMOS[[#This Row],[Sede]]),"")</f>
        <v>Chao</v>
      </c>
      <c r="D91" s="1" t="str">
        <f>IFERROR(IF(MARÍTIMOS[[#This Row],[Instruction]]="","",MARÍTIMOS[[#This Row],[Instruction]]),"")</f>
        <v>RH-0029</v>
      </c>
      <c r="E91" s="1"/>
      <c r="F91" s="2" t="str">
        <f>IFERROR(IF(MARÍTIMOS[[#This Row],[Transportista]]="","",MARÍTIMOS[[#This Row],[Transportista]]),"")</f>
        <v>LIP</v>
      </c>
      <c r="G91" s="2" t="str">
        <f>IFERROR(IF(MARÍTIMOS[[#This Row],[Tercero]]="","",MARÍTIMOS[[#This Row],[Tercero]]),"")</f>
        <v>SI</v>
      </c>
      <c r="H91" s="2" t="str">
        <f>IFERROR(IF(MARÍTIMOS[[#This Row],[Razón Social]]="","",MARÍTIMOS[[#This Row],[Razón Social]]),"")</f>
        <v>LOGISTICA INTERMODAL DEL PERU S.A.C.</v>
      </c>
      <c r="I91" s="2">
        <f>IFERROR(IF(MARÍTIMOS[[#This Row],[RUC]]="","",MARÍTIMOS[[#This Row],[RUC]]),"")</f>
        <v>20513040718</v>
      </c>
      <c r="J91" s="2" t="str">
        <f>IFERROR(IF(MARÍTIMOS[[#This Row],[Placa Tracto]]="","",MARÍTIMOS[[#This Row],[Placa Tracto]]),"")</f>
        <v>CBP-811</v>
      </c>
      <c r="K91" s="2" t="str">
        <f>IFERROR(IF(MARÍTIMOS[[#This Row],[Placa Carreta]]="","",MARÍTIMOS[[#This Row],[Placa Carreta]]),"")</f>
        <v>BTL-997</v>
      </c>
      <c r="L91" s="46" t="str">
        <f>IFERROR(IF(MARÍTIMOS[[#This Row],[Conductor]]="","",MARÍTIMOS[[#This Row],[Conductor]]),"")</f>
        <v>RUIZ GARCIA GERARDO HERNAN ALBERTO</v>
      </c>
      <c r="M91" s="2" t="str">
        <f>IFERROR(IF(MARÍTIMOS[[#This Row],[Licencia]]="","",MARÍTIMOS[[#This Row],[Licencia]]),"")</f>
        <v>Q45525525</v>
      </c>
      <c r="N91" s="2" t="str">
        <f>IFERROR(IF(MARÍTIMOS[[#This Row],[Número de Contacto]]="","",MARÍTIMOS[[#This Row],[Número de Contacto]]),"")</f>
        <v/>
      </c>
      <c r="O91" s="10">
        <f>IFERROR(IF(MARÍTIMOS[[#This Row],[Booking|AWB|CRT]]="","",MARÍTIMOS[[#This Row],[Booking|AWB|CRT]]),"")</f>
        <v>751600031896</v>
      </c>
      <c r="P91" s="2" t="str">
        <f>IFERROR(IF(MARÍTIMOS[[#This Row],[Contenedor]]="","",MARÍTIMOS[[#This Row],[Contenedor]]),"")</f>
        <v>EMCU5680947</v>
      </c>
      <c r="Q91" s="2" t="str">
        <f>IFERROR(IF(MARÍTIMOS[[#This Row],[Puerto de Retiro]]="","",MARÍTIMOS[[#This Row],[Puerto de Retiro]]),"")</f>
        <v>CALLAO</v>
      </c>
      <c r="R91" s="2" t="str">
        <f>IFERROR(IF(MARÍTIMOS[[#This Row],[Almacén de Retiro]]="","",MARÍTIMOS[[#This Row],[Almacén de Retiro]]),"")</f>
        <v>TPP</v>
      </c>
      <c r="S91" s="11">
        <f>IFERROR(IF(MARÍTIMOS[[#This Row],[Etapa Retiro - Cita]]="","",MARÍTIMOS[[#This Row],[Etapa Retiro - Cita]]),"")</f>
        <v>46180.833333333336</v>
      </c>
      <c r="T91" s="11">
        <f>IFERROR(IF(MARÍTIMOS[[#This Row],[Etapa Retiro - Llegada]]="","",MARÍTIMOS[[#This Row],[Etapa Retiro - Llegada]]),"")</f>
        <v>46180.861805555556</v>
      </c>
      <c r="U91" s="11">
        <f>IFERROR(IF(MARÍTIMOS[[#This Row],[Etapa Retiro - Ingreso]]="","",MARÍTIMOS[[#This Row],[Etapa Retiro - Ingreso]]),"")</f>
        <v>46180.871527777781</v>
      </c>
      <c r="V91" s="11">
        <f>IFERROR(IF(MARÍTIMOS[[#This Row],[Etapa Retiro - Atención]]="","",MARÍTIMOS[[#This Row],[Etapa Retiro - Atención]]),"")</f>
        <v>46180.866666666669</v>
      </c>
      <c r="W91" s="11">
        <f>IFERROR(IF(MARÍTIMOS[[#This Row],[Etapa Retiro - Salida]]="","",MARÍTIMOS[[#This Row],[Etapa Retiro - Salida]]),"")</f>
        <v>46180.941666666666</v>
      </c>
      <c r="X91" s="11">
        <f>IFERROR(IF(MARÍTIMOS[[#This Row],[Etapa Retiro - Inicio de Ruta]]="","",MARÍTIMOS[[#This Row],[Etapa Retiro - Inicio de Ruta]]),"")</f>
        <v>46180.954861111109</v>
      </c>
      <c r="Y91" s="11">
        <f>IFERROR(IF(MARÍTIMOS[[#This Row],[Hora de Posicionamiento]]="","",MARÍTIMOS[[#This Row],[Hora de Carga]]+MARÍTIMOS[[#This Row],[Hora de Posicionamiento]]),"")</f>
        <v>0.41666666666666669</v>
      </c>
      <c r="Z91" s="11">
        <f>IFERROR(IF(MARÍTIMOS[[#This Row],[Etapa Despacho -  Llegada]]="","",MARÍTIMOS[[#This Row],[Etapa Despacho -  Llegada]]),"")</f>
        <v>46181.548611111109</v>
      </c>
      <c r="AA91" s="11">
        <f>IFERROR(IF(MARÍTIMOS[[#This Row],[Etapa Despacho -  Registro]]="","",MARÍTIMOS[[#This Row],[Etapa Despacho -  Registro]]),"")</f>
        <v>46182.4375</v>
      </c>
      <c r="AB91" s="11">
        <f>IFERROR(IF(MARÍTIMOS[[#This Row],[Inspección Externa]]="","",MARÍTIMOS[[#This Row],[Inspección Externa]]),"")</f>
        <v>46181.556250000001</v>
      </c>
      <c r="AC91" s="11">
        <f>IFERROR(IF(MARÍTIMOS[[#This Row],[Etapa Despacho -  Inicio de Carga]]="","",MARÍTIMOS[[#This Row],[Etapa Despacho -  Inicio de Carga]]),"")</f>
        <v>46181.625</v>
      </c>
      <c r="AD91" s="11">
        <f>IFERROR(IF(MARÍTIMOS[[#This Row],[Etapa Despacho -  Fin de Carga]]="","",MARÍTIMOS[[#This Row],[Etapa Despacho -  Fin de Carga]]),"")</f>
        <v>46181.75</v>
      </c>
      <c r="AE91" s="11">
        <f>IFERROR(IF(MARÍTIMOS[[#This Row],[Etapa Despacho -  Salida]]="","",MARÍTIMOS[[#This Row],[Etapa Despacho -  Salida]]),"")</f>
        <v>46181.773611111108</v>
      </c>
      <c r="AF91" s="2" t="str">
        <f>IFERROR(IF(MARÍTIMOS[[#This Row],[Puerto de Embarque]]="","",MARÍTIMOS[[#This Row],[Puerto de Embarque]]),"")</f>
        <v>CALLAO</v>
      </c>
      <c r="AG91" s="2" t="str">
        <f>IFERROR(IF(MARÍTIMOS[[#This Row],[Almacén de Ingreso]]="","",MARÍTIMOS[[#This Row],[Almacén de Ingreso]]),"")</f>
        <v>DPW</v>
      </c>
      <c r="AH91" s="11">
        <f>IFERROR(IF(MARÍTIMOS[[#This Row],[Etapa Ingreso - Cita]]="","",MARÍTIMOS[[#This Row],[Etapa Ingreso - Cita]]),"")</f>
        <v>46182.416666666664</v>
      </c>
      <c r="AI91" s="11">
        <f>IFERROR(IF(MARÍTIMOS[[#This Row],[Etapa Ingreso - Llegada]]="","",MARÍTIMOS[[#This Row],[Etapa Ingreso - Llegada]]),"")</f>
        <v>46182.427777777775</v>
      </c>
      <c r="AJ91" s="11">
        <f>IFERROR(IF(MARÍTIMOS[[#This Row],[Etapa Ingreso - Ingeso]]="","",MARÍTIMOS[[#This Row],[Etapa Ingreso - Ingeso]]),"")</f>
        <v>46182.4375</v>
      </c>
      <c r="AK91" s="11">
        <f>IFERROR(IF(MARÍTIMOS[[#This Row],[Etapa Ingreso - Atención]]="","",MARÍTIMOS[[#This Row],[Etapa Ingreso - Atención]]),"")</f>
        <v>46182.550694444442</v>
      </c>
      <c r="AL91" s="11">
        <f>IFERROR(IF(MARÍTIMOS[[#This Row],[Etapa Ingreso - Salida]]="","",MARÍTIMOS[[#This Row],[Etapa Ingreso - Salida]]),"")</f>
        <v>46182.55972222222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1" s="5">
        <f>IFERROR(OLDBD[[#This Row],[Llegada a packing]]-OLDBD[[#This Row],[Inicio de Ruta]],"")</f>
        <v>0.59375</v>
      </c>
      <c r="AQ91" s="6">
        <f>IFERROR(OLDBD[[#This Row],[Inicio de Ruta]]-OLDBD[[#This Row],[Salida de almacén de retiro]],"")</f>
        <v>1.3194444443797693E-2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1" s="9">
        <f>IFERROR(OLDBD[[#This Row],[Ingreso Packing]]-OLDBD[[#This Row],[Registro en Packing]],"")</f>
        <v>-0.88124999999854481</v>
      </c>
      <c r="AV91" s="9">
        <f>IFERROR(OLDBD[[#This Row],[Ingreso Packing]]-OLDBD[[#This Row],[Llegada a packing]],"")</f>
        <v>7.6388888919609599E-3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1" s="5">
        <f>IFERROR(OLDBD[[#This Row],[Llegada Almacén de Ingreso]]-OLDBD[[#This Row],[Salida Packing]],"")</f>
        <v>0.65416666666715173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5" t="s">
        <v>181</v>
      </c>
      <c r="BB91" s="53" t="str">
        <f>IFERROR(IF(MARÍTIMOS[[#This Row],[Estatus]]="","",MARÍTIMOS[[#This Row],[Estatus]]),"")</f>
        <v>Confirmado</v>
      </c>
      <c r="BC91" s="45"/>
      <c r="BD91" s="52">
        <f>IFERROR(OLDBD[[#This Row],[Salida de almacén de retiro]]-OLDBD[[#This Row],[Ingreso Almacén de retiro]],"")</f>
        <v>7.0138888884685002E-2</v>
      </c>
      <c r="BE91" s="52">
        <f>IFERROR(OLDBD[[#This Row],[Fin de Carga]]-OLDBD[[#This Row],[Inicio de Carga]],"")</f>
        <v>0.125</v>
      </c>
    </row>
    <row r="92" spans="1:57" x14ac:dyDescent="0.35">
      <c r="A92" s="1"/>
      <c r="B92" s="1">
        <f>IFERROR(IF(MARÍTIMOS[[#This Row],[PP]]="","",MARÍTIMOS[[#This Row],[PP]]),"")</f>
        <v>23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RH-0030</v>
      </c>
      <c r="E92" s="1"/>
      <c r="F92" s="2" t="str">
        <f>IFERROR(IF(MARÍTIMOS[[#This Row],[Transportista]]="","",MARÍTIMOS[[#This Row],[Transportista]]),"")</f>
        <v>LIP</v>
      </c>
      <c r="G92" s="2" t="str">
        <f>IFERROR(IF(MARÍTIMOS[[#This Row],[Tercero]]="","",MARÍTIMOS[[#This Row],[Tercero]]),"")</f>
        <v>NO</v>
      </c>
      <c r="H92" s="2" t="str">
        <f>IFERROR(IF(MARÍTIMOS[[#This Row],[Razón Social]]="","",MARÍTIMOS[[#This Row],[Razón Social]]),"")</f>
        <v>RVR AGRO S.R.L.</v>
      </c>
      <c r="I92" s="2">
        <f>IFERROR(IF(MARÍTIMOS[[#This Row],[RUC]]="","",MARÍTIMOS[[#This Row],[RUC]]),"")</f>
        <v>20535747424</v>
      </c>
      <c r="J92" s="2" t="str">
        <f>IFERROR(IF(MARÍTIMOS[[#This Row],[Placa Tracto]]="","",MARÍTIMOS[[#This Row],[Placa Tracto]]),"")</f>
        <v>BPQ-810</v>
      </c>
      <c r="K92" s="2" t="str">
        <f>IFERROR(IF(MARÍTIMOS[[#This Row],[Placa Carreta]]="","",MARÍTIMOS[[#This Row],[Placa Carreta]]),"")</f>
        <v>BBR-971</v>
      </c>
      <c r="L92" s="46" t="str">
        <f>IFERROR(IF(MARÍTIMOS[[#This Row],[Conductor]]="","",MARÍTIMOS[[#This Row],[Conductor]]),"")</f>
        <v>ACUÑA JARA ANGEL ADOLFO</v>
      </c>
      <c r="M92" s="2" t="str">
        <f>IFERROR(IF(MARÍTIMOS[[#This Row],[Licencia]]="","",MARÍTIMOS[[#This Row],[Licencia]]),"")</f>
        <v>Q46025749</v>
      </c>
      <c r="N92" s="2" t="str">
        <f>IFERROR(IF(MARÍTIMOS[[#This Row],[Número de Contacto]]="","",MARÍTIMOS[[#This Row],[Número de Contacto]]),"")</f>
        <v/>
      </c>
      <c r="O92" s="10">
        <f>IFERROR(IF(MARÍTIMOS[[#This Row],[Booking|AWB|CRT]]="","",MARÍTIMOS[[#This Row],[Booking|AWB|CRT]]),"")</f>
        <v>751600032272</v>
      </c>
      <c r="P92" s="2" t="str">
        <f>IFERROR(IF(MARÍTIMOS[[#This Row],[Contenedor]]="","",MARÍTIMOS[[#This Row],[Contenedor]]),"")</f>
        <v>EMCU5520825</v>
      </c>
      <c r="Q92" s="2" t="str">
        <f>IFERROR(IF(MARÍTIMOS[[#This Row],[Puerto de Retiro]]="","",MARÍTIMOS[[#This Row],[Puerto de Retiro]]),"")</f>
        <v>CALLAO</v>
      </c>
      <c r="R92" s="2" t="str">
        <f>IFERROR(IF(MARÍTIMOS[[#This Row],[Almacén de Retiro]]="","",MARÍTIMOS[[#This Row],[Almacén de Retiro]]),"")</f>
        <v>TPP</v>
      </c>
      <c r="S92" s="11">
        <f>IFERROR(IF(MARÍTIMOS[[#This Row],[Etapa Retiro - Cita]]="","",MARÍTIMOS[[#This Row],[Etapa Retiro - Cita]]),"")</f>
        <v>46180.833333333336</v>
      </c>
      <c r="T92" s="11">
        <f>IFERROR(IF(MARÍTIMOS[[#This Row],[Etapa Retiro - Llegada]]="","",MARÍTIMOS[[#This Row],[Etapa Retiro - Llegada]]),"")</f>
        <v>46180.873611111114</v>
      </c>
      <c r="U92" s="11">
        <f>IFERROR(IF(MARÍTIMOS[[#This Row],[Etapa Retiro - Ingreso]]="","",MARÍTIMOS[[#This Row],[Etapa Retiro - Ingreso]]),"")</f>
        <v>46180.895833333336</v>
      </c>
      <c r="V92" s="11">
        <f>IFERROR(IF(MARÍTIMOS[[#This Row],[Etapa Retiro - Atención]]="","",MARÍTIMOS[[#This Row],[Etapa Retiro - Atención]]),"")</f>
        <v>46180.944444444445</v>
      </c>
      <c r="W92" s="11">
        <f>IFERROR(IF(MARÍTIMOS[[#This Row],[Etapa Retiro - Salida]]="","",MARÍTIMOS[[#This Row],[Etapa Retiro - Salida]]),"")</f>
        <v>46180.962500000001</v>
      </c>
      <c r="X92" s="11">
        <f>IFERROR(IF(MARÍTIMOS[[#This Row],[Etapa Retiro - Inicio de Ruta]]="","",MARÍTIMOS[[#This Row],[Etapa Retiro - Inicio de Ruta]]),"")</f>
        <v>46180.996527777781</v>
      </c>
      <c r="Y92" s="11">
        <f>IFERROR(IF(MARÍTIMOS[[#This Row],[Hora de Posicionamiento]]="","",MARÍTIMOS[[#This Row],[Hora de Carga]]+MARÍTIMOS[[#This Row],[Hora de Posicionamiento]]),"")</f>
        <v>0.54166666666666663</v>
      </c>
      <c r="Z92" s="11">
        <f>IFERROR(IF(MARÍTIMOS[[#This Row],[Etapa Despacho -  Llegada]]="","",MARÍTIMOS[[#This Row],[Etapa Despacho -  Llegada]]),"")</f>
        <v>46181.625</v>
      </c>
      <c r="AA92" s="11">
        <f>IFERROR(IF(MARÍTIMOS[[#This Row],[Etapa Despacho -  Registro]]="","",MARÍTIMOS[[#This Row],[Etapa Despacho -  Registro]]),"")</f>
        <v>46182.486111111109</v>
      </c>
      <c r="AB92" s="11">
        <f>IFERROR(IF(MARÍTIMOS[[#This Row],[Inspección Externa]]="","",MARÍTIMOS[[#This Row],[Inspección Externa]]),"")</f>
        <v>46181.636805555558</v>
      </c>
      <c r="AC92" s="11">
        <f>IFERROR(IF(MARÍTIMOS[[#This Row],[Etapa Despacho -  Inicio de Carga]]="","",MARÍTIMOS[[#This Row],[Etapa Despacho -  Inicio de Carga]]),"")</f>
        <v>46181.6875</v>
      </c>
      <c r="AD92" s="11">
        <f>IFERROR(IF(MARÍTIMOS[[#This Row],[Etapa Despacho -  Fin de Carga]]="","",MARÍTIMOS[[#This Row],[Etapa Despacho -  Fin de Carga]]),"")</f>
        <v>46181.777777777781</v>
      </c>
      <c r="AE92" s="11">
        <f>IFERROR(IF(MARÍTIMOS[[#This Row],[Etapa Despacho -  Salida]]="","",MARÍTIMOS[[#This Row],[Etapa Despacho -  Salida]]),"")</f>
        <v>46181.820833333331</v>
      </c>
      <c r="AF92" s="2" t="str">
        <f>IFERROR(IF(MARÍTIMOS[[#This Row],[Puerto de Embarque]]="","",MARÍTIMOS[[#This Row],[Puerto de Embarque]]),"")</f>
        <v>CALLAO</v>
      </c>
      <c r="AG92" s="2" t="str">
        <f>IFERROR(IF(MARÍTIMOS[[#This Row],[Almacén de Ingreso]]="","",MARÍTIMOS[[#This Row],[Almacén de Ingreso]]),"")</f>
        <v>DPW</v>
      </c>
      <c r="AH92" s="11">
        <f>IFERROR(IF(MARÍTIMOS[[#This Row],[Etapa Ingreso - Cita]]="","",MARÍTIMOS[[#This Row],[Etapa Ingreso - Cita]]),"")</f>
        <v>46182.458333333336</v>
      </c>
      <c r="AI92" s="11">
        <f>IFERROR(IF(MARÍTIMOS[[#This Row],[Etapa Ingreso - Llegada]]="","",MARÍTIMOS[[#This Row],[Etapa Ingreso - Llegada]]),"")</f>
        <v>46182.479861111111</v>
      </c>
      <c r="AJ92" s="11">
        <f>IFERROR(IF(MARÍTIMOS[[#This Row],[Etapa Ingreso - Ingeso]]="","",MARÍTIMOS[[#This Row],[Etapa Ingreso - Ingeso]]),"")</f>
        <v>46182.5</v>
      </c>
      <c r="AK92" s="11">
        <f>IFERROR(IF(MARÍTIMOS[[#This Row],[Etapa Ingreso - Atención]]="","",MARÍTIMOS[[#This Row],[Etapa Ingreso - Atención]]),"")</f>
        <v>46182.708333333336</v>
      </c>
      <c r="AL92" s="11">
        <f>IFERROR(IF(MARÍTIMOS[[#This Row],[Etapa Ingreso - Salida]]="","",MARÍTIMOS[[#This Row],[Etapa Ingreso - Salida]]),"")</f>
        <v>46182.726388888892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>
        <f>IFERROR(OLDBD[[#This Row],[Llegada a packing]]-OLDBD[[#This Row],[Inicio de Ruta]],"")</f>
        <v>0.62847222221898846</v>
      </c>
      <c r="AQ92" s="6">
        <f>IFERROR(OLDBD[[#This Row],[Inicio de Ruta]]-OLDBD[[#This Row],[Salida de almacén de retiro]],"")</f>
        <v>3.4027777779556345E-2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2" s="9">
        <f>IFERROR(OLDBD[[#This Row],[Ingreso Packing]]-OLDBD[[#This Row],[Registro en Packing]],"")</f>
        <v>-0.84930555555183673</v>
      </c>
      <c r="AV92" s="9">
        <f>IFERROR(OLDBD[[#This Row],[Ingreso Packing]]-OLDBD[[#This Row],[Llegada a packing]],"")</f>
        <v>1.1805555557657499E-2</v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2" s="5">
        <f>IFERROR(OLDBD[[#This Row],[Llegada Almacén de Ingreso]]-OLDBD[[#This Row],[Salida Packing]],"")</f>
        <v>0.65902777777955635</v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2" s="45" t="s">
        <v>181</v>
      </c>
      <c r="BB92" s="53" t="str">
        <f>IFERROR(IF(MARÍTIMOS[[#This Row],[Estatus]]="","",MARÍTIMOS[[#This Row],[Estatus]]),"")</f>
        <v>Confirmado</v>
      </c>
      <c r="BC92" s="45"/>
      <c r="BD92" s="52">
        <f>IFERROR(OLDBD[[#This Row],[Salida de almacén de retiro]]-OLDBD[[#This Row],[Ingreso Almacén de retiro]],"")</f>
        <v>6.6666666665696539E-2</v>
      </c>
      <c r="BE92" s="52">
        <f>IFERROR(OLDBD[[#This Row],[Fin de Carga]]-OLDBD[[#This Row],[Inicio de Carga]],"")</f>
        <v>9.0277777781011537E-2</v>
      </c>
    </row>
    <row r="93" spans="1:57" x14ac:dyDescent="0.35">
      <c r="A93" s="1"/>
      <c r="B93" s="1">
        <f>IFERROR(IF(MARÍTIMOS[[#This Row],[PP]]="","",MARÍTIMOS[[#This Row],[PP]]),"")</f>
        <v>24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RH-0043</v>
      </c>
      <c r="E93" s="1"/>
      <c r="F93" s="2" t="str">
        <f>IFERROR(IF(MARÍTIMOS[[#This Row],[Transportista]]="","",MARÍTIMOS[[#This Row],[Transportista]]),"")</f>
        <v>LIP</v>
      </c>
      <c r="G93" s="2" t="str">
        <f>IFERROR(IF(MARÍTIMOS[[#This Row],[Tercero]]="","",MARÍTIMOS[[#This Row],[Tercero]]),"")</f>
        <v>NO</v>
      </c>
      <c r="H93" s="2" t="str">
        <f>IFERROR(IF(MARÍTIMOS[[#This Row],[Razón Social]]="","",MARÍTIMOS[[#This Row],[Razón Social]]),"")</f>
        <v>LOGISTICA INTERMODAL DEL PERU S.A.C.</v>
      </c>
      <c r="I93" s="2">
        <f>IFERROR(IF(MARÍTIMOS[[#This Row],[RUC]]="","",MARÍTIMOS[[#This Row],[RUC]]),"")</f>
        <v>20513040718</v>
      </c>
      <c r="J93" s="2" t="str">
        <f>IFERROR(IF(MARÍTIMOS[[#This Row],[Placa Tracto]]="","",MARÍTIMOS[[#This Row],[Placa Tracto]]),"")</f>
        <v>BKI-940</v>
      </c>
      <c r="K93" s="2" t="str">
        <f>IFERROR(IF(MARÍTIMOS[[#This Row],[Placa Carreta]]="","",MARÍTIMOS[[#This Row],[Placa Carreta]]),"")</f>
        <v>AXN-997</v>
      </c>
      <c r="L93" s="46" t="str">
        <f>IFERROR(IF(MARÍTIMOS[[#This Row],[Conductor]]="","",MARÍTIMOS[[#This Row],[Conductor]]),"")</f>
        <v>MALDONADO SANTARIA WILDER</v>
      </c>
      <c r="M93" s="2" t="str">
        <f>IFERROR(IF(MARÍTIMOS[[#This Row],[Licencia]]="","",MARÍTIMOS[[#This Row],[Licencia]]),"")</f>
        <v>E41180232</v>
      </c>
      <c r="N93" s="2" t="str">
        <f>IFERROR(IF(MARÍTIMOS[[#This Row],[Número de Contacto]]="","",MARÍTIMOS[[#This Row],[Número de Contacto]]),"")</f>
        <v/>
      </c>
      <c r="O93" s="10">
        <f>IFERROR(IF(MARÍTIMOS[[#This Row],[Booking|AWB|CRT]]="","",MARÍTIMOS[[#This Row],[Booking|AWB|CRT]]),"")</f>
        <v>6503617890</v>
      </c>
      <c r="P93" s="2" t="str">
        <f>IFERROR(IF(MARÍTIMOS[[#This Row],[Contenedor]]="","",MARÍTIMOS[[#This Row],[Contenedor]]),"")</f>
        <v>FBIU5684901</v>
      </c>
      <c r="Q93" s="2" t="str">
        <f>IFERROR(IF(MARÍTIMOS[[#This Row],[Puerto de Retiro]]="","",MARÍTIMOS[[#This Row],[Puerto de Retiro]]),"")</f>
        <v>CHANCAY</v>
      </c>
      <c r="R93" s="2" t="str">
        <f>IFERROR(IF(MARÍTIMOS[[#This Row],[Almacén de Retiro]]="","",MARÍTIMOS[[#This Row],[Almacén de Retiro]]),"")</f>
        <v>DPW</v>
      </c>
      <c r="S93" s="11">
        <f>IFERROR(IF(MARÍTIMOS[[#This Row],[Etapa Retiro - Cita]]="","",MARÍTIMOS[[#This Row],[Etapa Retiro - Cita]]),"")</f>
        <v>46188.5</v>
      </c>
      <c r="T93" s="11">
        <f>IFERROR(IF(MARÍTIMOS[[#This Row],[Etapa Retiro - Llegada]]="","",MARÍTIMOS[[#This Row],[Etapa Retiro - Llegada]]),"")</f>
        <v>46188.481249999997</v>
      </c>
      <c r="U93" s="11">
        <f>IFERROR(IF(MARÍTIMOS[[#This Row],[Etapa Retiro - Ingreso]]="","",MARÍTIMOS[[#This Row],[Etapa Retiro - Ingreso]]),"")</f>
        <v>46188.486805555556</v>
      </c>
      <c r="V93" s="11">
        <f>IFERROR(IF(MARÍTIMOS[[#This Row],[Etapa Retiro - Atención]]="","",MARÍTIMOS[[#This Row],[Etapa Retiro - Atención]]),"")</f>
        <v>46188.84375</v>
      </c>
      <c r="W93" s="11">
        <f>IFERROR(IF(MARÍTIMOS[[#This Row],[Etapa Retiro - Salida]]="","",MARÍTIMOS[[#This Row],[Etapa Retiro - Salida]]),"")</f>
        <v>46188.852777777778</v>
      </c>
      <c r="X93" s="11">
        <f>IFERROR(IF(MARÍTIMOS[[#This Row],[Etapa Retiro - Inicio de Ruta]]="","",MARÍTIMOS[[#This Row],[Etapa Retiro - Inicio de Ruta]]),"")</f>
        <v>46188.916666666664</v>
      </c>
      <c r="Y93" s="11">
        <f>IFERROR(IF(MARÍTIMOS[[#This Row],[Hora de Posicionamiento]]="","",MARÍTIMOS[[#This Row],[Hora de Carga]]+MARÍTIMOS[[#This Row],[Hora de Posicionamiento]]),"")</f>
        <v>0.58333333333333337</v>
      </c>
      <c r="Z93" s="11">
        <f>IFERROR(IF(MARÍTIMOS[[#This Row],[Etapa Despacho -  Llegada]]="","",MARÍTIMOS[[#This Row],[Etapa Despacho -  Llegada]]),"")</f>
        <v>46189.666666666664</v>
      </c>
      <c r="AA93" s="11">
        <f>IFERROR(IF(MARÍTIMOS[[#This Row],[Etapa Despacho -  Registro]]="","",MARÍTIMOS[[#This Row],[Etapa Despacho -  Registro]]),"")</f>
        <v>46190.083333333336</v>
      </c>
      <c r="AB93" s="11">
        <f>IFERROR(IF(MARÍTIMOS[[#This Row],[Inspección Externa]]="","",MARÍTIMOS[[#This Row],[Inspección Externa]]),"")</f>
        <v>46189.549305555556</v>
      </c>
      <c r="AC93" s="11">
        <f>IFERROR(IF(MARÍTIMOS[[#This Row],[Etapa Despacho -  Inicio de Carga]]="","",MARÍTIMOS[[#This Row],[Etapa Despacho -  Inicio de Carga]]),"")</f>
        <v>46189.59097222222</v>
      </c>
      <c r="AD93" s="11">
        <f>IFERROR(IF(MARÍTIMOS[[#This Row],[Etapa Despacho -  Fin de Carga]]="","",MARÍTIMOS[[#This Row],[Etapa Despacho -  Fin de Carga]]),"")</f>
        <v>46189.666666666664</v>
      </c>
      <c r="AE93" s="11">
        <f>IFERROR(IF(MARÍTIMOS[[#This Row],[Etapa Despacho -  Salida]]="","",MARÍTIMOS[[#This Row],[Etapa Despacho -  Salida]]),"")</f>
        <v>46189.732638888891</v>
      </c>
      <c r="AF93" s="2" t="str">
        <f>IFERROR(IF(MARÍTIMOS[[#This Row],[Puerto de Embarque]]="","",MARÍTIMOS[[#This Row],[Puerto de Embarque]]),"")</f>
        <v>CHANCAY</v>
      </c>
      <c r="AG93" s="2" t="str">
        <f>IFERROR(IF(MARÍTIMOS[[#This Row],[Almacén de Ingreso]]="","",MARÍTIMOS[[#This Row],[Almacén de Ingreso]]),"")</f>
        <v>CSPCP</v>
      </c>
      <c r="AH93" s="11">
        <f>IFERROR(IF(MARÍTIMOS[[#This Row],[Etapa Ingreso - Cita]]="","",MARÍTIMOS[[#This Row],[Etapa Ingreso - Cita]]),"")</f>
        <v>46190.416666666664</v>
      </c>
      <c r="AI93" s="11">
        <f>IFERROR(IF(MARÍTIMOS[[#This Row],[Etapa Ingreso - Llegada]]="","",MARÍTIMOS[[#This Row],[Etapa Ingreso - Llegada]]),"")</f>
        <v>46190.076388888891</v>
      </c>
      <c r="AJ93" s="11">
        <f>IFERROR(IF(MARÍTIMOS[[#This Row],[Etapa Ingreso - Ingeso]]="","",MARÍTIMOS[[#This Row],[Etapa Ingreso - Ingeso]]),"")</f>
        <v>46190.077777777777</v>
      </c>
      <c r="AK93" s="11">
        <f>IFERROR(IF(MARÍTIMOS[[#This Row],[Etapa Ingreso - Atención]]="","",MARÍTIMOS[[#This Row],[Etapa Ingreso - Atención]]),"")</f>
        <v>46190.09652777778</v>
      </c>
      <c r="AL93" s="11">
        <f>IFERROR(IF(MARÍTIMOS[[#This Row],[Etapa Ingreso - Salida]]="","",MARÍTIMOS[[#This Row],[Etapa Ingreso - Salida]]),"")</f>
        <v>46190.111805555556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3" s="5">
        <f>IFERROR(OLDBD[[#This Row],[Llegada a packing]]-OLDBD[[#This Row],[Inicio de Ruta]],"")</f>
        <v>0.75</v>
      </c>
      <c r="AQ93" s="6">
        <f>IFERROR(OLDBD[[#This Row],[Inicio de Ruta]]-OLDBD[[#This Row],[Salida de almacén de retiro]],"")</f>
        <v>6.3888888886140194E-2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3" s="9">
        <f>IFERROR(OLDBD[[#This Row],[Ingreso Packing]]-OLDBD[[#This Row],[Registro en Packing]],"")</f>
        <v>-0.53402777777955635</v>
      </c>
      <c r="AV93" s="9">
        <f>IFERROR(OLDBD[[#This Row],[Ingreso Packing]]-OLDBD[[#This Row],[Llegada a packing]],"")</f>
        <v>-0.11736111110803904</v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3" s="5">
        <f>IFERROR(OLDBD[[#This Row],[Llegada Almacén de Ingreso]]-OLDBD[[#This Row],[Salida Packing]],"")</f>
        <v>0.34375</v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3" s="45" t="s">
        <v>181</v>
      </c>
      <c r="BB93" s="53" t="str">
        <f>IFERROR(IF(MARÍTIMOS[[#This Row],[Estatus]]="","",MARÍTIMOS[[#This Row],[Estatus]]),"")</f>
        <v>Confirmado</v>
      </c>
      <c r="BC93" s="45"/>
      <c r="BD93" s="52">
        <f>IFERROR(OLDBD[[#This Row],[Salida de almacén de retiro]]-OLDBD[[#This Row],[Ingreso Almacén de retiro]],"")</f>
        <v>0.36597222222189885</v>
      </c>
      <c r="BE93" s="52">
        <f>IFERROR(OLDBD[[#This Row],[Fin de Carga]]-OLDBD[[#This Row],[Inicio de Carga]],"")</f>
        <v>7.5694444443797693E-2</v>
      </c>
    </row>
    <row r="94" spans="1:57" x14ac:dyDescent="0.35">
      <c r="A94" s="1"/>
      <c r="B94" s="1">
        <f>IFERROR(IF(MARÍTIMOS[[#This Row],[PP]]="","",MARÍTIMOS[[#This Row],[PP]]),"")</f>
        <v>24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RH-0045</v>
      </c>
      <c r="E94" s="1"/>
      <c r="F94" s="2" t="str">
        <f>IFERROR(IF(MARÍTIMOS[[#This Row],[Transportista]]="","",MARÍTIMOS[[#This Row],[Transportista]]),"")</f>
        <v>LIP</v>
      </c>
      <c r="G94" s="2" t="str">
        <f>IFERROR(IF(MARÍTIMOS[[#This Row],[Tercero]]="","",MARÍTIMOS[[#This Row],[Tercero]]),"")</f>
        <v>NO</v>
      </c>
      <c r="H94" s="2" t="str">
        <f>IFERROR(IF(MARÍTIMOS[[#This Row],[Razón Social]]="","",MARÍTIMOS[[#This Row],[Razón Social]]),"")</f>
        <v>LOGISTICA INTERMODAL DEL PERU S.A.C.</v>
      </c>
      <c r="I94" s="2">
        <f>IFERROR(IF(MARÍTIMOS[[#This Row],[RUC]]="","",MARÍTIMOS[[#This Row],[RUC]]),"")</f>
        <v>20513040718</v>
      </c>
      <c r="J94" s="2" t="str">
        <f>IFERROR(IF(MARÍTIMOS[[#This Row],[Placa Tracto]]="","",MARÍTIMOS[[#This Row],[Placa Tracto]]),"")</f>
        <v>BCA-717</v>
      </c>
      <c r="K94" s="2" t="str">
        <f>IFERROR(IF(MARÍTIMOS[[#This Row],[Placa Carreta]]="","",MARÍTIMOS[[#This Row],[Placa Carreta]]),"")</f>
        <v>ANS-995</v>
      </c>
      <c r="L94" s="46" t="str">
        <f>IFERROR(IF(MARÍTIMOS[[#This Row],[Conductor]]="","",MARÍTIMOS[[#This Row],[Conductor]]),"")</f>
        <v>CARBAJAL PALOMINO YOVANNI</v>
      </c>
      <c r="M94" s="2" t="str">
        <f>IFERROR(IF(MARÍTIMOS[[#This Row],[Licencia]]="","",MARÍTIMOS[[#This Row],[Licencia]]),"")</f>
        <v>Q10429095</v>
      </c>
      <c r="N94" s="2" t="str">
        <f>IFERROR(IF(MARÍTIMOS[[#This Row],[Número de Contacto]]="","",MARÍTIMOS[[#This Row],[Número de Contacto]]),"")</f>
        <v/>
      </c>
      <c r="O94" s="10">
        <f>IFERROR(IF(MARÍTIMOS[[#This Row],[Booking|AWB|CRT]]="","",MARÍTIMOS[[#This Row],[Booking|AWB|CRT]]),"")</f>
        <v>6504302800</v>
      </c>
      <c r="P94" s="2" t="str">
        <f>IFERROR(IF(MARÍTIMOS[[#This Row],[Contenedor]]="","",MARÍTIMOS[[#This Row],[Contenedor]]),"")</f>
        <v>OERU4350074</v>
      </c>
      <c r="Q94" s="2" t="str">
        <f>IFERROR(IF(MARÍTIMOS[[#This Row],[Puerto de Retiro]]="","",MARÍTIMOS[[#This Row],[Puerto de Retiro]]),"")</f>
        <v>CHANCAY</v>
      </c>
      <c r="R94" s="2" t="str">
        <f>IFERROR(IF(MARÍTIMOS[[#This Row],[Almacén de Retiro]]="","",MARÍTIMOS[[#This Row],[Almacén de Retiro]]),"")</f>
        <v>CSPCP</v>
      </c>
      <c r="S94" s="11">
        <f>IFERROR(IF(MARÍTIMOS[[#This Row],[Etapa Retiro - Cita]]="","",MARÍTIMOS[[#This Row],[Etapa Retiro - Cita]]),"")</f>
        <v>46189.541666666664</v>
      </c>
      <c r="T94" s="11">
        <f>IFERROR(IF(MARÍTIMOS[[#This Row],[Etapa Retiro - Llegada]]="","",MARÍTIMOS[[#This Row],[Etapa Retiro - Llegada]]),"")</f>
        <v>46189.573611111111</v>
      </c>
      <c r="U94" s="11">
        <f>IFERROR(IF(MARÍTIMOS[[#This Row],[Etapa Retiro - Ingreso]]="","",MARÍTIMOS[[#This Row],[Etapa Retiro - Ingreso]]),"")</f>
        <v>46189.574305555558</v>
      </c>
      <c r="V94" s="11">
        <f>IFERROR(IF(MARÍTIMOS[[#This Row],[Etapa Retiro - Atención]]="","",MARÍTIMOS[[#This Row],[Etapa Retiro - Atención]]),"")</f>
        <v>46189.625</v>
      </c>
      <c r="W94" s="11">
        <f>IFERROR(IF(MARÍTIMOS[[#This Row],[Etapa Retiro - Salida]]="","",MARÍTIMOS[[#This Row],[Etapa Retiro - Salida]]),"")</f>
        <v>46189.668055555558</v>
      </c>
      <c r="X94" s="11">
        <f>IFERROR(IF(MARÍTIMOS[[#This Row],[Etapa Retiro - Inicio de Ruta]]="","",MARÍTIMOS[[#This Row],[Etapa Retiro - Inicio de Ruta]]),"")</f>
        <v>46189.6875</v>
      </c>
      <c r="Y94" s="11">
        <f>IFERROR(IF(MARÍTIMOS[[#This Row],[Hora de Posicionamiento]]="","",MARÍTIMOS[[#This Row],[Hora de Carga]]+MARÍTIMOS[[#This Row],[Hora de Posicionamiento]]),"")</f>
        <v>0.45833333333333331</v>
      </c>
      <c r="Z94" s="11">
        <f>IFERROR(IF(MARÍTIMOS[[#This Row],[Etapa Despacho -  Llegada]]="","",MARÍTIMOS[[#This Row],[Etapa Despacho -  Llegada]]),"")</f>
        <v>46190.361111111109</v>
      </c>
      <c r="AA94" s="11">
        <f>IFERROR(IF(MARÍTIMOS[[#This Row],[Etapa Despacho -  Registro]]="","",MARÍTIMOS[[#This Row],[Etapa Despacho -  Registro]]),"")</f>
        <v>46193.125</v>
      </c>
      <c r="AB94" s="11">
        <f>IFERROR(IF(MARÍTIMOS[[#This Row],[Inspección Externa]]="","",MARÍTIMOS[[#This Row],[Inspección Externa]]),"")</f>
        <v>46190.430555555555</v>
      </c>
      <c r="AC94" s="11">
        <f>IFERROR(IF(MARÍTIMOS[[#This Row],[Etapa Despacho -  Inicio de Carga]]="","",MARÍTIMOS[[#This Row],[Etapa Despacho -  Inicio de Carga]]),"")</f>
        <v>46190.472222222219</v>
      </c>
      <c r="AD94" s="11">
        <f>IFERROR(IF(MARÍTIMOS[[#This Row],[Etapa Despacho -  Fin de Carga]]="","",MARÍTIMOS[[#This Row],[Etapa Despacho -  Fin de Carga]]),"")</f>
        <v>46190.64166666667</v>
      </c>
      <c r="AE94" s="11">
        <f>IFERROR(IF(MARÍTIMOS[[#This Row],[Etapa Despacho -  Salida]]="","",MARÍTIMOS[[#This Row],[Etapa Despacho -  Salida]]),"")</f>
        <v>46190.683333333334</v>
      </c>
      <c r="AF94" s="2" t="str">
        <f>IFERROR(IF(MARÍTIMOS[[#This Row],[Puerto de Embarque]]="","",MARÍTIMOS[[#This Row],[Puerto de Embarque]]),"")</f>
        <v>CHANCAY</v>
      </c>
      <c r="AG94" s="2" t="str">
        <f>IFERROR(IF(MARÍTIMOS[[#This Row],[Almacén de Ingreso]]="","",MARÍTIMOS[[#This Row],[Almacén de Ingreso]]),"")</f>
        <v>CSPCP</v>
      </c>
      <c r="AH94" s="11">
        <f>IFERROR(IF(MARÍTIMOS[[#This Row],[Etapa Ingreso - Cita]]="","",MARÍTIMOS[[#This Row],[Etapa Ingreso - Cita]]),"")</f>
        <v>46191.125</v>
      </c>
      <c r="AI94" s="11">
        <f>IFERROR(IF(MARÍTIMOS[[#This Row],[Etapa Ingreso - Llegada]]="","",MARÍTIMOS[[#This Row],[Etapa Ingreso - Llegada]]),"")</f>
        <v>46191.043055555558</v>
      </c>
      <c r="AJ94" s="11">
        <f>IFERROR(IF(MARÍTIMOS[[#This Row],[Etapa Ingreso - Ingeso]]="","",MARÍTIMOS[[#This Row],[Etapa Ingreso - Ingeso]]),"")</f>
        <v>46191.04583333333</v>
      </c>
      <c r="AK94" s="11">
        <f>IFERROR(IF(MARÍTIMOS[[#This Row],[Etapa Ingreso - Atención]]="","",MARÍTIMOS[[#This Row],[Etapa Ingreso - Atención]]),"")</f>
        <v>46191.061805555553</v>
      </c>
      <c r="AL94" s="11">
        <f>IFERROR(IF(MARÍTIMOS[[#This Row],[Etapa Ingreso - Salida]]="","",MARÍTIMOS[[#This Row],[Etapa Ingreso - Salida]]),"")</f>
        <v>46191.078472222223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4" s="5">
        <f>IFERROR(OLDBD[[#This Row],[Llegada a packing]]-OLDBD[[#This Row],[Inicio de Ruta]],"")</f>
        <v>0.67361111110949423</v>
      </c>
      <c r="AQ94" s="6">
        <f>IFERROR(OLDBD[[#This Row],[Inicio de Ruta]]-OLDBD[[#This Row],[Salida de almacén de retiro]],"")</f>
        <v>1.9444444442342501E-2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4" s="9">
        <f>IFERROR(OLDBD[[#This Row],[Ingreso Packing]]-OLDBD[[#This Row],[Registro en Packing]],"")</f>
        <v>-2.6944444444452529</v>
      </c>
      <c r="AV94" s="9">
        <f>IFERROR(OLDBD[[#This Row],[Ingreso Packing]]-OLDBD[[#This Row],[Llegada a packing]],"")</f>
        <v>6.9444444445252884E-2</v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4" s="5">
        <f>IFERROR(OLDBD[[#This Row],[Llegada Almacén de Ingreso]]-OLDBD[[#This Row],[Salida Packing]],"")</f>
        <v>0.35972222222335404</v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4" s="45" t="s">
        <v>181</v>
      </c>
      <c r="BB94" s="53" t="str">
        <f>IFERROR(IF(MARÍTIMOS[[#This Row],[Estatus]]="","",MARÍTIMOS[[#This Row],[Estatus]]),"")</f>
        <v>Confirmado</v>
      </c>
      <c r="BC94" s="45"/>
      <c r="BD94" s="52">
        <f>IFERROR(OLDBD[[#This Row],[Salida de almacén de retiro]]-OLDBD[[#This Row],[Ingreso Almacén de retiro]],"")</f>
        <v>9.375E-2</v>
      </c>
      <c r="BE94" s="52">
        <f>IFERROR(OLDBD[[#This Row],[Fin de Carga]]-OLDBD[[#This Row],[Inicio de Carga]],"")</f>
        <v>0.16944444445107365</v>
      </c>
    </row>
    <row r="95" spans="1:57" x14ac:dyDescent="0.35">
      <c r="A95" s="1"/>
      <c r="B95" s="1">
        <f>IFERROR(IF(MARÍTIMOS[[#This Row],[PP]]="","",MARÍTIMOS[[#This Row],[PP]]),"")</f>
        <v>24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RH-0046</v>
      </c>
      <c r="E95" s="1"/>
      <c r="F95" s="2" t="str">
        <f>IFERROR(IF(MARÍTIMOS[[#This Row],[Transportista]]="","",MARÍTIMOS[[#This Row],[Transportista]]),"")</f>
        <v>LIP</v>
      </c>
      <c r="G95" s="2" t="str">
        <f>IFERROR(IF(MARÍTIMOS[[#This Row],[Tercero]]="","",MARÍTIMOS[[#This Row],[Tercero]]),"")</f>
        <v>NO</v>
      </c>
      <c r="H95" s="2" t="str">
        <f>IFERROR(IF(MARÍTIMOS[[#This Row],[Razón Social]]="","",MARÍTIMOS[[#This Row],[Razón Social]]),"")</f>
        <v>LOGISTICA INTERMODAL DEL PERU S.A.C.</v>
      </c>
      <c r="I95" s="2">
        <f>IFERROR(IF(MARÍTIMOS[[#This Row],[RUC]]="","",MARÍTIMOS[[#This Row],[RUC]]),"")</f>
        <v>20513040718</v>
      </c>
      <c r="J95" s="2" t="str">
        <f>IFERROR(IF(MARÍTIMOS[[#This Row],[Placa Tracto]]="","",MARÍTIMOS[[#This Row],[Placa Tracto]]),"")</f>
        <v>AZG-916</v>
      </c>
      <c r="K95" s="2" t="str">
        <f>IFERROR(IF(MARÍTIMOS[[#This Row],[Placa Carreta]]="","",MARÍTIMOS[[#This Row],[Placa Carreta]]),"")</f>
        <v>ANV-981</v>
      </c>
      <c r="L95" s="46" t="str">
        <f>IFERROR(IF(MARÍTIMOS[[#This Row],[Conductor]]="","",MARÍTIMOS[[#This Row],[Conductor]]),"")</f>
        <v>PAREDES ALVARADO JOGGER PABLO</v>
      </c>
      <c r="M95" s="2" t="str">
        <f>IFERROR(IF(MARÍTIMOS[[#This Row],[Licencia]]="","",MARÍTIMOS[[#This Row],[Licencia]]),"")</f>
        <v>Q41977758</v>
      </c>
      <c r="N95" s="2" t="str">
        <f>IFERROR(IF(MARÍTIMOS[[#This Row],[Número de Contacto]]="","",MARÍTIMOS[[#This Row],[Número de Contacto]]),"")</f>
        <v/>
      </c>
      <c r="O95" s="10">
        <f>IFERROR(IF(MARÍTIMOS[[#This Row],[Booking|AWB|CRT]]="","",MARÍTIMOS[[#This Row],[Booking|AWB|CRT]]),"")</f>
        <v>6504302190</v>
      </c>
      <c r="P95" s="2" t="str">
        <f>IFERROR(IF(MARÍTIMOS[[#This Row],[Contenedor]]="","",MARÍTIMOS[[#This Row],[Contenedor]]),"")</f>
        <v>FBIU5576194</v>
      </c>
      <c r="Q95" s="2" t="str">
        <f>IFERROR(IF(MARÍTIMOS[[#This Row],[Puerto de Retiro]]="","",MARÍTIMOS[[#This Row],[Puerto de Retiro]]),"")</f>
        <v>CALLAO</v>
      </c>
      <c r="R95" s="2" t="str">
        <f>IFERROR(IF(MARÍTIMOS[[#This Row],[Almacén de Retiro]]="","",MARÍTIMOS[[#This Row],[Almacén de Retiro]]),"")</f>
        <v>DPW</v>
      </c>
      <c r="S95" s="11">
        <f>IFERROR(IF(MARÍTIMOS[[#This Row],[Etapa Retiro - Cita]]="","",MARÍTIMOS[[#This Row],[Etapa Retiro - Cita]]),"")</f>
        <v>46189.541666666664</v>
      </c>
      <c r="T95" s="11">
        <f>IFERROR(IF(MARÍTIMOS[[#This Row],[Etapa Retiro - Llegada]]="","",MARÍTIMOS[[#This Row],[Etapa Retiro - Llegada]]),"")</f>
        <v>46189.59097222222</v>
      </c>
      <c r="U95" s="11">
        <f>IFERROR(IF(MARÍTIMOS[[#This Row],[Etapa Retiro - Ingreso]]="","",MARÍTIMOS[[#This Row],[Etapa Retiro - Ingreso]]),"")</f>
        <v>46189.613194444442</v>
      </c>
      <c r="V95" s="11">
        <f>IFERROR(IF(MARÍTIMOS[[#This Row],[Etapa Retiro - Atención]]="","",MARÍTIMOS[[#This Row],[Etapa Retiro - Atención]]),"")</f>
        <v>46189.9</v>
      </c>
      <c r="W95" s="11">
        <f>IFERROR(IF(MARÍTIMOS[[#This Row],[Etapa Retiro - Salida]]="","",MARÍTIMOS[[#This Row],[Etapa Retiro - Salida]]),"")</f>
        <v>46189.941666666666</v>
      </c>
      <c r="X95" s="11">
        <f>IFERROR(IF(MARÍTIMOS[[#This Row],[Etapa Retiro - Inicio de Ruta]]="","",MARÍTIMOS[[#This Row],[Etapa Retiro - Inicio de Ruta]]),"")</f>
        <v>46190.178472222222</v>
      </c>
      <c r="Y95" s="11">
        <f>IFERROR(IF(MARÍTIMOS[[#This Row],[Hora de Posicionamiento]]="","",MARÍTIMOS[[#This Row],[Hora de Carga]]+MARÍTIMOS[[#This Row],[Hora de Posicionamiento]]),"")</f>
        <v>0.54166666666666663</v>
      </c>
      <c r="Z95" s="11">
        <f>IFERROR(IF(MARÍTIMOS[[#This Row],[Etapa Despacho -  Llegada]]="","",MARÍTIMOS[[#This Row],[Etapa Despacho -  Llegada]]),"")</f>
        <v>46190.556250000001</v>
      </c>
      <c r="AA95" s="11">
        <f>IFERROR(IF(MARÍTIMOS[[#This Row],[Etapa Despacho -  Registro]]="","",MARÍTIMOS[[#This Row],[Etapa Despacho -  Registro]]),"")</f>
        <v>46191.541666666664</v>
      </c>
      <c r="AB95" s="11">
        <f>IFERROR(IF(MARÍTIMOS[[#This Row],[Inspección Externa]]="","",MARÍTIMOS[[#This Row],[Inspección Externa]]),"")</f>
        <v>46190.577777777777</v>
      </c>
      <c r="AC95" s="11">
        <f>IFERROR(IF(MARÍTIMOS[[#This Row],[Etapa Despacho -  Inicio de Carga]]="","",MARÍTIMOS[[#This Row],[Etapa Despacho -  Inicio de Carga]]),"")</f>
        <v>46190.619444444441</v>
      </c>
      <c r="AD95" s="11">
        <f>IFERROR(IF(MARÍTIMOS[[#This Row],[Etapa Despacho -  Fin de Carga]]="","",MARÍTIMOS[[#This Row],[Etapa Despacho -  Fin de Carga]]),"")</f>
        <v>46190.786805555559</v>
      </c>
      <c r="AE95" s="11">
        <f>IFERROR(IF(MARÍTIMOS[[#This Row],[Etapa Despacho -  Salida]]="","",MARÍTIMOS[[#This Row],[Etapa Despacho -  Salida]]),"")</f>
        <v>46190.828472222223</v>
      </c>
      <c r="AF95" s="2" t="str">
        <f>IFERROR(IF(MARÍTIMOS[[#This Row],[Puerto de Embarque]]="","",MARÍTIMOS[[#This Row],[Puerto de Embarque]]),"")</f>
        <v>CALLAO</v>
      </c>
      <c r="AG95" s="2" t="str">
        <f>IFERROR(IF(MARÍTIMOS[[#This Row],[Almacén de Ingreso]]="","",MARÍTIMOS[[#This Row],[Almacén de Ingreso]]),"")</f>
        <v>CSPCP</v>
      </c>
      <c r="AH95" s="11">
        <f>IFERROR(IF(MARÍTIMOS[[#This Row],[Etapa Ingreso - Cita]]="","",MARÍTIMOS[[#This Row],[Etapa Ingreso - Cita]]),"")</f>
        <v>46191.041666666664</v>
      </c>
      <c r="AI95" s="11">
        <f>IFERROR(IF(MARÍTIMOS[[#This Row],[Etapa Ingreso - Llegada]]="","",MARÍTIMOS[[#This Row],[Etapa Ingreso - Llegada]]),"")</f>
        <v>46191.538194444445</v>
      </c>
      <c r="AJ95" s="11">
        <f>IFERROR(IF(MARÍTIMOS[[#This Row],[Etapa Ingreso - Ingeso]]="","",MARÍTIMOS[[#This Row],[Etapa Ingreso - Ingeso]]),"")</f>
        <v>46191.547222222223</v>
      </c>
      <c r="AK95" s="11">
        <f>IFERROR(IF(MARÍTIMOS[[#This Row],[Etapa Ingreso - Atención]]="","",MARÍTIMOS[[#This Row],[Etapa Ingreso - Atención]]),"")</f>
        <v>46191.561805555553</v>
      </c>
      <c r="AL95" s="11">
        <f>IFERROR(IF(MARÍTIMOS[[#This Row],[Etapa Ingreso - Salida]]="","",MARÍTIMOS[[#This Row],[Etapa Ingreso - Salida]]),"")</f>
        <v>46191.579861111109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5" s="5">
        <f>IFERROR(OLDBD[[#This Row],[Llegada a packing]]-OLDBD[[#This Row],[Inicio de Ruta]],"")</f>
        <v>0.37777777777955635</v>
      </c>
      <c r="AQ95" s="6">
        <f>IFERROR(OLDBD[[#This Row],[Inicio de Ruta]]-OLDBD[[#This Row],[Salida de almacén de retiro]],"")</f>
        <v>0.23680555555620231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5" s="9">
        <f>IFERROR(OLDBD[[#This Row],[Ingreso Packing]]-OLDBD[[#This Row],[Registro en Packing]],"")</f>
        <v>-0.96388888888759539</v>
      </c>
      <c r="AV95" s="9">
        <f>IFERROR(OLDBD[[#This Row],[Ingreso Packing]]-OLDBD[[#This Row],[Llegada a packing]],"")</f>
        <v>2.1527777775190771E-2</v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5" s="5">
        <f>IFERROR(OLDBD[[#This Row],[Llegada Almacén de Ingreso]]-OLDBD[[#This Row],[Salida Packing]],"")</f>
        <v>0.70972222222189885</v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5" s="45" t="s">
        <v>181</v>
      </c>
      <c r="BB95" s="53" t="str">
        <f>IFERROR(IF(MARÍTIMOS[[#This Row],[Estatus]]="","",MARÍTIMOS[[#This Row],[Estatus]]),"")</f>
        <v>Confirmado</v>
      </c>
      <c r="BC95" s="45"/>
      <c r="BD95" s="52">
        <f>IFERROR(OLDBD[[#This Row],[Salida de almacén de retiro]]-OLDBD[[#This Row],[Ingreso Almacén de retiro]],"")</f>
        <v>0.32847222222335404</v>
      </c>
      <c r="BE95" s="52">
        <f>IFERROR(OLDBD[[#This Row],[Fin de Carga]]-OLDBD[[#This Row],[Inicio de Carga]],"")</f>
        <v>0.16736111111822538</v>
      </c>
    </row>
    <row r="96" spans="1:57" x14ac:dyDescent="0.35">
      <c r="A96" s="1"/>
      <c r="B96" s="1">
        <f>IFERROR(IF(MARÍTIMOS[[#This Row],[PP]]="","",MARÍTIMOS[[#This Row],[PP]]),"")</f>
        <v>24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RH-0047</v>
      </c>
      <c r="E96" s="1"/>
      <c r="F96" s="2" t="str">
        <f>IFERROR(IF(MARÍTIMOS[[#This Row],[Transportista]]="","",MARÍTIMOS[[#This Row],[Transportista]]),"")</f>
        <v>LIP</v>
      </c>
      <c r="G96" s="2" t="str">
        <f>IFERROR(IF(MARÍTIMOS[[#This Row],[Tercero]]="","",MARÍTIMOS[[#This Row],[Tercero]]),"")</f>
        <v>SI</v>
      </c>
      <c r="H96" s="2" t="str">
        <f>IFERROR(IF(MARÍTIMOS[[#This Row],[Razón Social]]="","",MARÍTIMOS[[#This Row],[Razón Social]]),"")</f>
        <v>TRANSPORTES CORRECAMINOS DEL PERU S.A.C.</v>
      </c>
      <c r="I96" s="2">
        <f>IFERROR(IF(MARÍTIMOS[[#This Row],[RUC]]="","",MARÍTIMOS[[#This Row],[RUC]]),"")</f>
        <v>20609163632</v>
      </c>
      <c r="J96" s="2" t="str">
        <f>IFERROR(IF(MARÍTIMOS[[#This Row],[Placa Tracto]]="","",MARÍTIMOS[[#This Row],[Placa Tracto]]),"")</f>
        <v>BPJ-889</v>
      </c>
      <c r="K96" s="2" t="str">
        <f>IFERROR(IF(MARÍTIMOS[[#This Row],[Placa Carreta]]="","",MARÍTIMOS[[#This Row],[Placa Carreta]]),"")</f>
        <v>C2B-989</v>
      </c>
      <c r="L96" s="46" t="str">
        <f>IFERROR(IF(MARÍTIMOS[[#This Row],[Conductor]]="","",MARÍTIMOS[[#This Row],[Conductor]]),"")</f>
        <v>HUAMANI PALOMINO EDGAR FREDY</v>
      </c>
      <c r="M96" s="2" t="str">
        <f>IFERROR(IF(MARÍTIMOS[[#This Row],[Licencia]]="","",MARÍTIMOS[[#This Row],[Licencia]]),"")</f>
        <v>Q40736385</v>
      </c>
      <c r="N96" s="2" t="str">
        <f>IFERROR(IF(MARÍTIMOS[[#This Row],[Número de Contacto]]="","",MARÍTIMOS[[#This Row],[Número de Contacto]]),"")</f>
        <v/>
      </c>
      <c r="O96" s="10">
        <f>IFERROR(IF(MARÍTIMOS[[#This Row],[Booking|AWB|CRT]]="","",MARÍTIMOS[[#This Row],[Booking|AWB|CRT]]),"")</f>
        <v>6504302340</v>
      </c>
      <c r="P96" s="2" t="str">
        <f>IFERROR(IF(MARÍTIMOS[[#This Row],[Contenedor]]="","",MARÍTIMOS[[#This Row],[Contenedor]]),"")</f>
        <v xml:space="preserve">FBIU5773845	</v>
      </c>
      <c r="Q96" s="2" t="str">
        <f>IFERROR(IF(MARÍTIMOS[[#This Row],[Puerto de Retiro]]="","",MARÍTIMOS[[#This Row],[Puerto de Retiro]]),"")</f>
        <v>CALLAO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46189.541666666664</v>
      </c>
      <c r="T96" s="11">
        <f>IFERROR(IF(MARÍTIMOS[[#This Row],[Etapa Retiro - Llegada]]="","",MARÍTIMOS[[#This Row],[Etapa Retiro - Llegada]]),"")</f>
        <v>46189.577777777777</v>
      </c>
      <c r="U96" s="11">
        <f>IFERROR(IF(MARÍTIMOS[[#This Row],[Etapa Retiro - Ingreso]]="","",MARÍTIMOS[[#This Row],[Etapa Retiro - Ingreso]]),"")</f>
        <v>46189.613194444442</v>
      </c>
      <c r="V96" s="11">
        <f>IFERROR(IF(MARÍTIMOS[[#This Row],[Etapa Retiro - Atención]]="","",MARÍTIMOS[[#This Row],[Etapa Retiro - Atención]]),"")</f>
        <v>46189.912499999999</v>
      </c>
      <c r="W96" s="11">
        <f>IFERROR(IF(MARÍTIMOS[[#This Row],[Etapa Retiro - Salida]]="","",MARÍTIMOS[[#This Row],[Etapa Retiro - Salida]]),"")</f>
        <v>46189.95416666667</v>
      </c>
      <c r="X96" s="11">
        <f>IFERROR(IF(MARÍTIMOS[[#This Row],[Etapa Retiro - Inicio de Ruta]]="","",MARÍTIMOS[[#This Row],[Etapa Retiro - Inicio de Ruta]]),"")</f>
        <v>46190.031944444447</v>
      </c>
      <c r="Y96" s="11">
        <f>IFERROR(IF(MARÍTIMOS[[#This Row],[Hora de Posicionamiento]]="","",MARÍTIMOS[[#This Row],[Hora de Carga]]+MARÍTIMOS[[#This Row],[Hora de Posicionamiento]]),"")</f>
        <v>0.58333333333333337</v>
      </c>
      <c r="Z96" s="11">
        <f>IFERROR(IF(MARÍTIMOS[[#This Row],[Etapa Despacho -  Llegada]]="","",MARÍTIMOS[[#This Row],[Etapa Despacho -  Llegada]]),"")</f>
        <v>46190.421527777777</v>
      </c>
      <c r="AA96" s="11">
        <f>IFERROR(IF(MARÍTIMOS[[#This Row],[Etapa Despacho -  Registro]]="","",MARÍTIMOS[[#This Row],[Etapa Despacho -  Registro]]),"")</f>
        <v>46191.069444444445</v>
      </c>
      <c r="AB96" s="11">
        <f>IFERROR(IF(MARÍTIMOS[[#This Row],[Inspección Externa]]="","",MARÍTIMOS[[#This Row],[Inspección Externa]]),"")</f>
        <v>46190.445833333331</v>
      </c>
      <c r="AC96" s="11">
        <f>IFERROR(IF(MARÍTIMOS[[#This Row],[Etapa Despacho -  Inicio de Carga]]="","",MARÍTIMOS[[#This Row],[Etapa Despacho -  Inicio de Carga]]),"")</f>
        <v>46190.487500000003</v>
      </c>
      <c r="AD96" s="11">
        <f>IFERROR(IF(MARÍTIMOS[[#This Row],[Etapa Despacho -  Fin de Carga]]="","",MARÍTIMOS[[#This Row],[Etapa Despacho -  Fin de Carga]]),"")</f>
        <v>46190.65</v>
      </c>
      <c r="AE96" s="11">
        <f>IFERROR(IF(MARÍTIMOS[[#This Row],[Etapa Despacho -  Salida]]="","",MARÍTIMOS[[#This Row],[Etapa Despacho -  Salida]]),"")</f>
        <v>46190.691666666666</v>
      </c>
      <c r="AF96" s="2" t="str">
        <f>IFERROR(IF(MARÍTIMOS[[#This Row],[Puerto de Embarque]]="","",MARÍTIMOS[[#This Row],[Puerto de Embarque]]),"")</f>
        <v>CALLAO</v>
      </c>
      <c r="AG96" s="2" t="str">
        <f>IFERROR(IF(MARÍTIMOS[[#This Row],[Almacén de Ingreso]]="","",MARÍTIMOS[[#This Row],[Almacén de Ingreso]]),"")</f>
        <v>CSPCP</v>
      </c>
      <c r="AH96" s="11">
        <f>IFERROR(IF(MARÍTIMOS[[#This Row],[Etapa Ingreso - Cita]]="","",MARÍTIMOS[[#This Row],[Etapa Ingreso - Cita]]),"")</f>
        <v>46191.291666666664</v>
      </c>
      <c r="AI96" s="11">
        <f>IFERROR(IF(MARÍTIMOS[[#This Row],[Etapa Ingreso - Llegada]]="","",MARÍTIMOS[[#This Row],[Etapa Ingreso - Llegada]]),"")</f>
        <v>46191.061805555553</v>
      </c>
      <c r="AJ96" s="11">
        <f>IFERROR(IF(MARÍTIMOS[[#This Row],[Etapa Ingreso - Ingeso]]="","",MARÍTIMOS[[#This Row],[Etapa Ingreso - Ingeso]]),"")</f>
        <v>46191.06527777778</v>
      </c>
      <c r="AK96" s="11">
        <f>IFERROR(IF(MARÍTIMOS[[#This Row],[Etapa Ingreso - Atención]]="","",MARÍTIMOS[[#This Row],[Etapa Ingreso - Atención]]),"")</f>
        <v>46191.077777777777</v>
      </c>
      <c r="AL96" s="11">
        <f>IFERROR(IF(MARÍTIMOS[[#This Row],[Etapa Ingreso - Salida]]="","",MARÍTIMOS[[#This Row],[Etapa Ingreso - Salida]]),"")</f>
        <v>46191.09097222222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6" s="5">
        <f>IFERROR(OLDBD[[#This Row],[Llegada a packing]]-OLDBD[[#This Row],[Inicio de Ruta]],"")</f>
        <v>0.38958333332993789</v>
      </c>
      <c r="AQ96" s="6">
        <f>IFERROR(OLDBD[[#This Row],[Inicio de Ruta]]-OLDBD[[#This Row],[Salida de almacén de retiro]],"")</f>
        <v>7.7777777776645962E-2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6" s="9">
        <f>IFERROR(OLDBD[[#This Row],[Ingreso Packing]]-OLDBD[[#This Row],[Registro en Packing]],"")</f>
        <v>-0.62361111111385981</v>
      </c>
      <c r="AV96" s="9">
        <f>IFERROR(OLDBD[[#This Row],[Ingreso Packing]]-OLDBD[[#This Row],[Llegada a packing]],"")</f>
        <v>2.4305555554747116E-2</v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6" s="5">
        <f>IFERROR(OLDBD[[#This Row],[Llegada Almacén de Ingreso]]-OLDBD[[#This Row],[Salida Packing]],"")</f>
        <v>0.37013888888759539</v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6" s="45" t="s">
        <v>181</v>
      </c>
      <c r="BB96" s="53" t="str">
        <f>IFERROR(IF(MARÍTIMOS[[#This Row],[Estatus]]="","",MARÍTIMOS[[#This Row],[Estatus]]),"")</f>
        <v>Confirmado</v>
      </c>
      <c r="BC96" s="45"/>
      <c r="BD96" s="52">
        <f>IFERROR(OLDBD[[#This Row],[Salida de almacén de retiro]]-OLDBD[[#This Row],[Ingreso Almacén de retiro]],"")</f>
        <v>0.34097222222771961</v>
      </c>
      <c r="BE96" s="52">
        <f>IFERROR(OLDBD[[#This Row],[Fin de Carga]]-OLDBD[[#This Row],[Inicio de Carga]],"")</f>
        <v>0.16249999999854481</v>
      </c>
    </row>
    <row r="97" spans="1:57" x14ac:dyDescent="0.35">
      <c r="A97" s="1"/>
      <c r="B97" s="1">
        <f>IFERROR(IF(MARÍTIMOS[[#This Row],[PP]]="","",MARÍTIMOS[[#This Row],[PP]]),"")</f>
        <v>24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RH-0051</v>
      </c>
      <c r="E97" s="1"/>
      <c r="F97" s="2" t="str">
        <f>IFERROR(IF(MARÍTIMOS[[#This Row],[Transportista]]="","",MARÍTIMOS[[#This Row],[Transportista]]),"")</f>
        <v>LIP</v>
      </c>
      <c r="G97" s="2" t="str">
        <f>IFERROR(IF(MARÍTIMOS[[#This Row],[Tercero]]="","",MARÍTIMOS[[#This Row],[Tercero]]),"")</f>
        <v>NO</v>
      </c>
      <c r="H97" s="2" t="str">
        <f>IFERROR(IF(MARÍTIMOS[[#This Row],[Razón Social]]="","",MARÍTIMOS[[#This Row],[Razón Social]]),"")</f>
        <v>LOGISTICA INTERMODAL DEL PERU S.A.C.</v>
      </c>
      <c r="I97" s="2">
        <f>IFERROR(IF(MARÍTIMOS[[#This Row],[RUC]]="","",MARÍTIMOS[[#This Row],[RUC]]),"")</f>
        <v>20513040718</v>
      </c>
      <c r="J97" s="2" t="str">
        <f>IFERROR(IF(MARÍTIMOS[[#This Row],[Placa Tracto]]="","",MARÍTIMOS[[#This Row],[Placa Tracto]]),"")</f>
        <v>BBK-804</v>
      </c>
      <c r="K97" s="2" t="str">
        <f>IFERROR(IF(MARÍTIMOS[[#This Row],[Placa Carreta]]="","",MARÍTIMOS[[#This Row],[Placa Carreta]]),"")</f>
        <v>AMV-976</v>
      </c>
      <c r="L97" s="46" t="str">
        <f>IFERROR(IF(MARÍTIMOS[[#This Row],[Conductor]]="","",MARÍTIMOS[[#This Row],[Conductor]]),"")</f>
        <v>INCHE LOYA GERMAN ALBERTO</v>
      </c>
      <c r="M97" s="2" t="str">
        <f>IFERROR(IF(MARÍTIMOS[[#This Row],[Licencia]]="","",MARÍTIMOS[[#This Row],[Licencia]]),"")</f>
        <v>Q73028995</v>
      </c>
      <c r="N97" s="2" t="str">
        <f>IFERROR(IF(MARÍTIMOS[[#This Row],[Número de Contacto]]="","",MARÍTIMOS[[#This Row],[Número de Contacto]]),"")</f>
        <v/>
      </c>
      <c r="O97" s="10">
        <f>IFERROR(IF(MARÍTIMOS[[#This Row],[Booking|AWB|CRT]]="","",MARÍTIMOS[[#This Row],[Booking|AWB|CRT]]),"")</f>
        <v>6504302490</v>
      </c>
      <c r="P97" s="2" t="str">
        <f>IFERROR(IF(MARÍTIMOS[[#This Row],[Contenedor]]="","",MARÍTIMOS[[#This Row],[Contenedor]]),"")</f>
        <v>OERU4330289</v>
      </c>
      <c r="Q97" s="2" t="str">
        <f>IFERROR(IF(MARÍTIMOS[[#This Row],[Puerto de Retiro]]="","",MARÍTIMOS[[#This Row],[Puerto de Retiro]]),"")</f>
        <v>CALLAO</v>
      </c>
      <c r="R97" s="2" t="str">
        <f>IFERROR(IF(MARÍTIMOS[[#This Row],[Almacén de Retiro]]="","",MARÍTIMOS[[#This Row],[Almacén de Retiro]]),"")</f>
        <v>DPW</v>
      </c>
      <c r="S97" s="11">
        <f>IFERROR(IF(MARÍTIMOS[[#This Row],[Etapa Retiro - Cita]]="","",MARÍTIMOS[[#This Row],[Etapa Retiro - Cita]]),"")</f>
        <v>46188.541666666664</v>
      </c>
      <c r="T97" s="11">
        <f>IFERROR(IF(MARÍTIMOS[[#This Row],[Etapa Retiro - Llegada]]="","",MARÍTIMOS[[#This Row],[Etapa Retiro - Llegada]]),"")</f>
        <v>46189.456250000003</v>
      </c>
      <c r="U97" s="11">
        <f>IFERROR(IF(MARÍTIMOS[[#This Row],[Etapa Retiro - Ingreso]]="","",MARÍTIMOS[[#This Row],[Etapa Retiro - Ingreso]]),"")</f>
        <v>46189.566666666666</v>
      </c>
      <c r="V97" s="11">
        <f>IFERROR(IF(MARÍTIMOS[[#This Row],[Etapa Retiro - Atención]]="","",MARÍTIMOS[[#This Row],[Etapa Retiro - Atención]]),"")</f>
        <v>46189.902083333334</v>
      </c>
      <c r="W97" s="11">
        <f>IFERROR(IF(MARÍTIMOS[[#This Row],[Etapa Retiro - Salida]]="","",MARÍTIMOS[[#This Row],[Etapa Retiro - Salida]]),"")</f>
        <v>46189.943749999999</v>
      </c>
      <c r="X97" s="11">
        <f>IFERROR(IF(MARÍTIMOS[[#This Row],[Etapa Retiro - Inicio de Ruta]]="","",MARÍTIMOS[[#This Row],[Etapa Retiro - Inicio de Ruta]]),"")</f>
        <v>46190.025694444441</v>
      </c>
      <c r="Y97" s="11">
        <f>IFERROR(IF(MARÍTIMOS[[#This Row],[Hora de Posicionamiento]]="","",MARÍTIMOS[[#This Row],[Hora de Carga]]+MARÍTIMOS[[#This Row],[Hora de Posicionamiento]]),"")</f>
        <v>0.58333333333333337</v>
      </c>
      <c r="Z97" s="11">
        <f>IFERROR(IF(MARÍTIMOS[[#This Row],[Etapa Despacho -  Llegada]]="","",MARÍTIMOS[[#This Row],[Etapa Despacho -  Llegada]]),"")</f>
        <v>46190.493750000001</v>
      </c>
      <c r="AA97" s="11">
        <f>IFERROR(IF(MARÍTIMOS[[#This Row],[Etapa Despacho -  Registro]]="","",MARÍTIMOS[[#This Row],[Etapa Despacho -  Registro]]),"")</f>
        <v>46191.541666666664</v>
      </c>
      <c r="AB97" s="11">
        <f>IFERROR(IF(MARÍTIMOS[[#This Row],[Inspección Externa]]="","",MARÍTIMOS[[#This Row],[Inspección Externa]]),"")</f>
        <v>46190.522916666669</v>
      </c>
      <c r="AC97" s="11">
        <f>IFERROR(IF(MARÍTIMOS[[#This Row],[Etapa Despacho -  Inicio de Carga]]="","",MARÍTIMOS[[#This Row],[Etapa Despacho -  Inicio de Carga]]),"")</f>
        <v>46190.564583333333</v>
      </c>
      <c r="AD97" s="11">
        <f>IFERROR(IF(MARÍTIMOS[[#This Row],[Etapa Despacho -  Fin de Carga]]="","",MARÍTIMOS[[#This Row],[Etapa Despacho -  Fin de Carga]]),"")</f>
        <v>46190.795138888891</v>
      </c>
      <c r="AE97" s="11">
        <f>IFERROR(IF(MARÍTIMOS[[#This Row],[Etapa Despacho -  Salida]]="","",MARÍTIMOS[[#This Row],[Etapa Despacho -  Salida]]),"")</f>
        <v>46190.836805555555</v>
      </c>
      <c r="AF97" s="2" t="str">
        <f>IFERROR(IF(MARÍTIMOS[[#This Row],[Puerto de Embarque]]="","",MARÍTIMOS[[#This Row],[Puerto de Embarque]]),"")</f>
        <v>CALLAO</v>
      </c>
      <c r="AG97" s="2" t="str">
        <f>IFERROR(IF(MARÍTIMOS[[#This Row],[Almacén de Ingreso]]="","",MARÍTIMOS[[#This Row],[Almacén de Ingreso]]),"")</f>
        <v>CSPCP</v>
      </c>
      <c r="AH97" s="11">
        <f>IFERROR(IF(MARÍTIMOS[[#This Row],[Etapa Ingreso - Cita]]="","",MARÍTIMOS[[#This Row],[Etapa Ingreso - Cita]]),"")</f>
        <v>46191.541666666664</v>
      </c>
      <c r="AI97" s="11">
        <f>IFERROR(IF(MARÍTIMOS[[#This Row],[Etapa Ingreso - Llegada]]="","",MARÍTIMOS[[#This Row],[Etapa Ingreso - Llegada]]),"")</f>
        <v>46191.493055555555</v>
      </c>
      <c r="AJ97" s="11">
        <f>IFERROR(IF(MARÍTIMOS[[#This Row],[Etapa Ingreso - Ingeso]]="","",MARÍTIMOS[[#This Row],[Etapa Ingreso - Ingeso]]),"")</f>
        <v>46191.49722222222</v>
      </c>
      <c r="AK97" s="11">
        <f>IFERROR(IF(MARÍTIMOS[[#This Row],[Etapa Ingreso - Atención]]="","",MARÍTIMOS[[#This Row],[Etapa Ingreso - Atención]]),"")</f>
        <v>46191.522222222222</v>
      </c>
      <c r="AL97" s="11">
        <f>IFERROR(IF(MARÍTIMOS[[#This Row],[Etapa Ingreso - Salida]]="","",MARÍTIMOS[[#This Row],[Etapa Ingreso - Salida]]),"")</f>
        <v>46191.537499999999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7" s="5">
        <f>IFERROR(OLDBD[[#This Row],[Llegada a packing]]-OLDBD[[#This Row],[Inicio de Ruta]],"")</f>
        <v>0.46805555556056788</v>
      </c>
      <c r="AQ97" s="6">
        <f>IFERROR(OLDBD[[#This Row],[Inicio de Ruta]]-OLDBD[[#This Row],[Salida de almacén de retiro]],"")</f>
        <v>8.1944444442342501E-2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7" s="9">
        <f>IFERROR(OLDBD[[#This Row],[Ingreso Packing]]-OLDBD[[#This Row],[Registro en Packing]],"")</f>
        <v>-1.0187499999956344</v>
      </c>
      <c r="AV97" s="9">
        <f>IFERROR(OLDBD[[#This Row],[Ingreso Packing]]-OLDBD[[#This Row],[Llegada a packing]],"")</f>
        <v>2.9166666667151731E-2</v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97" s="5">
        <f>IFERROR(OLDBD[[#This Row],[Llegada Almacén de Ingreso]]-OLDBD[[#This Row],[Salida Packing]],"")</f>
        <v>0.65625</v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7" s="45" t="s">
        <v>181</v>
      </c>
      <c r="BB97" s="53" t="str">
        <f>IFERROR(IF(MARÍTIMOS[[#This Row],[Estatus]]="","",MARÍTIMOS[[#This Row],[Estatus]]),"")</f>
        <v>Confirmado</v>
      </c>
      <c r="BC97" s="45"/>
      <c r="BD97" s="52">
        <f>IFERROR(OLDBD[[#This Row],[Salida de almacén de retiro]]-OLDBD[[#This Row],[Ingreso Almacén de retiro]],"")</f>
        <v>0.37708333333284827</v>
      </c>
      <c r="BE97" s="52">
        <f>IFERROR(OLDBD[[#This Row],[Fin de Carga]]-OLDBD[[#This Row],[Inicio de Carga]],"")</f>
        <v>0.2305555555576575</v>
      </c>
    </row>
    <row r="98" spans="1:57" x14ac:dyDescent="0.35">
      <c r="A98" s="1"/>
      <c r="B98" s="1">
        <f>IFERROR(IF(MARÍTIMOS[[#This Row],[PP]]="","",MARÍTIMOS[[#This Row],[PP]]),"")</f>
        <v>24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RH-0052</v>
      </c>
      <c r="E98" s="1"/>
      <c r="F98" s="2" t="str">
        <f>IFERROR(IF(MARÍTIMOS[[#This Row],[Transportista]]="","",MARÍTIMOS[[#This Row],[Transportista]]),"")</f>
        <v>LIP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>LOGISTICA INTERMODAL DEL PERU S.A.C.</v>
      </c>
      <c r="I98" s="2">
        <f>IFERROR(IF(MARÍTIMOS[[#This Row],[RUC]]="","",MARÍTIMOS[[#This Row],[RUC]]),"")</f>
        <v>20513040718</v>
      </c>
      <c r="J98" s="2" t="str">
        <f>IFERROR(IF(MARÍTIMOS[[#This Row],[Placa Tracto]]="","",MARÍTIMOS[[#This Row],[Placa Tracto]]),"")</f>
        <v>BFN-739</v>
      </c>
      <c r="K98" s="2" t="str">
        <f>IFERROR(IF(MARÍTIMOS[[#This Row],[Placa Carreta]]="","",MARÍTIMOS[[#This Row],[Placa Carreta]]),"")</f>
        <v>BVY-973</v>
      </c>
      <c r="L98" s="46" t="str">
        <f>IFERROR(IF(MARÍTIMOS[[#This Row],[Conductor]]="","",MARÍTIMOS[[#This Row],[Conductor]]),"")</f>
        <v>HERNANDEZ REYES HERISERI DAVID</v>
      </c>
      <c r="M98" s="2" t="str">
        <f>IFERROR(IF(MARÍTIMOS[[#This Row],[Licencia]]="","",MARÍTIMOS[[#This Row],[Licencia]]),"")</f>
        <v>Q42930147</v>
      </c>
      <c r="N98" s="2" t="str">
        <f>IFERROR(IF(MARÍTIMOS[[#This Row],[Número de Contacto]]="","",MARÍTIMOS[[#This Row],[Número de Contacto]]),"")</f>
        <v/>
      </c>
      <c r="O98" s="10">
        <f>IFERROR(IF(MARÍTIMOS[[#This Row],[Booking|AWB|CRT]]="","",MARÍTIMOS[[#This Row],[Booking|AWB|CRT]]),"")</f>
        <v>6504759580</v>
      </c>
      <c r="P98" s="2" t="str">
        <f>IFERROR(IF(MARÍTIMOS[[#This Row],[Contenedor]]="","",MARÍTIMOS[[#This Row],[Contenedor]]),"")</f>
        <v>OERU4400719</v>
      </c>
      <c r="Q98" s="2" t="str">
        <f>IFERROR(IF(MARÍTIMOS[[#This Row],[Puerto de Retiro]]="","",MARÍTIMOS[[#This Row],[Puerto de Retiro]]),"")</f>
        <v>CHANCAY</v>
      </c>
      <c r="R98" s="2" t="str">
        <f>IFERROR(IF(MARÍTIMOS[[#This Row],[Almacén de Retiro]]="","",MARÍTIMOS[[#This Row],[Almacén de Retiro]]),"")</f>
        <v>CSPCP</v>
      </c>
      <c r="S98" s="11">
        <f>IFERROR(IF(MARÍTIMOS[[#This Row],[Etapa Retiro - Cita]]="","",MARÍTIMOS[[#This Row],[Etapa Retiro - Cita]]),"")</f>
        <v>46188.541666666664</v>
      </c>
      <c r="T98" s="11">
        <f>IFERROR(IF(MARÍTIMOS[[#This Row],[Etapa Retiro - Llegada]]="","",MARÍTIMOS[[#This Row],[Etapa Retiro - Llegada]]),"")</f>
        <v>46188.549305555556</v>
      </c>
      <c r="U98" s="11">
        <f>IFERROR(IF(MARÍTIMOS[[#This Row],[Etapa Retiro - Ingreso]]="","",MARÍTIMOS[[#This Row],[Etapa Retiro - Ingreso]]),"")</f>
        <v>46188.552083333336</v>
      </c>
      <c r="V98" s="11">
        <f>IFERROR(IF(MARÍTIMOS[[#This Row],[Etapa Retiro - Atención]]="","",MARÍTIMOS[[#This Row],[Etapa Retiro - Atención]]),"")</f>
        <v>46188.604166666664</v>
      </c>
      <c r="W98" s="11">
        <f>IFERROR(IF(MARÍTIMOS[[#This Row],[Etapa Retiro - Salida]]="","",MARÍTIMOS[[#This Row],[Etapa Retiro - Salida]]),"")</f>
        <v>46188.618750000001</v>
      </c>
      <c r="X98" s="11">
        <f>IFERROR(IF(MARÍTIMOS[[#This Row],[Etapa Retiro - Inicio de Ruta]]="","",MARÍTIMOS[[#This Row],[Etapa Retiro - Inicio de Ruta]]),"")</f>
        <v>46188.958333333336</v>
      </c>
      <c r="Y98" s="11">
        <f>IFERROR(IF(MARÍTIMOS[[#This Row],[Hora de Posicionamiento]]="","",MARÍTIMOS[[#This Row],[Hora de Carga]]+MARÍTIMOS[[#This Row],[Hora de Posicionamiento]]),"")</f>
        <v>0.58333333333333337</v>
      </c>
      <c r="Z98" s="11">
        <f>IFERROR(IF(MARÍTIMOS[[#This Row],[Etapa Despacho -  Llegada]]="","",MARÍTIMOS[[#This Row],[Etapa Despacho -  Llegada]]),"")</f>
        <v>46189.583333333336</v>
      </c>
      <c r="AA98" s="11">
        <f>IFERROR(IF(MARÍTIMOS[[#This Row],[Etapa Despacho -  Registro]]="","",MARÍTIMOS[[#This Row],[Etapa Despacho -  Registro]]),"")</f>
        <v>46190.416666666664</v>
      </c>
      <c r="AB98" s="11">
        <f>IFERROR(IF(MARÍTIMOS[[#This Row],[Inspección Externa]]="","",MARÍTIMOS[[#This Row],[Inspección Externa]]),"")</f>
        <v>46189.486111111109</v>
      </c>
      <c r="AC98" s="11">
        <f>IFERROR(IF(MARÍTIMOS[[#This Row],[Etapa Despacho -  Inicio de Carga]]="","",MARÍTIMOS[[#This Row],[Etapa Despacho -  Inicio de Carga]]),"")</f>
        <v>46189.527777777781</v>
      </c>
      <c r="AD98" s="11">
        <f>IFERROR(IF(MARÍTIMOS[[#This Row],[Etapa Despacho -  Fin de Carga]]="","",MARÍTIMOS[[#This Row],[Etapa Despacho -  Fin de Carga]]),"")</f>
        <v>46189.708333333336</v>
      </c>
      <c r="AE98" s="11">
        <f>IFERROR(IF(MARÍTIMOS[[#This Row],[Etapa Despacho -  Salida]]="","",MARÍTIMOS[[#This Row],[Etapa Despacho -  Salida]]),"")</f>
        <v>46189.759027777778</v>
      </c>
      <c r="AF98" s="2" t="str">
        <f>IFERROR(IF(MARÍTIMOS[[#This Row],[Puerto de Embarque]]="","",MARÍTIMOS[[#This Row],[Puerto de Embarque]]),"")</f>
        <v>CHANCAY</v>
      </c>
      <c r="AG98" s="2" t="str">
        <f>IFERROR(IF(MARÍTIMOS[[#This Row],[Almacén de Ingreso]]="","",MARÍTIMOS[[#This Row],[Almacén de Ingreso]]),"")</f>
        <v>CSPCP</v>
      </c>
      <c r="AH98" s="11">
        <f>IFERROR(IF(MARÍTIMOS[[#This Row],[Etapa Ingreso - Cita]]="","",MARÍTIMOS[[#This Row],[Etapa Ingreso - Cita]]),"")</f>
        <v>46190.208333333336</v>
      </c>
      <c r="AI98" s="11">
        <f>IFERROR(IF(MARÍTIMOS[[#This Row],[Etapa Ingreso - Llegada]]="","",MARÍTIMOS[[#This Row],[Etapa Ingreso - Llegada]]),"")</f>
        <v>46190.400694444441</v>
      </c>
      <c r="AJ98" s="11">
        <f>IFERROR(IF(MARÍTIMOS[[#This Row],[Etapa Ingreso - Ingeso]]="","",MARÍTIMOS[[#This Row],[Etapa Ingreso - Ingeso]]),"")</f>
        <v>46190.538888888892</v>
      </c>
      <c r="AK98" s="11">
        <f>IFERROR(IF(MARÍTIMOS[[#This Row],[Etapa Ingreso - Atención]]="","",MARÍTIMOS[[#This Row],[Etapa Ingreso - Atención]]),"")</f>
        <v>46190.558333333334</v>
      </c>
      <c r="AL98" s="11">
        <f>IFERROR(IF(MARÍTIMOS[[#This Row],[Etapa Ingreso - Salida]]="","",MARÍTIMOS[[#This Row],[Etapa Ingreso - Salida]]),"")</f>
        <v>46190.570833333331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8" s="5">
        <f>IFERROR(OLDBD[[#This Row],[Llegada a packing]]-OLDBD[[#This Row],[Inicio de Ruta]],"")</f>
        <v>0.625</v>
      </c>
      <c r="AQ98" s="6">
        <f>IFERROR(OLDBD[[#This Row],[Inicio de Ruta]]-OLDBD[[#This Row],[Salida de almacén de retiro]],"")</f>
        <v>0.33958333333430346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8" s="9">
        <f>IFERROR(OLDBD[[#This Row],[Ingreso Packing]]-OLDBD[[#This Row],[Registro en Packing]],"")</f>
        <v>-0.93055555555474712</v>
      </c>
      <c r="AV98" s="9">
        <f>IFERROR(OLDBD[[#This Row],[Ingreso Packing]]-OLDBD[[#This Row],[Llegada a packing]],"")</f>
        <v>-9.7222222226264421E-2</v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8" s="5">
        <f>IFERROR(OLDBD[[#This Row],[Llegada Almacén de Ingreso]]-OLDBD[[#This Row],[Salida Packing]],"")</f>
        <v>0.64166666666278616</v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8" s="45" t="s">
        <v>181</v>
      </c>
      <c r="BB98" s="53" t="str">
        <f>IFERROR(IF(MARÍTIMOS[[#This Row],[Estatus]]="","",MARÍTIMOS[[#This Row],[Estatus]]),"")</f>
        <v>Confirmado</v>
      </c>
      <c r="BC98" s="45"/>
      <c r="BD98" s="52">
        <f>IFERROR(OLDBD[[#This Row],[Salida de almacén de retiro]]-OLDBD[[#This Row],[Ingreso Almacén de retiro]],"")</f>
        <v>6.6666666665696539E-2</v>
      </c>
      <c r="BE98" s="52">
        <f>IFERROR(OLDBD[[#This Row],[Fin de Carga]]-OLDBD[[#This Row],[Inicio de Carga]],"")</f>
        <v>0.18055555555474712</v>
      </c>
    </row>
    <row r="99" spans="1:57" x14ac:dyDescent="0.35">
      <c r="A99" s="1"/>
      <c r="B99" s="1">
        <f>IFERROR(IF(MARÍTIMOS[[#This Row],[PP]]="","",MARÍTIMOS[[#This Row],[PP]]),"")</f>
        <v>25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RH-0063</v>
      </c>
      <c r="E99" s="1"/>
      <c r="F99" s="2" t="str">
        <f>IFERROR(IF(MARÍTIMOS[[#This Row],[Transportista]]="","",MARÍTIMOS[[#This Row],[Transportista]]),"")</f>
        <v>LIP</v>
      </c>
      <c r="G99" s="2" t="str">
        <f>IFERROR(IF(MARÍTIMOS[[#This Row],[Tercero]]="","",MARÍTIMOS[[#This Row],[Tercero]]),"")</f>
        <v>NO</v>
      </c>
      <c r="H99" s="2" t="str">
        <f>IFERROR(IF(MARÍTIMOS[[#This Row],[Razón Social]]="","",MARÍTIMOS[[#This Row],[Razón Social]]),"")</f>
        <v>LOGISTICA INTERMODAL DEL PERU S.A.C.</v>
      </c>
      <c r="I99" s="2">
        <f>IFERROR(IF(MARÍTIMOS[[#This Row],[RUC]]="","",MARÍTIMOS[[#This Row],[RUC]]),"")</f>
        <v>20513040718</v>
      </c>
      <c r="J99" s="2" t="str">
        <f>IFERROR(IF(MARÍTIMOS[[#This Row],[Placa Tracto]]="","",MARÍTIMOS[[#This Row],[Placa Tracto]]),"")</f>
        <v>AYO-923</v>
      </c>
      <c r="K99" s="2" t="str">
        <f>IFERROR(IF(MARÍTIMOS[[#This Row],[Placa Carreta]]="","",MARÍTIMOS[[#This Row],[Placa Carreta]]),"")</f>
        <v>ANE-991</v>
      </c>
      <c r="L99" s="46" t="str">
        <f>IFERROR(IF(MARÍTIMOS[[#This Row],[Conductor]]="","",MARÍTIMOS[[#This Row],[Conductor]]),"")</f>
        <v>MATIAS ORTIZ LUIS ANGEL</v>
      </c>
      <c r="M99" s="2" t="str">
        <f>IFERROR(IF(MARÍTIMOS[[#This Row],[Licencia]]="","",MARÍTIMOS[[#This Row],[Licencia]]),"")</f>
        <v>Q41615893</v>
      </c>
      <c r="N99" s="2" t="str">
        <f>IFERROR(IF(MARÍTIMOS[[#This Row],[Número de Contacto]]="","",MARÍTIMOS[[#This Row],[Número de Contacto]]),"")</f>
        <v/>
      </c>
      <c r="O99" s="10" t="str">
        <f>IFERROR(IF(MARÍTIMOS[[#This Row],[Booking|AWB|CRT]]="","",MARÍTIMOS[[#This Row],[Booking|AWB|CRT]]),"")</f>
        <v>LIM600213700</v>
      </c>
      <c r="P99" s="2" t="str">
        <f>IFERROR(IF(MARÍTIMOS[[#This Row],[Contenedor]]="","",MARÍTIMOS[[#This Row],[Contenedor]]),"")</f>
        <v>PCIU6123677</v>
      </c>
      <c r="Q99" s="2" t="str">
        <f>IFERROR(IF(MARÍTIMOS[[#This Row],[Puerto de Retiro]]="","",MARÍTIMOS[[#This Row],[Puerto de Retiro]]),"")</f>
        <v>CALLAO</v>
      </c>
      <c r="R99" s="2" t="str">
        <f>IFERROR(IF(MARÍTIMOS[[#This Row],[Almacén de Retiro]]="","",MARÍTIMOS[[#This Row],[Almacén de Retiro]]),"")</f>
        <v>DPW</v>
      </c>
      <c r="S99" s="11">
        <f>IFERROR(IF(MARÍTIMOS[[#This Row],[Etapa Retiro - Cita]]="","",MARÍTIMOS[[#This Row],[Etapa Retiro - Cita]]),"")</f>
        <v>46192.708333333336</v>
      </c>
      <c r="T99" s="11">
        <f>IFERROR(IF(MARÍTIMOS[[#This Row],[Etapa Retiro - Llegada]]="","",MARÍTIMOS[[#This Row],[Etapa Retiro - Llegada]]),"")</f>
        <v>46192.743750000001</v>
      </c>
      <c r="U99" s="11">
        <f>IFERROR(IF(MARÍTIMOS[[#This Row],[Etapa Retiro - Ingreso]]="","",MARÍTIMOS[[#This Row],[Etapa Retiro - Ingreso]]),"")</f>
        <v>46192.762499999997</v>
      </c>
      <c r="V99" s="11">
        <f>IFERROR(IF(MARÍTIMOS[[#This Row],[Etapa Retiro - Atención]]="","",MARÍTIMOS[[#This Row],[Etapa Retiro - Atención]]),"")</f>
        <v>46192.868055555555</v>
      </c>
      <c r="W99" s="11">
        <f>IFERROR(IF(MARÍTIMOS[[#This Row],[Etapa Retiro - Salida]]="","",MARÍTIMOS[[#This Row],[Etapa Retiro - Salida]]),"")</f>
        <v>46192.872916666667</v>
      </c>
      <c r="X99" s="11">
        <f>IFERROR(IF(MARÍTIMOS[[#This Row],[Etapa Retiro - Inicio de Ruta]]="","",MARÍTIMOS[[#This Row],[Etapa Retiro - Inicio de Ruta]]),"")</f>
        <v>46192.875</v>
      </c>
      <c r="Y99" s="11">
        <f>IFERROR(IF(MARÍTIMOS[[#This Row],[Hora de Posicionamiento]]="","",MARÍTIMOS[[#This Row],[Hora de Carga]]+MARÍTIMOS[[#This Row],[Hora de Posicionamiento]]),"")</f>
        <v>0.60416666666666663</v>
      </c>
      <c r="Z99" s="11">
        <f>IFERROR(IF(MARÍTIMOS[[#This Row],[Etapa Despacho -  Llegada]]="","",MARÍTIMOS[[#This Row],[Etapa Despacho -  Llegada]]),"")</f>
        <v>46193.597222222219</v>
      </c>
      <c r="AA99" s="11">
        <f>IFERROR(IF(MARÍTIMOS[[#This Row],[Etapa Despacho -  Registro]]="","",MARÍTIMOS[[#This Row],[Etapa Despacho -  Registro]]),"")</f>
        <v>46192.75</v>
      </c>
      <c r="AB99" s="11">
        <f>IFERROR(IF(MARÍTIMOS[[#This Row],[Inspección Externa]]="","",MARÍTIMOS[[#This Row],[Inspección Externa]]),"")</f>
        <v>46193.611111111109</v>
      </c>
      <c r="AC99" s="11">
        <f>IFERROR(IF(MARÍTIMOS[[#This Row],[Etapa Despacho -  Inicio de Carga]]="","",MARÍTIMOS[[#This Row],[Etapa Despacho -  Inicio de Carga]]),"")</f>
        <v>46193.625</v>
      </c>
      <c r="AD99" s="11">
        <f>IFERROR(IF(MARÍTIMOS[[#This Row],[Etapa Despacho -  Fin de Carga]]="","",MARÍTIMOS[[#This Row],[Etapa Despacho -  Fin de Carga]]),"")</f>
        <v>46193.791666666664</v>
      </c>
      <c r="AE99" s="11">
        <f>IFERROR(IF(MARÍTIMOS[[#This Row],[Etapa Despacho -  Salida]]="","",MARÍTIMOS[[#This Row],[Etapa Despacho -  Salida]]),"")</f>
        <v>46193.8</v>
      </c>
      <c r="AF99" s="2" t="str">
        <f>IFERROR(IF(MARÍTIMOS[[#This Row],[Puerto de Embarque]]="","",MARÍTIMOS[[#This Row],[Puerto de Embarque]]),"")</f>
        <v>CALLAO</v>
      </c>
      <c r="AG99" s="2" t="str">
        <f>IFERROR(IF(MARÍTIMOS[[#This Row],[Almacén de Ingreso]]="","",MARÍTIMOS[[#This Row],[Almacén de Ingreso]]),"")</f>
        <v>DPW</v>
      </c>
      <c r="AH99" s="11">
        <f>IFERROR(IF(MARÍTIMOS[[#This Row],[Etapa Ingreso - Cita]]="","",MARÍTIMOS[[#This Row],[Etapa Ingreso - Cita]]),"")</f>
        <v>46192.708333333336</v>
      </c>
      <c r="AI99" s="11">
        <f>IFERROR(IF(MARÍTIMOS[[#This Row],[Etapa Ingreso - Llegada]]="","",MARÍTIMOS[[#This Row],[Etapa Ingreso - Llegada]]),"")</f>
        <v>46192.743750000001</v>
      </c>
      <c r="AJ99" s="11">
        <f>IFERROR(IF(MARÍTIMOS[[#This Row],[Etapa Ingreso - Ingeso]]="","",MARÍTIMOS[[#This Row],[Etapa Ingreso - Ingeso]]),"")</f>
        <v>46192.762499999997</v>
      </c>
      <c r="AK99" s="11">
        <f>IFERROR(IF(MARÍTIMOS[[#This Row],[Etapa Ingreso - Atención]]="","",MARÍTIMOS[[#This Row],[Etapa Ingreso - Atención]]),"")</f>
        <v>46192.872916666667</v>
      </c>
      <c r="AL99" s="11">
        <f>IFERROR(IF(MARÍTIMOS[[#This Row],[Etapa Ingreso - Salida]]="","",MARÍTIMOS[[#This Row],[Etapa Ingreso - Salida]]),"")</f>
        <v>46192.872916666667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9" s="5">
        <f>IFERROR(OLDBD[[#This Row],[Llegada a packing]]-OLDBD[[#This Row],[Inicio de Ruta]],"")</f>
        <v>0.72222222221898846</v>
      </c>
      <c r="AQ99" s="6">
        <f>IFERROR(OLDBD[[#This Row],[Inicio de Ruta]]-OLDBD[[#This Row],[Salida de almacén de retiro]],"")</f>
        <v>2.0833333328482695E-3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9" s="9">
        <f>IFERROR(OLDBD[[#This Row],[Ingreso Packing]]-OLDBD[[#This Row],[Registro en Packing]],"")</f>
        <v>0.86111111110949423</v>
      </c>
      <c r="AV99" s="9">
        <f>IFERROR(OLDBD[[#This Row],[Ingreso Packing]]-OLDBD[[#This Row],[Llegada a packing]],"")</f>
        <v>1.3888888890505768E-2</v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9" s="5">
        <f>IFERROR(OLDBD[[#This Row],[Llegada Almacén de Ingreso]]-OLDBD[[#This Row],[Salida Packing]],"")</f>
        <v>-1.0562500000014552</v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9" s="45" t="s">
        <v>181</v>
      </c>
      <c r="BB99" s="53" t="str">
        <f>IFERROR(IF(MARÍTIMOS[[#This Row],[Estatus]]="","",MARÍTIMOS[[#This Row],[Estatus]]),"")</f>
        <v>Confirmado</v>
      </c>
      <c r="BC99" s="45"/>
      <c r="BD99" s="52">
        <f>IFERROR(OLDBD[[#This Row],[Salida de almacén de retiro]]-OLDBD[[#This Row],[Ingreso Almacén de retiro]],"")</f>
        <v>0.11041666667006211</v>
      </c>
      <c r="BE99" s="52">
        <f>IFERROR(OLDBD[[#This Row],[Fin de Carga]]-OLDBD[[#This Row],[Inicio de Carga]],"")</f>
        <v>0.16666666666424135</v>
      </c>
    </row>
    <row r="100" spans="1:57" x14ac:dyDescent="0.35">
      <c r="A100" s="1"/>
      <c r="B100" s="1">
        <f>IFERROR(IF(MARÍTIMOS[[#This Row],[PP]]="","",MARÍTIMOS[[#This Row],[PP]]),"")</f>
        <v>25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RH-0067</v>
      </c>
      <c r="E100" s="1"/>
      <c r="F100" s="2" t="str">
        <f>IFERROR(IF(MARÍTIMOS[[#This Row],[Transportista]]="","",MARÍTIMOS[[#This Row],[Transportista]]),"")</f>
        <v>LIP</v>
      </c>
      <c r="G100" s="2" t="str">
        <f>IFERROR(IF(MARÍTIMOS[[#This Row],[Tercero]]="","",MARÍTIMOS[[#This Row],[Tercero]]),"")</f>
        <v>SI</v>
      </c>
      <c r="H100" s="2" t="str">
        <f>IFERROR(IF(MARÍTIMOS[[#This Row],[Razón Social]]="","",MARÍTIMOS[[#This Row],[Razón Social]]),"")</f>
        <v>TRANSPORTES PEDRO ARELLANO S.A.C.</v>
      </c>
      <c r="I100" s="2">
        <f>IFERROR(IF(MARÍTIMOS[[#This Row],[RUC]]="","",MARÍTIMOS[[#This Row],[RUC]]),"")</f>
        <v>20102178140</v>
      </c>
      <c r="J100" s="2" t="str">
        <f>IFERROR(IF(MARÍTIMOS[[#This Row],[Placa Tracto]]="","",MARÍTIMOS[[#This Row],[Placa Tracto]]),"")</f>
        <v>ARC-745</v>
      </c>
      <c r="K100" s="2" t="str">
        <f>IFERROR(IF(MARÍTIMOS[[#This Row],[Placa Carreta]]="","",MARÍTIMOS[[#This Row],[Placa Carreta]]),"")</f>
        <v>C9H-981</v>
      </c>
      <c r="L100" s="46" t="str">
        <f>IFERROR(IF(MARÍTIMOS[[#This Row],[Conductor]]="","",MARÍTIMOS[[#This Row],[Conductor]]),"")</f>
        <v>JAVIER TANTAVILCA EDGAR PEDRO</v>
      </c>
      <c r="M100" s="2" t="str">
        <f>IFERROR(IF(MARÍTIMOS[[#This Row],[Licencia]]="","",MARÍTIMOS[[#This Row],[Licencia]]),"")</f>
        <v>Q10602434</v>
      </c>
      <c r="N100" s="2" t="str">
        <f>IFERROR(IF(MARÍTIMOS[[#This Row],[Número de Contacto]]="","",MARÍTIMOS[[#This Row],[Número de Contacto]]),"")</f>
        <v/>
      </c>
      <c r="O100" s="10">
        <f>IFERROR(IF(MARÍTIMOS[[#This Row],[Booking|AWB|CRT]]="","",MARÍTIMOS[[#This Row],[Booking|AWB|CRT]]),"")</f>
        <v>751600033678</v>
      </c>
      <c r="P100" s="2" t="str">
        <f>IFERROR(IF(MARÍTIMOS[[#This Row],[Contenedor]]="","",MARÍTIMOS[[#This Row],[Contenedor]]),"")</f>
        <v>EMCU5725738</v>
      </c>
      <c r="Q100" s="2" t="str">
        <f>IFERROR(IF(MARÍTIMOS[[#This Row],[Puerto de Retiro]]="","",MARÍTIMOS[[#This Row],[Puerto de Retiro]]),"")</f>
        <v>CALLAO</v>
      </c>
      <c r="R100" s="2" t="str">
        <f>IFERROR(IF(MARÍTIMOS[[#This Row],[Almacén de Retiro]]="","",MARÍTIMOS[[#This Row],[Almacén de Retiro]]),"")</f>
        <v>TPP</v>
      </c>
      <c r="S100" s="11">
        <f>IFERROR(IF(MARÍTIMOS[[#This Row],[Etapa Retiro - Cita]]="","",MARÍTIMOS[[#This Row],[Etapa Retiro - Cita]]),"")</f>
        <v>46193.916666666664</v>
      </c>
      <c r="T100" s="11">
        <f>IFERROR(IF(MARÍTIMOS[[#This Row],[Etapa Retiro - Llegada]]="","",MARÍTIMOS[[#This Row],[Etapa Retiro - Llegada]]),"")</f>
        <v>46193.955555555556</v>
      </c>
      <c r="U100" s="11">
        <f>IFERROR(IF(MARÍTIMOS[[#This Row],[Etapa Retiro - Ingreso]]="","",MARÍTIMOS[[#This Row],[Etapa Retiro - Ingreso]]),"")</f>
        <v>46193.981249999997</v>
      </c>
      <c r="V100" s="11">
        <f>IFERROR(IF(MARÍTIMOS[[#This Row],[Etapa Retiro - Atención]]="","",MARÍTIMOS[[#This Row],[Etapa Retiro - Atención]]),"")</f>
        <v>46193.958333333336</v>
      </c>
      <c r="W100" s="11">
        <f>IFERROR(IF(MARÍTIMOS[[#This Row],[Etapa Retiro - Salida]]="","",MARÍTIMOS[[#This Row],[Etapa Retiro - Salida]]),"")</f>
        <v>46194.022916666669</v>
      </c>
      <c r="X100" s="11">
        <f>IFERROR(IF(MARÍTIMOS[[#This Row],[Etapa Retiro - Inicio de Ruta]]="","",MARÍTIMOS[[#This Row],[Etapa Retiro - Inicio de Ruta]]),"")</f>
        <v>46194.041666666664</v>
      </c>
      <c r="Y100" s="11">
        <f>IFERROR(IF(MARÍTIMOS[[#This Row],[Hora de Posicionamiento]]="","",MARÍTIMOS[[#This Row],[Hora de Carga]]+MARÍTIMOS[[#This Row],[Hora de Posicionamiento]]),"")</f>
        <v>0.64583333333333337</v>
      </c>
      <c r="Z100" s="11">
        <f>IFERROR(IF(MARÍTIMOS[[#This Row],[Etapa Despacho -  Llegada]]="","",MARÍTIMOS[[#This Row],[Etapa Despacho -  Llegada]]),"")</f>
        <v>46195.503472222219</v>
      </c>
      <c r="AA100" s="11">
        <f>IFERROR(IF(MARÍTIMOS[[#This Row],[Etapa Despacho -  Registro]]="","",MARÍTIMOS[[#This Row],[Etapa Despacho -  Registro]]),"")</f>
        <v>46196.402777777781</v>
      </c>
      <c r="AB100" s="11">
        <f>IFERROR(IF(MARÍTIMOS[[#This Row],[Inspección Externa]]="","",MARÍTIMOS[[#This Row],[Inspección Externa]]),"")</f>
        <v>46195.510416666664</v>
      </c>
      <c r="AC100" s="11">
        <f>IFERROR(IF(MARÍTIMOS[[#This Row],[Etapa Despacho -  Inicio de Carga]]="","",MARÍTIMOS[[#This Row],[Etapa Despacho -  Inicio de Carga]]),"")</f>
        <v>46195.520833333336</v>
      </c>
      <c r="AD100" s="11">
        <f>IFERROR(IF(MARÍTIMOS[[#This Row],[Etapa Despacho -  Fin de Carga]]="","",MARÍTIMOS[[#This Row],[Etapa Despacho -  Fin de Carga]]),"")</f>
        <v>46198.453472222223</v>
      </c>
      <c r="AE100" s="11">
        <f>IFERROR(IF(MARÍTIMOS[[#This Row],[Etapa Despacho -  Salida]]="","",MARÍTIMOS[[#This Row],[Etapa Despacho -  Salida]]),"")</f>
        <v>46195.717361111114</v>
      </c>
      <c r="AF100" s="2" t="str">
        <f>IFERROR(IF(MARÍTIMOS[[#This Row],[Puerto de Embarque]]="","",MARÍTIMOS[[#This Row],[Puerto de Embarque]]),"")</f>
        <v>CALLAO</v>
      </c>
      <c r="AG100" s="2" t="str">
        <f>IFERROR(IF(MARÍTIMOS[[#This Row],[Almacén de Ingreso]]="","",MARÍTIMOS[[#This Row],[Almacén de Ingreso]]),"")</f>
        <v>DPW</v>
      </c>
      <c r="AH100" s="11">
        <f>IFERROR(IF(MARÍTIMOS[[#This Row],[Etapa Ingreso - Cita]]="","",MARÍTIMOS[[#This Row],[Etapa Ingreso - Cita]]),"")</f>
        <v>46196.375</v>
      </c>
      <c r="AI100" s="11">
        <f>IFERROR(IF(MARÍTIMOS[[#This Row],[Etapa Ingreso - Llegada]]="","",MARÍTIMOS[[#This Row],[Etapa Ingreso - Llegada]]),"")</f>
        <v>46196.386111111111</v>
      </c>
      <c r="AJ100" s="11">
        <f>IFERROR(IF(MARÍTIMOS[[#This Row],[Etapa Ingreso - Ingeso]]="","",MARÍTIMOS[[#This Row],[Etapa Ingreso - Ingeso]]),"")</f>
        <v>46196.486805555556</v>
      </c>
      <c r="AK100" s="11">
        <f>IFERROR(IF(MARÍTIMOS[[#This Row],[Etapa Ingreso - Atención]]="","",MARÍTIMOS[[#This Row],[Etapa Ingreso - Atención]]),"")</f>
        <v>46196.496527777781</v>
      </c>
      <c r="AL100" s="11">
        <f>IFERROR(IF(MARÍTIMOS[[#This Row],[Etapa Ingreso - Salida]]="","",MARÍTIMOS[[#This Row],[Etapa Ingreso - Salida]]),"")</f>
        <v>46196.49722222222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0" s="5">
        <f>IFERROR(OLDBD[[#This Row],[Llegada a packing]]-OLDBD[[#This Row],[Inicio de Ruta]],"")</f>
        <v>1.4618055555547471</v>
      </c>
      <c r="AQ100" s="6">
        <f>IFERROR(OLDBD[[#This Row],[Inicio de Ruta]]-OLDBD[[#This Row],[Salida de almacén de retiro]],"")</f>
        <v>1.8749999995634425E-2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0" s="9">
        <f>IFERROR(OLDBD[[#This Row],[Ingreso Packing]]-OLDBD[[#This Row],[Registro en Packing]],"")</f>
        <v>-0.89236111111677019</v>
      </c>
      <c r="AV100" s="9">
        <f>IFERROR(OLDBD[[#This Row],[Ingreso Packing]]-OLDBD[[#This Row],[Llegada a packing]],"")</f>
        <v>6.9444444452528842E-3</v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0" s="5">
        <f>IFERROR(OLDBD[[#This Row],[Llegada Almacén de Ingreso]]-OLDBD[[#This Row],[Salida Packing]],"")</f>
        <v>0.66874999999708962</v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0" s="45" t="s">
        <v>181</v>
      </c>
      <c r="BB100" s="53" t="str">
        <f>IFERROR(IF(MARÍTIMOS[[#This Row],[Estatus]]="","",MARÍTIMOS[[#This Row],[Estatus]]),"")</f>
        <v>Confirmado</v>
      </c>
      <c r="BC100" s="45"/>
      <c r="BD100" s="52">
        <f>IFERROR(OLDBD[[#This Row],[Salida de almacén de retiro]]-OLDBD[[#This Row],[Ingreso Almacén de retiro]],"")</f>
        <v>4.1666666671517305E-2</v>
      </c>
      <c r="BE100" s="52">
        <f>IFERROR(OLDBD[[#This Row],[Fin de Carga]]-OLDBD[[#This Row],[Inicio de Carga]],"")</f>
        <v>2.9326388888875954</v>
      </c>
    </row>
    <row r="101" spans="1:57" x14ac:dyDescent="0.35">
      <c r="A101" s="1"/>
      <c r="B101" s="1">
        <f>IFERROR(IF(MARÍTIMOS[[#This Row],[PP]]="","",MARÍTIMOS[[#This Row],[PP]]),"")</f>
        <v>25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RH-0068</v>
      </c>
      <c r="E101" s="1"/>
      <c r="F101" s="2" t="str">
        <f>IFERROR(IF(MARÍTIMOS[[#This Row],[Transportista]]="","",MARÍTIMOS[[#This Row],[Transportista]]),"")</f>
        <v>LIP</v>
      </c>
      <c r="G101" s="2" t="str">
        <f>IFERROR(IF(MARÍTIMOS[[#This Row],[Tercero]]="","",MARÍTIMOS[[#This Row],[Tercero]]),"")</f>
        <v>SI</v>
      </c>
      <c r="H101" s="2" t="str">
        <f>IFERROR(IF(MARÍTIMOS[[#This Row],[Razón Social]]="","",MARÍTIMOS[[#This Row],[Razón Social]]),"")</f>
        <v>LOGISTICA INTERMODAL DEL PERU S.A.C.</v>
      </c>
      <c r="I101" s="2">
        <f>IFERROR(IF(MARÍTIMOS[[#This Row],[RUC]]="","",MARÍTIMOS[[#This Row],[RUC]]),"")</f>
        <v>20513040718</v>
      </c>
      <c r="J101" s="2" t="str">
        <f>IFERROR(IF(MARÍTIMOS[[#This Row],[Placa Tracto]]="","",MARÍTIMOS[[#This Row],[Placa Tracto]]),"")</f>
        <v>BPG-947</v>
      </c>
      <c r="K101" s="2" t="str">
        <f>IFERROR(IF(MARÍTIMOS[[#This Row],[Placa Carreta]]="","",MARÍTIMOS[[#This Row],[Placa Carreta]]),"")</f>
        <v>C3H-979</v>
      </c>
      <c r="L101" s="46" t="str">
        <f>IFERROR(IF(MARÍTIMOS[[#This Row],[Conductor]]="","",MARÍTIMOS[[#This Row],[Conductor]]),"")</f>
        <v>CORREA ROMERO POMER IVAN</v>
      </c>
      <c r="M101" s="2" t="str">
        <f>IFERROR(IF(MARÍTIMOS[[#This Row],[Licencia]]="","",MARÍTIMOS[[#This Row],[Licencia]]),"")</f>
        <v>Q03127382</v>
      </c>
      <c r="N101" s="2" t="str">
        <f>IFERROR(IF(MARÍTIMOS[[#This Row],[Número de Contacto]]="","",MARÍTIMOS[[#This Row],[Número de Contacto]]),"")</f>
        <v/>
      </c>
      <c r="O101" s="10" t="str">
        <f>IFERROR(IF(MARÍTIMOS[[#This Row],[Booking|AWB|CRT]]="","",MARÍTIMOS[[#This Row],[Booking|AWB|CRT]]),"")</f>
        <v>LIM600222500</v>
      </c>
      <c r="P101" s="2" t="str">
        <f>IFERROR(IF(MARÍTIMOS[[#This Row],[Contenedor]]="","",MARÍTIMOS[[#This Row],[Contenedor]]),"")</f>
        <v>BEAU9733639</v>
      </c>
      <c r="Q101" s="2" t="str">
        <f>IFERROR(IF(MARÍTIMOS[[#This Row],[Puerto de Retiro]]="","",MARÍTIMOS[[#This Row],[Puerto de Retiro]]),"")</f>
        <v>CALLAO</v>
      </c>
      <c r="R101" s="2" t="str">
        <f>IFERROR(IF(MARÍTIMOS[[#This Row],[Almacén de Retiro]]="","",MARÍTIMOS[[#This Row],[Almacén de Retiro]]),"")</f>
        <v>CONTRANS</v>
      </c>
      <c r="S101" s="11">
        <f>IFERROR(IF(MARÍTIMOS[[#This Row],[Etapa Retiro - Cita]]="","",MARÍTIMOS[[#This Row],[Etapa Retiro - Cita]]),"")</f>
        <v>46194.5</v>
      </c>
      <c r="T101" s="11">
        <f>IFERROR(IF(MARÍTIMOS[[#This Row],[Etapa Retiro - Llegada]]="","",MARÍTIMOS[[#This Row],[Etapa Retiro - Llegada]]),"")</f>
        <v>46194.529861111114</v>
      </c>
      <c r="U101" s="11">
        <f>IFERROR(IF(MARÍTIMOS[[#This Row],[Etapa Retiro - Ingreso]]="","",MARÍTIMOS[[#This Row],[Etapa Retiro - Ingreso]]),"")</f>
        <v>46194.541666666664</v>
      </c>
      <c r="V101" s="11">
        <f>IFERROR(IF(MARÍTIMOS[[#This Row],[Etapa Retiro - Atención]]="","",MARÍTIMOS[[#This Row],[Etapa Retiro - Atención]]),"")</f>
        <v>46194.569444444445</v>
      </c>
      <c r="W101" s="11">
        <f>IFERROR(IF(MARÍTIMOS[[#This Row],[Etapa Retiro - Salida]]="","",MARÍTIMOS[[#This Row],[Etapa Retiro - Salida]]),"")</f>
        <v>46194.568749999999</v>
      </c>
      <c r="X101" s="11">
        <f>IFERROR(IF(MARÍTIMOS[[#This Row],[Etapa Retiro - Inicio de Ruta]]="","",MARÍTIMOS[[#This Row],[Etapa Retiro - Inicio de Ruta]]),"")</f>
        <v>46194.75</v>
      </c>
      <c r="Y101" s="11">
        <f>IFERROR(IF(MARÍTIMOS[[#This Row],[Hora de Posicionamiento]]="","",MARÍTIMOS[[#This Row],[Hora de Carga]]+MARÍTIMOS[[#This Row],[Hora de Posicionamiento]]),"")</f>
        <v>0.60416666666666663</v>
      </c>
      <c r="Z101" s="11">
        <f>IFERROR(IF(MARÍTIMOS[[#This Row],[Etapa Despacho -  Llegada]]="","",MARÍTIMOS[[#This Row],[Etapa Despacho -  Llegada]]),"")</f>
        <v>46195.484027777777</v>
      </c>
      <c r="AA101" s="11">
        <f>IFERROR(IF(MARÍTIMOS[[#This Row],[Etapa Despacho -  Registro]]="","",MARÍTIMOS[[#This Row],[Etapa Despacho -  Registro]]),"")</f>
        <v>46212.166666666664</v>
      </c>
      <c r="AB101" s="11">
        <f>IFERROR(IF(MARÍTIMOS[[#This Row],[Inspección Externa]]="","",MARÍTIMOS[[#This Row],[Inspección Externa]]),"")</f>
        <v>46195.489583333336</v>
      </c>
      <c r="AC101" s="11">
        <f>IFERROR(IF(MARÍTIMOS[[#This Row],[Etapa Despacho -  Inicio de Carga]]="","",MARÍTIMOS[[#This Row],[Etapa Despacho -  Inicio de Carga]]),"")</f>
        <v>46195.5</v>
      </c>
      <c r="AD101" s="11">
        <f>IFERROR(IF(MARÍTIMOS[[#This Row],[Etapa Despacho -  Fin de Carga]]="","",MARÍTIMOS[[#This Row],[Etapa Despacho -  Fin de Carga]]),"")</f>
        <v>46195.680555555555</v>
      </c>
      <c r="AE101" s="11">
        <f>IFERROR(IF(MARÍTIMOS[[#This Row],[Etapa Despacho -  Salida]]="","",MARÍTIMOS[[#This Row],[Etapa Despacho -  Salida]]),"")</f>
        <v>46195.691666666666</v>
      </c>
      <c r="AF101" s="2" t="str">
        <f>IFERROR(IF(MARÍTIMOS[[#This Row],[Puerto de Embarque]]="","",MARÍTIMOS[[#This Row],[Puerto de Embarque]]),"")</f>
        <v>CALLAO</v>
      </c>
      <c r="AG101" s="2" t="str">
        <f>IFERROR(IF(MARÍTIMOS[[#This Row],[Almacén de Ingreso]]="","",MARÍTIMOS[[#This Row],[Almacén de Ingreso]]),"")</f>
        <v>DPW</v>
      </c>
      <c r="AH101" s="11">
        <f>IFERROR(IF(MARÍTIMOS[[#This Row],[Etapa Ingreso - Cita]]="","",MARÍTIMOS[[#This Row],[Etapa Ingreso - Cita]]),"")</f>
        <v>46196.083333333336</v>
      </c>
      <c r="AI101" s="11">
        <f>IFERROR(IF(MARÍTIMOS[[#This Row],[Etapa Ingreso - Llegada]]="","",MARÍTIMOS[[#This Row],[Etapa Ingreso - Llegada]]),"")</f>
        <v>46196.127083333333</v>
      </c>
      <c r="AJ101" s="11">
        <f>IFERROR(IF(MARÍTIMOS[[#This Row],[Etapa Ingreso - Ingeso]]="","",MARÍTIMOS[[#This Row],[Etapa Ingreso - Ingeso]]),"")</f>
        <v>46196.166666666664</v>
      </c>
      <c r="AK101" s="11">
        <f>IFERROR(IF(MARÍTIMOS[[#This Row],[Etapa Ingreso - Atención]]="","",MARÍTIMOS[[#This Row],[Etapa Ingreso - Atención]]),"")</f>
        <v>46196.172222222223</v>
      </c>
      <c r="AL101" s="11">
        <f>IFERROR(IF(MARÍTIMOS[[#This Row],[Etapa Ingreso - Salida]]="","",MARÍTIMOS[[#This Row],[Etapa Ingreso - Salida]]),"")</f>
        <v>46196.177777777775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1" s="5">
        <f>IFERROR(OLDBD[[#This Row],[Llegada a packing]]-OLDBD[[#This Row],[Inicio de Ruta]],"")</f>
        <v>0.73402777777664596</v>
      </c>
      <c r="AQ101" s="6">
        <f>IFERROR(OLDBD[[#This Row],[Inicio de Ruta]]-OLDBD[[#This Row],[Salida de almacén de retiro]],"")</f>
        <v>0.18125000000145519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1" s="9">
        <f>IFERROR(OLDBD[[#This Row],[Ingreso Packing]]-OLDBD[[#This Row],[Registro en Packing]],"")</f>
        <v>-16.677083333328483</v>
      </c>
      <c r="AV101" s="9">
        <f>IFERROR(OLDBD[[#This Row],[Ingreso Packing]]-OLDBD[[#This Row],[Llegada a packing]],"")</f>
        <v>5.5555555591126904E-3</v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1" s="5">
        <f>IFERROR(OLDBD[[#This Row],[Llegada Almacén de Ingreso]]-OLDBD[[#This Row],[Salida Packing]],"")</f>
        <v>0.43541666666715173</v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1" s="45" t="s">
        <v>181</v>
      </c>
      <c r="BB101" s="53" t="str">
        <f>IFERROR(IF(MARÍTIMOS[[#This Row],[Estatus]]="","",MARÍTIMOS[[#This Row],[Estatus]]),"")</f>
        <v>Confirmado</v>
      </c>
      <c r="BC101" s="45"/>
      <c r="BD101" s="52">
        <f>IFERROR(OLDBD[[#This Row],[Salida de almacén de retiro]]-OLDBD[[#This Row],[Ingreso Almacén de retiro]],"")</f>
        <v>2.7083333334303461E-2</v>
      </c>
      <c r="BE101" s="52">
        <f>IFERROR(OLDBD[[#This Row],[Fin de Carga]]-OLDBD[[#This Row],[Inicio de Carga]],"")</f>
        <v>0.18055555555474712</v>
      </c>
    </row>
    <row r="102" spans="1:57" x14ac:dyDescent="0.35">
      <c r="A102" s="1"/>
      <c r="B102" s="1">
        <f>IFERROR(IF(MARÍTIMOS[[#This Row],[PP]]="","",MARÍTIMOS[[#This Row],[PP]]),"")</f>
        <v>25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RH-0069</v>
      </c>
      <c r="E102" s="1"/>
      <c r="F102" s="2" t="str">
        <f>IFERROR(IF(MARÍTIMOS[[#This Row],[Transportista]]="","",MARÍTIMOS[[#This Row],[Transportista]]),"")</f>
        <v>LIP</v>
      </c>
      <c r="G102" s="2" t="str">
        <f>IFERROR(IF(MARÍTIMOS[[#This Row],[Tercero]]="","",MARÍTIMOS[[#This Row],[Tercero]]),"")</f>
        <v>SI</v>
      </c>
      <c r="H102" s="2" t="str">
        <f>IFERROR(IF(MARÍTIMOS[[#This Row],[Razón Social]]="","",MARÍTIMOS[[#This Row],[Razón Social]]),"")</f>
        <v>LOGISTICA INTERMODAL DEL PERU S.A.C.</v>
      </c>
      <c r="I102" s="2">
        <f>IFERROR(IF(MARÍTIMOS[[#This Row],[RUC]]="","",MARÍTIMOS[[#This Row],[RUC]]),"")</f>
        <v>20513040718</v>
      </c>
      <c r="J102" s="2" t="str">
        <f>IFERROR(IF(MARÍTIMOS[[#This Row],[Placa Tracto]]="","",MARÍTIMOS[[#This Row],[Placa Tracto]]),"")</f>
        <v>BPH-908</v>
      </c>
      <c r="K102" s="2" t="str">
        <f>IFERROR(IF(MARÍTIMOS[[#This Row],[Placa Carreta]]="","",MARÍTIMOS[[#This Row],[Placa Carreta]]),"")</f>
        <v>C3H-978</v>
      </c>
      <c r="L102" s="46" t="str">
        <f>IFERROR(IF(MARÍTIMOS[[#This Row],[Conductor]]="","",MARÍTIMOS[[#This Row],[Conductor]]),"")</f>
        <v>GUIZADO SAEZ JULIO CESAR</v>
      </c>
      <c r="M102" s="2" t="str">
        <f>IFERROR(IF(MARÍTIMOS[[#This Row],[Licencia]]="","",MARÍTIMOS[[#This Row],[Licencia]]),"")</f>
        <v>Q41447197</v>
      </c>
      <c r="N102" s="2" t="str">
        <f>IFERROR(IF(MARÍTIMOS[[#This Row],[Número de Contacto]]="","",MARÍTIMOS[[#This Row],[Número de Contacto]]),"")</f>
        <v/>
      </c>
      <c r="O102" s="10" t="str">
        <f>IFERROR(IF(MARÍTIMOS[[#This Row],[Booking|AWB|CRT]]="","",MARÍTIMOS[[#This Row],[Booking|AWB|CRT]]),"")</f>
        <v>LIM600213600</v>
      </c>
      <c r="P102" s="2" t="str">
        <f>IFERROR(IF(MARÍTIMOS[[#This Row],[Contenedor]]="","",MARÍTIMOS[[#This Row],[Contenedor]]),"")</f>
        <v>FBIU5590090</v>
      </c>
      <c r="Q102" s="2" t="str">
        <f>IFERROR(IF(MARÍTIMOS[[#This Row],[Puerto de Retiro]]="","",MARÍTIMOS[[#This Row],[Puerto de Retiro]]),"")</f>
        <v>CALLAO</v>
      </c>
      <c r="R102" s="2" t="str">
        <f>IFERROR(IF(MARÍTIMOS[[#This Row],[Almacén de Retiro]]="","",MARÍTIMOS[[#This Row],[Almacén de Retiro]]),"")</f>
        <v>CONTRANS</v>
      </c>
      <c r="S102" s="11">
        <f>IFERROR(IF(MARÍTIMOS[[#This Row],[Etapa Retiro - Cita]]="","",MARÍTIMOS[[#This Row],[Etapa Retiro - Cita]]),"")</f>
        <v>46194.5</v>
      </c>
      <c r="T102" s="11">
        <f>IFERROR(IF(MARÍTIMOS[[#This Row],[Etapa Retiro - Llegada]]="","",MARÍTIMOS[[#This Row],[Etapa Retiro - Llegada]]),"")</f>
        <v>46194.564583333333</v>
      </c>
      <c r="U102" s="11">
        <f>IFERROR(IF(MARÍTIMOS[[#This Row],[Etapa Retiro - Ingreso]]="","",MARÍTIMOS[[#This Row],[Etapa Retiro - Ingreso]]),"")</f>
        <v>46194.569444444445</v>
      </c>
      <c r="V102" s="11">
        <f>IFERROR(IF(MARÍTIMOS[[#This Row],[Etapa Retiro - Atención]]="","",MARÍTIMOS[[#This Row],[Etapa Retiro - Atención]]),"")</f>
        <v>46194.638888888891</v>
      </c>
      <c r="W102" s="11">
        <f>IFERROR(IF(MARÍTIMOS[[#This Row],[Etapa Retiro - Salida]]="","",MARÍTIMOS[[#This Row],[Etapa Retiro - Salida]]),"")</f>
        <v>46194.647222222222</v>
      </c>
      <c r="X102" s="11">
        <f>IFERROR(IF(MARÍTIMOS[[#This Row],[Etapa Retiro - Inicio de Ruta]]="","",MARÍTIMOS[[#This Row],[Etapa Retiro - Inicio de Ruta]]),"")</f>
        <v>46194.763888888891</v>
      </c>
      <c r="Y102" s="11">
        <f>IFERROR(IF(MARÍTIMOS[[#This Row],[Hora de Posicionamiento]]="","",MARÍTIMOS[[#This Row],[Hora de Carga]]+MARÍTIMOS[[#This Row],[Hora de Posicionamiento]]),"")</f>
        <v>0.47916666666666669</v>
      </c>
      <c r="Z102" s="11">
        <f>IFERROR(IF(MARÍTIMOS[[#This Row],[Etapa Despacho -  Llegada]]="","",MARÍTIMOS[[#This Row],[Etapa Despacho -  Llegada]]),"")</f>
        <v>46195.540972222225</v>
      </c>
      <c r="AA102" s="11">
        <f>IFERROR(IF(MARÍTIMOS[[#This Row],[Etapa Despacho -  Registro]]="","",MARÍTIMOS[[#This Row],[Etapa Despacho -  Registro]]),"")</f>
        <v>46196.458333333336</v>
      </c>
      <c r="AB102" s="11">
        <f>IFERROR(IF(MARÍTIMOS[[#This Row],[Inspección Externa]]="","",MARÍTIMOS[[#This Row],[Inspección Externa]]),"")</f>
        <v>46195.541666666664</v>
      </c>
      <c r="AC102" s="11">
        <f>IFERROR(IF(MARÍTIMOS[[#This Row],[Etapa Despacho -  Inicio de Carga]]="","",MARÍTIMOS[[#This Row],[Etapa Despacho -  Inicio de Carga]]),"")</f>
        <v>46195.680555555555</v>
      </c>
      <c r="AD102" s="11">
        <f>IFERROR(IF(MARÍTIMOS[[#This Row],[Etapa Despacho -  Fin de Carga]]="","",MARÍTIMOS[[#This Row],[Etapa Despacho -  Fin de Carga]]),"")</f>
        <v>46195.736111111109</v>
      </c>
      <c r="AE102" s="11">
        <f>IFERROR(IF(MARÍTIMOS[[#This Row],[Etapa Despacho -  Salida]]="","",MARÍTIMOS[[#This Row],[Etapa Despacho -  Salida]]),"")</f>
        <v>46195.763194444444</v>
      </c>
      <c r="AF102" s="2" t="str">
        <f>IFERROR(IF(MARÍTIMOS[[#This Row],[Puerto de Embarque]]="","",MARÍTIMOS[[#This Row],[Puerto de Embarque]]),"")</f>
        <v>CALLAO</v>
      </c>
      <c r="AG102" s="2" t="str">
        <f>IFERROR(IF(MARÍTIMOS[[#This Row],[Almacén de Ingreso]]="","",MARÍTIMOS[[#This Row],[Almacén de Ingreso]]),"")</f>
        <v>DPW</v>
      </c>
      <c r="AH102" s="11">
        <f>IFERROR(IF(MARÍTIMOS[[#This Row],[Etapa Ingreso - Cita]]="","",MARÍTIMOS[[#This Row],[Etapa Ingreso - Cita]]),"")</f>
        <v>46196.416666666664</v>
      </c>
      <c r="AI102" s="11">
        <f>IFERROR(IF(MARÍTIMOS[[#This Row],[Etapa Ingreso - Llegada]]="","",MARÍTIMOS[[#This Row],[Etapa Ingreso - Llegada]]),"")</f>
        <v>46196.493055555555</v>
      </c>
      <c r="AJ102" s="11">
        <f>IFERROR(IF(MARÍTIMOS[[#This Row],[Etapa Ingreso - Ingeso]]="","",MARÍTIMOS[[#This Row],[Etapa Ingreso - Ingeso]]),"")</f>
        <v>46196.5</v>
      </c>
      <c r="AK102" s="11">
        <f>IFERROR(IF(MARÍTIMOS[[#This Row],[Etapa Ingreso - Atención]]="","",MARÍTIMOS[[#This Row],[Etapa Ingreso - Atención]]),"")</f>
        <v>46196.503472222219</v>
      </c>
      <c r="AL102" s="11">
        <f>IFERROR(IF(MARÍTIMOS[[#This Row],[Etapa Ingreso - Salida]]="","",MARÍTIMOS[[#This Row],[Etapa Ingreso - Salida]]),"")</f>
        <v>46196.507638888892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2" s="5">
        <f>IFERROR(OLDBD[[#This Row],[Llegada a packing]]-OLDBD[[#This Row],[Inicio de Ruta]],"")</f>
        <v>0.77708333333430346</v>
      </c>
      <c r="AQ102" s="6">
        <f>IFERROR(OLDBD[[#This Row],[Inicio de Ruta]]-OLDBD[[#This Row],[Salida de almacén de retiro]],"")</f>
        <v>0.11666666666860692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02" s="9">
        <f>IFERROR(OLDBD[[#This Row],[Ingreso Packing]]-OLDBD[[#This Row],[Registro en Packing]],"")</f>
        <v>-0.91666666667151731</v>
      </c>
      <c r="AV102" s="9">
        <f>IFERROR(OLDBD[[#This Row],[Ingreso Packing]]-OLDBD[[#This Row],[Llegada a packing]],"")</f>
        <v>6.9444443943211809E-4</v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2" s="5">
        <f>IFERROR(OLDBD[[#This Row],[Llegada Almacén de Ingreso]]-OLDBD[[#This Row],[Salida Packing]],"")</f>
        <v>0.72986111111094942</v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2" s="45" t="s">
        <v>181</v>
      </c>
      <c r="BB102" s="53" t="str">
        <f>IFERROR(IF(MARÍTIMOS[[#This Row],[Estatus]]="","",MARÍTIMOS[[#This Row],[Estatus]]),"")</f>
        <v>Confirmado</v>
      </c>
      <c r="BC102" s="45"/>
      <c r="BD102" s="52">
        <f>IFERROR(OLDBD[[#This Row],[Salida de almacén de retiro]]-OLDBD[[#This Row],[Ingreso Almacén de retiro]],"")</f>
        <v>7.7777777776645962E-2</v>
      </c>
      <c r="BE102" s="52">
        <f>IFERROR(OLDBD[[#This Row],[Fin de Carga]]-OLDBD[[#This Row],[Inicio de Carga]],"")</f>
        <v>5.5555555554747116E-2</v>
      </c>
    </row>
    <row r="103" spans="1:57" x14ac:dyDescent="0.35">
      <c r="A103" s="1"/>
      <c r="B103" s="1">
        <f>IFERROR(IF(MARÍTIMOS[[#This Row],[PP]]="","",MARÍTIMOS[[#This Row],[PP]]),"")</f>
        <v>25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RH-0070</v>
      </c>
      <c r="E103" s="1"/>
      <c r="F103" s="2" t="str">
        <f>IFERROR(IF(MARÍTIMOS[[#This Row],[Transportista]]="","",MARÍTIMOS[[#This Row],[Transportista]]),"")</f>
        <v>LIP</v>
      </c>
      <c r="G103" s="2" t="str">
        <f>IFERROR(IF(MARÍTIMOS[[#This Row],[Tercero]]="","",MARÍTIMOS[[#This Row],[Tercero]]),"")</f>
        <v>NO</v>
      </c>
      <c r="H103" s="2" t="str">
        <f>IFERROR(IF(MARÍTIMOS[[#This Row],[Razón Social]]="","",MARÍTIMOS[[#This Row],[Razón Social]]),"")</f>
        <v>LOGISTICA INTERMODAL DEL PERU S.A.C.</v>
      </c>
      <c r="I103" s="2">
        <f>IFERROR(IF(MARÍTIMOS[[#This Row],[RUC]]="","",MARÍTIMOS[[#This Row],[RUC]]),"")</f>
        <v>20513040718</v>
      </c>
      <c r="J103" s="2" t="str">
        <f>IFERROR(IF(MARÍTIMOS[[#This Row],[Placa Tracto]]="","",MARÍTIMOS[[#This Row],[Placa Tracto]]),"")</f>
        <v>BKI-808</v>
      </c>
      <c r="K103" s="2" t="str">
        <f>IFERROR(IF(MARÍTIMOS[[#This Row],[Placa Carreta]]="","",MARÍTIMOS[[#This Row],[Placa Carreta]]),"")</f>
        <v>BVZ-973</v>
      </c>
      <c r="L103" s="46" t="str">
        <f>IFERROR(IF(MARÍTIMOS[[#This Row],[Conductor]]="","",MARÍTIMOS[[#This Row],[Conductor]]),"")</f>
        <v>ARCHILA ZURITA NATANAEL DAVID</v>
      </c>
      <c r="M103" s="2" t="str">
        <f>IFERROR(IF(MARÍTIMOS[[#This Row],[Licencia]]="","",MARÍTIMOS[[#This Row],[Licencia]]),"")</f>
        <v>Q003949488</v>
      </c>
      <c r="N103" s="2" t="str">
        <f>IFERROR(IF(MARÍTIMOS[[#This Row],[Número de Contacto]]="","",MARÍTIMOS[[#This Row],[Número de Contacto]]),"")</f>
        <v/>
      </c>
      <c r="O103" s="10">
        <f>IFERROR(IF(MARÍTIMOS[[#This Row],[Booking|AWB|CRT]]="","",MARÍTIMOS[[#This Row],[Booking|AWB|CRT]]),"")</f>
        <v>6504934840</v>
      </c>
      <c r="P103" s="2" t="str">
        <f>IFERROR(IF(MARÍTIMOS[[#This Row],[Contenedor]]="","",MARÍTIMOS[[#This Row],[Contenedor]]),"")</f>
        <v>CAAU4046631</v>
      </c>
      <c r="Q103" s="2" t="str">
        <f>IFERROR(IF(MARÍTIMOS[[#This Row],[Puerto de Retiro]]="","",MARÍTIMOS[[#This Row],[Puerto de Retiro]]),"")</f>
        <v>CHANCAY</v>
      </c>
      <c r="R103" s="2" t="str">
        <f>IFERROR(IF(MARÍTIMOS[[#This Row],[Almacén de Retiro]]="","",MARÍTIMOS[[#This Row],[Almacén de Retiro]]),"")</f>
        <v>CSPCP</v>
      </c>
      <c r="S103" s="11">
        <f>IFERROR(IF(MARÍTIMOS[[#This Row],[Etapa Retiro - Cita]]="","",MARÍTIMOS[[#This Row],[Etapa Retiro - Cita]]),"")</f>
        <v>46194.625</v>
      </c>
      <c r="T103" s="11">
        <f>IFERROR(IF(MARÍTIMOS[[#This Row],[Etapa Retiro - Llegada]]="","",MARÍTIMOS[[#This Row],[Etapa Retiro - Llegada]]),"")</f>
        <v>46194.681944444441</v>
      </c>
      <c r="U103" s="11">
        <f>IFERROR(IF(MARÍTIMOS[[#This Row],[Etapa Retiro - Ingreso]]="","",MARÍTIMOS[[#This Row],[Etapa Retiro - Ingreso]]),"")</f>
        <v>46194.694444444445</v>
      </c>
      <c r="V103" s="11">
        <f>IFERROR(IF(MARÍTIMOS[[#This Row],[Etapa Retiro - Atención]]="","",MARÍTIMOS[[#This Row],[Etapa Retiro - Atención]]),"")</f>
        <v>46194.75</v>
      </c>
      <c r="W103" s="11">
        <f>IFERROR(IF(MARÍTIMOS[[#This Row],[Etapa Retiro - Salida]]="","",MARÍTIMOS[[#This Row],[Etapa Retiro - Salida]]),"")</f>
        <v>46194.775000000001</v>
      </c>
      <c r="X103" s="11">
        <f>IFERROR(IF(MARÍTIMOS[[#This Row],[Etapa Retiro - Inicio de Ruta]]="","",MARÍTIMOS[[#This Row],[Etapa Retiro - Inicio de Ruta]]),"")</f>
        <v>46194.784722222219</v>
      </c>
      <c r="Y103" s="11">
        <f>IFERROR(IF(MARÍTIMOS[[#This Row],[Hora de Posicionamiento]]="","",MARÍTIMOS[[#This Row],[Hora de Carga]]+MARÍTIMOS[[#This Row],[Hora de Posicionamiento]]),"")</f>
        <v>0.60416666666666663</v>
      </c>
      <c r="Z103" s="11">
        <f>IFERROR(IF(MARÍTIMOS[[#This Row],[Etapa Despacho -  Llegada]]="","",MARÍTIMOS[[#This Row],[Etapa Despacho -  Llegada]]),"")</f>
        <v>46195.45416666667</v>
      </c>
      <c r="AA103" s="11">
        <f>IFERROR(IF(MARÍTIMOS[[#This Row],[Etapa Despacho -  Registro]]="","",MARÍTIMOS[[#This Row],[Etapa Despacho -  Registro]]),"")</f>
        <v>46196.125</v>
      </c>
      <c r="AB103" s="11">
        <f>IFERROR(IF(MARÍTIMOS[[#This Row],[Inspección Externa]]="","",MARÍTIMOS[[#This Row],[Inspección Externa]]),"")</f>
        <v>46195.5625</v>
      </c>
      <c r="AC103" s="11">
        <f>IFERROR(IF(MARÍTIMOS[[#This Row],[Etapa Despacho -  Inicio de Carga]]="","",MARÍTIMOS[[#This Row],[Etapa Despacho -  Inicio de Carga]]),"")</f>
        <v>46195.569444444445</v>
      </c>
      <c r="AD103" s="11">
        <f>IFERROR(IF(MARÍTIMOS[[#This Row],[Etapa Despacho -  Fin de Carga]]="","",MARÍTIMOS[[#This Row],[Etapa Despacho -  Fin de Carga]]),"")</f>
        <v>46195.659722222219</v>
      </c>
      <c r="AE103" s="11">
        <f>IFERROR(IF(MARÍTIMOS[[#This Row],[Etapa Despacho -  Salida]]="","",MARÍTIMOS[[#This Row],[Etapa Despacho -  Salida]]),"")</f>
        <v>46195.690972222219</v>
      </c>
      <c r="AF103" s="2" t="str">
        <f>IFERROR(IF(MARÍTIMOS[[#This Row],[Puerto de Embarque]]="","",MARÍTIMOS[[#This Row],[Puerto de Embarque]]),"")</f>
        <v>CHANCAY</v>
      </c>
      <c r="AG103" s="2" t="str">
        <f>IFERROR(IF(MARÍTIMOS[[#This Row],[Almacén de Ingreso]]="","",MARÍTIMOS[[#This Row],[Almacén de Ingreso]]),"")</f>
        <v>CSPCP</v>
      </c>
      <c r="AH103" s="11">
        <f>IFERROR(IF(MARÍTIMOS[[#This Row],[Etapa Ingreso - Cita]]="","",MARÍTIMOS[[#This Row],[Etapa Ingreso - Cita]]),"")</f>
        <v>46196.083333333336</v>
      </c>
      <c r="AI103" s="11">
        <f>IFERROR(IF(MARÍTIMOS[[#This Row],[Etapa Ingreso - Llegada]]="","",MARÍTIMOS[[#This Row],[Etapa Ingreso - Llegada]]),"")</f>
        <v>46196.107638888891</v>
      </c>
      <c r="AJ103" s="11">
        <f>IFERROR(IF(MARÍTIMOS[[#This Row],[Etapa Ingreso - Ingeso]]="","",MARÍTIMOS[[#This Row],[Etapa Ingreso - Ingeso]]),"")</f>
        <v>46196.083333333336</v>
      </c>
      <c r="AK103" s="11">
        <f>IFERROR(IF(MARÍTIMOS[[#This Row],[Etapa Ingreso - Atención]]="","",MARÍTIMOS[[#This Row],[Etapa Ingreso - Atención]]),"")</f>
        <v>46196.708333333336</v>
      </c>
      <c r="AL103" s="11">
        <f>IFERROR(IF(MARÍTIMOS[[#This Row],[Etapa Ingreso - Salida]]="","",MARÍTIMOS[[#This Row],[Etapa Ingreso - Salida]]),"")</f>
        <v>46196.731944444444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3" s="5">
        <f>IFERROR(OLDBD[[#This Row],[Llegada a packing]]-OLDBD[[#This Row],[Inicio de Ruta]],"")</f>
        <v>0.66944444445107365</v>
      </c>
      <c r="AQ103" s="6">
        <f>IFERROR(OLDBD[[#This Row],[Inicio de Ruta]]-OLDBD[[#This Row],[Salida de almacén de retiro]],"")</f>
        <v>9.7222222175332718E-3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3" s="9">
        <f>IFERROR(OLDBD[[#This Row],[Ingreso Packing]]-OLDBD[[#This Row],[Registro en Packing]],"")</f>
        <v>-0.5625</v>
      </c>
      <c r="AV103" s="9">
        <f>IFERROR(OLDBD[[#This Row],[Ingreso Packing]]-OLDBD[[#This Row],[Llegada a packing]],"")</f>
        <v>0.10833333332993789</v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3" s="5">
        <f>IFERROR(OLDBD[[#This Row],[Llegada Almacén de Ingreso]]-OLDBD[[#This Row],[Salida Packing]],"")</f>
        <v>0.41666666667151731</v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3" s="45" t="s">
        <v>181</v>
      </c>
      <c r="BB103" s="53" t="str">
        <f>IFERROR(IF(MARÍTIMOS[[#This Row],[Estatus]]="","",MARÍTIMOS[[#This Row],[Estatus]]),"")</f>
        <v>Confirmado</v>
      </c>
      <c r="BC103" s="45"/>
      <c r="BD103" s="52">
        <f>IFERROR(OLDBD[[#This Row],[Salida de almacén de retiro]]-OLDBD[[#This Row],[Ingreso Almacén de retiro]],"")</f>
        <v>8.0555555556202307E-2</v>
      </c>
      <c r="BE103" s="52">
        <f>IFERROR(OLDBD[[#This Row],[Fin de Carga]]-OLDBD[[#This Row],[Inicio de Carga]],"")</f>
        <v>9.0277777773735579E-2</v>
      </c>
    </row>
    <row r="104" spans="1:57" x14ac:dyDescent="0.35">
      <c r="A104" s="1"/>
      <c r="B104" s="1">
        <f>IFERROR(IF(MARÍTIMOS[[#This Row],[PP]]="","",MARÍTIMOS[[#This Row],[PP]]),"")</f>
        <v>25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RH-0081</v>
      </c>
      <c r="E104" s="1"/>
      <c r="F104" s="2" t="str">
        <f>IFERROR(IF(MARÍTIMOS[[#This Row],[Transportista]]="","",MARÍTIMOS[[#This Row],[Transportista]]),"")</f>
        <v>LIP</v>
      </c>
      <c r="G104" s="2" t="str">
        <f>IFERROR(IF(MARÍTIMOS[[#This Row],[Tercero]]="","",MARÍTIMOS[[#This Row],[Tercero]]),"")</f>
        <v>NO</v>
      </c>
      <c r="H104" s="2" t="str">
        <f>IFERROR(IF(MARÍTIMOS[[#This Row],[Razón Social]]="","",MARÍTIMOS[[#This Row],[Razón Social]]),"")</f>
        <v>LOGISTICA INTERMODAL DEL PERU S.A.C.</v>
      </c>
      <c r="I104" s="2">
        <f>IFERROR(IF(MARÍTIMOS[[#This Row],[RUC]]="","",MARÍTIMOS[[#This Row],[RUC]]),"")</f>
        <v>20513040718</v>
      </c>
      <c r="J104" s="2" t="str">
        <f>IFERROR(IF(MARÍTIMOS[[#This Row],[Placa Tracto]]="","",MARÍTIMOS[[#This Row],[Placa Tracto]]),"")</f>
        <v>BFQ-878</v>
      </c>
      <c r="K104" s="2" t="str">
        <f>IFERROR(IF(MARÍTIMOS[[#This Row],[Placa Carreta]]="","",MARÍTIMOS[[#This Row],[Placa Carreta]]),"")</f>
        <v>AUY-988</v>
      </c>
      <c r="L104" s="46" t="str">
        <f>IFERROR(IF(MARÍTIMOS[[#This Row],[Conductor]]="","",MARÍTIMOS[[#This Row],[Conductor]]),"")</f>
        <v>AHUANARI PEREIRA LUIS ALBERTO</v>
      </c>
      <c r="M104" s="2" t="str">
        <f>IFERROR(IF(MARÍTIMOS[[#This Row],[Licencia]]="","",MARÍTIMOS[[#This Row],[Licencia]]),"")</f>
        <v>Q25701786</v>
      </c>
      <c r="N104" s="2" t="str">
        <f>IFERROR(IF(MARÍTIMOS[[#This Row],[Número de Contacto]]="","",MARÍTIMOS[[#This Row],[Número de Contacto]]),"")</f>
        <v/>
      </c>
      <c r="O104" s="10">
        <f>IFERROR(IF(MARÍTIMOS[[#This Row],[Booking|AWB|CRT]]="","",MARÍTIMOS[[#This Row],[Booking|AWB|CRT]]),"")</f>
        <v>751600033652</v>
      </c>
      <c r="P104" s="2" t="str">
        <f>IFERROR(IF(MARÍTIMOS[[#This Row],[Contenedor]]="","",MARÍTIMOS[[#This Row],[Contenedor]]),"")</f>
        <v>EMCU5676211</v>
      </c>
      <c r="Q104" s="2" t="str">
        <f>IFERROR(IF(MARÍTIMOS[[#This Row],[Puerto de Retiro]]="","",MARÍTIMOS[[#This Row],[Puerto de Retiro]]),"")</f>
        <v>CALLAO</v>
      </c>
      <c r="R104" s="2" t="str">
        <f>IFERROR(IF(MARÍTIMOS[[#This Row],[Almacén de Retiro]]="","",MARÍTIMOS[[#This Row],[Almacén de Retiro]]),"")</f>
        <v>TPP</v>
      </c>
      <c r="S104" s="11">
        <f>IFERROR(IF(MARÍTIMOS[[#This Row],[Etapa Retiro - Cita]]="","",MARÍTIMOS[[#This Row],[Etapa Retiro - Cita]]),"")</f>
        <v>46192.583333333336</v>
      </c>
      <c r="T104" s="11">
        <f>IFERROR(IF(MARÍTIMOS[[#This Row],[Etapa Retiro - Llegada]]="","",MARÍTIMOS[[#This Row],[Etapa Retiro - Llegada]]),"")</f>
        <v>46192.601388888892</v>
      </c>
      <c r="U104" s="11">
        <f>IFERROR(IF(MARÍTIMOS[[#This Row],[Etapa Retiro - Ingreso]]="","",MARÍTIMOS[[#This Row],[Etapa Retiro - Ingreso]]),"")</f>
        <v>46192.625</v>
      </c>
      <c r="V104" s="11">
        <f>IFERROR(IF(MARÍTIMOS[[#This Row],[Etapa Retiro - Atención]]="","",MARÍTIMOS[[#This Row],[Etapa Retiro - Atención]]),"")</f>
        <v>46192.680555555555</v>
      </c>
      <c r="W104" s="11">
        <f>IFERROR(IF(MARÍTIMOS[[#This Row],[Etapa Retiro - Salida]]="","",MARÍTIMOS[[#This Row],[Etapa Retiro - Salida]]),"")</f>
        <v>46192.700694444444</v>
      </c>
      <c r="X104" s="11">
        <f>IFERROR(IF(MARÍTIMOS[[#This Row],[Etapa Retiro - Inicio de Ruta]]="","",MARÍTIMOS[[#This Row],[Etapa Retiro - Inicio de Ruta]]),"")</f>
        <v>46192.722222222219</v>
      </c>
      <c r="Y104" s="11">
        <f>IFERROR(IF(MARÍTIMOS[[#This Row],[Hora de Posicionamiento]]="","",MARÍTIMOS[[#This Row],[Hora de Carga]]+MARÍTIMOS[[#This Row],[Hora de Posicionamiento]]),"")</f>
        <v>0.64583333333333337</v>
      </c>
      <c r="Z104" s="11">
        <f>IFERROR(IF(MARÍTIMOS[[#This Row],[Etapa Despacho -  Llegada]]="","",MARÍTIMOS[[#This Row],[Etapa Despacho -  Llegada]]),"")</f>
        <v>46193.541666666664</v>
      </c>
      <c r="AA104" s="11">
        <f>IFERROR(IF(MARÍTIMOS[[#This Row],[Etapa Despacho -  Registro]]="","",MARÍTIMOS[[#This Row],[Etapa Despacho -  Registro]]),"")</f>
        <v>46194.4375</v>
      </c>
      <c r="AB104" s="11">
        <f>IFERROR(IF(MARÍTIMOS[[#This Row],[Inspección Externa]]="","",MARÍTIMOS[[#This Row],[Inspección Externa]]),"")</f>
        <v>46193.555555555555</v>
      </c>
      <c r="AC104" s="11">
        <f>IFERROR(IF(MARÍTIMOS[[#This Row],[Etapa Despacho -  Inicio de Carga]]="","",MARÍTIMOS[[#This Row],[Etapa Despacho -  Inicio de Carga]]),"")</f>
        <v>46193.569444444445</v>
      </c>
      <c r="AD104" s="11">
        <f>IFERROR(IF(MARÍTIMOS[[#This Row],[Etapa Despacho -  Fin de Carga]]="","",MARÍTIMOS[[#This Row],[Etapa Despacho -  Fin de Carga]]),"")</f>
        <v>46193.777777777781</v>
      </c>
      <c r="AE104" s="11">
        <f>IFERROR(IF(MARÍTIMOS[[#This Row],[Etapa Despacho -  Salida]]="","",MARÍTIMOS[[#This Row],[Etapa Despacho -  Salida]]),"")</f>
        <v>46193.793055555558</v>
      </c>
      <c r="AF104" s="2" t="str">
        <f>IFERROR(IF(MARÍTIMOS[[#This Row],[Puerto de Embarque]]="","",MARÍTIMOS[[#This Row],[Puerto de Embarque]]),"")</f>
        <v>CALLAO</v>
      </c>
      <c r="AG104" s="2" t="str">
        <f>IFERROR(IF(MARÍTIMOS[[#This Row],[Almacén de Ingreso]]="","",MARÍTIMOS[[#This Row],[Almacén de Ingreso]]),"")</f>
        <v>DPW</v>
      </c>
      <c r="AH104" s="11">
        <f>IFERROR(IF(MARÍTIMOS[[#This Row],[Etapa Ingreso - Cita]]="","",MARÍTIMOS[[#This Row],[Etapa Ingreso - Cita]]),"")</f>
        <v>46194.375</v>
      </c>
      <c r="AI104" s="11">
        <f>IFERROR(IF(MARÍTIMOS[[#This Row],[Etapa Ingreso - Llegada]]="","",MARÍTIMOS[[#This Row],[Etapa Ingreso - Llegada]]),"")</f>
        <v>46194.416666666664</v>
      </c>
      <c r="AJ104" s="11">
        <f>IFERROR(IF(MARÍTIMOS[[#This Row],[Etapa Ingreso - Ingeso]]="","",MARÍTIMOS[[#This Row],[Etapa Ingreso - Ingeso]]),"")</f>
        <v>46194.488888888889</v>
      </c>
      <c r="AK104" s="11">
        <f>IFERROR(IF(MARÍTIMOS[[#This Row],[Etapa Ingreso - Atención]]="","",MARÍTIMOS[[#This Row],[Etapa Ingreso - Atención]]),"")</f>
        <v>46194.5</v>
      </c>
      <c r="AL104" s="11">
        <f>IFERROR(IF(MARÍTIMOS[[#This Row],[Etapa Ingreso - Salida]]="","",MARÍTIMOS[[#This Row],[Etapa Ingreso - Salida]]),"")</f>
        <v>46194.509027777778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4" s="5">
        <f>IFERROR(OLDBD[[#This Row],[Llegada a packing]]-OLDBD[[#This Row],[Inicio de Ruta]],"")</f>
        <v>0.81944444444525288</v>
      </c>
      <c r="AQ104" s="6">
        <f>IFERROR(OLDBD[[#This Row],[Inicio de Ruta]]-OLDBD[[#This Row],[Salida de almacén de retiro]],"")</f>
        <v>2.1527777775190771E-2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4" s="9">
        <f>IFERROR(OLDBD[[#This Row],[Ingreso Packing]]-OLDBD[[#This Row],[Registro en Packing]],"")</f>
        <v>-0.88194444444525288</v>
      </c>
      <c r="AV104" s="9">
        <f>IFERROR(OLDBD[[#This Row],[Ingreso Packing]]-OLDBD[[#This Row],[Llegada a packing]],"")</f>
        <v>1.3888888890505768E-2</v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4" s="5">
        <f>IFERROR(OLDBD[[#This Row],[Llegada Almacén de Ingreso]]-OLDBD[[#This Row],[Salida Packing]],"")</f>
        <v>0.62361111110658385</v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4" s="45" t="s">
        <v>181</v>
      </c>
      <c r="BB104" s="53" t="str">
        <f>IFERROR(IF(MARÍTIMOS[[#This Row],[Estatus]]="","",MARÍTIMOS[[#This Row],[Estatus]]),"")</f>
        <v>Confirmado</v>
      </c>
      <c r="BC104" s="45"/>
      <c r="BD104" s="52">
        <f>IFERROR(OLDBD[[#This Row],[Salida de almacén de retiro]]-OLDBD[[#This Row],[Ingreso Almacén de retiro]],"")</f>
        <v>7.5694444443797693E-2</v>
      </c>
      <c r="BE104" s="52">
        <f>IFERROR(OLDBD[[#This Row],[Fin de Carga]]-OLDBD[[#This Row],[Inicio de Carga]],"")</f>
        <v>0.20833333333575865</v>
      </c>
    </row>
    <row r="105" spans="1:57" x14ac:dyDescent="0.35">
      <c r="A105" s="1"/>
      <c r="B105" s="1">
        <f>IFERROR(IF(MARÍTIMOS[[#This Row],[PP]]="","",MARÍTIMOS[[#This Row],[PP]]),"")</f>
        <v>26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RH-0086</v>
      </c>
      <c r="E105" s="1"/>
      <c r="F105" s="2" t="str">
        <f>IFERROR(IF(MARÍTIMOS[[#This Row],[Transportista]]="","",MARÍTIMOS[[#This Row],[Transportista]]),"")</f>
        <v>LIP</v>
      </c>
      <c r="G105" s="2" t="str">
        <f>IFERROR(IF(MARÍTIMOS[[#This Row],[Tercero]]="","",MARÍTIMOS[[#This Row],[Tercero]]),"")</f>
        <v>SI</v>
      </c>
      <c r="H105" s="2" t="str">
        <f>IFERROR(IF(MARÍTIMOS[[#This Row],[Razón Social]]="","",MARÍTIMOS[[#This Row],[Razón Social]]),"")</f>
        <v xml:space="preserve">TGD SERVICIOS S.A.C.
</v>
      </c>
      <c r="I105" s="2">
        <f>IFERROR(IF(MARÍTIMOS[[#This Row],[RUC]]="","",MARÍTIMOS[[#This Row],[RUC]]),"")</f>
        <v>20614404460</v>
      </c>
      <c r="J105" s="2" t="str">
        <f>IFERROR(IF(MARÍTIMOS[[#This Row],[Placa Tracto]]="","",MARÍTIMOS[[#This Row],[Placa Tracto]]),"")</f>
        <v>ASG-909</v>
      </c>
      <c r="K105" s="2" t="str">
        <f>IFERROR(IF(MARÍTIMOS[[#This Row],[Placa Carreta]]="","",MARÍTIMOS[[#This Row],[Placa Carreta]]),"")</f>
        <v>BES-976</v>
      </c>
      <c r="L105" s="46" t="str">
        <f>IFERROR(IF(MARÍTIMOS[[#This Row],[Conductor]]="","",MARÍTIMOS[[#This Row],[Conductor]]),"")</f>
        <v>QUISPE CHIROQUE MAXIMO</v>
      </c>
      <c r="M105" s="2" t="str">
        <f>IFERROR(IF(MARÍTIMOS[[#This Row],[Licencia]]="","",MARÍTIMOS[[#This Row],[Licencia]]),"")</f>
        <v>F25438671</v>
      </c>
      <c r="N105" s="2" t="str">
        <f>IFERROR(IF(MARÍTIMOS[[#This Row],[Número de Contacto]]="","",MARÍTIMOS[[#This Row],[Número de Contacto]]),"")</f>
        <v/>
      </c>
      <c r="O105" s="10" t="str">
        <f>IFERROR(IF(MARÍTIMOS[[#This Row],[Booking|AWB|CRT]]="","",MARÍTIMOS[[#This Row],[Booking|AWB|CRT]]),"")</f>
        <v>LIM600226800</v>
      </c>
      <c r="P105" s="2" t="str">
        <f>IFERROR(IF(MARÍTIMOS[[#This Row],[Contenedor]]="","",MARÍTIMOS[[#This Row],[Contenedor]]),"")</f>
        <v>CAAU4072097</v>
      </c>
      <c r="Q105" s="2" t="str">
        <f>IFERROR(IF(MARÍTIMOS[[#This Row],[Puerto de Retiro]]="","",MARÍTIMOS[[#This Row],[Puerto de Retiro]]),"")</f>
        <v>CALLAO</v>
      </c>
      <c r="R105" s="2" t="str">
        <f>IFERROR(IF(MARÍTIMOS[[#This Row],[Almacén de Retiro]]="","",MARÍTIMOS[[#This Row],[Almacén de Retiro]]),"")</f>
        <v>CONTRANS</v>
      </c>
      <c r="S105" s="11">
        <f>IFERROR(IF(MARÍTIMOS[[#This Row],[Etapa Retiro - Cita]]="","",MARÍTIMOS[[#This Row],[Etapa Retiro - Cita]]),"")</f>
        <v>46199.625</v>
      </c>
      <c r="T105" s="11">
        <f>IFERROR(IF(MARÍTIMOS[[#This Row],[Etapa Retiro - Llegada]]="","",MARÍTIMOS[[#This Row],[Etapa Retiro - Llegada]]),"")</f>
        <v>46199.645833333336</v>
      </c>
      <c r="U105" s="11">
        <f>IFERROR(IF(MARÍTIMOS[[#This Row],[Etapa Retiro - Ingreso]]="","",MARÍTIMOS[[#This Row],[Etapa Retiro - Ingreso]]),"")</f>
        <v>46199.727083333331</v>
      </c>
      <c r="V105" s="11">
        <f>IFERROR(IF(MARÍTIMOS[[#This Row],[Etapa Retiro - Atención]]="","",MARÍTIMOS[[#This Row],[Etapa Retiro - Atención]]),"")</f>
        <v>46199.708333333336</v>
      </c>
      <c r="W105" s="11">
        <f>IFERROR(IF(MARÍTIMOS[[#This Row],[Etapa Retiro - Salida]]="","",MARÍTIMOS[[#This Row],[Etapa Retiro - Salida]]),"")</f>
        <v>46199.727083333331</v>
      </c>
      <c r="X105" s="11">
        <f>IFERROR(IF(MARÍTIMOS[[#This Row],[Etapa Retiro - Inicio de Ruta]]="","",MARÍTIMOS[[#This Row],[Etapa Retiro - Inicio de Ruta]]),"")</f>
        <v>46199.796527777777</v>
      </c>
      <c r="Y105" s="11">
        <f>IFERROR(IF(MARÍTIMOS[[#This Row],[Hora de Posicionamiento]]="","",MARÍTIMOS[[#This Row],[Hora de Carga]]+MARÍTIMOS[[#This Row],[Hora de Posicionamiento]]),"")</f>
        <v>0.5625</v>
      </c>
      <c r="Z105" s="11">
        <f>IFERROR(IF(MARÍTIMOS[[#This Row],[Etapa Despacho -  Llegada]]="","",MARÍTIMOS[[#This Row],[Etapa Despacho -  Llegada]]),"")</f>
        <v>46200.458333333336</v>
      </c>
      <c r="AA105" s="11">
        <f>IFERROR(IF(MARÍTIMOS[[#This Row],[Etapa Despacho -  Registro]]="","",MARÍTIMOS[[#This Row],[Etapa Despacho -  Registro]]),"")</f>
        <v>46199.652777777781</v>
      </c>
      <c r="AB105" s="11">
        <f>IFERROR(IF(MARÍTIMOS[[#This Row],[Inspección Externa]]="","",MARÍTIMOS[[#This Row],[Inspección Externa]]),"")</f>
        <v>46200.479861111111</v>
      </c>
      <c r="AC105" s="11">
        <f>IFERROR(IF(MARÍTIMOS[[#This Row],[Etapa Despacho -  Inicio de Carga]]="","",MARÍTIMOS[[#This Row],[Etapa Despacho -  Inicio de Carga]]),"")</f>
        <v>46200.458333333336</v>
      </c>
      <c r="AD105" s="11">
        <f>IFERROR(IF(MARÍTIMOS[[#This Row],[Etapa Despacho -  Fin de Carga]]="","",MARÍTIMOS[[#This Row],[Etapa Despacho -  Fin de Carga]]),"")</f>
        <v>46200.75</v>
      </c>
      <c r="AE105" s="11">
        <f>IFERROR(IF(MARÍTIMOS[[#This Row],[Etapa Despacho -  Salida]]="","",MARÍTIMOS[[#This Row],[Etapa Despacho -  Salida]]),"")</f>
        <v>46200.767361111109</v>
      </c>
      <c r="AF105" s="2" t="str">
        <f>IFERROR(IF(MARÍTIMOS[[#This Row],[Puerto de Embarque]]="","",MARÍTIMOS[[#This Row],[Puerto de Embarque]]),"")</f>
        <v>CALLAO</v>
      </c>
      <c r="AG105" s="2" t="str">
        <f>IFERROR(IF(MARÍTIMOS[[#This Row],[Almacén de Ingreso]]="","",MARÍTIMOS[[#This Row],[Almacén de Ingreso]]),"")</f>
        <v>CONTRANS</v>
      </c>
      <c r="AH105" s="11">
        <f>IFERROR(IF(MARÍTIMOS[[#This Row],[Etapa Ingreso - Cita]]="","",MARÍTIMOS[[#This Row],[Etapa Ingreso - Cita]]),"")</f>
        <v>46199.625</v>
      </c>
      <c r="AI105" s="11">
        <f>IFERROR(IF(MARÍTIMOS[[#This Row],[Etapa Ingreso - Llegada]]="","",MARÍTIMOS[[#This Row],[Etapa Ingreso - Llegada]]),"")</f>
        <v>46199.645833333336</v>
      </c>
      <c r="AJ105" s="11">
        <f>IFERROR(IF(MARÍTIMOS[[#This Row],[Etapa Ingreso - Ingeso]]="","",MARÍTIMOS[[#This Row],[Etapa Ingreso - Ingeso]]),"")</f>
        <v>46199.666666666664</v>
      </c>
      <c r="AK105" s="11">
        <f>IFERROR(IF(MARÍTIMOS[[#This Row],[Etapa Ingreso - Atención]]="","",MARÍTIMOS[[#This Row],[Etapa Ingreso - Atención]]),"")</f>
        <v>46199.680555555555</v>
      </c>
      <c r="AL105" s="11">
        <f>IFERROR(IF(MARÍTIMOS[[#This Row],[Etapa Ingreso - Salida]]="","",MARÍTIMOS[[#This Row],[Etapa Ingreso - Salida]]),"")</f>
        <v>46199.727083333331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>
        <f>IFERROR(OLDBD[[#This Row],[Llegada a packing]]-OLDBD[[#This Row],[Inicio de Ruta]],"")</f>
        <v>0.66180555555911269</v>
      </c>
      <c r="AQ105" s="6">
        <f>IFERROR(OLDBD[[#This Row],[Inicio de Ruta]]-OLDBD[[#This Row],[Salida de almacén de retiro]],"")</f>
        <v>6.9444444445252884E-2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5" s="9">
        <f>IFERROR(OLDBD[[#This Row],[Ingreso Packing]]-OLDBD[[#This Row],[Registro en Packing]],"")</f>
        <v>0.82708333332993789</v>
      </c>
      <c r="AV105" s="9">
        <f>IFERROR(OLDBD[[#This Row],[Ingreso Packing]]-OLDBD[[#This Row],[Llegada a packing]],"")</f>
        <v>2.1527777775190771E-2</v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5" s="5">
        <f>IFERROR(OLDBD[[#This Row],[Llegada Almacén de Ingreso]]-OLDBD[[#This Row],[Salida Packing]],"")</f>
        <v>-1.1215277777737356</v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5" s="45" t="s">
        <v>181</v>
      </c>
      <c r="BB105" s="53" t="str">
        <f>IFERROR(IF(MARÍTIMOS[[#This Row],[Estatus]]="","",MARÍTIMOS[[#This Row],[Estatus]]),"")</f>
        <v>Confirmado</v>
      </c>
      <c r="BC105" s="45"/>
      <c r="BD105" s="52">
        <f>IFERROR(OLDBD[[#This Row],[Salida de almacén de retiro]]-OLDBD[[#This Row],[Ingreso Almacén de retiro]],"")</f>
        <v>0</v>
      </c>
      <c r="BE105" s="52">
        <f>IFERROR(OLDBD[[#This Row],[Fin de Carga]]-OLDBD[[#This Row],[Inicio de Carga]],"")</f>
        <v>0.29166666666424135</v>
      </c>
    </row>
    <row r="106" spans="1:57" x14ac:dyDescent="0.35">
      <c r="A106" s="1"/>
      <c r="B106" s="1">
        <f>IFERROR(IF(MARÍTIMOS[[#This Row],[PP]]="","",MARÍTIMOS[[#This Row],[PP]]),"")</f>
        <v>26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RH-0087</v>
      </c>
      <c r="E106" s="1"/>
      <c r="F106" s="2" t="str">
        <f>IFERROR(IF(MARÍTIMOS[[#This Row],[Transportista]]="","",MARÍTIMOS[[#This Row],[Transportista]]),"")</f>
        <v>LIP</v>
      </c>
      <c r="G106" s="2" t="str">
        <f>IFERROR(IF(MARÍTIMOS[[#This Row],[Tercero]]="","",MARÍTIMOS[[#This Row],[Tercero]]),"")</f>
        <v>NO</v>
      </c>
      <c r="H106" s="2" t="str">
        <f>IFERROR(IF(MARÍTIMOS[[#This Row],[Razón Social]]="","",MARÍTIMOS[[#This Row],[Razón Social]]),"")</f>
        <v>LOGISTICA INTERMODAL DEL PERU S.A.C.</v>
      </c>
      <c r="I106" s="2">
        <f>IFERROR(IF(MARÍTIMOS[[#This Row],[RUC]]="","",MARÍTIMOS[[#This Row],[RUC]]),"")</f>
        <v>20513040718</v>
      </c>
      <c r="J106" s="2" t="str">
        <f>IFERROR(IF(MARÍTIMOS[[#This Row],[Placa Tracto]]="","",MARÍTIMOS[[#This Row],[Placa Tracto]]),"")</f>
        <v>AZH-888</v>
      </c>
      <c r="K106" s="2" t="str">
        <f>IFERROR(IF(MARÍTIMOS[[#This Row],[Placa Carreta]]="","",MARÍTIMOS[[#This Row],[Placa Carreta]]),"")</f>
        <v>ALL-988</v>
      </c>
      <c r="L106" s="46" t="str">
        <f>IFERROR(IF(MARÍTIMOS[[#This Row],[Conductor]]="","",MARÍTIMOS[[#This Row],[Conductor]]),"")</f>
        <v>CANCHARI ROSALES DAVID MARCOS</v>
      </c>
      <c r="M106" s="2" t="str">
        <f>IFERROR(IF(MARÍTIMOS[[#This Row],[Licencia]]="","",MARÍTIMOS[[#This Row],[Licencia]]),"")</f>
        <v>Q09911196</v>
      </c>
      <c r="N106" s="2" t="str">
        <f>IFERROR(IF(MARÍTIMOS[[#This Row],[Número de Contacto]]="","",MARÍTIMOS[[#This Row],[Número de Contacto]]),"")</f>
        <v/>
      </c>
      <c r="O106" s="10" t="str">
        <f>IFERROR(IF(MARÍTIMOS[[#This Row],[Booking|AWB|CRT]]="","",MARÍTIMOS[[#This Row],[Booking|AWB|CRT]]),"")</f>
        <v>LIM600226900</v>
      </c>
      <c r="P106" s="2" t="str">
        <f>IFERROR(IF(MARÍTIMOS[[#This Row],[Contenedor]]="","",MARÍTIMOS[[#This Row],[Contenedor]]),"")</f>
        <v>FBIU5334483</v>
      </c>
      <c r="Q106" s="2" t="str">
        <f>IFERROR(IF(MARÍTIMOS[[#This Row],[Puerto de Retiro]]="","",MARÍTIMOS[[#This Row],[Puerto de Retiro]]),"")</f>
        <v>CHANCAY</v>
      </c>
      <c r="R106" s="2" t="str">
        <f>IFERROR(IF(MARÍTIMOS[[#This Row],[Almacén de Retiro]]="","",MARÍTIMOS[[#This Row],[Almacén de Retiro]]),"")</f>
        <v>CONTRANS</v>
      </c>
      <c r="S106" s="11">
        <f>IFERROR(IF(MARÍTIMOS[[#This Row],[Etapa Retiro - Cita]]="","",MARÍTIMOS[[#This Row],[Etapa Retiro - Cita]]),"")</f>
        <v>46199.541666666664</v>
      </c>
      <c r="T106" s="11">
        <f>IFERROR(IF(MARÍTIMOS[[#This Row],[Etapa Retiro - Llegada]]="","",MARÍTIMOS[[#This Row],[Etapa Retiro - Llegada]]),"")</f>
        <v>46199.556250000001</v>
      </c>
      <c r="U106" s="11">
        <f>IFERROR(IF(MARÍTIMOS[[#This Row],[Etapa Retiro - Ingreso]]="","",MARÍTIMOS[[#This Row],[Etapa Retiro - Ingreso]]),"")</f>
        <v>46199.633333333331</v>
      </c>
      <c r="V106" s="11">
        <f>IFERROR(IF(MARÍTIMOS[[#This Row],[Etapa Retiro - Atención]]="","",MARÍTIMOS[[#This Row],[Etapa Retiro - Atención]]),"")</f>
        <v>46199.625</v>
      </c>
      <c r="W106" s="11">
        <f>IFERROR(IF(MARÍTIMOS[[#This Row],[Etapa Retiro - Salida]]="","",MARÍTIMOS[[#This Row],[Etapa Retiro - Salida]]),"")</f>
        <v>46199.633333333331</v>
      </c>
      <c r="X106" s="11">
        <f>IFERROR(IF(MARÍTIMOS[[#This Row],[Etapa Retiro - Inicio de Ruta]]="","",MARÍTIMOS[[#This Row],[Etapa Retiro - Inicio de Ruta]]),"")</f>
        <v>46199.833333333336</v>
      </c>
      <c r="Y106" s="11">
        <f>IFERROR(IF(MARÍTIMOS[[#This Row],[Hora de Posicionamiento]]="","",MARÍTIMOS[[#This Row],[Hora de Carga]]+MARÍTIMOS[[#This Row],[Hora de Posicionamiento]]),"")</f>
        <v>0.60416666666666663</v>
      </c>
      <c r="Z106" s="11">
        <f>IFERROR(IF(MARÍTIMOS[[#This Row],[Etapa Despacho -  Llegada]]="","",MARÍTIMOS[[#This Row],[Etapa Despacho -  Llegada]]),"")</f>
        <v>46200.375</v>
      </c>
      <c r="AA106" s="11">
        <f>IFERROR(IF(MARÍTIMOS[[#This Row],[Etapa Despacho -  Registro]]="","",MARÍTIMOS[[#This Row],[Etapa Despacho -  Registro]]),"")</f>
        <v>46199.5625</v>
      </c>
      <c r="AB106" s="11">
        <f>IFERROR(IF(MARÍTIMOS[[#This Row],[Inspección Externa]]="","",MARÍTIMOS[[#This Row],[Inspección Externa]]),"")</f>
        <v>46200.379166666666</v>
      </c>
      <c r="AC106" s="11">
        <f>IFERROR(IF(MARÍTIMOS[[#This Row],[Etapa Despacho -  Inicio de Carga]]="","",MARÍTIMOS[[#This Row],[Etapa Despacho -  Inicio de Carga]]),"")</f>
        <v>46200.375</v>
      </c>
      <c r="AD106" s="11">
        <f>IFERROR(IF(MARÍTIMOS[[#This Row],[Etapa Despacho -  Fin de Carga]]="","",MARÍTIMOS[[#This Row],[Etapa Despacho -  Fin de Carga]]),"")</f>
        <v>46200.75</v>
      </c>
      <c r="AE106" s="11">
        <f>IFERROR(IF(MARÍTIMOS[[#This Row],[Etapa Despacho -  Salida]]="","",MARÍTIMOS[[#This Row],[Etapa Despacho -  Salida]]),"")</f>
        <v>46200.777083333334</v>
      </c>
      <c r="AF106" s="2" t="str">
        <f>IFERROR(IF(MARÍTIMOS[[#This Row],[Puerto de Embarque]]="","",MARÍTIMOS[[#This Row],[Puerto de Embarque]]),"")</f>
        <v>CHANCAY</v>
      </c>
      <c r="AG106" s="2" t="str">
        <f>IFERROR(IF(MARÍTIMOS[[#This Row],[Almacén de Ingreso]]="","",MARÍTIMOS[[#This Row],[Almacén de Ingreso]]),"")</f>
        <v>CONTRANS</v>
      </c>
      <c r="AH106" s="11">
        <f>IFERROR(IF(MARÍTIMOS[[#This Row],[Etapa Ingreso - Cita]]="","",MARÍTIMOS[[#This Row],[Etapa Ingreso - Cita]]),"")</f>
        <v>46199.541666666664</v>
      </c>
      <c r="AI106" s="11">
        <f>IFERROR(IF(MARÍTIMOS[[#This Row],[Etapa Ingreso - Llegada]]="","",MARÍTIMOS[[#This Row],[Etapa Ingreso - Llegada]]),"")</f>
        <v>46199.556250000001</v>
      </c>
      <c r="AJ106" s="11">
        <f>IFERROR(IF(MARÍTIMOS[[#This Row],[Etapa Ingreso - Ingeso]]="","",MARÍTIMOS[[#This Row],[Etapa Ingreso - Ingeso]]),"")</f>
        <v>46199.597916666666</v>
      </c>
      <c r="AK106" s="11">
        <f>IFERROR(IF(MARÍTIMOS[[#This Row],[Etapa Ingreso - Atención]]="","",MARÍTIMOS[[#This Row],[Etapa Ingreso - Atención]]),"")</f>
        <v>46199.574305555558</v>
      </c>
      <c r="AL106" s="11">
        <f>IFERROR(IF(MARÍTIMOS[[#This Row],[Etapa Ingreso - Salida]]="","",MARÍTIMOS[[#This Row],[Etapa Ingreso - Salida]]),"")</f>
        <v>46199.633333333331</v>
      </c>
      <c r="AM106" s="2">
        <f>IFERROR(IF(MARÍTIMOS[[#This Row],[FCL]]="","",MARÍTIMOS[[#This Row],[FCL]]),"")</f>
        <v>1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6" s="5">
        <f>IFERROR(OLDBD[[#This Row],[Llegada a packing]]-OLDBD[[#This Row],[Inicio de Ruta]],"")</f>
        <v>0.54166666666424135</v>
      </c>
      <c r="AQ106" s="6">
        <f>IFERROR(OLDBD[[#This Row],[Inicio de Ruta]]-OLDBD[[#This Row],[Salida de almacén de retiro]],"")</f>
        <v>0.20000000000436557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6" s="9">
        <f>IFERROR(OLDBD[[#This Row],[Ingreso Packing]]-OLDBD[[#This Row],[Registro en Packing]],"")</f>
        <v>0.81666666666569654</v>
      </c>
      <c r="AV106" s="9">
        <f>IFERROR(OLDBD[[#This Row],[Ingreso Packing]]-OLDBD[[#This Row],[Llegada a packing]],"")</f>
        <v>4.166666665696539E-3</v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06" s="5">
        <f>IFERROR(OLDBD[[#This Row],[Llegada Almacén de Ingreso]]-OLDBD[[#This Row],[Salida Packing]],"")</f>
        <v>-1.2208333333328483</v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6" s="45" t="s">
        <v>181</v>
      </c>
      <c r="BB106" s="53" t="str">
        <f>IFERROR(IF(MARÍTIMOS[[#This Row],[Estatus]]="","",MARÍTIMOS[[#This Row],[Estatus]]),"")</f>
        <v>Confirmado</v>
      </c>
      <c r="BC106" s="45"/>
      <c r="BD106" s="52">
        <f>IFERROR(OLDBD[[#This Row],[Salida de almacén de retiro]]-OLDBD[[#This Row],[Ingreso Almacén de retiro]],"")</f>
        <v>0</v>
      </c>
      <c r="BE106" s="52">
        <f>IFERROR(OLDBD[[#This Row],[Fin de Carga]]-OLDBD[[#This Row],[Inicio de Carga]],"")</f>
        <v>0.375</v>
      </c>
    </row>
    <row r="107" spans="1:57" x14ac:dyDescent="0.35">
      <c r="A107" s="1"/>
      <c r="B107" s="1">
        <f>IFERROR(IF(MARÍTIMOS[[#This Row],[PP]]="","",MARÍTIMOS[[#This Row],[PP]]),"")</f>
        <v>26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RH-0088</v>
      </c>
      <c r="E107" s="1"/>
      <c r="F107" s="2" t="str">
        <f>IFERROR(IF(MARÍTIMOS[[#This Row],[Transportista]]="","",MARÍTIMOS[[#This Row],[Transportista]]),"")</f>
        <v>LIP</v>
      </c>
      <c r="G107" s="2" t="str">
        <f>IFERROR(IF(MARÍTIMOS[[#This Row],[Tercero]]="","",MARÍTIMOS[[#This Row],[Tercero]]),"")</f>
        <v>SI</v>
      </c>
      <c r="H107" s="2" t="str">
        <f>IFERROR(IF(MARÍTIMOS[[#This Row],[Razón Social]]="","",MARÍTIMOS[[#This Row],[Razón Social]]),"")</f>
        <v xml:space="preserve">INVERSIONES CHICHO S.A.C.
</v>
      </c>
      <c r="I107" s="2">
        <f>IFERROR(IF(MARÍTIMOS[[#This Row],[RUC]]="","",MARÍTIMOS[[#This Row],[RUC]]),"")</f>
        <v>20544360842</v>
      </c>
      <c r="J107" s="2" t="str">
        <f>IFERROR(IF(MARÍTIMOS[[#This Row],[Placa Tracto]]="","",MARÍTIMOS[[#This Row],[Placa Tracto]]),"")</f>
        <v>AYO-885</v>
      </c>
      <c r="K107" s="2" t="str">
        <f>IFERROR(IF(MARÍTIMOS[[#This Row],[Placa Carreta]]="","",MARÍTIMOS[[#This Row],[Placa Carreta]]),"")</f>
        <v>ALF-998</v>
      </c>
      <c r="L107" s="46" t="str">
        <f>IFERROR(IF(MARÍTIMOS[[#This Row],[Conductor]]="","",MARÍTIMOS[[#This Row],[Conductor]]),"")</f>
        <v>VILLANUEVA ABARCA NESTOR ARISTOBAL</v>
      </c>
      <c r="M107" s="2" t="str">
        <f>IFERROR(IF(MARÍTIMOS[[#This Row],[Licencia]]="","",MARÍTIMOS[[#This Row],[Licencia]]),"")</f>
        <v>Q40222578</v>
      </c>
      <c r="N107" s="2" t="str">
        <f>IFERROR(IF(MARÍTIMOS[[#This Row],[Número de Contacto]]="","",MARÍTIMOS[[#This Row],[Número de Contacto]]),"")</f>
        <v/>
      </c>
      <c r="O107" s="10">
        <f>IFERROR(IF(MARÍTIMOS[[#This Row],[Booking|AWB|CRT]]="","",MARÍTIMOS[[#This Row],[Booking|AWB|CRT]]),"")</f>
        <v>751600035743</v>
      </c>
      <c r="P107" s="2" t="str">
        <f>IFERROR(IF(MARÍTIMOS[[#This Row],[Contenedor]]="","",MARÍTIMOS[[#This Row],[Contenedor]]),"")</f>
        <v>EMCU5507741</v>
      </c>
      <c r="Q107" s="2" t="str">
        <f>IFERROR(IF(MARÍTIMOS[[#This Row],[Puerto de Retiro]]="","",MARÍTIMOS[[#This Row],[Puerto de Retiro]]),"")</f>
        <v>CHANCAY</v>
      </c>
      <c r="R107" s="2" t="str">
        <f>IFERROR(IF(MARÍTIMOS[[#This Row],[Almacén de Retiro]]="","",MARÍTIMOS[[#This Row],[Almacén de Retiro]]),"")</f>
        <v>IMUPESA</v>
      </c>
      <c r="S107" s="11">
        <f>IFERROR(IF(MARÍTIMOS[[#This Row],[Etapa Retiro - Cita]]="","",MARÍTIMOS[[#This Row],[Etapa Retiro - Cita]]),"")</f>
        <v>46199.541666666664</v>
      </c>
      <c r="T107" s="11">
        <f>IFERROR(IF(MARÍTIMOS[[#This Row],[Etapa Retiro - Llegada]]="","",MARÍTIMOS[[#This Row],[Etapa Retiro - Llegada]]),"")</f>
        <v>46199.560416666667</v>
      </c>
      <c r="U107" s="11">
        <f>IFERROR(IF(MARÍTIMOS[[#This Row],[Etapa Retiro - Ingreso]]="","",MARÍTIMOS[[#This Row],[Etapa Retiro - Ingreso]]),"")</f>
        <v>46199.681944444441</v>
      </c>
      <c r="V107" s="11">
        <f>IFERROR(IF(MARÍTIMOS[[#This Row],[Etapa Retiro - Atención]]="","",MARÍTIMOS[[#This Row],[Etapa Retiro - Atención]]),"")</f>
        <v>46199.666666666664</v>
      </c>
      <c r="W107" s="11">
        <f>IFERROR(IF(MARÍTIMOS[[#This Row],[Etapa Retiro - Salida]]="","",MARÍTIMOS[[#This Row],[Etapa Retiro - Salida]]),"")</f>
        <v>46199.681944444441</v>
      </c>
      <c r="X107" s="11">
        <f>IFERROR(IF(MARÍTIMOS[[#This Row],[Etapa Retiro - Inicio de Ruta]]="","",MARÍTIMOS[[#This Row],[Etapa Retiro - Inicio de Ruta]]),"")</f>
        <v>46199.916666666664</v>
      </c>
      <c r="Y107" s="11">
        <f>IFERROR(IF(MARÍTIMOS[[#This Row],[Hora de Posicionamiento]]="","",MARÍTIMOS[[#This Row],[Hora de Carga]]+MARÍTIMOS[[#This Row],[Hora de Posicionamiento]]),"")</f>
        <v>0.64583333333333337</v>
      </c>
      <c r="Z107" s="11">
        <f>IFERROR(IF(MARÍTIMOS[[#This Row],[Etapa Despacho -  Llegada]]="","",MARÍTIMOS[[#This Row],[Etapa Despacho -  Llegada]]),"")</f>
        <v>46200.458333333336</v>
      </c>
      <c r="AA107" s="11">
        <f>IFERROR(IF(MARÍTIMOS[[#This Row],[Etapa Despacho -  Registro]]="","",MARÍTIMOS[[#This Row],[Etapa Despacho -  Registro]]),"")</f>
        <v>46199.569444444445</v>
      </c>
      <c r="AB107" s="11">
        <f>IFERROR(IF(MARÍTIMOS[[#This Row],[Inspección Externa]]="","",MARÍTIMOS[[#This Row],[Inspección Externa]]),"")</f>
        <v>46200.481249999997</v>
      </c>
      <c r="AC107" s="11">
        <f>IFERROR(IF(MARÍTIMOS[[#This Row],[Etapa Despacho -  Inicio de Carga]]="","",MARÍTIMOS[[#This Row],[Etapa Despacho -  Inicio de Carga]]),"")</f>
        <v>46200.458333333336</v>
      </c>
      <c r="AD107" s="11">
        <f>IFERROR(IF(MARÍTIMOS[[#This Row],[Etapa Despacho -  Fin de Carga]]="","",MARÍTIMOS[[#This Row],[Etapa Despacho -  Fin de Carga]]),"")</f>
        <v>46200.75</v>
      </c>
      <c r="AE107" s="11">
        <f>IFERROR(IF(MARÍTIMOS[[#This Row],[Etapa Despacho -  Salida]]="","",MARÍTIMOS[[#This Row],[Etapa Despacho -  Salida]]),"")</f>
        <v>46200.754166666666</v>
      </c>
      <c r="AF107" s="2" t="str">
        <f>IFERROR(IF(MARÍTIMOS[[#This Row],[Puerto de Embarque]]="","",MARÍTIMOS[[#This Row],[Puerto de Embarque]]),"")</f>
        <v>CHANCAY</v>
      </c>
      <c r="AG107" s="2" t="str">
        <f>IFERROR(IF(MARÍTIMOS[[#This Row],[Almacén de Ingreso]]="","",MARÍTIMOS[[#This Row],[Almacén de Ingreso]]),"")</f>
        <v>IMUPESA</v>
      </c>
      <c r="AH107" s="11">
        <f>IFERROR(IF(MARÍTIMOS[[#This Row],[Etapa Ingreso - Cita]]="","",MARÍTIMOS[[#This Row],[Etapa Ingreso - Cita]]),"")</f>
        <v>46199.541666666664</v>
      </c>
      <c r="AI107" s="11">
        <f>IFERROR(IF(MARÍTIMOS[[#This Row],[Etapa Ingreso - Llegada]]="","",MARÍTIMOS[[#This Row],[Etapa Ingreso - Llegada]]),"")</f>
        <v>46199.560416666667</v>
      </c>
      <c r="AJ107" s="11">
        <f>IFERROR(IF(MARÍTIMOS[[#This Row],[Etapa Ingreso - Ingeso]]="","",MARÍTIMOS[[#This Row],[Etapa Ingreso - Ingeso]]),"")</f>
        <v>46199.643750000003</v>
      </c>
      <c r="AK107" s="11">
        <f>IFERROR(IF(MARÍTIMOS[[#This Row],[Etapa Ingreso - Atención]]="","",MARÍTIMOS[[#This Row],[Etapa Ingreso - Atención]]),"")</f>
        <v>46199.63958333333</v>
      </c>
      <c r="AL107" s="11">
        <f>IFERROR(IF(MARÍTIMOS[[#This Row],[Etapa Ingreso - Salida]]="","",MARÍTIMOS[[#This Row],[Etapa Ingreso - Salida]]),"")</f>
        <v>46199.681944444441</v>
      </c>
      <c r="AM107" s="2">
        <f>IFERROR(IF(MARÍTIMOS[[#This Row],[FCL]]="","",MARÍTIMOS[[#This Row],[FCL]]),"")</f>
        <v>1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7" s="5">
        <f>IFERROR(OLDBD[[#This Row],[Llegada a packing]]-OLDBD[[#This Row],[Inicio de Ruta]],"")</f>
        <v>0.54166666667151731</v>
      </c>
      <c r="AQ107" s="6">
        <f>IFERROR(OLDBD[[#This Row],[Inicio de Ruta]]-OLDBD[[#This Row],[Salida de almacén de retiro]],"")</f>
        <v>0.23472222222335404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7" s="9">
        <f>IFERROR(OLDBD[[#This Row],[Ingreso Packing]]-OLDBD[[#This Row],[Registro en Packing]],"")</f>
        <v>0.91180555555183673</v>
      </c>
      <c r="AV107" s="9">
        <f>IFERROR(OLDBD[[#This Row],[Ingreso Packing]]-OLDBD[[#This Row],[Llegada a packing]],"")</f>
        <v>2.2916666661330964E-2</v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7" s="5">
        <f>IFERROR(OLDBD[[#This Row],[Llegada Almacén de Ingreso]]-OLDBD[[#This Row],[Salida Packing]],"")</f>
        <v>-1.1937499999985448</v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7" s="45" t="s">
        <v>181</v>
      </c>
      <c r="BB107" s="53" t="str">
        <f>IFERROR(IF(MARÍTIMOS[[#This Row],[Estatus]]="","",MARÍTIMOS[[#This Row],[Estatus]]),"")</f>
        <v>Confirmado</v>
      </c>
      <c r="BC107" s="45"/>
      <c r="BD107" s="52">
        <f>IFERROR(OLDBD[[#This Row],[Salida de almacén de retiro]]-OLDBD[[#This Row],[Ingreso Almacén de retiro]],"")</f>
        <v>0</v>
      </c>
      <c r="BE107" s="52">
        <f>IFERROR(OLDBD[[#This Row],[Fin de Carga]]-OLDBD[[#This Row],[Inicio de Carga]],"")</f>
        <v>0.29166666666424135</v>
      </c>
    </row>
    <row r="108" spans="1:57" x14ac:dyDescent="0.35">
      <c r="A108" s="1"/>
      <c r="B108" s="1">
        <f>IFERROR(IF(MARÍTIMOS[[#This Row],[PP]]="","",MARÍTIMOS[[#This Row],[PP]]),"")</f>
        <v>26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RH-0089</v>
      </c>
      <c r="E108" s="1"/>
      <c r="F108" s="2" t="str">
        <f>IFERROR(IF(MARÍTIMOS[[#This Row],[Transportista]]="","",MARÍTIMOS[[#This Row],[Transportista]]),"")</f>
        <v>LIP</v>
      </c>
      <c r="G108" s="2" t="str">
        <f>IFERROR(IF(MARÍTIMOS[[#This Row],[Tercero]]="","",MARÍTIMOS[[#This Row],[Tercero]]),"")</f>
        <v>NO</v>
      </c>
      <c r="H108" s="2" t="str">
        <f>IFERROR(IF(MARÍTIMOS[[#This Row],[Razón Social]]="","",MARÍTIMOS[[#This Row],[Razón Social]]),"")</f>
        <v>LOGISTICA INTERMODAL DEL PERU S.A.C.</v>
      </c>
      <c r="I108" s="2">
        <f>IFERROR(IF(MARÍTIMOS[[#This Row],[RUC]]="","",MARÍTIMOS[[#This Row],[RUC]]),"")</f>
        <v>20513040718</v>
      </c>
      <c r="J108" s="2" t="str">
        <f>IFERROR(IF(MARÍTIMOS[[#This Row],[Placa Tracto]]="","",MARÍTIMOS[[#This Row],[Placa Tracto]]),"")</f>
        <v>BPR-716</v>
      </c>
      <c r="K108" s="2" t="str">
        <f>IFERROR(IF(MARÍTIMOS[[#This Row],[Placa Carreta]]="","",MARÍTIMOS[[#This Row],[Placa Carreta]]),"")</f>
        <v>BBS-982</v>
      </c>
      <c r="L108" s="46" t="str">
        <f>IFERROR(IF(MARÍTIMOS[[#This Row],[Conductor]]="","",MARÍTIMOS[[#This Row],[Conductor]]),"")</f>
        <v>SOTELO BRAVO MIGUEL ANGEL</v>
      </c>
      <c r="M108" s="2" t="str">
        <f>IFERROR(IF(MARÍTIMOS[[#This Row],[Licencia]]="","",MARÍTIMOS[[#This Row],[Licencia]]),"")</f>
        <v>R25423621</v>
      </c>
      <c r="N108" s="2" t="str">
        <f>IFERROR(IF(MARÍTIMOS[[#This Row],[Número de Contacto]]="","",MARÍTIMOS[[#This Row],[Número de Contacto]]),"")</f>
        <v/>
      </c>
      <c r="O108" s="10">
        <f>IFERROR(IF(MARÍTIMOS[[#This Row],[Booking|AWB|CRT]]="","",MARÍTIMOS[[#This Row],[Booking|AWB|CRT]]),"")</f>
        <v>272562256</v>
      </c>
      <c r="P108" s="2" t="str">
        <f>IFERROR(IF(MARÍTIMOS[[#This Row],[Contenedor]]="","",MARÍTIMOS[[#This Row],[Contenedor]]),"")</f>
        <v>MNBU3923350</v>
      </c>
      <c r="Q108" s="2" t="str">
        <f>IFERROR(IF(MARÍTIMOS[[#This Row],[Puerto de Retiro]]="","",MARÍTIMOS[[#This Row],[Puerto de Retiro]]),"")</f>
        <v>CALLAO</v>
      </c>
      <c r="R108" s="2" t="str">
        <f>IFERROR(IF(MARÍTIMOS[[#This Row],[Almacén de Retiro]]="","",MARÍTIMOS[[#This Row],[Almacén de Retiro]]),"")</f>
        <v>DPW</v>
      </c>
      <c r="S108" s="11">
        <f>IFERROR(IF(MARÍTIMOS[[#This Row],[Etapa Retiro - Cita]]="","",MARÍTIMOS[[#This Row],[Etapa Retiro - Cita]]),"")</f>
        <v>0.83333333333333337</v>
      </c>
      <c r="T108" s="11">
        <f>IFERROR(IF(MARÍTIMOS[[#This Row],[Etapa Retiro - Llegada]]="","",MARÍTIMOS[[#This Row],[Etapa Retiro - Llegada]]),"")</f>
        <v>0.85763888888888884</v>
      </c>
      <c r="U108" s="11">
        <f>IFERROR(IF(MARÍTIMOS[[#This Row],[Etapa Retiro - Ingreso]]="","",MARÍTIMOS[[#This Row],[Etapa Retiro - Ingreso]]),"")</f>
        <v>46197.994444444441</v>
      </c>
      <c r="V108" s="11">
        <f>IFERROR(IF(MARÍTIMOS[[#This Row],[Etapa Retiro - Atención]]="","",MARÍTIMOS[[#This Row],[Etapa Retiro - Atención]]),"")</f>
        <v>46198</v>
      </c>
      <c r="W108" s="11">
        <f>IFERROR(IF(MARÍTIMOS[[#This Row],[Etapa Retiro - Salida]]="","",MARÍTIMOS[[#This Row],[Etapa Retiro - Salida]]),"")</f>
        <v>46198.020138888889</v>
      </c>
      <c r="X108" s="11">
        <f>IFERROR(IF(MARÍTIMOS[[#This Row],[Etapa Retiro - Inicio de Ruta]]="","",MARÍTIMOS[[#This Row],[Etapa Retiro - Inicio de Ruta]]),"")</f>
        <v>46198.125</v>
      </c>
      <c r="Y108" s="11">
        <f>IFERROR(IF(MARÍTIMOS[[#This Row],[Hora de Posicionamiento]]="","",MARÍTIMOS[[#This Row],[Hora de Carga]]+MARÍTIMOS[[#This Row],[Hora de Posicionamiento]]),"")</f>
        <v>0.54166666666666663</v>
      </c>
      <c r="Z108" s="11">
        <f>IFERROR(IF(MARÍTIMOS[[#This Row],[Etapa Despacho -  Llegada]]="","",MARÍTIMOS[[#This Row],[Etapa Despacho -  Llegada]]),"")</f>
        <v>46198.583333333336</v>
      </c>
      <c r="AA108" s="11">
        <f>IFERROR(IF(MARÍTIMOS[[#This Row],[Etapa Despacho -  Registro]]="","",MARÍTIMOS[[#This Row],[Etapa Despacho -  Registro]]),"")</f>
        <v>46199.354166666664</v>
      </c>
      <c r="AB108" s="11">
        <f>IFERROR(IF(MARÍTIMOS[[#This Row],[Inspección Externa]]="","",MARÍTIMOS[[#This Row],[Inspección Externa]]),"")</f>
        <v>46198.586111111108</v>
      </c>
      <c r="AC108" s="11">
        <f>IFERROR(IF(MARÍTIMOS[[#This Row],[Etapa Despacho -  Inicio de Carga]]="","",MARÍTIMOS[[#This Row],[Etapa Despacho -  Inicio de Carga]]),"")</f>
        <v>46198.625</v>
      </c>
      <c r="AD108" s="11">
        <f>IFERROR(IF(MARÍTIMOS[[#This Row],[Etapa Despacho -  Fin de Carga]]="","",MARÍTIMOS[[#This Row],[Etapa Despacho -  Fin de Carga]]),"")</f>
        <v>46198.708333333336</v>
      </c>
      <c r="AE108" s="11">
        <f>IFERROR(IF(MARÍTIMOS[[#This Row],[Etapa Despacho -  Salida]]="","",MARÍTIMOS[[#This Row],[Etapa Despacho -  Salida]]),"")</f>
        <v>46198.752083333333</v>
      </c>
      <c r="AF108" s="2" t="str">
        <f>IFERROR(IF(MARÍTIMOS[[#This Row],[Puerto de Embarque]]="","",MARÍTIMOS[[#This Row],[Puerto de Embarque]]),"")</f>
        <v>CALLAO</v>
      </c>
      <c r="AG108" s="2" t="str">
        <f>IFERROR(IF(MARÍTIMOS[[#This Row],[Almacén de Ingreso]]="","",MARÍTIMOS[[#This Row],[Almacén de Ingreso]]),"")</f>
        <v>APM</v>
      </c>
      <c r="AH108" s="11">
        <f>IFERROR(IF(MARÍTIMOS[[#This Row],[Etapa Ingreso - Cita]]="","",MARÍTIMOS[[#This Row],[Etapa Ingreso - Cita]]),"")</f>
        <v>46199.333333333336</v>
      </c>
      <c r="AI108" s="11">
        <f>IFERROR(IF(MARÍTIMOS[[#This Row],[Etapa Ingreso - Llegada]]="","",MARÍTIMOS[[#This Row],[Etapa Ingreso - Llegada]]),"")</f>
        <v>46199.347916666666</v>
      </c>
      <c r="AJ108" s="11">
        <f>IFERROR(IF(MARÍTIMOS[[#This Row],[Etapa Ingreso - Ingeso]]="","",MARÍTIMOS[[#This Row],[Etapa Ingreso - Ingeso]]),"")</f>
        <v>46199.405555555553</v>
      </c>
      <c r="AK108" s="11">
        <f>IFERROR(IF(MARÍTIMOS[[#This Row],[Etapa Ingreso - Atención]]="","",MARÍTIMOS[[#This Row],[Etapa Ingreso - Atención]]),"")</f>
        <v>46199.416666666664</v>
      </c>
      <c r="AL108" s="11">
        <f>IFERROR(IF(MARÍTIMOS[[#This Row],[Etapa Ingreso - Salida]]="","",MARÍTIMOS[[#This Row],[Etapa Ingreso - Salida]]),"")</f>
        <v>46199.422222222223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>
        <f>IFERROR(OLDBD[[#This Row],[Llegada a packing]]-OLDBD[[#This Row],[Inicio de Ruta]],"")</f>
        <v>0.45833333333575865</v>
      </c>
      <c r="AQ108" s="6">
        <f>IFERROR(OLDBD[[#This Row],[Inicio de Ruta]]-OLDBD[[#This Row],[Salida de almacén de retiro]],"")</f>
        <v>0.10486111111094942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8" s="9">
        <f>IFERROR(OLDBD[[#This Row],[Ingreso Packing]]-OLDBD[[#This Row],[Registro en Packing]],"")</f>
        <v>-0.76805555555620231</v>
      </c>
      <c r="AV108" s="9">
        <f>IFERROR(OLDBD[[#This Row],[Ingreso Packing]]-OLDBD[[#This Row],[Llegada a packing]],"")</f>
        <v>2.7777777722803876E-3</v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8" s="5">
        <f>IFERROR(OLDBD[[#This Row],[Llegada Almacén de Ingreso]]-OLDBD[[#This Row],[Salida Packing]],"")</f>
        <v>0.59583333333284827</v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8" s="45" t="s">
        <v>181</v>
      </c>
      <c r="BB108" s="53" t="str">
        <f>IFERROR(IF(MARÍTIMOS[[#This Row],[Estatus]]="","",MARÍTIMOS[[#This Row],[Estatus]]),"")</f>
        <v>Confirmado</v>
      </c>
      <c r="BC108" s="45"/>
      <c r="BD108" s="52">
        <f>IFERROR(OLDBD[[#This Row],[Salida de almacén de retiro]]-OLDBD[[#This Row],[Ingreso Almacén de retiro]],"")</f>
        <v>2.5694444448163267E-2</v>
      </c>
      <c r="BE108" s="52">
        <f>IFERROR(OLDBD[[#This Row],[Fin de Carga]]-OLDBD[[#This Row],[Inicio de Carga]],"")</f>
        <v>8.3333333335758653E-2</v>
      </c>
    </row>
    <row r="109" spans="1:57" x14ac:dyDescent="0.35">
      <c r="A109" s="1"/>
      <c r="B109" s="1">
        <f>IFERROR(IF(MARÍTIMOS[[#This Row],[PP]]="","",MARÍTIMOS[[#This Row],[PP]]),"")</f>
        <v>26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RH-0092</v>
      </c>
      <c r="E109" s="1"/>
      <c r="F109" s="2" t="str">
        <f>IFERROR(IF(MARÍTIMOS[[#This Row],[Transportista]]="","",MARÍTIMOS[[#This Row],[Transportista]]),"")</f>
        <v>LIP</v>
      </c>
      <c r="G109" s="2" t="str">
        <f>IFERROR(IF(MARÍTIMOS[[#This Row],[Tercero]]="","",MARÍTIMOS[[#This Row],[Tercero]]),"")</f>
        <v>NO</v>
      </c>
      <c r="H109" s="2" t="str">
        <f>IFERROR(IF(MARÍTIMOS[[#This Row],[Razón Social]]="","",MARÍTIMOS[[#This Row],[Razón Social]]),"")</f>
        <v>LOGISTICA INTERMODAL DEL PERU S.A.C.</v>
      </c>
      <c r="I109" s="2">
        <f>IFERROR(IF(MARÍTIMOS[[#This Row],[RUC]]="","",MARÍTIMOS[[#This Row],[RUC]]),"")</f>
        <v>20513040718</v>
      </c>
      <c r="J109" s="2" t="str">
        <f>IFERROR(IF(MARÍTIMOS[[#This Row],[Placa Tracto]]="","",MARÍTIMOS[[#This Row],[Placa Tracto]]),"")</f>
        <v>BMT-835</v>
      </c>
      <c r="K109" s="2" t="str">
        <f>IFERROR(IF(MARÍTIMOS[[#This Row],[Placa Carreta]]="","",MARÍTIMOS[[#This Row],[Placa Carreta]]),"")</f>
        <v>BVZ-976</v>
      </c>
      <c r="L109" s="46" t="str">
        <f>IFERROR(IF(MARÍTIMOS[[#This Row],[Conductor]]="","",MARÍTIMOS[[#This Row],[Conductor]]),"")</f>
        <v>MORENO ZAPATA FILIBERTO ESTEBAN</v>
      </c>
      <c r="M109" s="2" t="str">
        <f>IFERROR(IF(MARÍTIMOS[[#This Row],[Licencia]]="","",MARÍTIMOS[[#This Row],[Licencia]]),"")</f>
        <v>Q15725771</v>
      </c>
      <c r="N109" s="2" t="str">
        <f>IFERROR(IF(MARÍTIMOS[[#This Row],[Número de Contacto]]="","",MARÍTIMOS[[#This Row],[Número de Contacto]]),"")</f>
        <v/>
      </c>
      <c r="O109" s="10">
        <f>IFERROR(IF(MARÍTIMOS[[#This Row],[Booking|AWB|CRT]]="","",MARÍTIMOS[[#This Row],[Booking|AWB|CRT]]),"")</f>
        <v>751600035778</v>
      </c>
      <c r="P109" s="2" t="str">
        <f>IFERROR(IF(MARÍTIMOS[[#This Row],[Contenedor]]="","",MARÍTIMOS[[#This Row],[Contenedor]]),"")</f>
        <v>EMCU5613050</v>
      </c>
      <c r="Q109" s="2" t="str">
        <f>IFERROR(IF(MARÍTIMOS[[#This Row],[Puerto de Retiro]]="","",MARÍTIMOS[[#This Row],[Puerto de Retiro]]),"")</f>
        <v>CALLAO</v>
      </c>
      <c r="R109" s="2" t="str">
        <f>IFERROR(IF(MARÍTIMOS[[#This Row],[Almacén de Retiro]]="","",MARÍTIMOS[[#This Row],[Almacén de Retiro]]),"")</f>
        <v>DPW</v>
      </c>
      <c r="S109" s="11">
        <f>IFERROR(IF(MARÍTIMOS[[#This Row],[Etapa Retiro - Cita]]="","",MARÍTIMOS[[#This Row],[Etapa Retiro - Cita]]),"")</f>
        <v>46200.541666666664</v>
      </c>
      <c r="T109" s="11">
        <f>IFERROR(IF(MARÍTIMOS[[#This Row],[Etapa Retiro - Llegada]]="","",MARÍTIMOS[[#This Row],[Etapa Retiro - Llegada]]),"")</f>
        <v>46200.556944444441</v>
      </c>
      <c r="U109" s="11">
        <f>IFERROR(IF(MARÍTIMOS[[#This Row],[Etapa Retiro - Ingreso]]="","",MARÍTIMOS[[#This Row],[Etapa Retiro - Ingreso]]),"")</f>
        <v>46200.574999999997</v>
      </c>
      <c r="V109" s="11">
        <f>IFERROR(IF(MARÍTIMOS[[#This Row],[Etapa Retiro - Atención]]="","",MARÍTIMOS[[#This Row],[Etapa Retiro - Atención]]),"")</f>
        <v>46200.625</v>
      </c>
      <c r="W109" s="11">
        <f>IFERROR(IF(MARÍTIMOS[[#This Row],[Etapa Retiro - Salida]]="","",MARÍTIMOS[[#This Row],[Etapa Retiro - Salida]]),"")</f>
        <v>46200.625694444447</v>
      </c>
      <c r="X109" s="11">
        <f>IFERROR(IF(MARÍTIMOS[[#This Row],[Etapa Retiro - Inicio de Ruta]]="","",MARÍTIMOS[[#This Row],[Etapa Retiro - Inicio de Ruta]]),"")</f>
        <v>46200.708333333336</v>
      </c>
      <c r="Y109" s="11">
        <f>IFERROR(IF(MARÍTIMOS[[#This Row],[Hora de Posicionamiento]]="","",MARÍTIMOS[[#This Row],[Hora de Carga]]+MARÍTIMOS[[#This Row],[Hora de Posicionamiento]]),"")</f>
        <v>0.64583333333333337</v>
      </c>
      <c r="Z109" s="11">
        <f>IFERROR(IF(MARÍTIMOS[[#This Row],[Etapa Despacho -  Llegada]]="","",MARÍTIMOS[[#This Row],[Etapa Despacho -  Llegada]]),"")</f>
        <v>46201.583333333336</v>
      </c>
      <c r="AA109" s="11">
        <f>IFERROR(IF(MARÍTIMOS[[#This Row],[Etapa Despacho -  Registro]]="","",MARÍTIMOS[[#This Row],[Etapa Despacho -  Registro]]),"")</f>
        <v>46202.583333333336</v>
      </c>
      <c r="AB109" s="11">
        <f>IFERROR(IF(MARÍTIMOS[[#This Row],[Inspección Externa]]="","",MARÍTIMOS[[#This Row],[Inspección Externa]]),"")</f>
        <v>46201.590277777781</v>
      </c>
      <c r="AC109" s="11">
        <f>IFERROR(IF(MARÍTIMOS[[#This Row],[Etapa Despacho -  Inicio de Carga]]="","",MARÍTIMOS[[#This Row],[Etapa Despacho -  Inicio de Carga]]),"")</f>
        <v>46201.625</v>
      </c>
      <c r="AD109" s="11">
        <f>IFERROR(IF(MARÍTIMOS[[#This Row],[Etapa Despacho -  Fin de Carga]]="","",MARÍTIMOS[[#This Row],[Etapa Despacho -  Fin de Carga]]),"")</f>
        <v>46201.833333333336</v>
      </c>
      <c r="AE109" s="11">
        <f>IFERROR(IF(MARÍTIMOS[[#This Row],[Etapa Despacho -  Salida]]="","",MARÍTIMOS[[#This Row],[Etapa Despacho -  Salida]]),"")</f>
        <v>46201.863888888889</v>
      </c>
      <c r="AF109" s="2" t="str">
        <f>IFERROR(IF(MARÍTIMOS[[#This Row],[Puerto de Embarque]]="","",MARÍTIMOS[[#This Row],[Puerto de Embarque]]),"")</f>
        <v>CALLAO</v>
      </c>
      <c r="AG109" s="2" t="str">
        <f>IFERROR(IF(MARÍTIMOS[[#This Row],[Almacén de Ingreso]]="","",MARÍTIMOS[[#This Row],[Almacén de Ingreso]]),"")</f>
        <v>DPW</v>
      </c>
      <c r="AH109" s="11">
        <f>IFERROR(IF(MARÍTIMOS[[#This Row],[Etapa Ingreso - Cita]]="","",MARÍTIMOS[[#This Row],[Etapa Ingreso - Cita]]),"")</f>
        <v>46202.541666666664</v>
      </c>
      <c r="AI109" s="11">
        <f>IFERROR(IF(MARÍTIMOS[[#This Row],[Etapa Ingreso - Llegada]]="","",MARÍTIMOS[[#This Row],[Etapa Ingreso - Llegada]]),"")</f>
        <v>46202.577777777777</v>
      </c>
      <c r="AJ109" s="11">
        <f>IFERROR(IF(MARÍTIMOS[[#This Row],[Etapa Ingreso - Ingeso]]="","",MARÍTIMOS[[#This Row],[Etapa Ingreso - Ingeso]]),"")</f>
        <v>46202.583333333336</v>
      </c>
      <c r="AK109" s="11">
        <f>IFERROR(IF(MARÍTIMOS[[#This Row],[Etapa Ingreso - Atención]]="","",MARÍTIMOS[[#This Row],[Etapa Ingreso - Atención]]),"")</f>
        <v>46202.604861111111</v>
      </c>
      <c r="AL109" s="11">
        <f>IFERROR(IF(MARÍTIMOS[[#This Row],[Etapa Ingreso - Salida]]="","",MARÍTIMOS[[#This Row],[Etapa Ingreso - Salida]]),"")</f>
        <v>46202.618750000001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9" s="5">
        <f>IFERROR(OLDBD[[#This Row],[Llegada a packing]]-OLDBD[[#This Row],[Inicio de Ruta]],"")</f>
        <v>0.875</v>
      </c>
      <c r="AQ109" s="6">
        <f>IFERROR(OLDBD[[#This Row],[Inicio de Ruta]]-OLDBD[[#This Row],[Salida de almacén de retiro]],"")</f>
        <v>8.2638888889050577E-2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9" s="9">
        <f>IFERROR(OLDBD[[#This Row],[Ingreso Packing]]-OLDBD[[#This Row],[Registro en Packing]],"")</f>
        <v>-0.99305555555474712</v>
      </c>
      <c r="AV109" s="9">
        <f>IFERROR(OLDBD[[#This Row],[Ingreso Packing]]-OLDBD[[#This Row],[Llegada a packing]],"")</f>
        <v>6.9444444452528842E-3</v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9" s="5">
        <f>IFERROR(OLDBD[[#This Row],[Llegada Almacén de Ingreso]]-OLDBD[[#This Row],[Salida Packing]],"")</f>
        <v>0.71388888888759539</v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5" t="s">
        <v>181</v>
      </c>
      <c r="BB109" s="53" t="str">
        <f>IFERROR(IF(MARÍTIMOS[[#This Row],[Estatus]]="","",MARÍTIMOS[[#This Row],[Estatus]]),"")</f>
        <v>Confirmado</v>
      </c>
      <c r="BC109" s="45"/>
      <c r="BD109" s="52">
        <f>IFERROR(OLDBD[[#This Row],[Salida de almacén de retiro]]-OLDBD[[#This Row],[Ingreso Almacén de retiro]],"")</f>
        <v>5.0694444449618459E-2</v>
      </c>
      <c r="BE109" s="52">
        <f>IFERROR(OLDBD[[#This Row],[Fin de Carga]]-OLDBD[[#This Row],[Inicio de Carga]],"")</f>
        <v>0.20833333333575865</v>
      </c>
    </row>
    <row r="110" spans="1:57" x14ac:dyDescent="0.35">
      <c r="A110" s="1"/>
      <c r="B110" s="1">
        <f>IFERROR(IF(MARÍTIMOS[[#This Row],[PP]]="","",MARÍTIMOS[[#This Row],[PP]]),"")</f>
        <v>26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RH-0093</v>
      </c>
      <c r="E110" s="1"/>
      <c r="F110" s="2" t="str">
        <f>IFERROR(IF(MARÍTIMOS[[#This Row],[Transportista]]="","",MARÍTIMOS[[#This Row],[Transportista]]),"")</f>
        <v>LIP</v>
      </c>
      <c r="G110" s="2" t="str">
        <f>IFERROR(IF(MARÍTIMOS[[#This Row],[Tercero]]="","",MARÍTIMOS[[#This Row],[Tercero]]),"")</f>
        <v>NO</v>
      </c>
      <c r="H110" s="2" t="str">
        <f>IFERROR(IF(MARÍTIMOS[[#This Row],[Razón Social]]="","",MARÍTIMOS[[#This Row],[Razón Social]]),"")</f>
        <v>LOGISTICA INTERMODAL DEL PERU S.A.C.</v>
      </c>
      <c r="I110" s="2">
        <f>IFERROR(IF(MARÍTIMOS[[#This Row],[RUC]]="","",MARÍTIMOS[[#This Row],[RUC]]),"")</f>
        <v>20513040718</v>
      </c>
      <c r="J110" s="2" t="str">
        <f>IFERROR(IF(MARÍTIMOS[[#This Row],[Placa Tracto]]="","",MARÍTIMOS[[#This Row],[Placa Tracto]]),"")</f>
        <v>AYR-912</v>
      </c>
      <c r="K110" s="2" t="str">
        <f>IFERROR(IF(MARÍTIMOS[[#This Row],[Placa Carreta]]="","",MARÍTIMOS[[#This Row],[Placa Carreta]]),"")</f>
        <v>AZM-981</v>
      </c>
      <c r="L110" s="46" t="str">
        <f>IFERROR(IF(MARÍTIMOS[[#This Row],[Conductor]]="","",MARÍTIMOS[[#This Row],[Conductor]]),"")</f>
        <v>MONTAÑO DE LA CRUZ JESUS LUCCIANO</v>
      </c>
      <c r="M110" s="2" t="str">
        <f>IFERROR(IF(MARÍTIMOS[[#This Row],[Licencia]]="","",MARÍTIMOS[[#This Row],[Licencia]]),"")</f>
        <v>Q42349043</v>
      </c>
      <c r="N110" s="2" t="str">
        <f>IFERROR(IF(MARÍTIMOS[[#This Row],[Número de Contacto]]="","",MARÍTIMOS[[#This Row],[Número de Contacto]]),"")</f>
        <v/>
      </c>
      <c r="O110" s="10">
        <f>IFERROR(IF(MARÍTIMOS[[#This Row],[Booking|AWB|CRT]]="","",MARÍTIMOS[[#This Row],[Booking|AWB|CRT]]),"")</f>
        <v>751600035752</v>
      </c>
      <c r="P110" s="2" t="str">
        <f>IFERROR(IF(MARÍTIMOS[[#This Row],[Contenedor]]="","",MARÍTIMOS[[#This Row],[Contenedor]]),"")</f>
        <v>EGSU5044693</v>
      </c>
      <c r="Q110" s="2" t="str">
        <f>IFERROR(IF(MARÍTIMOS[[#This Row],[Puerto de Retiro]]="","",MARÍTIMOS[[#This Row],[Puerto de Retiro]]),"")</f>
        <v>CALLAO</v>
      </c>
      <c r="R110" s="2" t="str">
        <f>IFERROR(IF(MARÍTIMOS[[#This Row],[Almacén de Retiro]]="","",MARÍTIMOS[[#This Row],[Almacén de Retiro]]),"")</f>
        <v>DPW</v>
      </c>
      <c r="S110" s="11">
        <f>IFERROR(IF(MARÍTIMOS[[#This Row],[Etapa Retiro - Cita]]="","",MARÍTIMOS[[#This Row],[Etapa Retiro - Cita]]),"")</f>
        <v>46200.625</v>
      </c>
      <c r="T110" s="11">
        <f>IFERROR(IF(MARÍTIMOS[[#This Row],[Etapa Retiro - Llegada]]="","",MARÍTIMOS[[#This Row],[Etapa Retiro - Llegada]]),"")</f>
        <v>46200.638888888891</v>
      </c>
      <c r="U110" s="11">
        <f>IFERROR(IF(MARÍTIMOS[[#This Row],[Etapa Retiro - Ingreso]]="","",MARÍTIMOS[[#This Row],[Etapa Retiro - Ingreso]]),"")</f>
        <v>46200.642361111109</v>
      </c>
      <c r="V110" s="11">
        <f>IFERROR(IF(MARÍTIMOS[[#This Row],[Etapa Retiro - Atención]]="","",MARÍTIMOS[[#This Row],[Etapa Retiro - Atención]]),"")</f>
        <v>46200.697916666664</v>
      </c>
      <c r="W110" s="11">
        <f>IFERROR(IF(MARÍTIMOS[[#This Row],[Etapa Retiro - Salida]]="","",MARÍTIMOS[[#This Row],[Etapa Retiro - Salida]]),"")</f>
        <v>46200.724305555559</v>
      </c>
      <c r="X110" s="11">
        <f>IFERROR(IF(MARÍTIMOS[[#This Row],[Etapa Retiro - Inicio de Ruta]]="","",MARÍTIMOS[[#This Row],[Etapa Retiro - Inicio de Ruta]]),"")</f>
        <v>46200.75</v>
      </c>
      <c r="Y110" s="11">
        <f>IFERROR(IF(MARÍTIMOS[[#This Row],[Hora de Posicionamiento]]="","",MARÍTIMOS[[#This Row],[Hora de Carga]]+MARÍTIMOS[[#This Row],[Hora de Posicionamiento]]),"")</f>
        <v>0.6875</v>
      </c>
      <c r="Z110" s="11">
        <f>IFERROR(IF(MARÍTIMOS[[#This Row],[Etapa Despacho -  Llegada]]="","",MARÍTIMOS[[#This Row],[Etapa Despacho -  Llegada]]),"")</f>
        <v>46201.625</v>
      </c>
      <c r="AA110" s="11">
        <f>IFERROR(IF(MARÍTIMOS[[#This Row],[Etapa Despacho -  Registro]]="","",MARÍTIMOS[[#This Row],[Etapa Despacho -  Registro]]),"")</f>
        <v>46202.569444444445</v>
      </c>
      <c r="AB110" s="11">
        <f>IFERROR(IF(MARÍTIMOS[[#This Row],[Inspección Externa]]="","",MARÍTIMOS[[#This Row],[Inspección Externa]]),"")</f>
        <v>46201.638888888891</v>
      </c>
      <c r="AC110" s="11">
        <f>IFERROR(IF(MARÍTIMOS[[#This Row],[Etapa Despacho -  Inicio de Carga]]="","",MARÍTIMOS[[#This Row],[Etapa Despacho -  Inicio de Carga]]),"")</f>
        <v>46201.680555555555</v>
      </c>
      <c r="AD110" s="11">
        <f>IFERROR(IF(MARÍTIMOS[[#This Row],[Etapa Despacho -  Fin de Carga]]="","",MARÍTIMOS[[#This Row],[Etapa Despacho -  Fin de Carga]]),"")</f>
        <v>46201.791666666664</v>
      </c>
      <c r="AE110" s="11">
        <f>IFERROR(IF(MARÍTIMOS[[#This Row],[Etapa Despacho -  Salida]]="","",MARÍTIMOS[[#This Row],[Etapa Despacho -  Salida]]),"")</f>
        <v>46201.809027777781</v>
      </c>
      <c r="AF110" s="2" t="str">
        <f>IFERROR(IF(MARÍTIMOS[[#This Row],[Puerto de Embarque]]="","",MARÍTIMOS[[#This Row],[Puerto de Embarque]]),"")</f>
        <v>CALLAO</v>
      </c>
      <c r="AG110" s="2" t="str">
        <f>IFERROR(IF(MARÍTIMOS[[#This Row],[Almacén de Ingreso]]="","",MARÍTIMOS[[#This Row],[Almacén de Ingreso]]),"")</f>
        <v>DPW</v>
      </c>
      <c r="AH110" s="11">
        <f>IFERROR(IF(MARÍTIMOS[[#This Row],[Etapa Ingreso - Cita]]="","",MARÍTIMOS[[#This Row],[Etapa Ingreso - Cita]]),"")</f>
        <v>46202.541666666664</v>
      </c>
      <c r="AI110" s="11">
        <f>IFERROR(IF(MARÍTIMOS[[#This Row],[Etapa Ingreso - Llegada]]="","",MARÍTIMOS[[#This Row],[Etapa Ingreso - Llegada]]),"")</f>
        <v>46202.560416666667</v>
      </c>
      <c r="AJ110" s="11">
        <f>IFERROR(IF(MARÍTIMOS[[#This Row],[Etapa Ingreso - Ingeso]]="","",MARÍTIMOS[[#This Row],[Etapa Ingreso - Ingeso]]),"")</f>
        <v>46202.541666666664</v>
      </c>
      <c r="AK110" s="11">
        <f>IFERROR(IF(MARÍTIMOS[[#This Row],[Etapa Ingreso - Atención]]="","",MARÍTIMOS[[#This Row],[Etapa Ingreso - Atención]]),"")</f>
        <v>46202.583333333336</v>
      </c>
      <c r="AL110" s="11">
        <f>IFERROR(IF(MARÍTIMOS[[#This Row],[Etapa Ingreso - Salida]]="","",MARÍTIMOS[[#This Row],[Etapa Ingreso - Salida]]),"")</f>
        <v>46202.588888888888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>
        <f>IFERROR(OLDBD[[#This Row],[Llegada a packing]]-OLDBD[[#This Row],[Inicio de Ruta]],"")</f>
        <v>0.875</v>
      </c>
      <c r="AQ110" s="6">
        <f>IFERROR(OLDBD[[#This Row],[Inicio de Ruta]]-OLDBD[[#This Row],[Salida de almacén de retiro]],"")</f>
        <v>2.569444444088731E-2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0" s="9">
        <f>IFERROR(OLDBD[[#This Row],[Ingreso Packing]]-OLDBD[[#This Row],[Registro en Packing]],"")</f>
        <v>-0.93055555555474712</v>
      </c>
      <c r="AV110" s="9">
        <f>IFERROR(OLDBD[[#This Row],[Ingreso Packing]]-OLDBD[[#This Row],[Llegada a packing]],"")</f>
        <v>1.3888888890505768E-2</v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0" s="5">
        <f>IFERROR(OLDBD[[#This Row],[Llegada Almacén de Ingreso]]-OLDBD[[#This Row],[Salida Packing]],"")</f>
        <v>0.75138888888614019</v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5" t="s">
        <v>181</v>
      </c>
      <c r="BB110" s="53" t="str">
        <f>IFERROR(IF(MARÍTIMOS[[#This Row],[Estatus]]="","",MARÍTIMOS[[#This Row],[Estatus]]),"")</f>
        <v>Confirmado</v>
      </c>
      <c r="BC110" s="45"/>
      <c r="BD110" s="52">
        <f>IFERROR(OLDBD[[#This Row],[Salida de almacén de retiro]]-OLDBD[[#This Row],[Ingreso Almacén de retiro]],"")</f>
        <v>8.1944444449618459E-2</v>
      </c>
      <c r="BE110" s="52">
        <f>IFERROR(OLDBD[[#This Row],[Fin de Carga]]-OLDBD[[#This Row],[Inicio de Carga]],"")</f>
        <v>0.11111111110949423</v>
      </c>
    </row>
    <row r="111" spans="1:57" x14ac:dyDescent="0.35">
      <c r="A111" s="1"/>
      <c r="B111" s="1">
        <f>IFERROR(IF(MARÍTIMOS[[#This Row],[PP]]="","",MARÍTIMOS[[#This Row],[PP]]),"")</f>
        <v>26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RH-0094</v>
      </c>
      <c r="E111" s="1"/>
      <c r="F111" s="2" t="str">
        <f>IFERROR(IF(MARÍTIMOS[[#This Row],[Transportista]]="","",MARÍTIMOS[[#This Row],[Transportista]]),"")</f>
        <v>LIP</v>
      </c>
      <c r="G111" s="2" t="str">
        <f>IFERROR(IF(MARÍTIMOS[[#This Row],[Tercero]]="","",MARÍTIMOS[[#This Row],[Tercero]]),"")</f>
        <v>SI</v>
      </c>
      <c r="H111" s="2" t="str">
        <f>IFERROR(IF(MARÍTIMOS[[#This Row],[Razón Social]]="","",MARÍTIMOS[[#This Row],[Razón Social]]),"")</f>
        <v>TGD SERVICIOS S.A.C.</v>
      </c>
      <c r="I111" s="2">
        <f>IFERROR(IF(MARÍTIMOS[[#This Row],[RUC]]="","",MARÍTIMOS[[#This Row],[RUC]]),"")</f>
        <v>20614404460</v>
      </c>
      <c r="J111" s="2" t="str">
        <f>IFERROR(IF(MARÍTIMOS[[#This Row],[Placa Tracto]]="","",MARÍTIMOS[[#This Row],[Placa Tracto]]),"")</f>
        <v>ASG-909</v>
      </c>
      <c r="K111" s="2" t="str">
        <f>IFERROR(IF(MARÍTIMOS[[#This Row],[Placa Carreta]]="","",MARÍTIMOS[[#This Row],[Placa Carreta]]),"")</f>
        <v>BES-976</v>
      </c>
      <c r="L111" s="46" t="str">
        <f>IFERROR(IF(MARÍTIMOS[[#This Row],[Conductor]]="","",MARÍTIMOS[[#This Row],[Conductor]]),"")</f>
        <v>QUISPE CHIROQUE MAXIMO</v>
      </c>
      <c r="M111" s="2" t="str">
        <f>IFERROR(IF(MARÍTIMOS[[#This Row],[Licencia]]="","",MARÍTIMOS[[#This Row],[Licencia]]),"")</f>
        <v>F25438671</v>
      </c>
      <c r="N111" s="2" t="str">
        <f>IFERROR(IF(MARÍTIMOS[[#This Row],[Número de Contacto]]="","",MARÍTIMOS[[#This Row],[Número de Contacto]]),"")</f>
        <v/>
      </c>
      <c r="O111" s="10">
        <f>IFERROR(IF(MARÍTIMOS[[#This Row],[Booking|AWB|CRT]]="","",MARÍTIMOS[[#This Row],[Booking|AWB|CRT]]),"")</f>
        <v>751600035760</v>
      </c>
      <c r="P111" s="2" t="str">
        <f>IFERROR(IF(MARÍTIMOS[[#This Row],[Contenedor]]="","",MARÍTIMOS[[#This Row],[Contenedor]]),"")</f>
        <v>EMCU5515201</v>
      </c>
      <c r="Q111" s="2" t="str">
        <f>IFERROR(IF(MARÍTIMOS[[#This Row],[Puerto de Retiro]]="","",MARÍTIMOS[[#This Row],[Puerto de Retiro]]),"")</f>
        <v>CALLAO</v>
      </c>
      <c r="R111" s="2" t="str">
        <f>IFERROR(IF(MARÍTIMOS[[#This Row],[Almacén de Retiro]]="","",MARÍTIMOS[[#This Row],[Almacén de Retiro]]),"")</f>
        <v>DPW</v>
      </c>
      <c r="S111" s="11">
        <f>IFERROR(IF(MARÍTIMOS[[#This Row],[Etapa Retiro - Cita]]="","",MARÍTIMOS[[#This Row],[Etapa Retiro - Cita]]),"")</f>
        <v>46201.416666666664</v>
      </c>
      <c r="T111" s="11">
        <f>IFERROR(IF(MARÍTIMOS[[#This Row],[Etapa Retiro - Llegada]]="","",MARÍTIMOS[[#This Row],[Etapa Retiro - Llegada]]),"")</f>
        <v>46201.421527777777</v>
      </c>
      <c r="U111" s="11">
        <f>IFERROR(IF(MARÍTIMOS[[#This Row],[Etapa Retiro - Ingreso]]="","",MARÍTIMOS[[#This Row],[Etapa Retiro - Ingreso]]),"")</f>
        <v>46201.439583333333</v>
      </c>
      <c r="V111" s="11">
        <f>IFERROR(IF(MARÍTIMOS[[#This Row],[Etapa Retiro - Atención]]="","",MARÍTIMOS[[#This Row],[Etapa Retiro - Atención]]),"")</f>
        <v>46201.458333333336</v>
      </c>
      <c r="W111" s="11">
        <f>IFERROR(IF(MARÍTIMOS[[#This Row],[Etapa Retiro - Salida]]="","",MARÍTIMOS[[#This Row],[Etapa Retiro - Salida]]),"")</f>
        <v>46201.497916666667</v>
      </c>
      <c r="X111" s="11">
        <f>IFERROR(IF(MARÍTIMOS[[#This Row],[Etapa Retiro - Inicio de Ruta]]="","",MARÍTIMOS[[#This Row],[Etapa Retiro - Inicio de Ruta]]),"")</f>
        <v>46201.708333333336</v>
      </c>
      <c r="Y111" s="11">
        <f>IFERROR(IF(MARÍTIMOS[[#This Row],[Hora de Posicionamiento]]="","",MARÍTIMOS[[#This Row],[Hora de Carga]]+MARÍTIMOS[[#This Row],[Hora de Posicionamiento]]),"")</f>
        <v>0.5625</v>
      </c>
      <c r="Z111" s="11">
        <f>IFERROR(IF(MARÍTIMOS[[#This Row],[Etapa Despacho -  Llegada]]="","",MARÍTIMOS[[#This Row],[Etapa Despacho -  Llegada]]),"")</f>
        <v>46202.458333333336</v>
      </c>
      <c r="AA111" s="11">
        <f>IFERROR(IF(MARÍTIMOS[[#This Row],[Etapa Despacho -  Registro]]="","",MARÍTIMOS[[#This Row],[Etapa Despacho -  Registro]]),"")</f>
        <v>46203.236111111109</v>
      </c>
      <c r="AB111" s="11">
        <f>IFERROR(IF(MARÍTIMOS[[#This Row],[Inspección Externa]]="","",MARÍTIMOS[[#This Row],[Inspección Externa]]),"")</f>
        <v>46202.49722222222</v>
      </c>
      <c r="AC111" s="11">
        <f>IFERROR(IF(MARÍTIMOS[[#This Row],[Etapa Despacho -  Inicio de Carga]]="","",MARÍTIMOS[[#This Row],[Etapa Despacho -  Inicio de Carga]]),"")</f>
        <v>46202.5625</v>
      </c>
      <c r="AD111" s="11">
        <f>IFERROR(IF(MARÍTIMOS[[#This Row],[Etapa Despacho -  Fin de Carga]]="","",MARÍTIMOS[[#This Row],[Etapa Despacho -  Fin de Carga]]),"")</f>
        <v>46202.666666666664</v>
      </c>
      <c r="AE111" s="11">
        <f>IFERROR(IF(MARÍTIMOS[[#This Row],[Etapa Despacho -  Salida]]="","",MARÍTIMOS[[#This Row],[Etapa Despacho -  Salida]]),"")</f>
        <v>46202.6875</v>
      </c>
      <c r="AF111" s="2" t="str">
        <f>IFERROR(IF(MARÍTIMOS[[#This Row],[Puerto de Embarque]]="","",MARÍTIMOS[[#This Row],[Puerto de Embarque]]),"")</f>
        <v>CALLAO</v>
      </c>
      <c r="AG111" s="2" t="str">
        <f>IFERROR(IF(MARÍTIMOS[[#This Row],[Almacén de Ingreso]]="","",MARÍTIMOS[[#This Row],[Almacén de Ingreso]]),"")</f>
        <v>DPW</v>
      </c>
      <c r="AH111" s="11">
        <f>IFERROR(IF(MARÍTIMOS[[#This Row],[Etapa Ingreso - Cita]]="","",MARÍTIMOS[[#This Row],[Etapa Ingreso - Cita]]),"")</f>
        <v>46203.208333333336</v>
      </c>
      <c r="AI111" s="11">
        <f>IFERROR(IF(MARÍTIMOS[[#This Row],[Etapa Ingreso - Llegada]]="","",MARÍTIMOS[[#This Row],[Etapa Ingreso - Llegada]]),"")</f>
        <v>46203.220833333333</v>
      </c>
      <c r="AJ111" s="11">
        <f>IFERROR(IF(MARÍTIMOS[[#This Row],[Etapa Ingreso - Ingeso]]="","",MARÍTIMOS[[#This Row],[Etapa Ingreso - Ingeso]]),"")</f>
        <v>46203.236111111109</v>
      </c>
      <c r="AK111" s="11">
        <f>IFERROR(IF(MARÍTIMOS[[#This Row],[Etapa Ingreso - Atención]]="","",MARÍTIMOS[[#This Row],[Etapa Ingreso - Atención]]),"")</f>
        <v>46203.283333333333</v>
      </c>
      <c r="AL111" s="11">
        <f>IFERROR(IF(MARÍTIMOS[[#This Row],[Etapa Ingreso - Salida]]="","",MARÍTIMOS[[#This Row],[Etapa Ingreso - Salida]]),"")</f>
        <v>46203.293055555558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>
        <f>IFERROR(OLDBD[[#This Row],[Llegada a packing]]-OLDBD[[#This Row],[Inicio de Ruta]],"")</f>
        <v>0.75</v>
      </c>
      <c r="AQ111" s="6">
        <f>IFERROR(OLDBD[[#This Row],[Inicio de Ruta]]-OLDBD[[#This Row],[Salida de almacén de retiro]],"")</f>
        <v>0.21041666666860692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1" s="9">
        <f>IFERROR(OLDBD[[#This Row],[Ingreso Packing]]-OLDBD[[#This Row],[Registro en Packing]],"")</f>
        <v>-0.73888888888905058</v>
      </c>
      <c r="AV111" s="9">
        <f>IFERROR(OLDBD[[#This Row],[Ingreso Packing]]-OLDBD[[#This Row],[Llegada a packing]],"")</f>
        <v>3.8888888884685002E-2</v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1" s="5">
        <f>IFERROR(OLDBD[[#This Row],[Llegada Almacén de Ingreso]]-OLDBD[[#This Row],[Salida Packing]],"")</f>
        <v>0.53333333333284827</v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5" t="s">
        <v>181</v>
      </c>
      <c r="BB111" s="53" t="str">
        <f>IFERROR(IF(MARÍTIMOS[[#This Row],[Estatus]]="","",MARÍTIMOS[[#This Row],[Estatus]]),"")</f>
        <v>Confirmado</v>
      </c>
      <c r="BC111" s="45"/>
      <c r="BD111" s="52">
        <f>IFERROR(OLDBD[[#This Row],[Salida de almacén de retiro]]-OLDBD[[#This Row],[Ingreso Almacén de retiro]],"")</f>
        <v>5.8333333334303461E-2</v>
      </c>
      <c r="BE111" s="52">
        <f>IFERROR(OLDBD[[#This Row],[Fin de Carga]]-OLDBD[[#This Row],[Inicio de Carga]],"")</f>
        <v>0.10416666666424135</v>
      </c>
    </row>
    <row r="112" spans="1:57" x14ac:dyDescent="0.35">
      <c r="A112" s="1"/>
      <c r="B112" s="1">
        <f>IFERROR(IF(MARÍTIMOS[[#This Row],[PP]]="","",MARÍTIMOS[[#This Row],[PP]]),"")</f>
        <v>26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RH-0095</v>
      </c>
      <c r="E112" s="1"/>
      <c r="F112" s="2" t="str">
        <f>IFERROR(IF(MARÍTIMOS[[#This Row],[Transportista]]="","",MARÍTIMOS[[#This Row],[Transportista]]),"")</f>
        <v>LIP</v>
      </c>
      <c r="G112" s="2" t="str">
        <f>IFERROR(IF(MARÍTIMOS[[#This Row],[Tercero]]="","",MARÍTIMOS[[#This Row],[Tercero]]),"")</f>
        <v>NO</v>
      </c>
      <c r="H112" s="2" t="str">
        <f>IFERROR(IF(MARÍTIMOS[[#This Row],[Razón Social]]="","",MARÍTIMOS[[#This Row],[Razón Social]]),"")</f>
        <v>LOGISTICA INTERMODAL DEL PERU S.A.C.</v>
      </c>
      <c r="I112" s="2">
        <f>IFERROR(IF(MARÍTIMOS[[#This Row],[RUC]]="","",MARÍTIMOS[[#This Row],[RUC]]),"")</f>
        <v>20513040718</v>
      </c>
      <c r="J112" s="2" t="str">
        <f>IFERROR(IF(MARÍTIMOS[[#This Row],[Placa Tracto]]="","",MARÍTIMOS[[#This Row],[Placa Tracto]]),"")</f>
        <v>CBP-823</v>
      </c>
      <c r="K112" s="2" t="str">
        <f>IFERROR(IF(MARÍTIMOS[[#This Row],[Placa Carreta]]="","",MARÍTIMOS[[#This Row],[Placa Carreta]]),"")</f>
        <v>AKL-987</v>
      </c>
      <c r="L112" s="46" t="str">
        <f>IFERROR(IF(MARÍTIMOS[[#This Row],[Conductor]]="","",MARÍTIMOS[[#This Row],[Conductor]]),"")</f>
        <v>PRADO ALIAGA JOHN ALEX</v>
      </c>
      <c r="M112" s="2" t="str">
        <f>IFERROR(IF(MARÍTIMOS[[#This Row],[Licencia]]="","",MARÍTIMOS[[#This Row],[Licencia]]),"")</f>
        <v>Q40059336</v>
      </c>
      <c r="N112" s="2" t="str">
        <f>IFERROR(IF(MARÍTIMOS[[#This Row],[Número de Contacto]]="","",MARÍTIMOS[[#This Row],[Número de Contacto]]),"")</f>
        <v/>
      </c>
      <c r="O112" s="10" t="str">
        <f>IFERROR(IF(MARÍTIMOS[[#This Row],[Booking|AWB|CRT]]="","",MARÍTIMOS[[#This Row],[Booking|AWB|CRT]]),"")</f>
        <v>LIM600227000</v>
      </c>
      <c r="P112" s="2" t="str">
        <f>IFERROR(IF(MARÍTIMOS[[#This Row],[Contenedor]]="","",MARÍTIMOS[[#This Row],[Contenedor]]),"")</f>
        <v>CAAU4034292</v>
      </c>
      <c r="Q112" s="2" t="str">
        <f>IFERROR(IF(MARÍTIMOS[[#This Row],[Puerto de Retiro]]="","",MARÍTIMOS[[#This Row],[Puerto de Retiro]]),"")</f>
        <v>CALLAO</v>
      </c>
      <c r="R112" s="2" t="str">
        <f>IFERROR(IF(MARÍTIMOS[[#This Row],[Almacén de Retiro]]="","",MARÍTIMOS[[#This Row],[Almacén de Retiro]]),"")</f>
        <v>MACROMAR</v>
      </c>
      <c r="S112" s="11">
        <f>IFERROR(IF(MARÍTIMOS[[#This Row],[Etapa Retiro - Cita]]="","",MARÍTIMOS[[#This Row],[Etapa Retiro - Cita]]),"")</f>
        <v>46200.5</v>
      </c>
      <c r="T112" s="11">
        <f>IFERROR(IF(MARÍTIMOS[[#This Row],[Etapa Retiro - Llegada]]="","",MARÍTIMOS[[#This Row],[Etapa Retiro - Llegada]]),"")</f>
        <v>46200.536111111112</v>
      </c>
      <c r="U112" s="11">
        <f>IFERROR(IF(MARÍTIMOS[[#This Row],[Etapa Retiro - Ingreso]]="","",MARÍTIMOS[[#This Row],[Etapa Retiro - Ingreso]]),"")</f>
        <v>46200.581944444442</v>
      </c>
      <c r="V112" s="11">
        <f>IFERROR(IF(MARÍTIMOS[[#This Row],[Etapa Retiro - Atención]]="","",MARÍTIMOS[[#This Row],[Etapa Retiro - Atención]]),"")</f>
        <v>46200.611111111109</v>
      </c>
      <c r="W112" s="11">
        <f>IFERROR(IF(MARÍTIMOS[[#This Row],[Etapa Retiro - Salida]]="","",MARÍTIMOS[[#This Row],[Etapa Retiro - Salida]]),"")</f>
        <v>46200.619444444441</v>
      </c>
      <c r="X112" s="11">
        <f>IFERROR(IF(MARÍTIMOS[[#This Row],[Etapa Retiro - Inicio de Ruta]]="","",MARÍTIMOS[[#This Row],[Etapa Retiro - Inicio de Ruta]]),"")</f>
        <v>46200.75</v>
      </c>
      <c r="Y112" s="11">
        <f>IFERROR(IF(MARÍTIMOS[[#This Row],[Hora de Posicionamiento]]="","",MARÍTIMOS[[#This Row],[Hora de Carga]]+MARÍTIMOS[[#This Row],[Hora de Posicionamiento]]),"")</f>
        <v>0.5625</v>
      </c>
      <c r="Z112" s="11">
        <f>IFERROR(IF(MARÍTIMOS[[#This Row],[Etapa Despacho -  Llegada]]="","",MARÍTIMOS[[#This Row],[Etapa Despacho -  Llegada]]),"")</f>
        <v>46201.416666666664</v>
      </c>
      <c r="AA112" s="11">
        <f>IFERROR(IF(MARÍTIMOS[[#This Row],[Etapa Despacho -  Registro]]="","",MARÍTIMOS[[#This Row],[Etapa Despacho -  Registro]]),"")</f>
        <v>46202.604166666664</v>
      </c>
      <c r="AB112" s="11">
        <f>IFERROR(IF(MARÍTIMOS[[#This Row],[Inspección Externa]]="","",MARÍTIMOS[[#This Row],[Inspección Externa]]),"")</f>
        <v>46201.4375</v>
      </c>
      <c r="AC112" s="11">
        <f>IFERROR(IF(MARÍTIMOS[[#This Row],[Etapa Despacho -  Inicio de Carga]]="","",MARÍTIMOS[[#This Row],[Etapa Despacho -  Inicio de Carga]]),"")</f>
        <v>46201.458333333336</v>
      </c>
      <c r="AD112" s="11">
        <f>IFERROR(IF(MARÍTIMOS[[#This Row],[Etapa Despacho -  Fin de Carga]]="","",MARÍTIMOS[[#This Row],[Etapa Despacho -  Fin de Carga]]),"")</f>
        <v>46201.75</v>
      </c>
      <c r="AE112" s="11">
        <f>IFERROR(IF(MARÍTIMOS[[#This Row],[Etapa Despacho -  Salida]]="","",MARÍTIMOS[[#This Row],[Etapa Despacho -  Salida]]),"")</f>
        <v>46201.818749999999</v>
      </c>
      <c r="AF112" s="2" t="str">
        <f>IFERROR(IF(MARÍTIMOS[[#This Row],[Puerto de Embarque]]="","",MARÍTIMOS[[#This Row],[Puerto de Embarque]]),"")</f>
        <v>CALLAO</v>
      </c>
      <c r="AG112" s="2" t="str">
        <f>IFERROR(IF(MARÍTIMOS[[#This Row],[Almacén de Ingreso]]="","",MARÍTIMOS[[#This Row],[Almacén de Ingreso]]),"")</f>
        <v>DPW</v>
      </c>
      <c r="AH112" s="11">
        <f>IFERROR(IF(MARÍTIMOS[[#This Row],[Etapa Ingreso - Cita]]="","",MARÍTIMOS[[#This Row],[Etapa Ingreso - Cita]]),"")</f>
        <v>46202.583333333336</v>
      </c>
      <c r="AI112" s="11">
        <f>IFERROR(IF(MARÍTIMOS[[#This Row],[Etapa Ingreso - Llegada]]="","",MARÍTIMOS[[#This Row],[Etapa Ingreso - Llegada]]),"")</f>
        <v>46202.602083333331</v>
      </c>
      <c r="AJ112" s="11">
        <f>IFERROR(IF(MARÍTIMOS[[#This Row],[Etapa Ingreso - Ingeso]]="","",MARÍTIMOS[[#This Row],[Etapa Ingreso - Ingeso]]),"")</f>
        <v>46202.625</v>
      </c>
      <c r="AK112" s="11">
        <f>IFERROR(IF(MARÍTIMOS[[#This Row],[Etapa Ingreso - Atención]]="","",MARÍTIMOS[[#This Row],[Etapa Ingreso - Atención]]),"")</f>
        <v>46202.659722222219</v>
      </c>
      <c r="AL112" s="11">
        <f>IFERROR(IF(MARÍTIMOS[[#This Row],[Etapa Ingreso - Salida]]="","",MARÍTIMOS[[#This Row],[Etapa Ingreso - Salida]]),"")</f>
        <v>46202.659722222219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>
        <f>IFERROR(OLDBD[[#This Row],[Llegada a packing]]-OLDBD[[#This Row],[Inicio de Ruta]],"")</f>
        <v>0.66666666666424135</v>
      </c>
      <c r="AQ112" s="6">
        <f>IFERROR(OLDBD[[#This Row],[Inicio de Ruta]]-OLDBD[[#This Row],[Salida de almacén de retiro]],"")</f>
        <v>0.13055555555911269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2" s="9">
        <f>IFERROR(OLDBD[[#This Row],[Ingreso Packing]]-OLDBD[[#This Row],[Registro en Packing]],"")</f>
        <v>-1.1666666666642413</v>
      </c>
      <c r="AV112" s="9">
        <f>IFERROR(OLDBD[[#This Row],[Ingreso Packing]]-OLDBD[[#This Row],[Llegada a packing]],"")</f>
        <v>2.0833333335758653E-2</v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2" s="5">
        <f>IFERROR(OLDBD[[#This Row],[Llegada Almacén de Ingreso]]-OLDBD[[#This Row],[Salida Packing]],"")</f>
        <v>0.78333333333284827</v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2" s="45" t="s">
        <v>181</v>
      </c>
      <c r="BB112" s="53" t="str">
        <f>IFERROR(IF(MARÍTIMOS[[#This Row],[Estatus]]="","",MARÍTIMOS[[#This Row],[Estatus]]),"")</f>
        <v>Confirmado</v>
      </c>
      <c r="BC112" s="45"/>
      <c r="BD112" s="52">
        <f>IFERROR(OLDBD[[#This Row],[Salida de almacén de retiro]]-OLDBD[[#This Row],[Ingreso Almacén de retiro]],"")</f>
        <v>3.7499999998544808E-2</v>
      </c>
      <c r="BE112" s="52">
        <f>IFERROR(OLDBD[[#This Row],[Fin de Carga]]-OLDBD[[#This Row],[Inicio de Carga]],"")</f>
        <v>0.29166666666424135</v>
      </c>
    </row>
    <row r="113" spans="1:57" x14ac:dyDescent="0.35">
      <c r="A113" s="1"/>
      <c r="B113" s="1">
        <f>IFERROR(IF(MARÍTIMOS[[#This Row],[PP]]="","",MARÍTIMOS[[#This Row],[PP]]),"")</f>
        <v>26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RH-0096</v>
      </c>
      <c r="E113" s="1"/>
      <c r="F113" s="2" t="str">
        <f>IFERROR(IF(MARÍTIMOS[[#This Row],[Transportista]]="","",MARÍTIMOS[[#This Row],[Transportista]]),"")</f>
        <v>LIP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>LOGISTICA INTERMODAL DEL PERU S.A.C.</v>
      </c>
      <c r="I113" s="2">
        <f>IFERROR(IF(MARÍTIMOS[[#This Row],[RUC]]="","",MARÍTIMOS[[#This Row],[RUC]]),"")</f>
        <v>20513040718</v>
      </c>
      <c r="J113" s="2" t="str">
        <f>IFERROR(IF(MARÍTIMOS[[#This Row],[Placa Tracto]]="","",MARÍTIMOS[[#This Row],[Placa Tracto]]),"")</f>
        <v>BSE-784</v>
      </c>
      <c r="K113" s="2" t="str">
        <f>IFERROR(IF(MARÍTIMOS[[#This Row],[Placa Carreta]]="","",MARÍTIMOS[[#This Row],[Placa Carreta]]),"")</f>
        <v>BDG-979</v>
      </c>
      <c r="L113" s="46" t="str">
        <f>IFERROR(IF(MARÍTIMOS[[#This Row],[Conductor]]="","",MARÍTIMOS[[#This Row],[Conductor]]),"")</f>
        <v>TOSCANO SACCSA RICHARD VICENTE</v>
      </c>
      <c r="M113" s="2" t="str">
        <f>IFERROR(IF(MARÍTIMOS[[#This Row],[Licencia]]="","",MARÍTIMOS[[#This Row],[Licencia]]),"")</f>
        <v>Q10741867</v>
      </c>
      <c r="N113" s="2" t="str">
        <f>IFERROR(IF(MARÍTIMOS[[#This Row],[Número de Contacto]]="","",MARÍTIMOS[[#This Row],[Número de Contacto]]),"")</f>
        <v/>
      </c>
      <c r="O113" s="10">
        <f>IFERROR(IF(MARÍTIMOS[[#This Row],[Booking|AWB|CRT]]="","",MARÍTIMOS[[#This Row],[Booking|AWB|CRT]]),"")</f>
        <v>751600035719</v>
      </c>
      <c r="P113" s="2" t="str">
        <f>IFERROR(IF(MARÍTIMOS[[#This Row],[Contenedor]]="","",MARÍTIMOS[[#This Row],[Contenedor]]),"")</f>
        <v>EMCU5674060</v>
      </c>
      <c r="Q113" s="2" t="str">
        <f>IFERROR(IF(MARÍTIMOS[[#This Row],[Puerto de Retiro]]="","",MARÍTIMOS[[#This Row],[Puerto de Retiro]]),"")</f>
        <v>CALLAO</v>
      </c>
      <c r="R113" s="2" t="str">
        <f>IFERROR(IF(MARÍTIMOS[[#This Row],[Almacén de Retiro]]="","",MARÍTIMOS[[#This Row],[Almacén de Retiro]]),"")</f>
        <v>DPW</v>
      </c>
      <c r="S113" s="11">
        <f>IFERROR(IF(MARÍTIMOS[[#This Row],[Etapa Retiro - Cita]]="","",MARÍTIMOS[[#This Row],[Etapa Retiro - Cita]]),"")</f>
        <v>46200.583333333336</v>
      </c>
      <c r="T113" s="11">
        <f>IFERROR(IF(MARÍTIMOS[[#This Row],[Etapa Retiro - Llegada]]="","",MARÍTIMOS[[#This Row],[Etapa Retiro - Llegada]]),"")</f>
        <v>46200.583333333336</v>
      </c>
      <c r="U113" s="11">
        <f>IFERROR(IF(MARÍTIMOS[[#This Row],[Etapa Retiro - Ingreso]]="","",MARÍTIMOS[[#This Row],[Etapa Retiro - Ingreso]]),"")</f>
        <v>46200.586805555555</v>
      </c>
      <c r="V113" s="11">
        <f>IFERROR(IF(MARÍTIMOS[[#This Row],[Etapa Retiro - Atención]]="","",MARÍTIMOS[[#This Row],[Etapa Retiro - Atención]]),"")</f>
        <v>46200.633333333331</v>
      </c>
      <c r="W113" s="11">
        <f>IFERROR(IF(MARÍTIMOS[[#This Row],[Etapa Retiro - Salida]]="","",MARÍTIMOS[[#This Row],[Etapa Retiro - Salida]]),"")</f>
        <v>46200.634027777778</v>
      </c>
      <c r="X113" s="11">
        <f>IFERROR(IF(MARÍTIMOS[[#This Row],[Etapa Retiro - Inicio de Ruta]]="","",MARÍTIMOS[[#This Row],[Etapa Retiro - Inicio de Ruta]]),"")</f>
        <v>46200.666666666664</v>
      </c>
      <c r="Y113" s="11">
        <f>IFERROR(IF(MARÍTIMOS[[#This Row],[Hora de Posicionamiento]]="","",MARÍTIMOS[[#This Row],[Hora de Carga]]+MARÍTIMOS[[#This Row],[Hora de Posicionamiento]]),"")</f>
        <v>0.60416666666666663</v>
      </c>
      <c r="Z113" s="11">
        <f>IFERROR(IF(MARÍTIMOS[[#This Row],[Etapa Despacho -  Llegada]]="","",MARÍTIMOS[[#This Row],[Etapa Despacho -  Llegada]]),"")</f>
        <v>46201.416666666664</v>
      </c>
      <c r="AA113" s="11">
        <f>IFERROR(IF(MARÍTIMOS[[#This Row],[Etapa Despacho -  Registro]]="","",MARÍTIMOS[[#This Row],[Etapa Despacho -  Registro]]),"")</f>
        <v>46202.527777777781</v>
      </c>
      <c r="AB113" s="11">
        <f>IFERROR(IF(MARÍTIMOS[[#This Row],[Inspección Externa]]="","",MARÍTIMOS[[#This Row],[Inspección Externa]]),"")</f>
        <v>46201.430555555555</v>
      </c>
      <c r="AC113" s="11">
        <f>IFERROR(IF(MARÍTIMOS[[#This Row],[Etapa Despacho -  Inicio de Carga]]="","",MARÍTIMOS[[#This Row],[Etapa Despacho -  Inicio de Carga]]),"")</f>
        <v>46201.486111111109</v>
      </c>
      <c r="AD113" s="11">
        <f>IFERROR(IF(MARÍTIMOS[[#This Row],[Etapa Despacho -  Fin de Carga]]="","",MARÍTIMOS[[#This Row],[Etapa Despacho -  Fin de Carga]]),"")</f>
        <v>46201.75</v>
      </c>
      <c r="AE113" s="11">
        <f>IFERROR(IF(MARÍTIMOS[[#This Row],[Etapa Despacho -  Salida]]="","",MARÍTIMOS[[#This Row],[Etapa Despacho -  Salida]]),"")</f>
        <v>46201.763194444444</v>
      </c>
      <c r="AF113" s="2" t="str">
        <f>IFERROR(IF(MARÍTIMOS[[#This Row],[Puerto de Embarque]]="","",MARÍTIMOS[[#This Row],[Puerto de Embarque]]),"")</f>
        <v>CALLAO</v>
      </c>
      <c r="AG113" s="2" t="str">
        <f>IFERROR(IF(MARÍTIMOS[[#This Row],[Almacén de Ingreso]]="","",MARÍTIMOS[[#This Row],[Almacén de Ingreso]]),"")</f>
        <v>DPW</v>
      </c>
      <c r="AH113" s="11">
        <f>IFERROR(IF(MARÍTIMOS[[#This Row],[Etapa Ingreso - Cita]]="","",MARÍTIMOS[[#This Row],[Etapa Ingreso - Cita]]),"")</f>
        <v>46202.5</v>
      </c>
      <c r="AI113" s="11">
        <f>IFERROR(IF(MARÍTIMOS[[#This Row],[Etapa Ingreso - Llegada]]="","",MARÍTIMOS[[#This Row],[Etapa Ingreso - Llegada]]),"")</f>
        <v>46202.517361111109</v>
      </c>
      <c r="AJ113" s="11">
        <f>IFERROR(IF(MARÍTIMOS[[#This Row],[Etapa Ingreso - Ingeso]]="","",MARÍTIMOS[[#This Row],[Etapa Ingreso - Ingeso]]),"")</f>
        <v>46202.5</v>
      </c>
      <c r="AK113" s="11">
        <f>IFERROR(IF(MARÍTIMOS[[#This Row],[Etapa Ingreso - Atención]]="","",MARÍTIMOS[[#This Row],[Etapa Ingreso - Atención]]),"")</f>
        <v>46202.541666666664</v>
      </c>
      <c r="AL113" s="11">
        <f>IFERROR(IF(MARÍTIMOS[[#This Row],[Etapa Ingreso - Salida]]="","",MARÍTIMOS[[#This Row],[Etapa Ingreso - Salida]]),"")</f>
        <v>46202.554166666669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>
        <f>IFERROR(OLDBD[[#This Row],[Llegada a packing]]-OLDBD[[#This Row],[Inicio de Ruta]],"")</f>
        <v>0.75</v>
      </c>
      <c r="AQ113" s="6">
        <f>IFERROR(OLDBD[[#This Row],[Inicio de Ruta]]-OLDBD[[#This Row],[Salida de almacén de retiro]],"")</f>
        <v>3.2638888886140194E-2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3" s="9">
        <f>IFERROR(OLDBD[[#This Row],[Ingreso Packing]]-OLDBD[[#This Row],[Registro en Packing]],"")</f>
        <v>-1.0972222222262644</v>
      </c>
      <c r="AV113" s="9">
        <f>IFERROR(OLDBD[[#This Row],[Ingreso Packing]]-OLDBD[[#This Row],[Llegada a packing]],"")</f>
        <v>1.3888888890505768E-2</v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3" s="5">
        <f>IFERROR(OLDBD[[#This Row],[Llegada Almacén de Ingreso]]-OLDBD[[#This Row],[Salida Packing]],"")</f>
        <v>0.75416666666569654</v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3" s="45" t="s">
        <v>181</v>
      </c>
      <c r="BB113" s="53" t="str">
        <f>IFERROR(IF(MARÍTIMOS[[#This Row],[Estatus]]="","",MARÍTIMOS[[#This Row],[Estatus]]),"")</f>
        <v>Confirmado</v>
      </c>
      <c r="BC113" s="45"/>
      <c r="BD113" s="52">
        <f>IFERROR(OLDBD[[#This Row],[Salida de almacén de retiro]]-OLDBD[[#This Row],[Ingreso Almacén de retiro]],"")</f>
        <v>4.7222222223354038E-2</v>
      </c>
      <c r="BE113" s="52">
        <f>IFERROR(OLDBD[[#This Row],[Fin de Carga]]-OLDBD[[#This Row],[Inicio de Carga]],"")</f>
        <v>0.26388888889050577</v>
      </c>
    </row>
    <row r="114" spans="1:57" x14ac:dyDescent="0.35">
      <c r="A114" s="1"/>
      <c r="B114" s="1">
        <f>IFERROR(IF(MARÍTIMOS[[#This Row],[PP]]="","",MARÍTIMOS[[#This Row],[PP]]),"")</f>
        <v>26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RH-0103</v>
      </c>
      <c r="E114" s="1"/>
      <c r="F114" s="2" t="str">
        <f>IFERROR(IF(MARÍTIMOS[[#This Row],[Transportista]]="","",MARÍTIMOS[[#This Row],[Transportista]]),"")</f>
        <v>LIP</v>
      </c>
      <c r="G114" s="2" t="str">
        <f>IFERROR(IF(MARÍTIMOS[[#This Row],[Tercero]]="","",MARÍTIMOS[[#This Row],[Tercero]]),"")</f>
        <v>SI</v>
      </c>
      <c r="H114" s="2" t="str">
        <f>IFERROR(IF(MARÍTIMOS[[#This Row],[Razón Social]]="","",MARÍTIMOS[[#This Row],[Razón Social]]),"")</f>
        <v>EDVAS LOGISTICA S.A.C.</v>
      </c>
      <c r="I114" s="2">
        <f>IFERROR(IF(MARÍTIMOS[[#This Row],[RUC]]="","",MARÍTIMOS[[#This Row],[RUC]]),"")</f>
        <v>20614258153</v>
      </c>
      <c r="J114" s="2" t="str">
        <f>IFERROR(IF(MARÍTIMOS[[#This Row],[Placa Tracto]]="","",MARÍTIMOS[[#This Row],[Placa Tracto]]),"")</f>
        <v>C8W-936</v>
      </c>
      <c r="K114" s="2" t="str">
        <f>IFERROR(IF(MARÍTIMOS[[#This Row],[Placa Carreta]]="","",MARÍTIMOS[[#This Row],[Placa Carreta]]),"")</f>
        <v>C2M-991</v>
      </c>
      <c r="L114" s="46" t="str">
        <f>IFERROR(IF(MARÍTIMOS[[#This Row],[Conductor]]="","",MARÍTIMOS[[#This Row],[Conductor]]),"")</f>
        <v>VASQUEZ ROSALES EDWIN VICTOR</v>
      </c>
      <c r="M114" s="2" t="str">
        <f>IFERROR(IF(MARÍTIMOS[[#This Row],[Licencia]]="","",MARÍTIMOS[[#This Row],[Licencia]]),"")</f>
        <v>E31680003</v>
      </c>
      <c r="N114" s="2" t="str">
        <f>IFERROR(IF(MARÍTIMOS[[#This Row],[Número de Contacto]]="","",MARÍTIMOS[[#This Row],[Número de Contacto]]),"")</f>
        <v/>
      </c>
      <c r="O114" s="10" t="str">
        <f>IFERROR(IF(MARÍTIMOS[[#This Row],[Booking|AWB|CRT]]="","",MARÍTIMOS[[#This Row],[Booking|AWB|CRT]]),"")</f>
        <v>LIM600227100</v>
      </c>
      <c r="P114" s="2" t="str">
        <f>IFERROR(IF(MARÍTIMOS[[#This Row],[Contenedor]]="","",MARÍTIMOS[[#This Row],[Contenedor]]),"")</f>
        <v>FBIU5739877</v>
      </c>
      <c r="Q114" s="2" t="str">
        <f>IFERROR(IF(MARÍTIMOS[[#This Row],[Puerto de Retiro]]="","",MARÍTIMOS[[#This Row],[Puerto de Retiro]]),"")</f>
        <v>CALLAO</v>
      </c>
      <c r="R114" s="2" t="str">
        <f>IFERROR(IF(MARÍTIMOS[[#This Row],[Almacén de Retiro]]="","",MARÍTIMOS[[#This Row],[Almacén de Retiro]]),"")</f>
        <v>CONTRANS</v>
      </c>
      <c r="S114" s="11">
        <f>IFERROR(IF(MARÍTIMOS[[#This Row],[Etapa Retiro - Cita]]="","",MARÍTIMOS[[#This Row],[Etapa Retiro - Cita]]),"")</f>
        <v>46201.541666666664</v>
      </c>
      <c r="T114" s="11">
        <f>IFERROR(IF(MARÍTIMOS[[#This Row],[Etapa Retiro - Llegada]]="","",MARÍTIMOS[[#This Row],[Etapa Retiro - Llegada]]),"")</f>
        <v>46201.565972222219</v>
      </c>
      <c r="U114" s="11">
        <f>IFERROR(IF(MARÍTIMOS[[#This Row],[Etapa Retiro - Ingreso]]="","",MARÍTIMOS[[#This Row],[Etapa Retiro - Ingreso]]),"")</f>
        <v>46201.569444444445</v>
      </c>
      <c r="V114" s="11" t="str">
        <f>IFERROR(IF(MARÍTIMOS[[#This Row],[Etapa Retiro - Atención]]="","",MARÍTIMOS[[#This Row],[Etapa Retiro - Atención]]),"")</f>
        <v/>
      </c>
      <c r="W114" s="11">
        <f>IFERROR(IF(MARÍTIMOS[[#This Row],[Etapa Retiro - Salida]]="","",MARÍTIMOS[[#This Row],[Etapa Retiro - Salida]]),"")</f>
        <v>46201.668749999997</v>
      </c>
      <c r="X114" s="11">
        <f>IFERROR(IF(MARÍTIMOS[[#This Row],[Etapa Retiro - Inicio de Ruta]]="","",MARÍTIMOS[[#This Row],[Etapa Retiro - Inicio de Ruta]]),"")</f>
        <v>46201.75</v>
      </c>
      <c r="Y114" s="11">
        <f>IFERROR(IF(MARÍTIMOS[[#This Row],[Hora de Posicionamiento]]="","",MARÍTIMOS[[#This Row],[Hora de Carga]]+MARÍTIMOS[[#This Row],[Hora de Posicionamiento]]),"")</f>
        <v>0.60416666666666663</v>
      </c>
      <c r="Z114" s="11">
        <f>IFERROR(IF(MARÍTIMOS[[#This Row],[Etapa Despacho -  Llegada]]="","",MARÍTIMOS[[#This Row],[Etapa Despacho -  Llegada]]),"")</f>
        <v>46202.541666666664</v>
      </c>
      <c r="AA114" s="11">
        <f>IFERROR(IF(MARÍTIMOS[[#This Row],[Etapa Despacho -  Registro]]="","",MARÍTIMOS[[#This Row],[Etapa Despacho -  Registro]]),"")</f>
        <v>46203.277777777781</v>
      </c>
      <c r="AB114" s="11">
        <f>IFERROR(IF(MARÍTIMOS[[#This Row],[Inspección Externa]]="","",MARÍTIMOS[[#This Row],[Inspección Externa]]),"")</f>
        <v>46202.560416666667</v>
      </c>
      <c r="AC114" s="11">
        <f>IFERROR(IF(MARÍTIMOS[[#This Row],[Etapa Despacho -  Inicio de Carga]]="","",MARÍTIMOS[[#This Row],[Etapa Despacho -  Inicio de Carga]]),"")</f>
        <v>46202.583333333336</v>
      </c>
      <c r="AD114" s="11">
        <f>IFERROR(IF(MARÍTIMOS[[#This Row],[Etapa Despacho -  Fin de Carga]]="","",MARÍTIMOS[[#This Row],[Etapa Despacho -  Fin de Carga]]),"")</f>
        <v>46202.6875</v>
      </c>
      <c r="AE114" s="11">
        <f>IFERROR(IF(MARÍTIMOS[[#This Row],[Etapa Despacho -  Salida]]="","",MARÍTIMOS[[#This Row],[Etapa Despacho -  Salida]]),"")</f>
        <v>46202.708333333336</v>
      </c>
      <c r="AF114" s="2" t="str">
        <f>IFERROR(IF(MARÍTIMOS[[#This Row],[Puerto de Embarque]]="","",MARÍTIMOS[[#This Row],[Puerto de Embarque]]),"")</f>
        <v>CALLAO</v>
      </c>
      <c r="AG114" s="2" t="str">
        <f>IFERROR(IF(MARÍTIMOS[[#This Row],[Almacén de Ingreso]]="","",MARÍTIMOS[[#This Row],[Almacén de Ingreso]]),"")</f>
        <v>DPW</v>
      </c>
      <c r="AH114" s="11">
        <f>IFERROR(IF(MARÍTIMOS[[#This Row],[Etapa Ingreso - Cita]]="","",MARÍTIMOS[[#This Row],[Etapa Ingreso - Cita]]),"")</f>
        <v>46203.25</v>
      </c>
      <c r="AI114" s="11">
        <f>IFERROR(IF(MARÍTIMOS[[#This Row],[Etapa Ingreso - Llegada]]="","",MARÍTIMOS[[#This Row],[Etapa Ingreso - Llegada]]),"")</f>
        <v>46203.263888888891</v>
      </c>
      <c r="AJ114" s="11">
        <f>IFERROR(IF(MARÍTIMOS[[#This Row],[Etapa Ingreso - Ingeso]]="","",MARÍTIMOS[[#This Row],[Etapa Ingreso - Ingeso]]),"")</f>
        <v>46203.270833333336</v>
      </c>
      <c r="AK114" s="11">
        <f>IFERROR(IF(MARÍTIMOS[[#This Row],[Etapa Ingreso - Atención]]="","",MARÍTIMOS[[#This Row],[Etapa Ingreso - Atención]]),"")</f>
        <v>46203.321527777778</v>
      </c>
      <c r="AL114" s="11">
        <f>IFERROR(IF(MARÍTIMOS[[#This Row],[Etapa Ingreso - Salida]]="","",MARÍTIMOS[[#This Row],[Etapa Ingreso - Salida]]),"")</f>
        <v>46203.336805555555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4" s="5">
        <f>IFERROR(OLDBD[[#This Row],[Llegada a packing]]-OLDBD[[#This Row],[Inicio de Ruta]],"")</f>
        <v>0.79166666666424135</v>
      </c>
      <c r="AQ114" s="6">
        <f>IFERROR(OLDBD[[#This Row],[Inicio de Ruta]]-OLDBD[[#This Row],[Salida de almacén de retiro]],"")</f>
        <v>8.1250000002910383E-2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4" s="9">
        <f>IFERROR(OLDBD[[#This Row],[Ingreso Packing]]-OLDBD[[#This Row],[Registro en Packing]],"")</f>
        <v>-0.71736111111385981</v>
      </c>
      <c r="AV114" s="9">
        <f>IFERROR(OLDBD[[#This Row],[Ingreso Packing]]-OLDBD[[#This Row],[Llegada a packing]],"")</f>
        <v>1.8750000002910383E-2</v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4" s="5">
        <f>IFERROR(OLDBD[[#This Row],[Llegada Almacén de Ingreso]]-OLDBD[[#This Row],[Salida Packing]],"")</f>
        <v>0.55555555555474712</v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4" s="45" t="s">
        <v>181</v>
      </c>
      <c r="BB114" s="53" t="str">
        <f>IFERROR(IF(MARÍTIMOS[[#This Row],[Estatus]]="","",MARÍTIMOS[[#This Row],[Estatus]]),"")</f>
        <v>Confirmado</v>
      </c>
      <c r="BC114" s="45"/>
      <c r="BD114" s="52">
        <f>IFERROR(OLDBD[[#This Row],[Salida de almacén de retiro]]-OLDBD[[#This Row],[Ingreso Almacén de retiro]],"")</f>
        <v>9.9305555551836733E-2</v>
      </c>
      <c r="BE114" s="52">
        <f>IFERROR(OLDBD[[#This Row],[Fin de Carga]]-OLDBD[[#This Row],[Inicio de Carga]],"")</f>
        <v>0.10416666666424135</v>
      </c>
    </row>
    <row r="115" spans="1:57" x14ac:dyDescent="0.35">
      <c r="A115" s="1"/>
      <c r="B115" s="1">
        <f>IFERROR(IF(MARÍTIMOS[[#This Row],[PP]]="","",MARÍTIMOS[[#This Row],[PP]]),"")</f>
        <v>27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RH-0106</v>
      </c>
      <c r="E115" s="1"/>
      <c r="F115" s="2" t="str">
        <f>IFERROR(IF(MARÍTIMOS[[#This Row],[Transportista]]="","",MARÍTIMOS[[#This Row],[Transportista]]),"")</f>
        <v>LIP</v>
      </c>
      <c r="G115" s="2" t="str">
        <f>IFERROR(IF(MARÍTIMOS[[#This Row],[Tercero]]="","",MARÍTIMOS[[#This Row],[Tercero]]),"")</f>
        <v>NO</v>
      </c>
      <c r="H115" s="2" t="str">
        <f>IFERROR(IF(MARÍTIMOS[[#This Row],[Razón Social]]="","",MARÍTIMOS[[#This Row],[Razón Social]]),"")</f>
        <v>LOGISTICA INTERMODAL DEL PERU S.A.C.</v>
      </c>
      <c r="I115" s="2">
        <f>IFERROR(IF(MARÍTIMOS[[#This Row],[RUC]]="","",MARÍTIMOS[[#This Row],[RUC]]),"")</f>
        <v>20513040718</v>
      </c>
      <c r="J115" s="2" t="str">
        <f>IFERROR(IF(MARÍTIMOS[[#This Row],[Placa Tracto]]="","",MARÍTIMOS[[#This Row],[Placa Tracto]]),"")</f>
        <v>AMP-767</v>
      </c>
      <c r="K115" s="2" t="str">
        <f>IFERROR(IF(MARÍTIMOS[[#This Row],[Placa Carreta]]="","",MARÍTIMOS[[#This Row],[Placa Carreta]]),"")</f>
        <v>AZL-971</v>
      </c>
      <c r="L115" s="46" t="str">
        <f>IFERROR(IF(MARÍTIMOS[[#This Row],[Conductor]]="","",MARÍTIMOS[[#This Row],[Conductor]]),"")</f>
        <v>POPAYAN DOMINGUEZ OSCAR CANTO</v>
      </c>
      <c r="M115" s="2" t="str">
        <f>IFERROR(IF(MARÍTIMOS[[#This Row],[Licencia]]="","",MARÍTIMOS[[#This Row],[Licencia]]),"")</f>
        <v>Q32110321</v>
      </c>
      <c r="N115" s="2" t="str">
        <f>IFERROR(IF(MARÍTIMOS[[#This Row],[Número de Contacto]]="","",MARÍTIMOS[[#This Row],[Número de Contacto]]),"")</f>
        <v/>
      </c>
      <c r="O115" s="10" t="str">
        <f>IFERROR(IF(MARÍTIMOS[[#This Row],[Booking|AWB|CRT]]="","",MARÍTIMOS[[#This Row],[Booking|AWB|CRT]]),"")</f>
        <v>6506665420</v>
      </c>
      <c r="P115" s="2" t="str">
        <f>IFERROR(IF(MARÍTIMOS[[#This Row],[Contenedor]]="","",MARÍTIMOS[[#This Row],[Contenedor]]),"")</f>
        <v>OERU4274539</v>
      </c>
      <c r="Q115" s="2" t="str">
        <f>IFERROR(IF(MARÍTIMOS[[#This Row],[Puerto de Retiro]]="","",MARÍTIMOS[[#This Row],[Puerto de Retiro]]),"")</f>
        <v>CALLAO</v>
      </c>
      <c r="R115" s="2" t="str">
        <f>IFERROR(IF(MARÍTIMOS[[#This Row],[Almacén de Retiro]]="","",MARÍTIMOS[[#This Row],[Almacén de Retiro]]),"")</f>
        <v>CSPCP</v>
      </c>
      <c r="S115" s="11">
        <f>IFERROR(IF(MARÍTIMOS[[#This Row],[Etapa Retiro - Cita]]="","",MARÍTIMOS[[#This Row],[Etapa Retiro - Cita]]),"")</f>
        <v>46205.625</v>
      </c>
      <c r="T115" s="11">
        <f>IFERROR(IF(MARÍTIMOS[[#This Row],[Etapa Retiro - Llegada]]="","",MARÍTIMOS[[#This Row],[Etapa Retiro - Llegada]]),"")</f>
        <v>46205.603472222225</v>
      </c>
      <c r="U115" s="11">
        <f>IFERROR(IF(MARÍTIMOS[[#This Row],[Etapa Retiro - Ingreso]]="","",MARÍTIMOS[[#This Row],[Etapa Retiro - Ingreso]]),"")</f>
        <v>46205.604861111111</v>
      </c>
      <c r="V115" s="11">
        <f>IFERROR(IF(MARÍTIMOS[[#This Row],[Etapa Retiro - Atención]]="","",MARÍTIMOS[[#This Row],[Etapa Retiro - Atención]]),"")</f>
        <v>46205.649305555555</v>
      </c>
      <c r="W115" s="11">
        <f>IFERROR(IF(MARÍTIMOS[[#This Row],[Etapa Retiro - Salida]]="","",MARÍTIMOS[[#This Row],[Etapa Retiro - Salida]]),"")</f>
        <v>46205.696527777778</v>
      </c>
      <c r="X115" s="11">
        <f>IFERROR(IF(MARÍTIMOS[[#This Row],[Etapa Retiro - Inicio de Ruta]]="","",MARÍTIMOS[[#This Row],[Etapa Retiro - Inicio de Ruta]]),"")</f>
        <v>46205.75</v>
      </c>
      <c r="Y115" s="11" t="str">
        <f>IFERROR(IF(MARÍTIMOS[[#This Row],[Hora de Posicionamiento]]="","",MARÍTIMOS[[#This Row],[Hora de Carga]]+MARÍTIMOS[[#This Row],[Hora de Posicionamiento]]),"")</f>
        <v/>
      </c>
      <c r="Z115" s="11">
        <f>IFERROR(IF(MARÍTIMOS[[#This Row],[Etapa Despacho -  Llegada]]="","",MARÍTIMOS[[#This Row],[Etapa Despacho -  Llegada]]),"")</f>
        <v>46206.416666666664</v>
      </c>
      <c r="AA115" s="11">
        <f>IFERROR(IF(MARÍTIMOS[[#This Row],[Etapa Despacho -  Registro]]="","",MARÍTIMOS[[#This Row],[Etapa Despacho -  Registro]]),"")</f>
        <v>46206.666666666664</v>
      </c>
      <c r="AB115" s="11">
        <f>IFERROR(IF(MARÍTIMOS[[#This Row],[Inspección Externa]]="","",MARÍTIMOS[[#This Row],[Inspección Externa]]),"")</f>
        <v>46206.450694444444</v>
      </c>
      <c r="AC115" s="11">
        <f>IFERROR(IF(MARÍTIMOS[[#This Row],[Etapa Despacho -  Inicio de Carga]]="","",MARÍTIMOS[[#This Row],[Etapa Despacho -  Inicio de Carga]]),"")</f>
        <v>46206.493055555555</v>
      </c>
      <c r="AD115" s="11">
        <f>IFERROR(IF(MARÍTIMOS[[#This Row],[Etapa Despacho -  Fin de Carga]]="","",MARÍTIMOS[[#This Row],[Etapa Despacho -  Fin de Carga]]),"")</f>
        <v>46206.729166666664</v>
      </c>
      <c r="AE115" s="11">
        <f>IFERROR(IF(MARÍTIMOS[[#This Row],[Etapa Despacho -  Salida]]="","",MARÍTIMOS[[#This Row],[Etapa Despacho -  Salida]]),"")</f>
        <v>46206.787499999999</v>
      </c>
      <c r="AF115" s="2" t="str">
        <f>IFERROR(IF(MARÍTIMOS[[#This Row],[Puerto de Embarque]]="","",MARÍTIMOS[[#This Row],[Puerto de Embarque]]),"")</f>
        <v>CALLAO</v>
      </c>
      <c r="AG115" s="2" t="str">
        <f>IFERROR(IF(MARÍTIMOS[[#This Row],[Almacén de Ingreso]]="","",MARÍTIMOS[[#This Row],[Almacén de Ingreso]]),"")</f>
        <v>CSPCP</v>
      </c>
      <c r="AH115" s="11">
        <f>IFERROR(IF(MARÍTIMOS[[#This Row],[Etapa Ingreso - Cita]]="","",MARÍTIMOS[[#This Row],[Etapa Ingreso - Cita]]),"")</f>
        <v>46207.333333333336</v>
      </c>
      <c r="AI115" s="11">
        <f>IFERROR(IF(MARÍTIMOS[[#This Row],[Etapa Ingreso - Llegada]]="","",MARÍTIMOS[[#This Row],[Etapa Ingreso - Llegada]]),"")</f>
        <v>46207.35833333333</v>
      </c>
      <c r="AJ115" s="11">
        <f>IFERROR(IF(MARÍTIMOS[[#This Row],[Etapa Ingreso - Ingeso]]="","",MARÍTIMOS[[#This Row],[Etapa Ingreso - Ingeso]]),"")</f>
        <v>46207.359722222223</v>
      </c>
      <c r="AK115" s="11">
        <f>IFERROR(IF(MARÍTIMOS[[#This Row],[Etapa Ingreso - Atención]]="","",MARÍTIMOS[[#This Row],[Etapa Ingreso - Atención]]),"")</f>
        <v>46207.388888888891</v>
      </c>
      <c r="AL115" s="11">
        <f>IFERROR(IF(MARÍTIMOS[[#This Row],[Etapa Ingreso - Salida]]="","",MARÍTIMOS[[#This Row],[Etapa Ingreso - Salida]]),"")</f>
        <v>46207.40347222222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5" s="5">
        <f>IFERROR(OLDBD[[#This Row],[Llegada a packing]]-OLDBD[[#This Row],[Inicio de Ruta]],"")</f>
        <v>0.66666666666424135</v>
      </c>
      <c r="AQ115" s="6">
        <f>IFERROR(OLDBD[[#This Row],[Inicio de Ruta]]-OLDBD[[#This Row],[Salida de almacén de retiro]],"")</f>
        <v>5.3472222221898846E-2</v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5" s="9">
        <f>IFERROR(OLDBD[[#This Row],[Ingreso Packing]]-OLDBD[[#This Row],[Registro en Packing]],"")</f>
        <v>-0.21597222222044365</v>
      </c>
      <c r="AV115" s="9">
        <f>IFERROR(OLDBD[[#This Row],[Ingreso Packing]]-OLDBD[[#This Row],[Llegada a packing]],"")</f>
        <v>3.4027777779556345E-2</v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5" s="5">
        <f>IFERROR(OLDBD[[#This Row],[Llegada Almacén de Ingreso]]-OLDBD[[#This Row],[Salida Packing]],"")</f>
        <v>0.57083333333139308</v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5" s="45" t="s">
        <v>181</v>
      </c>
      <c r="BB115" s="53" t="str">
        <f>IFERROR(IF(MARÍTIMOS[[#This Row],[Estatus]]="","",MARÍTIMOS[[#This Row],[Estatus]]),"")</f>
        <v>Confirmado</v>
      </c>
      <c r="BC115" s="45"/>
      <c r="BD115" s="52">
        <f>IFERROR(OLDBD[[#This Row],[Salida de almacén de retiro]]-OLDBD[[#This Row],[Ingreso Almacén de retiro]],"")</f>
        <v>9.1666666667151731E-2</v>
      </c>
      <c r="BE115" s="52">
        <f>IFERROR(OLDBD[[#This Row],[Fin de Carga]]-OLDBD[[#This Row],[Inicio de Carga]],"")</f>
        <v>0.23611111110949423</v>
      </c>
    </row>
    <row r="116" spans="1:57" x14ac:dyDescent="0.35">
      <c r="A116" s="1"/>
      <c r="B116" s="1">
        <f>IFERROR(IF(MARÍTIMOS[[#This Row],[PP]]="","",MARÍTIMOS[[#This Row],[PP]]),"")</f>
        <v>27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RH-0108</v>
      </c>
      <c r="E116" s="1"/>
      <c r="F116" s="2" t="str">
        <f>IFERROR(IF(MARÍTIMOS[[#This Row],[Transportista]]="","",MARÍTIMOS[[#This Row],[Transportista]]),"")</f>
        <v>LIP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>LOGISTICA INTERMODAL DEL PERU S.A.C.</v>
      </c>
      <c r="I116" s="2">
        <f>IFERROR(IF(MARÍTIMOS[[#This Row],[RUC]]="","",MARÍTIMOS[[#This Row],[RUC]]),"")</f>
        <v>20513040718</v>
      </c>
      <c r="J116" s="2" t="str">
        <f>IFERROR(IF(MARÍTIMOS[[#This Row],[Placa Tracto]]="","",MARÍTIMOS[[#This Row],[Placa Tracto]]),"")</f>
        <v>BKI-834</v>
      </c>
      <c r="K116" s="2" t="str">
        <f>IFERROR(IF(MARÍTIMOS[[#This Row],[Placa Carreta]]="","",MARÍTIMOS[[#This Row],[Placa Carreta]]),"")</f>
        <v>ALL-979</v>
      </c>
      <c r="L116" s="46" t="str">
        <f>IFERROR(IF(MARÍTIMOS[[#This Row],[Conductor]]="","",MARÍTIMOS[[#This Row],[Conductor]]),"")</f>
        <v>CORDERO SORIANO FELICIANO BARTOLOME</v>
      </c>
      <c r="M116" s="2" t="str">
        <f>IFERROR(IF(MARÍTIMOS[[#This Row],[Licencia]]="","",MARÍTIMOS[[#This Row],[Licencia]]),"")</f>
        <v>Q33348987</v>
      </c>
      <c r="N116" s="2" t="str">
        <f>IFERROR(IF(MARÍTIMOS[[#This Row],[Número de Contacto]]="","",MARÍTIMOS[[#This Row],[Número de Contacto]]),"")</f>
        <v/>
      </c>
      <c r="O116" s="10">
        <f>IFERROR(IF(MARÍTIMOS[[#This Row],[Booking|AWB|CRT]]="","",MARÍTIMOS[[#This Row],[Booking|AWB|CRT]]),"")</f>
        <v>6506665460</v>
      </c>
      <c r="P116" s="2">
        <f>IFERROR(IF(MARÍTIMOS[[#This Row],[Contenedor]]="","",MARÍTIMOS[[#This Row],[Contenedor]]),"")</f>
        <v>6506665460</v>
      </c>
      <c r="Q116" s="2" t="str">
        <f>IFERROR(IF(MARÍTIMOS[[#This Row],[Puerto de Retiro]]="","",MARÍTIMOS[[#This Row],[Puerto de Retiro]]),"")</f>
        <v>CHANCAY</v>
      </c>
      <c r="R116" s="2" t="str">
        <f>IFERROR(IF(MARÍTIMOS[[#This Row],[Almacén de Retiro]]="","",MARÍTIMOS[[#This Row],[Almacén de Retiro]]),"")</f>
        <v>CSPCP</v>
      </c>
      <c r="S116" s="11">
        <f>IFERROR(IF(MARÍTIMOS[[#This Row],[Etapa Retiro - Cita]]="","",MARÍTIMOS[[#This Row],[Etapa Retiro - Cita]]),"")</f>
        <v>46206.541666666664</v>
      </c>
      <c r="T116" s="11">
        <f>IFERROR(IF(MARÍTIMOS[[#This Row],[Etapa Retiro - Llegada]]="","",MARÍTIMOS[[#This Row],[Etapa Retiro - Llegada]]),"")</f>
        <v>46206.626388888886</v>
      </c>
      <c r="U116" s="11">
        <f>IFERROR(IF(MARÍTIMOS[[#This Row],[Etapa Retiro - Ingreso]]="","",MARÍTIMOS[[#This Row],[Etapa Retiro - Ingreso]]),"")</f>
        <v>46206.62777777778</v>
      </c>
      <c r="V116" s="11">
        <f>IFERROR(IF(MARÍTIMOS[[#This Row],[Etapa Retiro - Atención]]="","",MARÍTIMOS[[#This Row],[Etapa Retiro - Atención]]),"")</f>
        <v>46206.708333333336</v>
      </c>
      <c r="W116" s="11">
        <f>IFERROR(IF(MARÍTIMOS[[#This Row],[Etapa Retiro - Salida]]="","",MARÍTIMOS[[#This Row],[Etapa Retiro - Salida]]),"")</f>
        <v>46206.730555555558</v>
      </c>
      <c r="X116" s="11">
        <f>IFERROR(IF(MARÍTIMOS[[#This Row],[Etapa Retiro - Inicio de Ruta]]="","",MARÍTIMOS[[#This Row],[Etapa Retiro - Inicio de Ruta]]),"")</f>
        <v>46206.791666666664</v>
      </c>
      <c r="Y116" s="11" t="str">
        <f>IFERROR(IF(MARÍTIMOS[[#This Row],[Hora de Posicionamiento]]="","",MARÍTIMOS[[#This Row],[Hora de Carga]]+MARÍTIMOS[[#This Row],[Hora de Posicionamiento]]),"")</f>
        <v/>
      </c>
      <c r="Z116" s="11">
        <f>IFERROR(IF(MARÍTIMOS[[#This Row],[Etapa Despacho -  Llegada]]="","",MARÍTIMOS[[#This Row],[Etapa Despacho -  Llegada]]),"")</f>
        <v>46207.416666666664</v>
      </c>
      <c r="AA116" s="11">
        <f>IFERROR(IF(MARÍTIMOS[[#This Row],[Etapa Despacho -  Registro]]="","",MARÍTIMOS[[#This Row],[Etapa Despacho -  Registro]]),"")</f>
        <v>46207.430555555555</v>
      </c>
      <c r="AB116" s="11">
        <f>IFERROR(IF(MARÍTIMOS[[#This Row],[Inspección Externa]]="","",MARÍTIMOS[[#This Row],[Inspección Externa]]),"")</f>
        <v>46207.45</v>
      </c>
      <c r="AC116" s="11">
        <f>IFERROR(IF(MARÍTIMOS[[#This Row],[Etapa Despacho -  Inicio de Carga]]="","",MARÍTIMOS[[#This Row],[Etapa Despacho -  Inicio de Carga]]),"")</f>
        <v>46207.5</v>
      </c>
      <c r="AD116" s="11">
        <f>IFERROR(IF(MARÍTIMOS[[#This Row],[Etapa Despacho -  Fin de Carga]]="","",MARÍTIMOS[[#This Row],[Etapa Despacho -  Fin de Carga]]),"")</f>
        <v>46207.75</v>
      </c>
      <c r="AE116" s="11">
        <f>IFERROR(IF(MARÍTIMOS[[#This Row],[Etapa Despacho -  Salida]]="","",MARÍTIMOS[[#This Row],[Etapa Despacho -  Salida]]),"")</f>
        <v>46207.767361111109</v>
      </c>
      <c r="AF116" s="2" t="str">
        <f>IFERROR(IF(MARÍTIMOS[[#This Row],[Puerto de Embarque]]="","",MARÍTIMOS[[#This Row],[Puerto de Embarque]]),"")</f>
        <v>CHANCAY</v>
      </c>
      <c r="AG116" s="2" t="str">
        <f>IFERROR(IF(MARÍTIMOS[[#This Row],[Almacén de Ingreso]]="","",MARÍTIMOS[[#This Row],[Almacén de Ingreso]]),"")</f>
        <v>CSPCP</v>
      </c>
      <c r="AH116" s="11">
        <f>IFERROR(IF(MARÍTIMOS[[#This Row],[Etapa Ingreso - Cita]]="","",MARÍTIMOS[[#This Row],[Etapa Ingreso - Cita]]),"")</f>
        <v>46208.375</v>
      </c>
      <c r="AI116" s="11">
        <f>IFERROR(IF(MARÍTIMOS[[#This Row],[Etapa Ingreso - Llegada]]="","",MARÍTIMOS[[#This Row],[Etapa Ingreso - Llegada]]),"")</f>
        <v>46208.401388888888</v>
      </c>
      <c r="AJ116" s="11">
        <f>IFERROR(IF(MARÍTIMOS[[#This Row],[Etapa Ingreso - Ingeso]]="","",MARÍTIMOS[[#This Row],[Etapa Ingreso - Ingeso]]),"")</f>
        <v>46208.420138888891</v>
      </c>
      <c r="AK116" s="11">
        <f>IFERROR(IF(MARÍTIMOS[[#This Row],[Etapa Ingreso - Atención]]="","",MARÍTIMOS[[#This Row],[Etapa Ingreso - Atención]]),"")</f>
        <v>46208.416666666664</v>
      </c>
      <c r="AL116" s="11">
        <f>IFERROR(IF(MARÍTIMOS[[#This Row],[Etapa Ingreso - Salida]]="","",MARÍTIMOS[[#This Row],[Etapa Ingreso - Salida]]),"")</f>
        <v>46208.440972222219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16" s="5">
        <f>IFERROR(OLDBD[[#This Row],[Llegada a packing]]-OLDBD[[#This Row],[Inicio de Ruta]],"")</f>
        <v>0.625</v>
      </c>
      <c r="AQ116" s="6">
        <f>IFERROR(OLDBD[[#This Row],[Inicio de Ruta]]-OLDBD[[#This Row],[Salida de almacén de retiro]],"")</f>
        <v>6.1111111106583849E-2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6" s="9">
        <f>IFERROR(OLDBD[[#This Row],[Ingreso Packing]]-OLDBD[[#This Row],[Registro en Packing]],"")</f>
        <v>1.9444444442342501E-2</v>
      </c>
      <c r="AV116" s="9">
        <f>IFERROR(OLDBD[[#This Row],[Ingreso Packing]]-OLDBD[[#This Row],[Llegada a packing]],"")</f>
        <v>3.3333333332848269E-2</v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6" s="5">
        <f>IFERROR(OLDBD[[#This Row],[Llegada Almacén de Ingreso]]-OLDBD[[#This Row],[Salida Packing]],"")</f>
        <v>0.63402777777810115</v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5" t="s">
        <v>181</v>
      </c>
      <c r="BB116" s="53" t="str">
        <f>IFERROR(IF(MARÍTIMOS[[#This Row],[Estatus]]="","",MARÍTIMOS[[#This Row],[Estatus]]),"")</f>
        <v>Confirmado</v>
      </c>
      <c r="BC116" s="45"/>
      <c r="BD116" s="52">
        <f>IFERROR(OLDBD[[#This Row],[Salida de almacén de retiro]]-OLDBD[[#This Row],[Ingreso Almacén de retiro]],"")</f>
        <v>0.10277777777810115</v>
      </c>
      <c r="BE116" s="52">
        <f>IFERROR(OLDBD[[#This Row],[Fin de Carga]]-OLDBD[[#This Row],[Inicio de Carga]],"")</f>
        <v>0.25</v>
      </c>
    </row>
    <row r="117" spans="1:57" x14ac:dyDescent="0.35">
      <c r="A117" s="1"/>
      <c r="B117" s="1">
        <f>IFERROR(IF(MARÍTIMOS[[#This Row],[PP]]="","",MARÍTIMOS[[#This Row],[PP]]),"")</f>
        <v>27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RH-0110</v>
      </c>
      <c r="E117" s="1"/>
      <c r="F117" s="2" t="str">
        <f>IFERROR(IF(MARÍTIMOS[[#This Row],[Transportista]]="","",MARÍTIMOS[[#This Row],[Transportista]]),"")</f>
        <v>LIP</v>
      </c>
      <c r="G117" s="2" t="str">
        <f>IFERROR(IF(MARÍTIMOS[[#This Row],[Tercero]]="","",MARÍTIMOS[[#This Row],[Tercero]]),"")</f>
        <v>NO</v>
      </c>
      <c r="H117" s="2" t="str">
        <f>IFERROR(IF(MARÍTIMOS[[#This Row],[Razón Social]]="","",MARÍTIMOS[[#This Row],[Razón Social]]),"")</f>
        <v>LOGISTICA INTERMODAL DEL PERU S.A.C.</v>
      </c>
      <c r="I117" s="2">
        <f>IFERROR(IF(MARÍTIMOS[[#This Row],[RUC]]="","",MARÍTIMOS[[#This Row],[RUC]]),"")</f>
        <v>20513040718</v>
      </c>
      <c r="J117" s="2" t="str">
        <f>IFERROR(IF(MARÍTIMOS[[#This Row],[Placa Tracto]]="","",MARÍTIMOS[[#This Row],[Placa Tracto]]),"")</f>
        <v>BMD-798</v>
      </c>
      <c r="K117" s="2" t="str">
        <f>IFERROR(IF(MARÍTIMOS[[#This Row],[Placa Carreta]]="","",MARÍTIMOS[[#This Row],[Placa Carreta]]),"")</f>
        <v>AZJ-971</v>
      </c>
      <c r="L117" s="46" t="str">
        <f>IFERROR(IF(MARÍTIMOS[[#This Row],[Conductor]]="","",MARÍTIMOS[[#This Row],[Conductor]]),"")</f>
        <v>RUMICHE FIESTAS MELANIO ANTONIO</v>
      </c>
      <c r="M117" s="2" t="str">
        <f>IFERROR(IF(MARÍTIMOS[[#This Row],[Licencia]]="","",MARÍTIMOS[[#This Row],[Licencia]]),"")</f>
        <v>Q25826470</v>
      </c>
      <c r="N117" s="2" t="str">
        <f>IFERROR(IF(MARÍTIMOS[[#This Row],[Número de Contacto]]="","",MARÍTIMOS[[#This Row],[Número de Contacto]]),"")</f>
        <v/>
      </c>
      <c r="O117" s="10" t="str">
        <f>IFERROR(IF(MARÍTIMOS[[#This Row],[Booking|AWB|CRT]]="","",MARÍTIMOS[[#This Row],[Booking|AWB|CRT]]),"")</f>
        <v>6506665550</v>
      </c>
      <c r="P117" s="2" t="str">
        <f>IFERROR(IF(MARÍTIMOS[[#This Row],[Contenedor]]="","",MARÍTIMOS[[#This Row],[Contenedor]]),"")</f>
        <v>FBIU5010186</v>
      </c>
      <c r="Q117" s="2" t="str">
        <f>IFERROR(IF(MARÍTIMOS[[#This Row],[Puerto de Retiro]]="","",MARÍTIMOS[[#This Row],[Puerto de Retiro]]),"")</f>
        <v>CHANCAY</v>
      </c>
      <c r="R117" s="2" t="str">
        <f>IFERROR(IF(MARÍTIMOS[[#This Row],[Almacén de Retiro]]="","",MARÍTIMOS[[#This Row],[Almacén de Retiro]]),"")</f>
        <v>CSPCP</v>
      </c>
      <c r="S117" s="11">
        <f>IFERROR(IF(MARÍTIMOS[[#This Row],[Etapa Retiro - Cita]]="","",MARÍTIMOS[[#This Row],[Etapa Retiro - Cita]]),"")</f>
        <v>46207.583333333336</v>
      </c>
      <c r="T117" s="11">
        <f>IFERROR(IF(MARÍTIMOS[[#This Row],[Etapa Retiro - Llegada]]="","",MARÍTIMOS[[#This Row],[Etapa Retiro - Llegada]]),"")</f>
        <v>46207.611805555556</v>
      </c>
      <c r="U117" s="11">
        <f>IFERROR(IF(MARÍTIMOS[[#This Row],[Etapa Retiro - Ingreso]]="","",MARÍTIMOS[[#This Row],[Etapa Retiro - Ingreso]]),"")</f>
        <v>46207.613194444442</v>
      </c>
      <c r="V117" s="11">
        <f>IFERROR(IF(MARÍTIMOS[[#This Row],[Etapa Retiro - Atención]]="","",MARÍTIMOS[[#This Row],[Etapa Retiro - Atención]]),"")</f>
        <v>46207.666666666664</v>
      </c>
      <c r="W117" s="11">
        <f>IFERROR(IF(MARÍTIMOS[[#This Row],[Etapa Retiro - Salida]]="","",MARÍTIMOS[[#This Row],[Etapa Retiro - Salida]]),"")</f>
        <v>46207.695833333331</v>
      </c>
      <c r="X117" s="11">
        <f>IFERROR(IF(MARÍTIMOS[[#This Row],[Etapa Retiro - Inicio de Ruta]]="","",MARÍTIMOS[[#This Row],[Etapa Retiro - Inicio de Ruta]]),"")</f>
        <v>46207.75</v>
      </c>
      <c r="Y117" s="11" t="str">
        <f>IFERROR(IF(MARÍTIMOS[[#This Row],[Hora de Posicionamiento]]="","",MARÍTIMOS[[#This Row],[Hora de Carga]]+MARÍTIMOS[[#This Row],[Hora de Posicionamiento]]),"")</f>
        <v/>
      </c>
      <c r="Z117" s="11">
        <f>IFERROR(IF(MARÍTIMOS[[#This Row],[Etapa Despacho -  Llegada]]="","",MARÍTIMOS[[#This Row],[Etapa Despacho -  Llegada]]),"")</f>
        <v>46208.375</v>
      </c>
      <c r="AA117" s="11">
        <f>IFERROR(IF(MARÍTIMOS[[#This Row],[Etapa Despacho -  Registro]]="","",MARÍTIMOS[[#This Row],[Etapa Despacho -  Registro]]),"")</f>
        <v>46208.405555555553</v>
      </c>
      <c r="AB117" s="11">
        <f>IFERROR(IF(MARÍTIMOS[[#This Row],[Inspección Externa]]="","",MARÍTIMOS[[#This Row],[Inspección Externa]]),"")</f>
        <v>46208.444444444445</v>
      </c>
      <c r="AC117" s="11">
        <f>IFERROR(IF(MARÍTIMOS[[#This Row],[Etapa Despacho -  Inicio de Carga]]="","",MARÍTIMOS[[#This Row],[Etapa Despacho -  Inicio de Carga]]),"")</f>
        <v>46208.520833333336</v>
      </c>
      <c r="AD117" s="11">
        <f>IFERROR(IF(MARÍTIMOS[[#This Row],[Etapa Despacho -  Fin de Carga]]="","",MARÍTIMOS[[#This Row],[Etapa Despacho -  Fin de Carga]]),"")</f>
        <v>46208.666666666664</v>
      </c>
      <c r="AE117" s="11">
        <f>IFERROR(IF(MARÍTIMOS[[#This Row],[Etapa Despacho -  Salida]]="","",MARÍTIMOS[[#This Row],[Etapa Despacho -  Salida]]),"")</f>
        <v>46208.702777777777</v>
      </c>
      <c r="AF117" s="2" t="str">
        <f>IFERROR(IF(MARÍTIMOS[[#This Row],[Puerto de Embarque]]="","",MARÍTIMOS[[#This Row],[Puerto de Embarque]]),"")</f>
        <v>CHANCAY</v>
      </c>
      <c r="AG117" s="2" t="str">
        <f>IFERROR(IF(MARÍTIMOS[[#This Row],[Almacén de Ingreso]]="","",MARÍTIMOS[[#This Row],[Almacén de Ingreso]]),"")</f>
        <v>CSPCP</v>
      </c>
      <c r="AH117" s="11">
        <f>IFERROR(IF(MARÍTIMOS[[#This Row],[Etapa Ingreso - Cita]]="","",MARÍTIMOS[[#This Row],[Etapa Ingreso - Cita]]),"")</f>
        <v>46209.333333333336</v>
      </c>
      <c r="AI117" s="11">
        <f>IFERROR(IF(MARÍTIMOS[[#This Row],[Etapa Ingreso - Llegada]]="","",MARÍTIMOS[[#This Row],[Etapa Ingreso - Llegada]]),"")</f>
        <v>46209.364583333336</v>
      </c>
      <c r="AJ117" s="11">
        <f>IFERROR(IF(MARÍTIMOS[[#This Row],[Etapa Ingreso - Ingeso]]="","",MARÍTIMOS[[#This Row],[Etapa Ingreso - Ingeso]]),"")</f>
        <v>46209.365972222222</v>
      </c>
      <c r="AK117" s="11">
        <f>IFERROR(IF(MARÍTIMOS[[#This Row],[Etapa Ingreso - Atención]]="","",MARÍTIMOS[[#This Row],[Etapa Ingreso - Atención]]),"")</f>
        <v>46209.375</v>
      </c>
      <c r="AL117" s="11">
        <f>IFERROR(IF(MARÍTIMOS[[#This Row],[Etapa Ingreso - Salida]]="","",MARÍTIMOS[[#This Row],[Etapa Ingreso - Salida]]),"")</f>
        <v>46209.40625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7" s="5">
        <f>IFERROR(OLDBD[[#This Row],[Llegada a packing]]-OLDBD[[#This Row],[Inicio de Ruta]],"")</f>
        <v>0.625</v>
      </c>
      <c r="AQ117" s="6">
        <f>IFERROR(OLDBD[[#This Row],[Inicio de Ruta]]-OLDBD[[#This Row],[Salida de almacén de retiro]],"")</f>
        <v>5.4166666668606922E-2</v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7" s="9">
        <f>IFERROR(OLDBD[[#This Row],[Ingreso Packing]]-OLDBD[[#This Row],[Registro en Packing]],"")</f>
        <v>3.888888889196096E-2</v>
      </c>
      <c r="AV117" s="9">
        <f>IFERROR(OLDBD[[#This Row],[Ingreso Packing]]-OLDBD[[#This Row],[Llegada a packing]],"")</f>
        <v>6.9444444445252884E-2</v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7" s="5">
        <f>IFERROR(OLDBD[[#This Row],[Llegada Almacén de Ingreso]]-OLDBD[[#This Row],[Salida Packing]],"")</f>
        <v>0.66180555555911269</v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7" s="45" t="s">
        <v>181</v>
      </c>
      <c r="BB117" s="53" t="str">
        <f>IFERROR(IF(MARÍTIMOS[[#This Row],[Estatus]]="","",MARÍTIMOS[[#This Row],[Estatus]]),"")</f>
        <v>Confirmado</v>
      </c>
      <c r="BC117" s="45"/>
      <c r="BD117" s="52">
        <f>IFERROR(OLDBD[[#This Row],[Salida de almacén de retiro]]-OLDBD[[#This Row],[Ingreso Almacén de retiro]],"")</f>
        <v>8.2638888889050577E-2</v>
      </c>
      <c r="BE117" s="52">
        <f>IFERROR(OLDBD[[#This Row],[Fin de Carga]]-OLDBD[[#This Row],[Inicio de Carga]],"")</f>
        <v>0.14583333332848269</v>
      </c>
    </row>
    <row r="118" spans="1:57" x14ac:dyDescent="0.35">
      <c r="A118" s="1"/>
      <c r="B118" s="1">
        <f>IFERROR(IF(MARÍTIMOS[[#This Row],[PP]]="","",MARÍTIMOS[[#This Row],[PP]]),"")</f>
        <v>27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RH-0112</v>
      </c>
      <c r="E118" s="1"/>
      <c r="F118" s="2" t="str">
        <f>IFERROR(IF(MARÍTIMOS[[#This Row],[Transportista]]="","",MARÍTIMOS[[#This Row],[Transportista]]),"")</f>
        <v>LIP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>LOGISTICA INTERMODAL DEL PERU S.A.C.</v>
      </c>
      <c r="I118" s="2">
        <f>IFERROR(IF(MARÍTIMOS[[#This Row],[RUC]]="","",MARÍTIMOS[[#This Row],[RUC]]),"")</f>
        <v>20513040718</v>
      </c>
      <c r="J118" s="2" t="str">
        <f>IFERROR(IF(MARÍTIMOS[[#This Row],[Placa Tracto]]="","",MARÍTIMOS[[#This Row],[Placa Tracto]]),"")</f>
        <v>CFF-938</v>
      </c>
      <c r="K118" s="2" t="str">
        <f>IFERROR(IF(MARÍTIMOS[[#This Row],[Placa Carreta]]="","",MARÍTIMOS[[#This Row],[Placa Carreta]]),"")</f>
        <v>BSR-989</v>
      </c>
      <c r="L118" s="46" t="str">
        <f>IFERROR(IF(MARÍTIMOS[[#This Row],[Conductor]]="","",MARÍTIMOS[[#This Row],[Conductor]]),"")</f>
        <v>ROMERO BENEDETTI CHRISTIAN MANUEL</v>
      </c>
      <c r="M118" s="2" t="str">
        <f>IFERROR(IF(MARÍTIMOS[[#This Row],[Licencia]]="","",MARÍTIMOS[[#This Row],[Licencia]]),"")</f>
        <v>Q25855908</v>
      </c>
      <c r="N118" s="2" t="str">
        <f>IFERROR(IF(MARÍTIMOS[[#This Row],[Número de Contacto]]="","",MARÍTIMOS[[#This Row],[Número de Contacto]]),"")</f>
        <v/>
      </c>
      <c r="O118" s="10">
        <f>IFERROR(IF(MARÍTIMOS[[#This Row],[Booking|AWB|CRT]]="","",MARÍTIMOS[[#This Row],[Booking|AWB|CRT]]),"")</f>
        <v>6506666080</v>
      </c>
      <c r="P118" s="2" t="str">
        <f>IFERROR(IF(MARÍTIMOS[[#This Row],[Contenedor]]="","",MARÍTIMOS[[#This Row],[Contenedor]]),"")</f>
        <v>FSCU5932589</v>
      </c>
      <c r="Q118" s="2" t="str">
        <f>IFERROR(IF(MARÍTIMOS[[#This Row],[Puerto de Retiro]]="","",MARÍTIMOS[[#This Row],[Puerto de Retiro]]),"")</f>
        <v>CHANCAY</v>
      </c>
      <c r="R118" s="2" t="str">
        <f>IFERROR(IF(MARÍTIMOS[[#This Row],[Almacén de Retiro]]="","",MARÍTIMOS[[#This Row],[Almacén de Retiro]]),"")</f>
        <v>CSPCP</v>
      </c>
      <c r="S118" s="11">
        <f>IFERROR(IF(MARÍTIMOS[[#This Row],[Etapa Retiro - Cita]]="","",MARÍTIMOS[[#This Row],[Etapa Retiro - Cita]]),"")</f>
        <v>46204.708333333336</v>
      </c>
      <c r="T118" s="11">
        <f>IFERROR(IF(MARÍTIMOS[[#This Row],[Etapa Retiro - Llegada]]="","",MARÍTIMOS[[#This Row],[Etapa Retiro - Llegada]]),"")</f>
        <v>46204.711805555555</v>
      </c>
      <c r="U118" s="11">
        <f>IFERROR(IF(MARÍTIMOS[[#This Row],[Etapa Retiro - Ingreso]]="","",MARÍTIMOS[[#This Row],[Etapa Retiro - Ingreso]]),"")</f>
        <v>46204.713888888888</v>
      </c>
      <c r="V118" s="11">
        <f>IFERROR(IF(MARÍTIMOS[[#This Row],[Etapa Retiro - Atención]]="","",MARÍTIMOS[[#This Row],[Etapa Retiro - Atención]]),"")</f>
        <v>46204.791666666664</v>
      </c>
      <c r="W118" s="11">
        <f>IFERROR(IF(MARÍTIMOS[[#This Row],[Etapa Retiro - Salida]]="","",MARÍTIMOS[[#This Row],[Etapa Retiro - Salida]]),"")</f>
        <v>46204.807638888888</v>
      </c>
      <c r="X118" s="11">
        <f>IFERROR(IF(MARÍTIMOS[[#This Row],[Etapa Retiro - Inicio de Ruta]]="","",MARÍTIMOS[[#This Row],[Etapa Retiro - Inicio de Ruta]]),"")</f>
        <v>46204.875</v>
      </c>
      <c r="Y118" s="11" t="str">
        <f>IFERROR(IF(MARÍTIMOS[[#This Row],[Hora de Posicionamiento]]="","",MARÍTIMOS[[#This Row],[Hora de Carga]]+MARÍTIMOS[[#This Row],[Hora de Posicionamiento]]),"")</f>
        <v/>
      </c>
      <c r="Z118" s="11">
        <f>IFERROR(IF(MARÍTIMOS[[#This Row],[Etapa Despacho -  Llegada]]="","",MARÍTIMOS[[#This Row],[Etapa Despacho -  Llegada]]),"")</f>
        <v>46205.375</v>
      </c>
      <c r="AA118" s="11">
        <f>IFERROR(IF(MARÍTIMOS[[#This Row],[Etapa Despacho -  Registro]]="","",MARÍTIMOS[[#This Row],[Etapa Despacho -  Registro]]),"")</f>
        <v>46205.388888888891</v>
      </c>
      <c r="AB118" s="11">
        <f>IFERROR(IF(MARÍTIMOS[[#This Row],[Inspección Externa]]="","",MARÍTIMOS[[#This Row],[Inspección Externa]]),"")</f>
        <v>46205.415972222225</v>
      </c>
      <c r="AC118" s="11">
        <f>IFERROR(IF(MARÍTIMOS[[#This Row],[Etapa Despacho -  Inicio de Carga]]="","",MARÍTIMOS[[#This Row],[Etapa Despacho -  Inicio de Carga]]),"")</f>
        <v>46205.430555555555</v>
      </c>
      <c r="AD118" s="11">
        <f>IFERROR(IF(MARÍTIMOS[[#This Row],[Etapa Despacho -  Fin de Carga]]="","",MARÍTIMOS[[#This Row],[Etapa Despacho -  Fin de Carga]]),"")</f>
        <v>46205.625</v>
      </c>
      <c r="AE118" s="11">
        <f>IFERROR(IF(MARÍTIMOS[[#This Row],[Etapa Despacho -  Salida]]="","",MARÍTIMOS[[#This Row],[Etapa Despacho -  Salida]]),"")</f>
        <v>46205.646527777775</v>
      </c>
      <c r="AF118" s="2" t="str">
        <f>IFERROR(IF(MARÍTIMOS[[#This Row],[Puerto de Embarque]]="","",MARÍTIMOS[[#This Row],[Puerto de Embarque]]),"")</f>
        <v>CHANCAY</v>
      </c>
      <c r="AG118" s="2" t="str">
        <f>IFERROR(IF(MARÍTIMOS[[#This Row],[Almacén de Ingreso]]="","",MARÍTIMOS[[#This Row],[Almacén de Ingreso]]),"")</f>
        <v>CSPCP</v>
      </c>
      <c r="AH118" s="11">
        <f>IFERROR(IF(MARÍTIMOS[[#This Row],[Etapa Ingreso - Cita]]="","",MARÍTIMOS[[#This Row],[Etapa Ingreso - Cita]]),"")</f>
        <v>46206.333333333336</v>
      </c>
      <c r="AI118" s="11">
        <f>IFERROR(IF(MARÍTIMOS[[#This Row],[Etapa Ingreso - Llegada]]="","",MARÍTIMOS[[#This Row],[Etapa Ingreso - Llegada]]),"")</f>
        <v>46206.343055555553</v>
      </c>
      <c r="AJ118" s="11">
        <f>IFERROR(IF(MARÍTIMOS[[#This Row],[Etapa Ingreso - Ingeso]]="","",MARÍTIMOS[[#This Row],[Etapa Ingreso - Ingeso]]),"")</f>
        <v>46206.536111111112</v>
      </c>
      <c r="AK118" s="11">
        <f>IFERROR(IF(MARÍTIMOS[[#This Row],[Etapa Ingreso - Atención]]="","",MARÍTIMOS[[#This Row],[Etapa Ingreso - Atención]]),"")</f>
        <v>46206.541666666664</v>
      </c>
      <c r="AL118" s="11">
        <f>IFERROR(IF(MARÍTIMOS[[#This Row],[Etapa Ingreso - Salida]]="","",MARÍTIMOS[[#This Row],[Etapa Ingreso - Salida]]),"")</f>
        <v>46206.558333333334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18" s="5">
        <f>IFERROR(OLDBD[[#This Row],[Llegada a packing]]-OLDBD[[#This Row],[Inicio de Ruta]],"")</f>
        <v>0.5</v>
      </c>
      <c r="AQ118" s="6">
        <f>IFERROR(OLDBD[[#This Row],[Inicio de Ruta]]-OLDBD[[#This Row],[Salida de almacén de retiro]],"")</f>
        <v>6.7361111112404615E-2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>
        <f>IFERROR(OLDBD[[#This Row],[Ingreso Packing]]-OLDBD[[#This Row],[Registro en Packing]],"")</f>
        <v>2.7083333334303461E-2</v>
      </c>
      <c r="AV118" s="9">
        <f>IFERROR(OLDBD[[#This Row],[Ingreso Packing]]-OLDBD[[#This Row],[Llegada a packing]],"")</f>
        <v>4.0972222224809229E-2</v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8" s="5">
        <f>IFERROR(OLDBD[[#This Row],[Llegada Almacén de Ingreso]]-OLDBD[[#This Row],[Salida Packing]],"")</f>
        <v>0.69652777777810115</v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8" s="45" t="s">
        <v>181</v>
      </c>
      <c r="BB118" s="53" t="str">
        <f>IFERROR(IF(MARÍTIMOS[[#This Row],[Estatus]]="","",MARÍTIMOS[[#This Row],[Estatus]]),"")</f>
        <v>Confirmado</v>
      </c>
      <c r="BC118" s="45"/>
      <c r="BD118" s="52">
        <f>IFERROR(OLDBD[[#This Row],[Salida de almacén de retiro]]-OLDBD[[#This Row],[Ingreso Almacén de retiro]],"")</f>
        <v>9.375E-2</v>
      </c>
      <c r="BE118" s="52">
        <f>IFERROR(OLDBD[[#This Row],[Fin de Carga]]-OLDBD[[#This Row],[Inicio de Carga]],"")</f>
        <v>0.19444444444525288</v>
      </c>
    </row>
    <row r="119" spans="1:57" x14ac:dyDescent="0.35">
      <c r="A119" s="1"/>
      <c r="B119" s="1">
        <f>IFERROR(IF(MARÍTIMOS[[#This Row],[PP]]="","",MARÍTIMOS[[#This Row],[PP]]),"")</f>
        <v>27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RH-0113</v>
      </c>
      <c r="E119" s="1"/>
      <c r="F119" s="2" t="str">
        <f>IFERROR(IF(MARÍTIMOS[[#This Row],[Transportista]]="","",MARÍTIMOS[[#This Row],[Transportista]]),"")</f>
        <v>LIP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>LOGISTICA INTERMODAL DEL PERU S.A.C.</v>
      </c>
      <c r="I119" s="2">
        <f>IFERROR(IF(MARÍTIMOS[[#This Row],[RUC]]="","",MARÍTIMOS[[#This Row],[RUC]]),"")</f>
        <v>20513040718</v>
      </c>
      <c r="J119" s="2" t="str">
        <f>IFERROR(IF(MARÍTIMOS[[#This Row],[Placa Tracto]]="","",MARÍTIMOS[[#This Row],[Placa Tracto]]),"")</f>
        <v>BKI-894</v>
      </c>
      <c r="K119" s="2" t="str">
        <f>IFERROR(IF(MARÍTIMOS[[#This Row],[Placa Carreta]]="","",MARÍTIMOS[[#This Row],[Placa Carreta]]),"")</f>
        <v>AXN-990</v>
      </c>
      <c r="L119" s="46" t="str">
        <f>IFERROR(IF(MARÍTIMOS[[#This Row],[Conductor]]="","",MARÍTIMOS[[#This Row],[Conductor]]),"")</f>
        <v>VERA SOTO OSCAR</v>
      </c>
      <c r="M119" s="2" t="str">
        <f>IFERROR(IF(MARÍTIMOS[[#This Row],[Licencia]]="","",MARÍTIMOS[[#This Row],[Licencia]]),"")</f>
        <v>E42235469</v>
      </c>
      <c r="N119" s="2" t="str">
        <f>IFERROR(IF(MARÍTIMOS[[#This Row],[Número de Contacto]]="","",MARÍTIMOS[[#This Row],[Número de Contacto]]),"")</f>
        <v/>
      </c>
      <c r="O119" s="10">
        <f>IFERROR(IF(MARÍTIMOS[[#This Row],[Booking|AWB|CRT]]="","",MARÍTIMOS[[#This Row],[Booking|AWB|CRT]]),"")</f>
        <v>6506665840</v>
      </c>
      <c r="P119" s="2" t="str">
        <f>IFERROR(IF(MARÍTIMOS[[#This Row],[Contenedor]]="","",MARÍTIMOS[[#This Row],[Contenedor]]),"")</f>
        <v>FBIU5793121</v>
      </c>
      <c r="Q119" s="2" t="str">
        <f>IFERROR(IF(MARÍTIMOS[[#This Row],[Puerto de Retiro]]="","",MARÍTIMOS[[#This Row],[Puerto de Retiro]]),"")</f>
        <v>CHANCAY</v>
      </c>
      <c r="R119" s="2" t="str">
        <f>IFERROR(IF(MARÍTIMOS[[#This Row],[Almacén de Retiro]]="","",MARÍTIMOS[[#This Row],[Almacén de Retiro]]),"")</f>
        <v>CSPCP</v>
      </c>
      <c r="S119" s="11">
        <f>IFERROR(IF(MARÍTIMOS[[#This Row],[Etapa Retiro - Cita]]="","",MARÍTIMOS[[#This Row],[Etapa Retiro - Cita]]),"")</f>
        <v>46205.75</v>
      </c>
      <c r="T119" s="11">
        <f>IFERROR(IF(MARÍTIMOS[[#This Row],[Etapa Retiro - Llegada]]="","",MARÍTIMOS[[#This Row],[Etapa Retiro - Llegada]]),"")</f>
        <v>46205.650694444441</v>
      </c>
      <c r="U119" s="11">
        <f>IFERROR(IF(MARÍTIMOS[[#This Row],[Etapa Retiro - Ingreso]]="","",MARÍTIMOS[[#This Row],[Etapa Retiro - Ingreso]]),"")</f>
        <v>46205.666666666664</v>
      </c>
      <c r="V119" s="11">
        <f>IFERROR(IF(MARÍTIMOS[[#This Row],[Etapa Retiro - Atención]]="","",MARÍTIMOS[[#This Row],[Etapa Retiro - Atención]]),"")</f>
        <v>46205.739583333336</v>
      </c>
      <c r="W119" s="11">
        <f>IFERROR(IF(MARÍTIMOS[[#This Row],[Etapa Retiro - Salida]]="","",MARÍTIMOS[[#This Row],[Etapa Retiro - Salida]]),"")</f>
        <v>46205.75</v>
      </c>
      <c r="X119" s="11">
        <f>IFERROR(IF(MARÍTIMOS[[#This Row],[Etapa Retiro - Inicio de Ruta]]="","",MARÍTIMOS[[#This Row],[Etapa Retiro - Inicio de Ruta]]),"")</f>
        <v>46205.875</v>
      </c>
      <c r="Y119" s="11">
        <f>IFERROR(IF(MARÍTIMOS[[#This Row],[Hora de Posicionamiento]]="","",MARÍTIMOS[[#This Row],[Hora de Carga]]+MARÍTIMOS[[#This Row],[Hora de Posicionamiento]]),"")</f>
        <v>0.41666666666666669</v>
      </c>
      <c r="Z119" s="11">
        <f>IFERROR(IF(MARÍTIMOS[[#This Row],[Etapa Despacho -  Llegada]]="","",MARÍTIMOS[[#This Row],[Etapa Despacho -  Llegada]]),"")</f>
        <v>46206.447222222225</v>
      </c>
      <c r="AA119" s="11">
        <f>IFERROR(IF(MARÍTIMOS[[#This Row],[Etapa Despacho -  Registro]]="","",MARÍTIMOS[[#This Row],[Etapa Despacho -  Registro]]),"")</f>
        <v>46206.458333333336</v>
      </c>
      <c r="AB119" s="11">
        <f>IFERROR(IF(MARÍTIMOS[[#This Row],[Inspección Externa]]="","",MARÍTIMOS[[#This Row],[Inspección Externa]]),"")</f>
        <v>46206.520833333336</v>
      </c>
      <c r="AC119" s="11">
        <f>IFERROR(IF(MARÍTIMOS[[#This Row],[Etapa Despacho -  Inicio de Carga]]="","",MARÍTIMOS[[#This Row],[Etapa Despacho -  Inicio de Carga]]),"")</f>
        <v>46206.5625</v>
      </c>
      <c r="AD119" s="11">
        <f>IFERROR(IF(MARÍTIMOS[[#This Row],[Etapa Despacho -  Fin de Carga]]="","",MARÍTIMOS[[#This Row],[Etapa Despacho -  Fin de Carga]]),"")</f>
        <v>46208.666666666664</v>
      </c>
      <c r="AE119" s="11">
        <f>IFERROR(IF(MARÍTIMOS[[#This Row],[Etapa Despacho -  Salida]]="","",MARÍTIMOS[[#This Row],[Etapa Despacho -  Salida]]),"")</f>
        <v>46208.678472222222</v>
      </c>
      <c r="AF119" s="2" t="str">
        <f>IFERROR(IF(MARÍTIMOS[[#This Row],[Puerto de Embarque]]="","",MARÍTIMOS[[#This Row],[Puerto de Embarque]]),"")</f>
        <v>CHANCAY</v>
      </c>
      <c r="AG119" s="2" t="str">
        <f>IFERROR(IF(MARÍTIMOS[[#This Row],[Almacén de Ingreso]]="","",MARÍTIMOS[[#This Row],[Almacén de Ingreso]]),"")</f>
        <v>CSPCP</v>
      </c>
      <c r="AH119" s="11">
        <f>IFERROR(IF(MARÍTIMOS[[#This Row],[Etapa Ingreso - Cita]]="","",MARÍTIMOS[[#This Row],[Etapa Ingreso - Cita]]),"")</f>
        <v>46209.041666666664</v>
      </c>
      <c r="AI119" s="11">
        <f>IFERROR(IF(MARÍTIMOS[[#This Row],[Etapa Ingreso - Llegada]]="","",MARÍTIMOS[[#This Row],[Etapa Ingreso - Llegada]]),"")</f>
        <v>46209.070138888892</v>
      </c>
      <c r="AJ119" s="11">
        <f>IFERROR(IF(MARÍTIMOS[[#This Row],[Etapa Ingreso - Ingeso]]="","",MARÍTIMOS[[#This Row],[Etapa Ingreso - Ingeso]]),"")</f>
        <v>46209.074305555558</v>
      </c>
      <c r="AK119" s="11">
        <f>IFERROR(IF(MARÍTIMOS[[#This Row],[Etapa Ingreso - Atención]]="","",MARÍTIMOS[[#This Row],[Etapa Ingreso - Atención]]),"")</f>
        <v>46209.083333333336</v>
      </c>
      <c r="AL119" s="11">
        <f>IFERROR(IF(MARÍTIMOS[[#This Row],[Etapa Ingreso - Salida]]="","",MARÍTIMOS[[#This Row],[Etapa Ingreso - Salida]]),"")</f>
        <v>46209.109027777777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19" s="5">
        <f>IFERROR(OLDBD[[#This Row],[Llegada a packing]]-OLDBD[[#This Row],[Inicio de Ruta]],"")</f>
        <v>0.57222222222480923</v>
      </c>
      <c r="AQ119" s="6">
        <f>IFERROR(OLDBD[[#This Row],[Inicio de Ruta]]-OLDBD[[#This Row],[Salida de almacén de retiro]],"")</f>
        <v>0.125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9" s="9">
        <f>IFERROR(OLDBD[[#This Row],[Ingreso Packing]]-OLDBD[[#This Row],[Registro en Packing]],"")</f>
        <v>6.25E-2</v>
      </c>
      <c r="AV119" s="9">
        <f>IFERROR(OLDBD[[#This Row],[Ingreso Packing]]-OLDBD[[#This Row],[Llegada a packing]],"")</f>
        <v>7.3611111110949423E-2</v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9" s="5">
        <f>IFERROR(OLDBD[[#This Row],[Llegada Almacén de Ingreso]]-OLDBD[[#This Row],[Salida Packing]],"")</f>
        <v>0.39166666667006211</v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9" s="45" t="s">
        <v>181</v>
      </c>
      <c r="BB119" s="53" t="str">
        <f>IFERROR(IF(MARÍTIMOS[[#This Row],[Estatus]]="","",MARÍTIMOS[[#This Row],[Estatus]]),"")</f>
        <v>Confirmado</v>
      </c>
      <c r="BC119" s="45"/>
      <c r="BD119" s="52">
        <f>IFERROR(OLDBD[[#This Row],[Salida de almacén de retiro]]-OLDBD[[#This Row],[Ingreso Almacén de retiro]],"")</f>
        <v>8.3333333335758653E-2</v>
      </c>
      <c r="BE119" s="52">
        <f>IFERROR(OLDBD[[#This Row],[Fin de Carga]]-OLDBD[[#This Row],[Inicio de Carga]],"")</f>
        <v>2.1041666666642413</v>
      </c>
    </row>
    <row r="120" spans="1:57" x14ac:dyDescent="0.35">
      <c r="A120" s="1"/>
      <c r="B120" s="1">
        <f>IFERROR(IF(MARÍTIMOS[[#This Row],[PP]]="","",MARÍTIMOS[[#This Row],[PP]]),"")</f>
        <v>27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RH-0114</v>
      </c>
      <c r="E120" s="1"/>
      <c r="F120" s="2" t="str">
        <f>IFERROR(IF(MARÍTIMOS[[#This Row],[Transportista]]="","",MARÍTIMOS[[#This Row],[Transportista]]),"")</f>
        <v>LIP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>LOGISTICA INTERMODAL DEL PERU S.A.C.</v>
      </c>
      <c r="I120" s="2">
        <f>IFERROR(IF(MARÍTIMOS[[#This Row],[RUC]]="","",MARÍTIMOS[[#This Row],[RUC]]),"")</f>
        <v>20513040718</v>
      </c>
      <c r="J120" s="2" t="str">
        <f>IFERROR(IF(MARÍTIMOS[[#This Row],[Placa Tracto]]="","",MARÍTIMOS[[#This Row],[Placa Tracto]]),"")</f>
        <v>BJW-763</v>
      </c>
      <c r="K120" s="2" t="str">
        <f>IFERROR(IF(MARÍTIMOS[[#This Row],[Placa Carreta]]="","",MARÍTIMOS[[#This Row],[Placa Carreta]]),"")</f>
        <v>AXD-994</v>
      </c>
      <c r="L120" s="46" t="str">
        <f>IFERROR(IF(MARÍTIMOS[[#This Row],[Conductor]]="","",MARÍTIMOS[[#This Row],[Conductor]]),"")</f>
        <v>ZAMBRANO OSORIO WILLIAMS JESUS</v>
      </c>
      <c r="M120" s="2" t="str">
        <f>IFERROR(IF(MARÍTIMOS[[#This Row],[Licencia]]="","",MARÍTIMOS[[#This Row],[Licencia]]),"")</f>
        <v>Q006863428</v>
      </c>
      <c r="N120" s="2" t="str">
        <f>IFERROR(IF(MARÍTIMOS[[#This Row],[Número de Contacto]]="","",MARÍTIMOS[[#This Row],[Número de Contacto]]),"")</f>
        <v/>
      </c>
      <c r="O120" s="10">
        <f>IFERROR(IF(MARÍTIMOS[[#This Row],[Booking|AWB|CRT]]="","",MARÍTIMOS[[#This Row],[Booking|AWB|CRT]]),"")</f>
        <v>6506666350</v>
      </c>
      <c r="P120" s="2" t="str">
        <f>IFERROR(IF(MARÍTIMOS[[#This Row],[Contenedor]]="","",MARÍTIMOS[[#This Row],[Contenedor]]),"")</f>
        <v>FBIU5751044</v>
      </c>
      <c r="Q120" s="2" t="str">
        <f>IFERROR(IF(MARÍTIMOS[[#This Row],[Puerto de Retiro]]="","",MARÍTIMOS[[#This Row],[Puerto de Retiro]]),"")</f>
        <v>CHANCAY</v>
      </c>
      <c r="R120" s="2" t="str">
        <f>IFERROR(IF(MARÍTIMOS[[#This Row],[Almacén de Retiro]]="","",MARÍTIMOS[[#This Row],[Almacén de Retiro]]),"")</f>
        <v>CSPCP</v>
      </c>
      <c r="S120" s="11">
        <f>IFERROR(IF(MARÍTIMOS[[#This Row],[Etapa Retiro - Cita]]="","",MARÍTIMOS[[#This Row],[Etapa Retiro - Cita]]),"")</f>
        <v>46206.625</v>
      </c>
      <c r="T120" s="11">
        <f>IFERROR(IF(MARÍTIMOS[[#This Row],[Etapa Retiro - Llegada]]="","",MARÍTIMOS[[#This Row],[Etapa Retiro - Llegada]]),"")</f>
        <v>46206.666666666664</v>
      </c>
      <c r="U120" s="11">
        <f>IFERROR(IF(MARÍTIMOS[[#This Row],[Etapa Retiro - Ingreso]]="","",MARÍTIMOS[[#This Row],[Etapa Retiro - Ingreso]]),"")</f>
        <v>46206.675000000003</v>
      </c>
      <c r="V120" s="11">
        <f>IFERROR(IF(MARÍTIMOS[[#This Row],[Etapa Retiro - Atención]]="","",MARÍTIMOS[[#This Row],[Etapa Retiro - Atención]]),"")</f>
        <v>46206.708333333336</v>
      </c>
      <c r="W120" s="11">
        <f>IFERROR(IF(MARÍTIMOS[[#This Row],[Etapa Retiro - Salida]]="","",MARÍTIMOS[[#This Row],[Etapa Retiro - Salida]]),"")</f>
        <v>46206.740972222222</v>
      </c>
      <c r="X120" s="11">
        <f>IFERROR(IF(MARÍTIMOS[[#This Row],[Etapa Retiro - Inicio de Ruta]]="","",MARÍTIMOS[[#This Row],[Etapa Retiro - Inicio de Ruta]]),"")</f>
        <v>46206.791666666664</v>
      </c>
      <c r="Y120" s="11" t="str">
        <f>IFERROR(IF(MARÍTIMOS[[#This Row],[Hora de Posicionamiento]]="","",MARÍTIMOS[[#This Row],[Hora de Carga]]+MARÍTIMOS[[#This Row],[Hora de Posicionamiento]]),"")</f>
        <v/>
      </c>
      <c r="Z120" s="11">
        <f>IFERROR(IF(MARÍTIMOS[[#This Row],[Etapa Despacho -  Llegada]]="","",MARÍTIMOS[[#This Row],[Etapa Despacho -  Llegada]]),"")</f>
        <v>46207.458333333336</v>
      </c>
      <c r="AA120" s="11">
        <f>IFERROR(IF(MARÍTIMOS[[#This Row],[Etapa Despacho -  Registro]]="","",MARÍTIMOS[[#This Row],[Etapa Despacho -  Registro]]),"")</f>
        <v>46207.472222222219</v>
      </c>
      <c r="AB120" s="11">
        <f>IFERROR(IF(MARÍTIMOS[[#This Row],[Inspección Externa]]="","",MARÍTIMOS[[#This Row],[Inspección Externa]]),"")</f>
        <v>46207.49722222222</v>
      </c>
      <c r="AC120" s="11">
        <f>IFERROR(IF(MARÍTIMOS[[#This Row],[Etapa Despacho -  Inicio de Carga]]="","",MARÍTIMOS[[#This Row],[Etapa Despacho -  Inicio de Carga]]),"")</f>
        <v>46207.541666666664</v>
      </c>
      <c r="AD120" s="11">
        <f>IFERROR(IF(MARÍTIMOS[[#This Row],[Etapa Despacho -  Fin de Carga]]="","",MARÍTIMOS[[#This Row],[Etapa Despacho -  Fin de Carga]]),"")</f>
        <v>46207.75</v>
      </c>
      <c r="AE120" s="11">
        <f>IFERROR(IF(MARÍTIMOS[[#This Row],[Etapa Despacho -  Salida]]="","",MARÍTIMOS[[#This Row],[Etapa Despacho -  Salida]]),"")</f>
        <v>46207.761805555558</v>
      </c>
      <c r="AF120" s="2" t="str">
        <f>IFERROR(IF(MARÍTIMOS[[#This Row],[Puerto de Embarque]]="","",MARÍTIMOS[[#This Row],[Puerto de Embarque]]),"")</f>
        <v>CHANCAY</v>
      </c>
      <c r="AG120" s="2" t="str">
        <f>IFERROR(IF(MARÍTIMOS[[#This Row],[Almacén de Ingreso]]="","",MARÍTIMOS[[#This Row],[Almacén de Ingreso]]),"")</f>
        <v>CSPCP</v>
      </c>
      <c r="AH120" s="11">
        <f>IFERROR(IF(MARÍTIMOS[[#This Row],[Etapa Ingreso - Cita]]="","",MARÍTIMOS[[#This Row],[Etapa Ingreso - Cita]]),"")</f>
        <v>46208.541666666664</v>
      </c>
      <c r="AI120" s="11">
        <f>IFERROR(IF(MARÍTIMOS[[#This Row],[Etapa Ingreso - Llegada]]="","",MARÍTIMOS[[#This Row],[Etapa Ingreso - Llegada]]),"")</f>
        <v>46208.572222222225</v>
      </c>
      <c r="AJ120" s="11">
        <f>IFERROR(IF(MARÍTIMOS[[#This Row],[Etapa Ingreso - Ingeso]]="","",MARÍTIMOS[[#This Row],[Etapa Ingreso - Ingeso]]),"")</f>
        <v>46208.588888888888</v>
      </c>
      <c r="AK120" s="11">
        <f>IFERROR(IF(MARÍTIMOS[[#This Row],[Etapa Ingreso - Atención]]="","",MARÍTIMOS[[#This Row],[Etapa Ingreso - Atención]]),"")</f>
        <v>46208.583333333336</v>
      </c>
      <c r="AL120" s="11">
        <f>IFERROR(IF(MARÍTIMOS[[#This Row],[Etapa Ingreso - Salida]]="","",MARÍTIMOS[[#This Row],[Etapa Ingreso - Salida]]),"")</f>
        <v>46208.605555555558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0" s="5">
        <f>IFERROR(OLDBD[[#This Row],[Llegada a packing]]-OLDBD[[#This Row],[Inicio de Ruta]],"")</f>
        <v>0.66666666667151731</v>
      </c>
      <c r="AQ120" s="6">
        <f>IFERROR(OLDBD[[#This Row],[Inicio de Ruta]]-OLDBD[[#This Row],[Salida de almacén de retiro]],"")</f>
        <v>5.0694444442342501E-2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0" s="9">
        <f>IFERROR(OLDBD[[#This Row],[Ingreso Packing]]-OLDBD[[#This Row],[Registro en Packing]],"")</f>
        <v>2.5000000001455192E-2</v>
      </c>
      <c r="AV120" s="9">
        <f>IFERROR(OLDBD[[#This Row],[Ingreso Packing]]-OLDBD[[#This Row],[Llegada a packing]],"")</f>
        <v>3.8888888884685002E-2</v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0" s="5">
        <f>IFERROR(OLDBD[[#This Row],[Llegada Almacén de Ingreso]]-OLDBD[[#This Row],[Salida Packing]],"")</f>
        <v>0.81041666666715173</v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0" s="45" t="s">
        <v>181</v>
      </c>
      <c r="BB120" s="53" t="str">
        <f>IFERROR(IF(MARÍTIMOS[[#This Row],[Estatus]]="","",MARÍTIMOS[[#This Row],[Estatus]]),"")</f>
        <v>Confirmado</v>
      </c>
      <c r="BC120" s="45"/>
      <c r="BD120" s="52">
        <f>IFERROR(OLDBD[[#This Row],[Salida de almacén de retiro]]-OLDBD[[#This Row],[Ingreso Almacén de retiro]],"")</f>
        <v>6.5972222218988463E-2</v>
      </c>
      <c r="BE120" s="52">
        <f>IFERROR(OLDBD[[#This Row],[Fin de Carga]]-OLDBD[[#This Row],[Inicio de Carga]],"")</f>
        <v>0.20833333333575865</v>
      </c>
    </row>
    <row r="121" spans="1:57" x14ac:dyDescent="0.35">
      <c r="A121" s="1"/>
      <c r="B121" s="1">
        <f>IFERROR(IF(MARÍTIMOS[[#This Row],[PP]]="","",MARÍTIMOS[[#This Row],[PP]]),"")</f>
        <v>27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RH-0115</v>
      </c>
      <c r="E121" s="1"/>
      <c r="F121" s="2" t="str">
        <f>IFERROR(IF(MARÍTIMOS[[#This Row],[Transportista]]="","",MARÍTIMOS[[#This Row],[Transportista]]),"")</f>
        <v>LIP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>LOGISTICA INTERMODAL DEL PERU S.A.C.</v>
      </c>
      <c r="I121" s="2">
        <f>IFERROR(IF(MARÍTIMOS[[#This Row],[RUC]]="","",MARÍTIMOS[[#This Row],[RUC]]),"")</f>
        <v>20513040718</v>
      </c>
      <c r="J121" s="2" t="str">
        <f>IFERROR(IF(MARÍTIMOS[[#This Row],[Placa Tracto]]="","",MARÍTIMOS[[#This Row],[Placa Tracto]]),"")</f>
        <v>BCA-717</v>
      </c>
      <c r="K121" s="2" t="str">
        <f>IFERROR(IF(MARÍTIMOS[[#This Row],[Placa Carreta]]="","",MARÍTIMOS[[#This Row],[Placa Carreta]]),"")</f>
        <v>ANS-995</v>
      </c>
      <c r="L121" s="46" t="str">
        <f>IFERROR(IF(MARÍTIMOS[[#This Row],[Conductor]]="","",MARÍTIMOS[[#This Row],[Conductor]]),"")</f>
        <v>CARBAJAL PALOMINO YOVANNI</v>
      </c>
      <c r="M121" s="2" t="str">
        <f>IFERROR(IF(MARÍTIMOS[[#This Row],[Licencia]]="","",MARÍTIMOS[[#This Row],[Licencia]]),"")</f>
        <v>Q10429095</v>
      </c>
      <c r="N121" s="2" t="str">
        <f>IFERROR(IF(MARÍTIMOS[[#This Row],[Número de Contacto]]="","",MARÍTIMOS[[#This Row],[Número de Contacto]]),"")</f>
        <v/>
      </c>
      <c r="O121" s="10">
        <f>IFERROR(IF(MARÍTIMOS[[#This Row],[Booking|AWB|CRT]]="","",MARÍTIMOS[[#This Row],[Booking|AWB|CRT]]),"")</f>
        <v>6506666380</v>
      </c>
      <c r="P121" s="2" t="str">
        <f>IFERROR(IF(MARÍTIMOS[[#This Row],[Contenedor]]="","",MARÍTIMOS[[#This Row],[Contenedor]]),"")</f>
        <v>FBIU5186920</v>
      </c>
      <c r="Q121" s="2" t="str">
        <f>IFERROR(IF(MARÍTIMOS[[#This Row],[Puerto de Retiro]]="","",MARÍTIMOS[[#This Row],[Puerto de Retiro]]),"")</f>
        <v>CHANCAY</v>
      </c>
      <c r="R121" s="2" t="str">
        <f>IFERROR(IF(MARÍTIMOS[[#This Row],[Almacén de Retiro]]="","",MARÍTIMOS[[#This Row],[Almacén de Retiro]]),"")</f>
        <v>CSPCP</v>
      </c>
      <c r="S121" s="11">
        <f>IFERROR(IF(MARÍTIMOS[[#This Row],[Etapa Retiro - Cita]]="","",MARÍTIMOS[[#This Row],[Etapa Retiro - Cita]]),"")</f>
        <v>46206.541666666664</v>
      </c>
      <c r="T121" s="11">
        <f>IFERROR(IF(MARÍTIMOS[[#This Row],[Etapa Retiro - Llegada]]="","",MARÍTIMOS[[#This Row],[Etapa Retiro - Llegada]]),"")</f>
        <v>46206.548611111109</v>
      </c>
      <c r="U121" s="11">
        <f>IFERROR(IF(MARÍTIMOS[[#This Row],[Etapa Retiro - Ingreso]]="","",MARÍTIMOS[[#This Row],[Etapa Retiro - Ingreso]]),"")</f>
        <v>46206.552083333336</v>
      </c>
      <c r="V121" s="11">
        <f>IFERROR(IF(MARÍTIMOS[[#This Row],[Etapa Retiro - Atención]]="","",MARÍTIMOS[[#This Row],[Etapa Retiro - Atención]]),"")</f>
        <v>46206.583333333336</v>
      </c>
      <c r="W121" s="11">
        <f>IFERROR(IF(MARÍTIMOS[[#This Row],[Etapa Retiro - Salida]]="","",MARÍTIMOS[[#This Row],[Etapa Retiro - Salida]]),"")</f>
        <v>46206.618055555555</v>
      </c>
      <c r="X121" s="11">
        <f>IFERROR(IF(MARÍTIMOS[[#This Row],[Etapa Retiro - Inicio de Ruta]]="","",MARÍTIMOS[[#This Row],[Etapa Retiro - Inicio de Ruta]]),"")</f>
        <v>46206.833333333336</v>
      </c>
      <c r="Y121" s="11" t="str">
        <f>IFERROR(IF(MARÍTIMOS[[#This Row],[Hora de Posicionamiento]]="","",MARÍTIMOS[[#This Row],[Hora de Carga]]+MARÍTIMOS[[#This Row],[Hora de Posicionamiento]]),"")</f>
        <v/>
      </c>
      <c r="Z121" s="11">
        <f>IFERROR(IF(MARÍTIMOS[[#This Row],[Etapa Despacho -  Llegada]]="","",MARÍTIMOS[[#This Row],[Etapa Despacho -  Llegada]]),"")</f>
        <v>46207.375</v>
      </c>
      <c r="AA121" s="11">
        <f>IFERROR(IF(MARÍTIMOS[[#This Row],[Etapa Despacho -  Registro]]="","",MARÍTIMOS[[#This Row],[Etapa Despacho -  Registro]]),"")</f>
        <v>46207.388888888891</v>
      </c>
      <c r="AB121" s="11">
        <f>IFERROR(IF(MARÍTIMOS[[#This Row],[Inspección Externa]]="","",MARÍTIMOS[[#This Row],[Inspección Externa]]),"")</f>
        <v>46207.386805555558</v>
      </c>
      <c r="AC121" s="11">
        <f>IFERROR(IF(MARÍTIMOS[[#This Row],[Etapa Despacho -  Inicio de Carga]]="","",MARÍTIMOS[[#This Row],[Etapa Despacho -  Inicio de Carga]]),"")</f>
        <v>46207.458333333336</v>
      </c>
      <c r="AD121" s="11">
        <f>IFERROR(IF(MARÍTIMOS[[#This Row],[Etapa Despacho -  Fin de Carga]]="","",MARÍTIMOS[[#This Row],[Etapa Despacho -  Fin de Carga]]),"")</f>
        <v>46208.625</v>
      </c>
      <c r="AE121" s="11">
        <f>IFERROR(IF(MARÍTIMOS[[#This Row],[Etapa Despacho -  Salida]]="","",MARÍTIMOS[[#This Row],[Etapa Despacho -  Salida]]),"")</f>
        <v>46208.664583333331</v>
      </c>
      <c r="AF121" s="2" t="str">
        <f>IFERROR(IF(MARÍTIMOS[[#This Row],[Puerto de Embarque]]="","",MARÍTIMOS[[#This Row],[Puerto de Embarque]]),"")</f>
        <v>CHANCAY</v>
      </c>
      <c r="AG121" s="2" t="str">
        <f>IFERROR(IF(MARÍTIMOS[[#This Row],[Almacén de Ingreso]]="","",MARÍTIMOS[[#This Row],[Almacén de Ingreso]]),"")</f>
        <v>CSPCP</v>
      </c>
      <c r="AH121" s="11">
        <f>IFERROR(IF(MARÍTIMOS[[#This Row],[Etapa Ingreso - Cita]]="","",MARÍTIMOS[[#This Row],[Etapa Ingreso - Cita]]),"")</f>
        <v>46209.166666666664</v>
      </c>
      <c r="AI121" s="11">
        <f>IFERROR(IF(MARÍTIMOS[[#This Row],[Etapa Ingreso - Llegada]]="","",MARÍTIMOS[[#This Row],[Etapa Ingreso - Llegada]]),"")</f>
        <v>46209.2</v>
      </c>
      <c r="AJ121" s="11">
        <f>IFERROR(IF(MARÍTIMOS[[#This Row],[Etapa Ingreso - Ingeso]]="","",MARÍTIMOS[[#This Row],[Etapa Ingreso - Ingeso]]),"")</f>
        <v>46209.201388888891</v>
      </c>
      <c r="AK121" s="11">
        <f>IFERROR(IF(MARÍTIMOS[[#This Row],[Etapa Ingreso - Atención]]="","",MARÍTIMOS[[#This Row],[Etapa Ingreso - Atención]]),"")</f>
        <v>46209.208333333336</v>
      </c>
      <c r="AL121" s="11">
        <f>IFERROR(IF(MARÍTIMOS[[#This Row],[Etapa Ingreso - Salida]]="","",MARÍTIMOS[[#This Row],[Etapa Ingreso - Salida]]),"")</f>
        <v>46209.236111111109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1" s="5">
        <f>IFERROR(OLDBD[[#This Row],[Llegada a packing]]-OLDBD[[#This Row],[Inicio de Ruta]],"")</f>
        <v>0.54166666666424135</v>
      </c>
      <c r="AQ121" s="6">
        <f>IFERROR(OLDBD[[#This Row],[Inicio de Ruta]]-OLDBD[[#This Row],[Salida de almacén de retiro]],"")</f>
        <v>0.21527777778101154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>
        <f>IFERROR(OLDBD[[#This Row],[Ingreso Packing]]-OLDBD[[#This Row],[Registro en Packing]],"")</f>
        <v>-2.0833333328482695E-3</v>
      </c>
      <c r="AV121" s="9">
        <f>IFERROR(OLDBD[[#This Row],[Ingreso Packing]]-OLDBD[[#This Row],[Llegada a packing]],"")</f>
        <v>1.1805555557657499E-2</v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1" s="5">
        <f>IFERROR(OLDBD[[#This Row],[Llegada Almacén de Ingreso]]-OLDBD[[#This Row],[Salida Packing]],"")</f>
        <v>0.53541666666569654</v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5" t="s">
        <v>181</v>
      </c>
      <c r="BB121" s="53" t="str">
        <f>IFERROR(IF(MARÍTIMOS[[#This Row],[Estatus]]="","",MARÍTIMOS[[#This Row],[Estatus]]),"")</f>
        <v>Confirmado</v>
      </c>
      <c r="BC121" s="45"/>
      <c r="BD121" s="52">
        <f>IFERROR(OLDBD[[#This Row],[Salida de almacén de retiro]]-OLDBD[[#This Row],[Ingreso Almacén de retiro]],"")</f>
        <v>6.5972222218988463E-2</v>
      </c>
      <c r="BE121" s="52">
        <f>IFERROR(OLDBD[[#This Row],[Fin de Carga]]-OLDBD[[#This Row],[Inicio de Carga]],"")</f>
        <v>1.1666666666642413</v>
      </c>
    </row>
    <row r="122" spans="1:57" x14ac:dyDescent="0.35">
      <c r="A122" s="1"/>
      <c r="B122" s="1">
        <f>IFERROR(IF(MARÍTIMOS[[#This Row],[PP]]="","",MARÍTIMOS[[#This Row],[PP]]),"")</f>
        <v>27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RH-0117</v>
      </c>
      <c r="E122" s="1"/>
      <c r="F122" s="2" t="str">
        <f>IFERROR(IF(MARÍTIMOS[[#This Row],[Transportista]]="","",MARÍTIMOS[[#This Row],[Transportista]]),"")</f>
        <v>LIP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>LOGISTICA INTERMODAL DEL PERU S.A.C.</v>
      </c>
      <c r="I122" s="2">
        <f>IFERROR(IF(MARÍTIMOS[[#This Row],[RUC]]="","",MARÍTIMOS[[#This Row],[RUC]]),"")</f>
        <v>20513040718</v>
      </c>
      <c r="J122" s="2" t="str">
        <f>IFERROR(IF(MARÍTIMOS[[#This Row],[Placa Tracto]]="","",MARÍTIMOS[[#This Row],[Placa Tracto]]),"")</f>
        <v>BBG-844</v>
      </c>
      <c r="K122" s="2" t="str">
        <f>IFERROR(IF(MARÍTIMOS[[#This Row],[Placa Carreta]]="","",MARÍTIMOS[[#This Row],[Placa Carreta]]),"")</f>
        <v>AZK-992</v>
      </c>
      <c r="L122" s="46" t="str">
        <f>IFERROR(IF(MARÍTIMOS[[#This Row],[Conductor]]="","",MARÍTIMOS[[#This Row],[Conductor]]),"")</f>
        <v>PAUCCAR QUISPE JOSUE</v>
      </c>
      <c r="M122" s="2" t="str">
        <f>IFERROR(IF(MARÍTIMOS[[#This Row],[Licencia]]="","",MARÍTIMOS[[#This Row],[Licencia]]),"")</f>
        <v>Q44059511</v>
      </c>
      <c r="N122" s="2" t="str">
        <f>IFERROR(IF(MARÍTIMOS[[#This Row],[Número de Contacto]]="","",MARÍTIMOS[[#This Row],[Número de Contacto]]),"")</f>
        <v/>
      </c>
      <c r="O122" s="10">
        <f>IFERROR(IF(MARÍTIMOS[[#This Row],[Booking|AWB|CRT]]="","",MARÍTIMOS[[#This Row],[Booking|AWB|CRT]]),"")</f>
        <v>6506666540</v>
      </c>
      <c r="P122" s="2" t="str">
        <f>IFERROR(IF(MARÍTIMOS[[#This Row],[Contenedor]]="","",MARÍTIMOS[[#This Row],[Contenedor]]),"")</f>
        <v>FBIU5003994</v>
      </c>
      <c r="Q122" s="2" t="str">
        <f>IFERROR(IF(MARÍTIMOS[[#This Row],[Puerto de Retiro]]="","",MARÍTIMOS[[#This Row],[Puerto de Retiro]]),"")</f>
        <v>CHANCAY</v>
      </c>
      <c r="R122" s="2" t="str">
        <f>IFERROR(IF(MARÍTIMOS[[#This Row],[Almacén de Retiro]]="","",MARÍTIMOS[[#This Row],[Almacén de Retiro]]),"")</f>
        <v>CSPCP</v>
      </c>
      <c r="S122" s="11">
        <f>IFERROR(IF(MARÍTIMOS[[#This Row],[Etapa Retiro - Cita]]="","",MARÍTIMOS[[#This Row],[Etapa Retiro - Cita]]),"")</f>
        <v>46206.666666666664</v>
      </c>
      <c r="T122" s="11">
        <f>IFERROR(IF(MARÍTIMOS[[#This Row],[Etapa Retiro - Llegada]]="","",MARÍTIMOS[[#This Row],[Etapa Retiro - Llegada]]),"")</f>
        <v>46206.693055555559</v>
      </c>
      <c r="U122" s="11">
        <f>IFERROR(IF(MARÍTIMOS[[#This Row],[Etapa Retiro - Ingreso]]="","",MARÍTIMOS[[#This Row],[Etapa Retiro - Ingreso]]),"")</f>
        <v>46206.694444444445</v>
      </c>
      <c r="V122" s="11">
        <f>IFERROR(IF(MARÍTIMOS[[#This Row],[Etapa Retiro - Atención]]="","",MARÍTIMOS[[#This Row],[Etapa Retiro - Atención]]),"")</f>
        <v>46206.791666666664</v>
      </c>
      <c r="W122" s="11">
        <f>IFERROR(IF(MARÍTIMOS[[#This Row],[Etapa Retiro - Salida]]="","",MARÍTIMOS[[#This Row],[Etapa Retiro - Salida]]),"")</f>
        <v>46206.820138888892</v>
      </c>
      <c r="X122" s="11">
        <f>IFERROR(IF(MARÍTIMOS[[#This Row],[Etapa Retiro - Inicio de Ruta]]="","",MARÍTIMOS[[#This Row],[Etapa Retiro - Inicio de Ruta]]),"")</f>
        <v>46206.875</v>
      </c>
      <c r="Y122" s="11">
        <f>IFERROR(IF(MARÍTIMOS[[#This Row],[Hora de Posicionamiento]]="","",MARÍTIMOS[[#This Row],[Hora de Carga]]+MARÍTIMOS[[#This Row],[Hora de Posicionamiento]]),"")</f>
        <v>0.375</v>
      </c>
      <c r="Z122" s="11">
        <f>IFERROR(IF(MARÍTIMOS[[#This Row],[Etapa Despacho -  Llegada]]="","",MARÍTIMOS[[#This Row],[Etapa Despacho -  Llegada]]),"")</f>
        <v>46207.375</v>
      </c>
      <c r="AA122" s="11">
        <f>IFERROR(IF(MARÍTIMOS[[#This Row],[Etapa Despacho -  Registro]]="","",MARÍTIMOS[[#This Row],[Etapa Despacho -  Registro]]),"")</f>
        <v>46207.395833333336</v>
      </c>
      <c r="AB122" s="11">
        <f>IFERROR(IF(MARÍTIMOS[[#This Row],[Inspección Externa]]="","",MARÍTIMOS[[#This Row],[Inspección Externa]]),"")</f>
        <v>46207.375694444447</v>
      </c>
      <c r="AC122" s="11">
        <f>IFERROR(IF(MARÍTIMOS[[#This Row],[Etapa Despacho -  Inicio de Carga]]="","",MARÍTIMOS[[#This Row],[Etapa Despacho -  Inicio de Carga]]),"")</f>
        <v>46207.4375</v>
      </c>
      <c r="AD122" s="11">
        <f>IFERROR(IF(MARÍTIMOS[[#This Row],[Etapa Despacho -  Fin de Carga]]="","",MARÍTIMOS[[#This Row],[Etapa Despacho -  Fin de Carga]]),"")</f>
        <v>46207.791666666664</v>
      </c>
      <c r="AE122" s="11">
        <f>IFERROR(IF(MARÍTIMOS[[#This Row],[Etapa Despacho -  Salida]]="","",MARÍTIMOS[[#This Row],[Etapa Despacho -  Salida]]),"")</f>
        <v>46207.81527777778</v>
      </c>
      <c r="AF122" s="2" t="str">
        <f>IFERROR(IF(MARÍTIMOS[[#This Row],[Puerto de Embarque]]="","",MARÍTIMOS[[#This Row],[Puerto de Embarque]]),"")</f>
        <v>CHANCAY</v>
      </c>
      <c r="AG122" s="2" t="str">
        <f>IFERROR(IF(MARÍTIMOS[[#This Row],[Almacén de Ingreso]]="","",MARÍTIMOS[[#This Row],[Almacén de Ingreso]]),"")</f>
        <v>CSPCP</v>
      </c>
      <c r="AH122" s="11">
        <f>IFERROR(IF(MARÍTIMOS[[#This Row],[Etapa Ingreso - Cita]]="","",MARÍTIMOS[[#This Row],[Etapa Ingreso - Cita]]),"")</f>
        <v>46208.166666666664</v>
      </c>
      <c r="AI122" s="11">
        <f>IFERROR(IF(MARÍTIMOS[[#This Row],[Etapa Ingreso - Llegada]]="","",MARÍTIMOS[[#This Row],[Etapa Ingreso - Llegada]]),"")</f>
        <v>46208.193055555559</v>
      </c>
      <c r="AJ122" s="11">
        <f>IFERROR(IF(MARÍTIMOS[[#This Row],[Etapa Ingreso - Ingeso]]="","",MARÍTIMOS[[#This Row],[Etapa Ingreso - Ingeso]]),"")</f>
        <v>46208.20208333333</v>
      </c>
      <c r="AK122" s="11">
        <f>IFERROR(IF(MARÍTIMOS[[#This Row],[Etapa Ingreso - Atención]]="","",MARÍTIMOS[[#This Row],[Etapa Ingreso - Atención]]),"")</f>
        <v>46208.208333333336</v>
      </c>
      <c r="AL122" s="11">
        <f>IFERROR(IF(MARÍTIMOS[[#This Row],[Etapa Ingreso - Salida]]="","",MARÍTIMOS[[#This Row],[Etapa Ingreso - Salida]]),"")</f>
        <v>46208.229861111111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2" s="5">
        <f>IFERROR(OLDBD[[#This Row],[Llegada a packing]]-OLDBD[[#This Row],[Inicio de Ruta]],"")</f>
        <v>0.5</v>
      </c>
      <c r="AQ122" s="6">
        <f>IFERROR(OLDBD[[#This Row],[Inicio de Ruta]]-OLDBD[[#This Row],[Salida de almacén de retiro]],"")</f>
        <v>5.486111110803904E-2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2" s="9">
        <f>IFERROR(OLDBD[[#This Row],[Ingreso Packing]]-OLDBD[[#This Row],[Registro en Packing]],"")</f>
        <v>-2.0138888889050577E-2</v>
      </c>
      <c r="AV122" s="9">
        <f>IFERROR(OLDBD[[#This Row],[Ingreso Packing]]-OLDBD[[#This Row],[Llegada a packing]],"")</f>
        <v>6.944444467080757E-4</v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2" s="5">
        <f>IFERROR(OLDBD[[#This Row],[Llegada Almacén de Ingreso]]-OLDBD[[#This Row],[Salida Packing]],"")</f>
        <v>0.37777777777955635</v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5" t="s">
        <v>181</v>
      </c>
      <c r="BB122" s="53" t="str">
        <f>IFERROR(IF(MARÍTIMOS[[#This Row],[Estatus]]="","",MARÍTIMOS[[#This Row],[Estatus]]),"")</f>
        <v>Confirmado</v>
      </c>
      <c r="BC122" s="45"/>
      <c r="BD122" s="52">
        <f>IFERROR(OLDBD[[#This Row],[Salida de almacén de retiro]]-OLDBD[[#This Row],[Ingreso Almacén de retiro]],"")</f>
        <v>0.12569444444670808</v>
      </c>
      <c r="BE122" s="52">
        <f>IFERROR(OLDBD[[#This Row],[Fin de Carga]]-OLDBD[[#This Row],[Inicio de Carga]],"")</f>
        <v>0.35416666666424135</v>
      </c>
    </row>
    <row r="123" spans="1:57" x14ac:dyDescent="0.35">
      <c r="A123" s="1"/>
      <c r="B123" s="1">
        <f>IFERROR(IF(MARÍTIMOS[[#This Row],[PP]]="","",MARÍTIMOS[[#This Row],[PP]]),"")</f>
        <v>27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RH-0118</v>
      </c>
      <c r="E123" s="1"/>
      <c r="F123" s="2" t="str">
        <f>IFERROR(IF(MARÍTIMOS[[#This Row],[Transportista]]="","",MARÍTIMOS[[#This Row],[Transportista]]),"")</f>
        <v>LIP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>LOGISTICA INTERMODAL DEL PERU S.A.C.</v>
      </c>
      <c r="I123" s="2">
        <f>IFERROR(IF(MARÍTIMOS[[#This Row],[RUC]]="","",MARÍTIMOS[[#This Row],[RUC]]),"")</f>
        <v>20513040718</v>
      </c>
      <c r="J123" s="2" t="str">
        <f>IFERROR(IF(MARÍTIMOS[[#This Row],[Placa Tracto]]="","",MARÍTIMOS[[#This Row],[Placa Tracto]]),"")</f>
        <v>BFH-947</v>
      </c>
      <c r="K123" s="2" t="str">
        <f>IFERROR(IF(MARÍTIMOS[[#This Row],[Placa Carreta]]="","",MARÍTIMOS[[#This Row],[Placa Carreta]]),"")</f>
        <v>AJP-999</v>
      </c>
      <c r="L123" s="46" t="str">
        <f>IFERROR(IF(MARÍTIMOS[[#This Row],[Conductor]]="","",MARÍTIMOS[[#This Row],[Conductor]]),"")</f>
        <v>NAVARRO VILCATOMA LUIS ENRIQUE</v>
      </c>
      <c r="M123" s="2" t="str">
        <f>IFERROR(IF(MARÍTIMOS[[#This Row],[Licencia]]="","",MARÍTIMOS[[#This Row],[Licencia]]),"")</f>
        <v>F41812149</v>
      </c>
      <c r="N123" s="2" t="str">
        <f>IFERROR(IF(MARÍTIMOS[[#This Row],[Número de Contacto]]="","",MARÍTIMOS[[#This Row],[Número de Contacto]]),"")</f>
        <v/>
      </c>
      <c r="O123" s="10" t="str">
        <f>IFERROR(IF(MARÍTIMOS[[#This Row],[Booking|AWB|CRT]]="","",MARÍTIMOS[[#This Row],[Booking|AWB|CRT]]),"")</f>
        <v>LIM600235900</v>
      </c>
      <c r="P123" s="2" t="str">
        <f>IFERROR(IF(MARÍTIMOS[[#This Row],[Contenedor]]="","",MARÍTIMOS[[#This Row],[Contenedor]]),"")</f>
        <v>CAAU4074567</v>
      </c>
      <c r="Q123" s="2" t="str">
        <f>IFERROR(IF(MARÍTIMOS[[#This Row],[Puerto de Retiro]]="","",MARÍTIMOS[[#This Row],[Puerto de Retiro]]),"")</f>
        <v>CALLAO</v>
      </c>
      <c r="R123" s="2" t="str">
        <f>IFERROR(IF(MARÍTIMOS[[#This Row],[Almacén de Retiro]]="","",MARÍTIMOS[[#This Row],[Almacén de Retiro]]),"")</f>
        <v>CONTRANS</v>
      </c>
      <c r="S123" s="11">
        <f>IFERROR(IF(MARÍTIMOS[[#This Row],[Etapa Retiro - Cita]]="","",MARÍTIMOS[[#This Row],[Etapa Retiro - Cita]]),"")</f>
        <v>46208.625</v>
      </c>
      <c r="T123" s="11">
        <f>IFERROR(IF(MARÍTIMOS[[#This Row],[Etapa Retiro - Llegada]]="","",MARÍTIMOS[[#This Row],[Etapa Retiro - Llegada]]),"")</f>
        <v>46208.663194444445</v>
      </c>
      <c r="U123" s="11">
        <f>IFERROR(IF(MARÍTIMOS[[#This Row],[Etapa Retiro - Ingreso]]="","",MARÍTIMOS[[#This Row],[Etapa Retiro - Ingreso]]),"")</f>
        <v>46208.676388888889</v>
      </c>
      <c r="V123" s="11">
        <f>IFERROR(IF(MARÍTIMOS[[#This Row],[Etapa Retiro - Atención]]="","",MARÍTIMOS[[#This Row],[Etapa Retiro - Atención]]),"")</f>
        <v>46208.75</v>
      </c>
      <c r="W123" s="11">
        <f>IFERROR(IF(MARÍTIMOS[[#This Row],[Etapa Retiro - Salida]]="","",MARÍTIMOS[[#This Row],[Etapa Retiro - Salida]]),"")</f>
        <v>46208.753472222219</v>
      </c>
      <c r="X123" s="11">
        <f>IFERROR(IF(MARÍTIMOS[[#This Row],[Etapa Retiro - Inicio de Ruta]]="","",MARÍTIMOS[[#This Row],[Etapa Retiro - Inicio de Ruta]]),"")</f>
        <v>46208.833333333336</v>
      </c>
      <c r="Y123" s="11">
        <f>IFERROR(IF(MARÍTIMOS[[#This Row],[Hora de Posicionamiento]]="","",MARÍTIMOS[[#This Row],[Hora de Carga]]+MARÍTIMOS[[#This Row],[Hora de Posicionamiento]]),"")</f>
        <v>0.41666666666666669</v>
      </c>
      <c r="Z123" s="11">
        <f>IFERROR(IF(MARÍTIMOS[[#This Row],[Etapa Despacho -  Llegada]]="","",MARÍTIMOS[[#This Row],[Etapa Despacho -  Llegada]]),"")</f>
        <v>46209.518055555556</v>
      </c>
      <c r="AA123" s="11">
        <f>IFERROR(IF(MARÍTIMOS[[#This Row],[Etapa Despacho -  Registro]]="","",MARÍTIMOS[[#This Row],[Etapa Despacho -  Registro]]),"")</f>
        <v>46209.5</v>
      </c>
      <c r="AB123" s="11">
        <f>IFERROR(IF(MARÍTIMOS[[#This Row],[Inspección Externa]]="","",MARÍTIMOS[[#This Row],[Inspección Externa]]),"")</f>
        <v>46209.520833333336</v>
      </c>
      <c r="AC123" s="11">
        <f>IFERROR(IF(MARÍTIMOS[[#This Row],[Etapa Despacho -  Inicio de Carga]]="","",MARÍTIMOS[[#This Row],[Etapa Despacho -  Inicio de Carga]]),"")</f>
        <v>46209.569444444445</v>
      </c>
      <c r="AD123" s="11">
        <f>IFERROR(IF(MARÍTIMOS[[#This Row],[Etapa Despacho -  Fin de Carga]]="","",MARÍTIMOS[[#This Row],[Etapa Despacho -  Fin de Carga]]),"")</f>
        <v>46209.666666666664</v>
      </c>
      <c r="AE123" s="11">
        <f>IFERROR(IF(MARÍTIMOS[[#This Row],[Etapa Despacho -  Salida]]="","",MARÍTIMOS[[#This Row],[Etapa Despacho -  Salida]]),"")</f>
        <v>46209.69027777778</v>
      </c>
      <c r="AF123" s="2" t="str">
        <f>IFERROR(IF(MARÍTIMOS[[#This Row],[Puerto de Embarque]]="","",MARÍTIMOS[[#This Row],[Puerto de Embarque]]),"")</f>
        <v>CALLAO</v>
      </c>
      <c r="AG123" s="2" t="str">
        <f>IFERROR(IF(MARÍTIMOS[[#This Row],[Almacén de Ingreso]]="","",MARÍTIMOS[[#This Row],[Almacén de Ingreso]]),"")</f>
        <v>DPW</v>
      </c>
      <c r="AH123" s="11">
        <f>IFERROR(IF(MARÍTIMOS[[#This Row],[Etapa Ingreso - Cita]]="","",MARÍTIMOS[[#This Row],[Etapa Ingreso - Cita]]),"")</f>
        <v>46210.541666666664</v>
      </c>
      <c r="AI123" s="11">
        <f>IFERROR(IF(MARÍTIMOS[[#This Row],[Etapa Ingreso - Llegada]]="","",MARÍTIMOS[[#This Row],[Etapa Ingreso - Llegada]]),"")</f>
        <v>46210.544444444444</v>
      </c>
      <c r="AJ123" s="11">
        <f>IFERROR(IF(MARÍTIMOS[[#This Row],[Etapa Ingreso - Ingeso]]="","",MARÍTIMOS[[#This Row],[Etapa Ingreso - Ingeso]]),"")</f>
        <v>46210.591666666667</v>
      </c>
      <c r="AK123" s="11">
        <f>IFERROR(IF(MARÍTIMOS[[#This Row],[Etapa Ingreso - Atención]]="","",MARÍTIMOS[[#This Row],[Etapa Ingreso - Atención]]),"")</f>
        <v>46210.583333333336</v>
      </c>
      <c r="AL123" s="11">
        <f>IFERROR(IF(MARÍTIMOS[[#This Row],[Etapa Ingreso - Salida]]="","",MARÍTIMOS[[#This Row],[Etapa Ingreso - Salida]]),"")</f>
        <v>46210.602083333331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3" s="5">
        <f>IFERROR(OLDBD[[#This Row],[Llegada a packing]]-OLDBD[[#This Row],[Inicio de Ruta]],"")</f>
        <v>0.68472222222044365</v>
      </c>
      <c r="AQ123" s="6">
        <f>IFERROR(OLDBD[[#This Row],[Inicio de Ruta]]-OLDBD[[#This Row],[Salida de almacén de retiro]],"")</f>
        <v>7.9861111116770189E-2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3" s="9">
        <f>IFERROR(OLDBD[[#This Row],[Ingreso Packing]]-OLDBD[[#This Row],[Registro en Packing]],"")</f>
        <v>2.0833333335758653E-2</v>
      </c>
      <c r="AV123" s="9">
        <f>IFERROR(OLDBD[[#This Row],[Ingreso Packing]]-OLDBD[[#This Row],[Llegada a packing]],"")</f>
        <v>2.7777777795563452E-3</v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3" s="5">
        <f>IFERROR(OLDBD[[#This Row],[Llegada Almacén de Ingreso]]-OLDBD[[#This Row],[Salida Packing]],"")</f>
        <v>0.85416666666424135</v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5" t="s">
        <v>181</v>
      </c>
      <c r="BB123" s="53" t="str">
        <f>IFERROR(IF(MARÍTIMOS[[#This Row],[Estatus]]="","",MARÍTIMOS[[#This Row],[Estatus]]),"")</f>
        <v>Confirmado</v>
      </c>
      <c r="BC123" s="45"/>
      <c r="BD123" s="52">
        <f>IFERROR(OLDBD[[#This Row],[Salida de almacén de retiro]]-OLDBD[[#This Row],[Ingreso Almacén de retiro]],"")</f>
        <v>7.7083333329937886E-2</v>
      </c>
      <c r="BE123" s="52">
        <f>IFERROR(OLDBD[[#This Row],[Fin de Carga]]-OLDBD[[#This Row],[Inicio de Carga]],"")</f>
        <v>9.7222222218988463E-2</v>
      </c>
    </row>
    <row r="124" spans="1:57" x14ac:dyDescent="0.35">
      <c r="A124" s="1"/>
      <c r="B124" s="1">
        <f>IFERROR(IF(MARÍTIMOS[[#This Row],[PP]]="","",MARÍTIMOS[[#This Row],[PP]]),"")</f>
        <v>27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RH-0120</v>
      </c>
      <c r="E124" s="1"/>
      <c r="F124" s="2" t="str">
        <f>IFERROR(IF(MARÍTIMOS[[#This Row],[Transportista]]="","",MARÍTIMOS[[#This Row],[Transportista]]),"")</f>
        <v>LIP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>LOGISTICA INTERMODAL DEL PERU S.A.C.</v>
      </c>
      <c r="I124" s="2">
        <f>IFERROR(IF(MARÍTIMOS[[#This Row],[RUC]]="","",MARÍTIMOS[[#This Row],[RUC]]),"")</f>
        <v>20513040718</v>
      </c>
      <c r="J124" s="2" t="str">
        <f>IFERROR(IF(MARÍTIMOS[[#This Row],[Placa Tracto]]="","",MARÍTIMOS[[#This Row],[Placa Tracto]]),"")</f>
        <v>BPJ-889</v>
      </c>
      <c r="K124" s="2" t="str">
        <f>IFERROR(IF(MARÍTIMOS[[#This Row],[Placa Carreta]]="","",MARÍTIMOS[[#This Row],[Placa Carreta]]),"")</f>
        <v>C2B-989</v>
      </c>
      <c r="L124" s="46" t="str">
        <f>IFERROR(IF(MARÍTIMOS[[#This Row],[Conductor]]="","",MARÍTIMOS[[#This Row],[Conductor]]),"")</f>
        <v>HUAMANI PALOMINO EDGAR FREDY</v>
      </c>
      <c r="M124" s="2" t="str">
        <f>IFERROR(IF(MARÍTIMOS[[#This Row],[Licencia]]="","",MARÍTIMOS[[#This Row],[Licencia]]),"")</f>
        <v>Q40736385</v>
      </c>
      <c r="N124" s="2" t="str">
        <f>IFERROR(IF(MARÍTIMOS[[#This Row],[Número de Contacto]]="","",MARÍTIMOS[[#This Row],[Número de Contacto]]),"")</f>
        <v/>
      </c>
      <c r="O124" s="10">
        <f>IFERROR(IF(MARÍTIMOS[[#This Row],[Booking|AWB|CRT]]="","",MARÍTIMOS[[#This Row],[Booking|AWB|CRT]]),"")</f>
        <v>6506666730</v>
      </c>
      <c r="P124" s="2" t="str">
        <f>IFERROR(IF(MARÍTIMOS[[#This Row],[Contenedor]]="","",MARÍTIMOS[[#This Row],[Contenedor]]),"")</f>
        <v>FBIU5002410</v>
      </c>
      <c r="Q124" s="2" t="str">
        <f>IFERROR(IF(MARÍTIMOS[[#This Row],[Puerto de Retiro]]="","",MARÍTIMOS[[#This Row],[Puerto de Retiro]]),"")</f>
        <v>CHANCAY</v>
      </c>
      <c r="R124" s="2" t="str">
        <f>IFERROR(IF(MARÍTIMOS[[#This Row],[Almacén de Retiro]]="","",MARÍTIMOS[[#This Row],[Almacén de Retiro]]),"")</f>
        <v>CSPCP</v>
      </c>
      <c r="S124" s="11">
        <f>IFERROR(IF(MARÍTIMOS[[#This Row],[Etapa Retiro - Cita]]="","",MARÍTIMOS[[#This Row],[Etapa Retiro - Cita]]),"")</f>
        <v>46208.708333333336</v>
      </c>
      <c r="T124" s="11">
        <f>IFERROR(IF(MARÍTIMOS[[#This Row],[Etapa Retiro - Llegada]]="","",MARÍTIMOS[[#This Row],[Etapa Retiro - Llegada]]),"")</f>
        <v>46208.861805555556</v>
      </c>
      <c r="U124" s="11">
        <f>IFERROR(IF(MARÍTIMOS[[#This Row],[Etapa Retiro - Ingreso]]="","",MARÍTIMOS[[#This Row],[Etapa Retiro - Ingreso]]),"")</f>
        <v>46208.869444444441</v>
      </c>
      <c r="V124" s="11">
        <f>IFERROR(IF(MARÍTIMOS[[#This Row],[Etapa Retiro - Atención]]="","",MARÍTIMOS[[#This Row],[Etapa Retiro - Atención]]),"")</f>
        <v>46208.916666666664</v>
      </c>
      <c r="W124" s="11">
        <f>IFERROR(IF(MARÍTIMOS[[#This Row],[Etapa Retiro - Salida]]="","",MARÍTIMOS[[#This Row],[Etapa Retiro - Salida]]),"")</f>
        <v>46208.938194444447</v>
      </c>
      <c r="X124" s="11">
        <f>IFERROR(IF(MARÍTIMOS[[#This Row],[Etapa Retiro - Inicio de Ruta]]="","",MARÍTIMOS[[#This Row],[Etapa Retiro - Inicio de Ruta]]),"")</f>
        <v>46208.979166666664</v>
      </c>
      <c r="Y124" s="11">
        <f>IFERROR(IF(MARÍTIMOS[[#This Row],[Hora de Posicionamiento]]="","",MARÍTIMOS[[#This Row],[Hora de Carga]]+MARÍTIMOS[[#This Row],[Hora de Posicionamiento]]),"")</f>
        <v>0.5</v>
      </c>
      <c r="Z124" s="11">
        <f>IFERROR(IF(MARÍTIMOS[[#This Row],[Etapa Despacho -  Llegada]]="","",MARÍTIMOS[[#This Row],[Etapa Despacho -  Llegada]]),"")</f>
        <v>46209.478472222225</v>
      </c>
      <c r="AA124" s="11">
        <f>IFERROR(IF(MARÍTIMOS[[#This Row],[Etapa Despacho -  Registro]]="","",MARÍTIMOS[[#This Row],[Etapa Despacho -  Registro]]),"")</f>
        <v>46209.486111111109</v>
      </c>
      <c r="AB124" s="11">
        <f>IFERROR(IF(MARÍTIMOS[[#This Row],[Inspección Externa]]="","",MARÍTIMOS[[#This Row],[Inspección Externa]]),"")</f>
        <v>46209.583333333336</v>
      </c>
      <c r="AC124" s="11">
        <f>IFERROR(IF(MARÍTIMOS[[#This Row],[Etapa Despacho -  Inicio de Carga]]="","",MARÍTIMOS[[#This Row],[Etapa Despacho -  Inicio de Carga]]),"")</f>
        <v>46209.625</v>
      </c>
      <c r="AD124" s="11">
        <f>IFERROR(IF(MARÍTIMOS[[#This Row],[Etapa Despacho -  Fin de Carga]]="","",MARÍTIMOS[[#This Row],[Etapa Despacho -  Fin de Carga]]),"")</f>
        <v>46209.708333333336</v>
      </c>
      <c r="AE124" s="11">
        <f>IFERROR(IF(MARÍTIMOS[[#This Row],[Etapa Despacho -  Salida]]="","",MARÍTIMOS[[#This Row],[Etapa Despacho -  Salida]]),"")</f>
        <v>46209.732638888891</v>
      </c>
      <c r="AF124" s="2" t="str">
        <f>IFERROR(IF(MARÍTIMOS[[#This Row],[Puerto de Embarque]]="","",MARÍTIMOS[[#This Row],[Puerto de Embarque]]),"")</f>
        <v>CHANCAY</v>
      </c>
      <c r="AG124" s="2" t="str">
        <f>IFERROR(IF(MARÍTIMOS[[#This Row],[Almacén de Ingreso]]="","",MARÍTIMOS[[#This Row],[Almacén de Ingreso]]),"")</f>
        <v>DPW</v>
      </c>
      <c r="AH124" s="11">
        <f>IFERROR(IF(MARÍTIMOS[[#This Row],[Etapa Ingreso - Cita]]="","",MARÍTIMOS[[#This Row],[Etapa Ingreso - Cita]]),"")</f>
        <v>46210.166666666664</v>
      </c>
      <c r="AI124" s="11">
        <f>IFERROR(IF(MARÍTIMOS[[#This Row],[Etapa Ingreso - Llegada]]="","",MARÍTIMOS[[#This Row],[Etapa Ingreso - Llegada]]),"")</f>
        <v>46210.174305555556</v>
      </c>
      <c r="AJ124" s="11">
        <f>IFERROR(IF(MARÍTIMOS[[#This Row],[Etapa Ingreso - Ingeso]]="","",MARÍTIMOS[[#This Row],[Etapa Ingreso - Ingeso]]),"")</f>
        <v>46210.204861111109</v>
      </c>
      <c r="AK124" s="11">
        <f>IFERROR(IF(MARÍTIMOS[[#This Row],[Etapa Ingreso - Atención]]="","",MARÍTIMOS[[#This Row],[Etapa Ingreso - Atención]]),"")</f>
        <v>46210.604166666664</v>
      </c>
      <c r="AL124" s="11">
        <f>IFERROR(IF(MARÍTIMOS[[#This Row],[Etapa Ingreso - Salida]]="","",MARÍTIMOS[[#This Row],[Etapa Ingreso - Salida]]),"")</f>
        <v>46210.620833333334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4" s="5">
        <f>IFERROR(OLDBD[[#This Row],[Llegada a packing]]-OLDBD[[#This Row],[Inicio de Ruta]],"")</f>
        <v>0.49930555556056788</v>
      </c>
      <c r="AQ124" s="6">
        <f>IFERROR(OLDBD[[#This Row],[Inicio de Ruta]]-OLDBD[[#This Row],[Salida de almacén de retiro]],"")</f>
        <v>4.0972222217533272E-2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4" s="9">
        <f>IFERROR(OLDBD[[#This Row],[Ingreso Packing]]-OLDBD[[#This Row],[Registro en Packing]],"")</f>
        <v>9.7222222226264421E-2</v>
      </c>
      <c r="AV124" s="9">
        <f>IFERROR(OLDBD[[#This Row],[Ingreso Packing]]-OLDBD[[#This Row],[Llegada a packing]],"")</f>
        <v>0.10486111111094942</v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4" s="5">
        <f>IFERROR(OLDBD[[#This Row],[Llegada Almacén de Ingreso]]-OLDBD[[#This Row],[Salida Packing]],"")</f>
        <v>0.44166666666569654</v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4" s="45" t="s">
        <v>181</v>
      </c>
      <c r="BB124" s="53" t="str">
        <f>IFERROR(IF(MARÍTIMOS[[#This Row],[Estatus]]="","",MARÍTIMOS[[#This Row],[Estatus]]),"")</f>
        <v>Confirmado</v>
      </c>
      <c r="BC124" s="45"/>
      <c r="BD124" s="52">
        <f>IFERROR(OLDBD[[#This Row],[Salida de almacén de retiro]]-OLDBD[[#This Row],[Ingreso Almacén de retiro]],"")</f>
        <v>6.8750000005820766E-2</v>
      </c>
      <c r="BE124" s="52">
        <f>IFERROR(OLDBD[[#This Row],[Fin de Carga]]-OLDBD[[#This Row],[Inicio de Carga]],"")</f>
        <v>8.3333333335758653E-2</v>
      </c>
    </row>
    <row r="125" spans="1:57" x14ac:dyDescent="0.35">
      <c r="A125" s="1"/>
      <c r="B125" s="1">
        <f>IFERROR(IF(MARÍTIMOS[[#This Row],[PP]]="","",MARÍTIMOS[[#This Row],[PP]]),"")</f>
        <v>27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RH-0127</v>
      </c>
      <c r="E125" s="1"/>
      <c r="F125" s="2" t="str">
        <f>IFERROR(IF(MARÍTIMOS[[#This Row],[Transportista]]="","",MARÍTIMOS[[#This Row],[Transportista]]),"")</f>
        <v>LIP</v>
      </c>
      <c r="G125" s="2" t="str">
        <f>IFERROR(IF(MARÍTIMOS[[#This Row],[Tercero]]="","",MARÍTIMOS[[#This Row],[Tercero]]),"")</f>
        <v>SI</v>
      </c>
      <c r="H125" s="2" t="str">
        <f>IFERROR(IF(MARÍTIMOS[[#This Row],[Razón Social]]="","",MARÍTIMOS[[#This Row],[Razón Social]]),"")</f>
        <v xml:space="preserve">TGD SERVICIOS S.A.C.
</v>
      </c>
      <c r="I125" s="2">
        <f>IFERROR(IF(MARÍTIMOS[[#This Row],[RUC]]="","",MARÍTIMOS[[#This Row],[RUC]]),"")</f>
        <v>20614404460</v>
      </c>
      <c r="J125" s="2" t="str">
        <f>IFERROR(IF(MARÍTIMOS[[#This Row],[Placa Tracto]]="","",MARÍTIMOS[[#This Row],[Placa Tracto]]),"")</f>
        <v>ANB-875</v>
      </c>
      <c r="K125" s="2" t="str">
        <f>IFERROR(IF(MARÍTIMOS[[#This Row],[Placa Carreta]]="","",MARÍTIMOS[[#This Row],[Placa Carreta]]),"")</f>
        <v>TDK-998</v>
      </c>
      <c r="L125" s="46" t="str">
        <f>IFERROR(IF(MARÍTIMOS[[#This Row],[Conductor]]="","",MARÍTIMOS[[#This Row],[Conductor]]),"")</f>
        <v>CALSINA SUCASAIRE JOSE</v>
      </c>
      <c r="M125" s="2" t="str">
        <f>IFERROR(IF(MARÍTIMOS[[#This Row],[Licencia]]="","",MARÍTIMOS[[#This Row],[Licencia]]),"")</f>
        <v>Q10644080</v>
      </c>
      <c r="N125" s="2" t="str">
        <f>IFERROR(IF(MARÍTIMOS[[#This Row],[Número de Contacto]]="","",MARÍTIMOS[[#This Row],[Número de Contacto]]),"")</f>
        <v/>
      </c>
      <c r="O125" s="10" t="str">
        <f>IFERROR(IF(MARÍTIMOS[[#This Row],[Booking|AWB|CRT]]="","",MARÍTIMOS[[#This Row],[Booking|AWB|CRT]]),"")</f>
        <v>PER9134317A</v>
      </c>
      <c r="P125" s="2" t="str">
        <f>IFERROR(IF(MARÍTIMOS[[#This Row],[Contenedor]]="","",MARÍTIMOS[[#This Row],[Contenedor]]),"")</f>
        <v>SEKU9271162</v>
      </c>
      <c r="Q125" s="2" t="str">
        <f>IFERROR(IF(MARÍTIMOS[[#This Row],[Puerto de Retiro]]="","",MARÍTIMOS[[#This Row],[Puerto de Retiro]]),"")</f>
        <v>CALLAO</v>
      </c>
      <c r="R125" s="2" t="str">
        <f>IFERROR(IF(MARÍTIMOS[[#This Row],[Almacén de Retiro]]="","",MARÍTIMOS[[#This Row],[Almacén de Retiro]]),"")</f>
        <v>RFS</v>
      </c>
      <c r="S125" s="11">
        <f>IFERROR(IF(MARÍTIMOS[[#This Row],[Etapa Retiro - Cita]]="","",MARÍTIMOS[[#This Row],[Etapa Retiro - Cita]]),"")</f>
        <v>46204.541666666664</v>
      </c>
      <c r="T125" s="11">
        <f>IFERROR(IF(MARÍTIMOS[[#This Row],[Etapa Retiro - Llegada]]="","",MARÍTIMOS[[#This Row],[Etapa Retiro - Llegada]]),"")</f>
        <v>46205.559027777781</v>
      </c>
      <c r="U125" s="11">
        <f>IFERROR(IF(MARÍTIMOS[[#This Row],[Etapa Retiro - Ingreso]]="","",MARÍTIMOS[[#This Row],[Etapa Retiro - Ingreso]]),"")</f>
        <v>46205.599305555559</v>
      </c>
      <c r="V125" s="11">
        <f>IFERROR(IF(MARÍTIMOS[[#This Row],[Etapa Retiro - Atención]]="","",MARÍTIMOS[[#This Row],[Etapa Retiro - Atención]]),"")</f>
        <v>46205.625</v>
      </c>
      <c r="W125" s="11">
        <f>IFERROR(IF(MARÍTIMOS[[#This Row],[Etapa Retiro - Salida]]="","",MARÍTIMOS[[#This Row],[Etapa Retiro - Salida]]),"")</f>
        <v>46205.636805555558</v>
      </c>
      <c r="X125" s="11">
        <f>IFERROR(IF(MARÍTIMOS[[#This Row],[Etapa Retiro - Inicio de Ruta]]="","",MARÍTIMOS[[#This Row],[Etapa Retiro - Inicio de Ruta]]),"")</f>
        <v>46205.666666666664</v>
      </c>
      <c r="Y125" s="11">
        <f>IFERROR(IF(MARÍTIMOS[[#This Row],[Hora de Posicionamiento]]="","",MARÍTIMOS[[#This Row],[Hora de Carga]]+MARÍTIMOS[[#This Row],[Hora de Posicionamiento]]),"")</f>
        <v>0.58333333333333337</v>
      </c>
      <c r="Z125" s="11">
        <f>IFERROR(IF(MARÍTIMOS[[#This Row],[Etapa Despacho -  Llegada]]="","",MARÍTIMOS[[#This Row],[Etapa Despacho -  Llegada]]),"")</f>
        <v>46206.444444444445</v>
      </c>
      <c r="AA125" s="11">
        <f>IFERROR(IF(MARÍTIMOS[[#This Row],[Etapa Despacho -  Registro]]="","",MARÍTIMOS[[#This Row],[Etapa Despacho -  Registro]]),"")</f>
        <v>46206.454861111109</v>
      </c>
      <c r="AB125" s="11">
        <f>IFERROR(IF(MARÍTIMOS[[#This Row],[Inspección Externa]]="","",MARÍTIMOS[[#This Row],[Inspección Externa]]),"")</f>
        <v>46206.5</v>
      </c>
      <c r="AC125" s="11">
        <f>IFERROR(IF(MARÍTIMOS[[#This Row],[Etapa Despacho -  Inicio de Carga]]="","",MARÍTIMOS[[#This Row],[Etapa Despacho -  Inicio de Carga]]),"")</f>
        <v>46206.583333333336</v>
      </c>
      <c r="AD125" s="11">
        <f>IFERROR(IF(MARÍTIMOS[[#This Row],[Etapa Despacho -  Fin de Carga]]="","",MARÍTIMOS[[#This Row],[Etapa Despacho -  Fin de Carga]]),"")</f>
        <v>46206.75</v>
      </c>
      <c r="AE125" s="11">
        <f>IFERROR(IF(MARÍTIMOS[[#This Row],[Etapa Despacho -  Salida]]="","",MARÍTIMOS[[#This Row],[Etapa Despacho -  Salida]]),"")</f>
        <v>46206.776388888888</v>
      </c>
      <c r="AF125" s="2" t="str">
        <f>IFERROR(IF(MARÍTIMOS[[#This Row],[Puerto de Embarque]]="","",MARÍTIMOS[[#This Row],[Puerto de Embarque]]),"")</f>
        <v>CALLAO</v>
      </c>
      <c r="AG125" s="2" t="str">
        <f>IFERROR(IF(MARÍTIMOS[[#This Row],[Almacén de Ingreso]]="","",MARÍTIMOS[[#This Row],[Almacén de Ingreso]]),"")</f>
        <v>DPW</v>
      </c>
      <c r="AH125" s="11">
        <f>IFERROR(IF(MARÍTIMOS[[#This Row],[Etapa Ingreso - Cita]]="","",MARÍTIMOS[[#This Row],[Etapa Ingreso - Cita]]),"")</f>
        <v>46207.583333333336</v>
      </c>
      <c r="AI125" s="11">
        <f>IFERROR(IF(MARÍTIMOS[[#This Row],[Etapa Ingreso - Llegada]]="","",MARÍTIMOS[[#This Row],[Etapa Ingreso - Llegada]]),"")</f>
        <v>46207.584027777775</v>
      </c>
      <c r="AJ125" s="11">
        <f>IFERROR(IF(MARÍTIMOS[[#This Row],[Etapa Ingreso - Ingeso]]="","",MARÍTIMOS[[#This Row],[Etapa Ingreso - Ingeso]]),"")</f>
        <v>46207.675694444442</v>
      </c>
      <c r="AK125" s="11">
        <f>IFERROR(IF(MARÍTIMOS[[#This Row],[Etapa Ingreso - Atención]]="","",MARÍTIMOS[[#This Row],[Etapa Ingreso - Atención]]),"")</f>
        <v>46207.666666666664</v>
      </c>
      <c r="AL125" s="11">
        <f>IFERROR(IF(MARÍTIMOS[[#This Row],[Etapa Ingreso - Salida]]="","",MARÍTIMOS[[#This Row],[Etapa Ingreso - Salida]]),"")</f>
        <v>46207.681250000001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5" s="5">
        <f>IFERROR(OLDBD[[#This Row],[Llegada a packing]]-OLDBD[[#This Row],[Inicio de Ruta]],"")</f>
        <v>0.77777777778101154</v>
      </c>
      <c r="AQ125" s="6">
        <f>IFERROR(OLDBD[[#This Row],[Inicio de Ruta]]-OLDBD[[#This Row],[Salida de almacén de retiro]],"")</f>
        <v>2.9861111106583849E-2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5" s="9">
        <f>IFERROR(OLDBD[[#This Row],[Ingreso Packing]]-OLDBD[[#This Row],[Registro en Packing]],"")</f>
        <v>4.5138888890505768E-2</v>
      </c>
      <c r="AV125" s="9">
        <f>IFERROR(OLDBD[[#This Row],[Ingreso Packing]]-OLDBD[[#This Row],[Llegada a packing]],"")</f>
        <v>5.5555555554747116E-2</v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5" s="5">
        <f>IFERROR(OLDBD[[#This Row],[Llegada Almacén de Ingreso]]-OLDBD[[#This Row],[Salida Packing]],"")</f>
        <v>0.80763888888759539</v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5" s="45" t="s">
        <v>181</v>
      </c>
      <c r="BB125" s="53" t="str">
        <f>IFERROR(IF(MARÍTIMOS[[#This Row],[Estatus]]="","",MARÍTIMOS[[#This Row],[Estatus]]),"")</f>
        <v>Confirmado</v>
      </c>
      <c r="BC125" s="45"/>
      <c r="BD125" s="52">
        <f>IFERROR(OLDBD[[#This Row],[Salida de almacén de retiro]]-OLDBD[[#This Row],[Ingreso Almacén de retiro]],"")</f>
        <v>3.7499999998544808E-2</v>
      </c>
      <c r="BE125" s="52">
        <f>IFERROR(OLDBD[[#This Row],[Fin de Carga]]-OLDBD[[#This Row],[Inicio de Carga]],"")</f>
        <v>0.16666666666424135</v>
      </c>
    </row>
    <row r="126" spans="1:57" x14ac:dyDescent="0.35">
      <c r="A126" s="1"/>
      <c r="B126" s="1">
        <f>IFERROR(IF(MARÍTIMOS[[#This Row],[PP]]="","",MARÍTIMOS[[#This Row],[PP]]),"")</f>
        <v>27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RH-0128</v>
      </c>
      <c r="E126" s="1"/>
      <c r="F126" s="2" t="str">
        <f>IFERROR(IF(MARÍTIMOS[[#This Row],[Transportista]]="","",MARÍTIMOS[[#This Row],[Transportista]]),"")</f>
        <v>LIP</v>
      </c>
      <c r="G126" s="2" t="str">
        <f>IFERROR(IF(MARÍTIMOS[[#This Row],[Tercero]]="","",MARÍTIMOS[[#This Row],[Tercero]]),"")</f>
        <v>SI</v>
      </c>
      <c r="H126" s="2" t="str">
        <f>IFERROR(IF(MARÍTIMOS[[#This Row],[Razón Social]]="","",MARÍTIMOS[[#This Row],[Razón Social]]),"")</f>
        <v>JCEP LOGISTIC E.I.R.L.</v>
      </c>
      <c r="I126" s="2">
        <f>IFERROR(IF(MARÍTIMOS[[#This Row],[RUC]]="","",MARÍTIMOS[[#This Row],[RUC]]),"")</f>
        <v>20609718561</v>
      </c>
      <c r="J126" s="2" t="str">
        <f>IFERROR(IF(MARÍTIMOS[[#This Row],[Placa Tracto]]="","",MARÍTIMOS[[#This Row],[Placa Tracto]]),"")</f>
        <v>CJB-892</v>
      </c>
      <c r="K126" s="2" t="str">
        <f>IFERROR(IF(MARÍTIMOS[[#This Row],[Placa Carreta]]="","",MARÍTIMOS[[#This Row],[Placa Carreta]]),"")</f>
        <v>B8N-993</v>
      </c>
      <c r="L126" s="46" t="str">
        <f>IFERROR(IF(MARÍTIMOS[[#This Row],[Conductor]]="","",MARÍTIMOS[[#This Row],[Conductor]]),"")</f>
        <v>CERNA ALMANZA MACARIO CAYO</v>
      </c>
      <c r="M126" s="2" t="str">
        <f>IFERROR(IF(MARÍTIMOS[[#This Row],[Licencia]]="","",MARÍTIMOS[[#This Row],[Licencia]]),"")</f>
        <v>Q32730334</v>
      </c>
      <c r="N126" s="2" t="str">
        <f>IFERROR(IF(MARÍTIMOS[[#This Row],[Número de Contacto]]="","",MARÍTIMOS[[#This Row],[Número de Contacto]]),"")</f>
        <v/>
      </c>
      <c r="O126" s="10" t="str">
        <f>IFERROR(IF(MARÍTIMOS[[#This Row],[Booking|AWB|CRT]]="","",MARÍTIMOS[[#This Row],[Booking|AWB|CRT]]),"")</f>
        <v>PER9134357A</v>
      </c>
      <c r="P126" s="2" t="str">
        <f>IFERROR(IF(MARÍTIMOS[[#This Row],[Contenedor]]="","",MARÍTIMOS[[#This Row],[Contenedor]]),"")</f>
        <v>SEGU9887030</v>
      </c>
      <c r="Q126" s="2" t="str">
        <f>IFERROR(IF(MARÍTIMOS[[#This Row],[Puerto de Retiro]]="","",MARÍTIMOS[[#This Row],[Puerto de Retiro]]),"")</f>
        <v>CALLAO</v>
      </c>
      <c r="R126" s="2" t="str">
        <f>IFERROR(IF(MARÍTIMOS[[#This Row],[Almacén de Retiro]]="","",MARÍTIMOS[[#This Row],[Almacén de Retiro]]),"")</f>
        <v>RFS</v>
      </c>
      <c r="S126" s="11">
        <f>IFERROR(IF(MARÍTIMOS[[#This Row],[Etapa Retiro - Cita]]="","",MARÍTIMOS[[#This Row],[Etapa Retiro - Cita]]),"")</f>
        <v>46205.625</v>
      </c>
      <c r="T126" s="11">
        <f>IFERROR(IF(MARÍTIMOS[[#This Row],[Etapa Retiro - Llegada]]="","",MARÍTIMOS[[#This Row],[Etapa Retiro - Llegada]]),"")</f>
        <v>46205.618055555555</v>
      </c>
      <c r="U126" s="11">
        <f>IFERROR(IF(MARÍTIMOS[[#This Row],[Etapa Retiro - Ingreso]]="","",MARÍTIMOS[[#This Row],[Etapa Retiro - Ingreso]]),"")</f>
        <v>46205.625</v>
      </c>
      <c r="V126" s="11">
        <f>IFERROR(IF(MARÍTIMOS[[#This Row],[Etapa Retiro - Atención]]="","",MARÍTIMOS[[#This Row],[Etapa Retiro - Atención]]),"")</f>
        <v>46205.75</v>
      </c>
      <c r="W126" s="11">
        <f>IFERROR(IF(MARÍTIMOS[[#This Row],[Etapa Retiro - Salida]]="","",MARÍTIMOS[[#This Row],[Etapa Retiro - Salida]]),"")</f>
        <v>46205.788888888892</v>
      </c>
      <c r="X126" s="11">
        <f>IFERROR(IF(MARÍTIMOS[[#This Row],[Etapa Retiro - Inicio de Ruta]]="","",MARÍTIMOS[[#This Row],[Etapa Retiro - Inicio de Ruta]]),"")</f>
        <v>46205.833333333336</v>
      </c>
      <c r="Y126" s="11">
        <f>IFERROR(IF(MARÍTIMOS[[#This Row],[Hora de Posicionamiento]]="","",MARÍTIMOS[[#This Row],[Hora de Carga]]+MARÍTIMOS[[#This Row],[Hora de Posicionamiento]]),"")</f>
        <v>0.625</v>
      </c>
      <c r="Z126" s="11">
        <f>IFERROR(IF(MARÍTIMOS[[#This Row],[Etapa Despacho -  Llegada]]="","",MARÍTIMOS[[#This Row],[Etapa Despacho -  Llegada]]),"")</f>
        <v>46206.425694444442</v>
      </c>
      <c r="AA126" s="11">
        <f>IFERROR(IF(MARÍTIMOS[[#This Row],[Etapa Despacho -  Registro]]="","",MARÍTIMOS[[#This Row],[Etapa Despacho -  Registro]]),"")</f>
        <v>46206.454861111109</v>
      </c>
      <c r="AB126" s="11" t="str">
        <f>IFERROR(IF(MARÍTIMOS[[#This Row],[Inspección Externa]]="","",MARÍTIMOS[[#This Row],[Inspección Externa]]),"")</f>
        <v/>
      </c>
      <c r="AC126" s="11">
        <f>IFERROR(IF(MARÍTIMOS[[#This Row],[Etapa Despacho -  Inicio de Carga]]="","",MARÍTIMOS[[#This Row],[Etapa Despacho -  Inicio de Carga]]),"")</f>
        <v>46206.625</v>
      </c>
      <c r="AD126" s="11">
        <f>IFERROR(IF(MARÍTIMOS[[#This Row],[Etapa Despacho -  Fin de Carga]]="","",MARÍTIMOS[[#This Row],[Etapa Despacho -  Fin de Carga]]),"")</f>
        <v>46206.75</v>
      </c>
      <c r="AE126" s="11">
        <f>IFERROR(IF(MARÍTIMOS[[#This Row],[Etapa Despacho -  Salida]]="","",MARÍTIMOS[[#This Row],[Etapa Despacho -  Salida]]),"")</f>
        <v>46206.774305555555</v>
      </c>
      <c r="AF126" s="2" t="str">
        <f>IFERROR(IF(MARÍTIMOS[[#This Row],[Puerto de Embarque]]="","",MARÍTIMOS[[#This Row],[Puerto de Embarque]]),"")</f>
        <v>CALLAO</v>
      </c>
      <c r="AG126" s="2" t="str">
        <f>IFERROR(IF(MARÍTIMOS[[#This Row],[Almacén de Ingreso]]="","",MARÍTIMOS[[#This Row],[Almacén de Ingreso]]),"")</f>
        <v>DPW</v>
      </c>
      <c r="AH126" s="11">
        <f>IFERROR(IF(MARÍTIMOS[[#This Row],[Etapa Ingreso - Cita]]="","",MARÍTIMOS[[#This Row],[Etapa Ingreso - Cita]]),"")</f>
        <v>46207.416666666664</v>
      </c>
      <c r="AI126" s="11">
        <f>IFERROR(IF(MARÍTIMOS[[#This Row],[Etapa Ingreso - Llegada]]="","",MARÍTIMOS[[#This Row],[Etapa Ingreso - Llegada]]),"")</f>
        <v>46207.448611111111</v>
      </c>
      <c r="AJ126" s="11">
        <f>IFERROR(IF(MARÍTIMOS[[#This Row],[Etapa Ingreso - Ingeso]]="","",MARÍTIMOS[[#This Row],[Etapa Ingreso - Ingeso]]),"")</f>
        <v>46207.498611111114</v>
      </c>
      <c r="AK126" s="11">
        <f>IFERROR(IF(MARÍTIMOS[[#This Row],[Etapa Ingreso - Atención]]="","",MARÍTIMOS[[#This Row],[Etapa Ingreso - Atención]]),"")</f>
        <v>46207.5</v>
      </c>
      <c r="AL126" s="11">
        <f>IFERROR(IF(MARÍTIMOS[[#This Row],[Etapa Ingreso - Salida]]="","",MARÍTIMOS[[#This Row],[Etapa Ingreso - Salida]]),"")</f>
        <v>46207.506944444445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6" s="5">
        <f>IFERROR(OLDBD[[#This Row],[Llegada a packing]]-OLDBD[[#This Row],[Inicio de Ruta]],"")</f>
        <v>0.59236111110658385</v>
      </c>
      <c r="AQ126" s="6">
        <f>IFERROR(OLDBD[[#This Row],[Inicio de Ruta]]-OLDBD[[#This Row],[Salida de almacén de retiro]],"")</f>
        <v>4.4444444443797693E-2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6" s="9" t="str">
        <f>IFERROR(OLDBD[[#This Row],[Ingreso Packing]]-OLDBD[[#This Row],[Registro en Packing]],"")</f>
        <v/>
      </c>
      <c r="AV126" s="9" t="str">
        <f>IFERROR(OLDBD[[#This Row],[Ingreso Packing]]-OLDBD[[#This Row],[Llegada a packing]],"")</f>
        <v/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6" s="5">
        <f>IFERROR(OLDBD[[#This Row],[Llegada Almacén de Ingreso]]-OLDBD[[#This Row],[Salida Packing]],"")</f>
        <v>0.67430555555620231</v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6" s="45" t="s">
        <v>181</v>
      </c>
      <c r="BB126" s="53" t="str">
        <f>IFERROR(IF(MARÍTIMOS[[#This Row],[Estatus]]="","",MARÍTIMOS[[#This Row],[Estatus]]),"")</f>
        <v>Confirmado</v>
      </c>
      <c r="BC126" s="45"/>
      <c r="BD126" s="52">
        <f>IFERROR(OLDBD[[#This Row],[Salida de almacén de retiro]]-OLDBD[[#This Row],[Ingreso Almacén de retiro]],"")</f>
        <v>0.16388888889196096</v>
      </c>
      <c r="BE126" s="52">
        <f>IFERROR(OLDBD[[#This Row],[Fin de Carga]]-OLDBD[[#This Row],[Inicio de Carga]],"")</f>
        <v>0.125</v>
      </c>
    </row>
    <row r="127" spans="1:57" x14ac:dyDescent="0.35">
      <c r="A127" s="1"/>
      <c r="B127" s="1">
        <f>IFERROR(IF(MARÍTIMOS[[#This Row],[PP]]="","",MARÍTIMOS[[#This Row],[PP]]),"")</f>
        <v>27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RH-0133</v>
      </c>
      <c r="E127" s="1"/>
      <c r="F127" s="2" t="str">
        <f>IFERROR(IF(MARÍTIMOS[[#This Row],[Transportista]]="","",MARÍTIMOS[[#This Row],[Transportista]]),"")</f>
        <v>LIP</v>
      </c>
      <c r="G127" s="2" t="str">
        <f>IFERROR(IF(MARÍTIMOS[[#This Row],[Tercero]]="","",MARÍTIMOS[[#This Row],[Tercero]]),"")</f>
        <v>NO</v>
      </c>
      <c r="H127" s="2" t="str">
        <f>IFERROR(IF(MARÍTIMOS[[#This Row],[Razón Social]]="","",MARÍTIMOS[[#This Row],[Razón Social]]),"")</f>
        <v>LOGISTICA INTERMODAL DEL PERU S.A.C.</v>
      </c>
      <c r="I127" s="2">
        <f>IFERROR(IF(MARÍTIMOS[[#This Row],[RUC]]="","",MARÍTIMOS[[#This Row],[RUC]]),"")</f>
        <v>20513040718</v>
      </c>
      <c r="J127" s="2" t="str">
        <f>IFERROR(IF(MARÍTIMOS[[#This Row],[Placa Tracto]]="","",MARÍTIMOS[[#This Row],[Placa Tracto]]),"")</f>
        <v>BFH-947</v>
      </c>
      <c r="K127" s="2" t="str">
        <f>IFERROR(IF(MARÍTIMOS[[#This Row],[Placa Carreta]]="","",MARÍTIMOS[[#This Row],[Placa Carreta]]),"")</f>
        <v>AJP-999</v>
      </c>
      <c r="L127" s="46" t="str">
        <f>IFERROR(IF(MARÍTIMOS[[#This Row],[Conductor]]="","",MARÍTIMOS[[#This Row],[Conductor]]),"")</f>
        <v>NAVARRO VILCATOMA LUIS ENRIQUE</v>
      </c>
      <c r="M127" s="2" t="str">
        <f>IFERROR(IF(MARÍTIMOS[[#This Row],[Licencia]]="","",MARÍTIMOS[[#This Row],[Licencia]]),"")</f>
        <v>F41812149</v>
      </c>
      <c r="N127" s="2" t="str">
        <f>IFERROR(IF(MARÍTIMOS[[#This Row],[Número de Contacto]]="","",MARÍTIMOS[[#This Row],[Número de Contacto]]),"")</f>
        <v/>
      </c>
      <c r="O127" s="10">
        <f>IFERROR(IF(MARÍTIMOS[[#This Row],[Booking|AWB|CRT]]="","",MARÍTIMOS[[#This Row],[Booking|AWB|CRT]]),"")</f>
        <v>6506964600</v>
      </c>
      <c r="P127" s="2" t="str">
        <f>IFERROR(IF(MARÍTIMOS[[#This Row],[Contenedor]]="","",MARÍTIMOS[[#This Row],[Contenedor]]),"")</f>
        <v>OERU4284814</v>
      </c>
      <c r="Q127" s="2" t="str">
        <f>IFERROR(IF(MARÍTIMOS[[#This Row],[Puerto de Retiro]]="","",MARÍTIMOS[[#This Row],[Puerto de Retiro]]),"")</f>
        <v>CHANCAY</v>
      </c>
      <c r="R127" s="2" t="str">
        <f>IFERROR(IF(MARÍTIMOS[[#This Row],[Almacén de Retiro]]="","",MARÍTIMOS[[#This Row],[Almacén de Retiro]]),"")</f>
        <v>CSPCP</v>
      </c>
      <c r="S127" s="11">
        <f>IFERROR(IF(MARÍTIMOS[[#This Row],[Etapa Retiro - Cita]]="","",MARÍTIMOS[[#This Row],[Etapa Retiro - Cita]]),"")</f>
        <v>46206.791666666664</v>
      </c>
      <c r="T127" s="11">
        <f>IFERROR(IF(MARÍTIMOS[[#This Row],[Etapa Retiro - Llegada]]="","",MARÍTIMOS[[#This Row],[Etapa Retiro - Llegada]]),"")</f>
        <v>46206.806944444441</v>
      </c>
      <c r="U127" s="11">
        <f>IFERROR(IF(MARÍTIMOS[[#This Row],[Etapa Retiro - Ingreso]]="","",MARÍTIMOS[[#This Row],[Etapa Retiro - Ingreso]]),"")</f>
        <v>46206.8125</v>
      </c>
      <c r="V127" s="11">
        <f>IFERROR(IF(MARÍTIMOS[[#This Row],[Etapa Retiro - Atención]]="","",MARÍTIMOS[[#This Row],[Etapa Retiro - Atención]]),"")</f>
        <v>46206.916666666664</v>
      </c>
      <c r="W127" s="11">
        <f>IFERROR(IF(MARÍTIMOS[[#This Row],[Etapa Retiro - Salida]]="","",MARÍTIMOS[[#This Row],[Etapa Retiro - Salida]]),"")</f>
        <v>46206.921527777777</v>
      </c>
      <c r="X127" s="11">
        <f>IFERROR(IF(MARÍTIMOS[[#This Row],[Etapa Retiro - Inicio de Ruta]]="","",MARÍTIMOS[[#This Row],[Etapa Retiro - Inicio de Ruta]]),"")</f>
        <v>46206.916666666664</v>
      </c>
      <c r="Y127" s="11">
        <f>IFERROR(IF(MARÍTIMOS[[#This Row],[Hora de Posicionamiento]]="","",MARÍTIMOS[[#This Row],[Hora de Carga]]+MARÍTIMOS[[#This Row],[Hora de Posicionamiento]]),"")</f>
        <v>0.625</v>
      </c>
      <c r="Z127" s="11">
        <f>IFERROR(IF(MARÍTIMOS[[#This Row],[Etapa Despacho -  Llegada]]="","",MARÍTIMOS[[#This Row],[Etapa Despacho -  Llegada]]),"")</f>
        <v>46207.625</v>
      </c>
      <c r="AA127" s="11">
        <f>IFERROR(IF(MARÍTIMOS[[#This Row],[Etapa Despacho -  Registro]]="","",MARÍTIMOS[[#This Row],[Etapa Despacho -  Registro]]),"")</f>
        <v>46207.652777777781</v>
      </c>
      <c r="AB127" s="11">
        <f>IFERROR(IF(MARÍTIMOS[[#This Row],[Inspección Externa]]="","",MARÍTIMOS[[#This Row],[Inspección Externa]]),"")</f>
        <v>46207.665277777778</v>
      </c>
      <c r="AC127" s="11">
        <f>IFERROR(IF(MARÍTIMOS[[#This Row],[Etapa Despacho -  Inicio de Carga]]="","",MARÍTIMOS[[#This Row],[Etapa Despacho -  Inicio de Carga]]),"")</f>
        <v>46207.666666666664</v>
      </c>
      <c r="AD127" s="11">
        <f>IFERROR(IF(MARÍTIMOS[[#This Row],[Etapa Despacho -  Fin de Carga]]="","",MARÍTIMOS[[#This Row],[Etapa Despacho -  Fin de Carga]]),"")</f>
        <v>46207.833333333336</v>
      </c>
      <c r="AE127" s="11">
        <f>IFERROR(IF(MARÍTIMOS[[#This Row],[Etapa Despacho -  Salida]]="","",MARÍTIMOS[[#This Row],[Etapa Despacho -  Salida]]),"")</f>
        <v>46207.871527777781</v>
      </c>
      <c r="AF127" s="2" t="str">
        <f>IFERROR(IF(MARÍTIMOS[[#This Row],[Puerto de Embarque]]="","",MARÍTIMOS[[#This Row],[Puerto de Embarque]]),"")</f>
        <v>CHANCAY</v>
      </c>
      <c r="AG127" s="2" t="str">
        <f>IFERROR(IF(MARÍTIMOS[[#This Row],[Almacén de Ingreso]]="","",MARÍTIMOS[[#This Row],[Almacén de Ingreso]]),"")</f>
        <v>CSPCP</v>
      </c>
      <c r="AH127" s="11">
        <f>IFERROR(IF(MARÍTIMOS[[#This Row],[Etapa Ingreso - Cita]]="","",MARÍTIMOS[[#This Row],[Etapa Ingreso - Cita]]),"")</f>
        <v>46208.416666666664</v>
      </c>
      <c r="AI127" s="11">
        <f>IFERROR(IF(MARÍTIMOS[[#This Row],[Etapa Ingreso - Llegada]]="","",MARÍTIMOS[[#This Row],[Etapa Ingreso - Llegada]]),"")</f>
        <v>46208.418055555558</v>
      </c>
      <c r="AJ127" s="11">
        <f>IFERROR(IF(MARÍTIMOS[[#This Row],[Etapa Ingreso - Ingeso]]="","",MARÍTIMOS[[#This Row],[Etapa Ingreso - Ingeso]]),"")</f>
        <v>46208.510416666664</v>
      </c>
      <c r="AK127" s="11">
        <f>IFERROR(IF(MARÍTIMOS[[#This Row],[Etapa Ingreso - Atención]]="","",MARÍTIMOS[[#This Row],[Etapa Ingreso - Atención]]),"")</f>
        <v>46208.5</v>
      </c>
      <c r="AL127" s="11">
        <f>IFERROR(IF(MARÍTIMOS[[#This Row],[Etapa Ingreso - Salida]]="","",MARÍTIMOS[[#This Row],[Etapa Ingreso - Salida]]),"")</f>
        <v>46208.53125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7" s="5">
        <f>IFERROR(OLDBD[[#This Row],[Llegada a packing]]-OLDBD[[#This Row],[Inicio de Ruta]],"")</f>
        <v>0.70833333333575865</v>
      </c>
      <c r="AQ127" s="6">
        <f>IFERROR(OLDBD[[#This Row],[Inicio de Ruta]]-OLDBD[[#This Row],[Salida de almacén de retiro]],"")</f>
        <v>-4.8611111124046147E-3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7" s="9">
        <f>IFERROR(OLDBD[[#This Row],[Ingreso Packing]]-OLDBD[[#This Row],[Registro en Packing]],"")</f>
        <v>1.2499999997089617E-2</v>
      </c>
      <c r="AV127" s="9">
        <f>IFERROR(OLDBD[[#This Row],[Ingreso Packing]]-OLDBD[[#This Row],[Llegada a packing]],"")</f>
        <v>4.0277777778101154E-2</v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7" s="5">
        <f>IFERROR(OLDBD[[#This Row],[Llegada Almacén de Ingreso]]-OLDBD[[#This Row],[Salida Packing]],"")</f>
        <v>0.54652777777664596</v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5" t="s">
        <v>181</v>
      </c>
      <c r="BB127" s="53" t="str">
        <f>IFERROR(IF(MARÍTIMOS[[#This Row],[Estatus]]="","",MARÍTIMOS[[#This Row],[Estatus]]),"")</f>
        <v>Confirmado</v>
      </c>
      <c r="BC127" s="45"/>
      <c r="BD127" s="52">
        <f>IFERROR(OLDBD[[#This Row],[Salida de almacén de retiro]]-OLDBD[[#This Row],[Ingreso Almacén de retiro]],"")</f>
        <v>0.10902777777664596</v>
      </c>
      <c r="BE127" s="52">
        <f>IFERROR(OLDBD[[#This Row],[Fin de Carga]]-OLDBD[[#This Row],[Inicio de Carga]],"")</f>
        <v>0.16666666667151731</v>
      </c>
    </row>
    <row r="128" spans="1:57" x14ac:dyDescent="0.35">
      <c r="A128" s="1"/>
      <c r="B128" s="1">
        <f>IFERROR(IF(MARÍTIMOS[[#This Row],[PP]]="","",MARÍTIMOS[[#This Row],[PP]]),"")</f>
        <v>27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RH-0134</v>
      </c>
      <c r="E128" s="1"/>
      <c r="F128" s="2" t="str">
        <f>IFERROR(IF(MARÍTIMOS[[#This Row],[Transportista]]="","",MARÍTIMOS[[#This Row],[Transportista]]),"")</f>
        <v>LIP</v>
      </c>
      <c r="G128" s="2" t="str">
        <f>IFERROR(IF(MARÍTIMOS[[#This Row],[Tercero]]="","",MARÍTIMOS[[#This Row],[Tercero]]),"")</f>
        <v>SI</v>
      </c>
      <c r="H128" s="2" t="str">
        <f>IFERROR(IF(MARÍTIMOS[[#This Row],[Razón Social]]="","",MARÍTIMOS[[#This Row],[Razón Social]]),"")</f>
        <v>VILLANUEVA JAMJACHI ABEL JESUS</v>
      </c>
      <c r="I128" s="2">
        <f>IFERROR(IF(MARÍTIMOS[[#This Row],[RUC]]="","",MARÍTIMOS[[#This Row],[RUC]]),"")</f>
        <v>10257534745</v>
      </c>
      <c r="J128" s="2" t="str">
        <f>IFERROR(IF(MARÍTIMOS[[#This Row],[Placa Tracto]]="","",MARÍTIMOS[[#This Row],[Placa Tracto]]),"")</f>
        <v>AJW-875</v>
      </c>
      <c r="K128" s="2" t="str">
        <f>IFERROR(IF(MARÍTIMOS[[#This Row],[Placa Carreta]]="","",MARÍTIMOS[[#This Row],[Placa Carreta]]),"")</f>
        <v>ADU-980</v>
      </c>
      <c r="L128" s="46" t="str">
        <f>IFERROR(IF(MARÍTIMOS[[#This Row],[Conductor]]="","",MARÍTIMOS[[#This Row],[Conductor]]),"")</f>
        <v>VILLANUEVA JAMJACHI ABEL JESUS</v>
      </c>
      <c r="M128" s="2" t="str">
        <f>IFERROR(IF(MARÍTIMOS[[#This Row],[Licencia]]="","",MARÍTIMOS[[#This Row],[Licencia]]),"")</f>
        <v>Q25753474</v>
      </c>
      <c r="N128" s="2" t="str">
        <f>IFERROR(IF(MARÍTIMOS[[#This Row],[Número de Contacto]]="","",MARÍTIMOS[[#This Row],[Número de Contacto]]),"")</f>
        <v/>
      </c>
      <c r="O128" s="10">
        <f>IFERROR(IF(MARÍTIMOS[[#This Row],[Booking|AWB|CRT]]="","",MARÍTIMOS[[#This Row],[Booking|AWB|CRT]]),"")</f>
        <v>6506666550</v>
      </c>
      <c r="P128" s="2" t="str">
        <f>IFERROR(IF(MARÍTIMOS[[#This Row],[Contenedor]]="","",MARÍTIMOS[[#This Row],[Contenedor]]),"")</f>
        <v>FBIU5569678</v>
      </c>
      <c r="Q128" s="2" t="str">
        <f>IFERROR(IF(MARÍTIMOS[[#This Row],[Puerto de Retiro]]="","",MARÍTIMOS[[#This Row],[Puerto de Retiro]]),"")</f>
        <v>CHANCAY</v>
      </c>
      <c r="R128" s="2" t="str">
        <f>IFERROR(IF(MARÍTIMOS[[#This Row],[Almacén de Retiro]]="","",MARÍTIMOS[[#This Row],[Almacén de Retiro]]),"")</f>
        <v>CSPCP</v>
      </c>
      <c r="S128" s="11">
        <f>IFERROR(IF(MARÍTIMOS[[#This Row],[Etapa Retiro - Cita]]="","",MARÍTIMOS[[#This Row],[Etapa Retiro - Cita]]),"")</f>
        <v>46207.583333333336</v>
      </c>
      <c r="T128" s="11">
        <f>IFERROR(IF(MARÍTIMOS[[#This Row],[Etapa Retiro - Llegada]]="","",MARÍTIMOS[[#This Row],[Etapa Retiro - Llegada]]),"")</f>
        <v>46207.604166666664</v>
      </c>
      <c r="U128" s="11">
        <f>IFERROR(IF(MARÍTIMOS[[#This Row],[Etapa Retiro - Ingreso]]="","",MARÍTIMOS[[#This Row],[Etapa Retiro - Ingreso]]),"")</f>
        <v>46207.615972222222</v>
      </c>
      <c r="V128" s="11">
        <f>IFERROR(IF(MARÍTIMOS[[#This Row],[Etapa Retiro - Atención]]="","",MARÍTIMOS[[#This Row],[Etapa Retiro - Atención]]),"")</f>
        <v>46207.708333333336</v>
      </c>
      <c r="W128" s="11">
        <f>IFERROR(IF(MARÍTIMOS[[#This Row],[Etapa Retiro - Salida]]="","",MARÍTIMOS[[#This Row],[Etapa Retiro - Salida]]),"")</f>
        <v>46207.71597222222</v>
      </c>
      <c r="X128" s="11">
        <f>IFERROR(IF(MARÍTIMOS[[#This Row],[Etapa Retiro - Inicio de Ruta]]="","",MARÍTIMOS[[#This Row],[Etapa Retiro - Inicio de Ruta]]),"")</f>
        <v>46207.791666666664</v>
      </c>
      <c r="Y128" s="11">
        <f>IFERROR(IF(MARÍTIMOS[[#This Row],[Hora de Posicionamiento]]="","",MARÍTIMOS[[#This Row],[Hora de Carga]]+MARÍTIMOS[[#This Row],[Hora de Posicionamiento]]),"")</f>
        <v>0.5</v>
      </c>
      <c r="Z128" s="11">
        <f>IFERROR(IF(MARÍTIMOS[[#This Row],[Etapa Despacho -  Llegada]]="","",MARÍTIMOS[[#This Row],[Etapa Despacho -  Llegada]]),"")</f>
        <v>46208.458333333336</v>
      </c>
      <c r="AA128" s="11">
        <f>IFERROR(IF(MARÍTIMOS[[#This Row],[Etapa Despacho -  Registro]]="","",MARÍTIMOS[[#This Row],[Etapa Despacho -  Registro]]),"")</f>
        <v>46208.490277777775</v>
      </c>
      <c r="AB128" s="11">
        <f>IFERROR(IF(MARÍTIMOS[[#This Row],[Inspección Externa]]="","",MARÍTIMOS[[#This Row],[Inspección Externa]]),"")</f>
        <v>46208.541666666664</v>
      </c>
      <c r="AC128" s="11">
        <f>IFERROR(IF(MARÍTIMOS[[#This Row],[Etapa Despacho -  Inicio de Carga]]="","",MARÍTIMOS[[#This Row],[Etapa Despacho -  Inicio de Carga]]),"")</f>
        <v>46208.583333333336</v>
      </c>
      <c r="AD128" s="11">
        <f>IFERROR(IF(MARÍTIMOS[[#This Row],[Etapa Despacho -  Fin de Carga]]="","",MARÍTIMOS[[#This Row],[Etapa Despacho -  Fin de Carga]]),"")</f>
        <v>46208.666666666664</v>
      </c>
      <c r="AE128" s="11">
        <f>IFERROR(IF(MARÍTIMOS[[#This Row],[Etapa Despacho -  Salida]]="","",MARÍTIMOS[[#This Row],[Etapa Despacho -  Salida]]),"")</f>
        <v>46208.674305555556</v>
      </c>
      <c r="AF128" s="2" t="str">
        <f>IFERROR(IF(MARÍTIMOS[[#This Row],[Puerto de Embarque]]="","",MARÍTIMOS[[#This Row],[Puerto de Embarque]]),"")</f>
        <v>CHANCAY</v>
      </c>
      <c r="AG128" s="2" t="str">
        <f>IFERROR(IF(MARÍTIMOS[[#This Row],[Almacén de Ingreso]]="","",MARÍTIMOS[[#This Row],[Almacén de Ingreso]]),"")</f>
        <v>CSPCP</v>
      </c>
      <c r="AH128" s="11">
        <f>IFERROR(IF(MARÍTIMOS[[#This Row],[Etapa Ingreso - Cita]]="","",MARÍTIMOS[[#This Row],[Etapa Ingreso - Cita]]),"")</f>
        <v>46209.375</v>
      </c>
      <c r="AI128" s="11">
        <f>IFERROR(IF(MARÍTIMOS[[#This Row],[Etapa Ingreso - Llegada]]="","",MARÍTIMOS[[#This Row],[Etapa Ingreso - Llegada]]),"")</f>
        <v>46209.383333333331</v>
      </c>
      <c r="AJ128" s="11">
        <f>IFERROR(IF(MARÍTIMOS[[#This Row],[Etapa Ingreso - Ingeso]]="","",MARÍTIMOS[[#This Row],[Etapa Ingreso - Ingeso]]),"")</f>
        <v>46209.385416666664</v>
      </c>
      <c r="AK128" s="11">
        <f>IFERROR(IF(MARÍTIMOS[[#This Row],[Etapa Ingreso - Atención]]="","",MARÍTIMOS[[#This Row],[Etapa Ingreso - Atención]]),"")</f>
        <v>46209.375</v>
      </c>
      <c r="AL128" s="11">
        <f>IFERROR(IF(MARÍTIMOS[[#This Row],[Etapa Ingreso - Salida]]="","",MARÍTIMOS[[#This Row],[Etapa Ingreso - Salida]]),"")</f>
        <v>46209.401388888888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8" s="5">
        <f>IFERROR(OLDBD[[#This Row],[Llegada a packing]]-OLDBD[[#This Row],[Inicio de Ruta]],"")</f>
        <v>0.66666666667151731</v>
      </c>
      <c r="AQ128" s="6">
        <f>IFERROR(OLDBD[[#This Row],[Inicio de Ruta]]-OLDBD[[#This Row],[Salida de almacén de retiro]],"")</f>
        <v>7.5694444443797693E-2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8" s="9">
        <f>IFERROR(OLDBD[[#This Row],[Ingreso Packing]]-OLDBD[[#This Row],[Registro en Packing]],"")</f>
        <v>5.1388888889050577E-2</v>
      </c>
      <c r="AV128" s="9">
        <f>IFERROR(OLDBD[[#This Row],[Ingreso Packing]]-OLDBD[[#This Row],[Llegada a packing]],"")</f>
        <v>8.3333333328482695E-2</v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8" s="5">
        <f>IFERROR(OLDBD[[#This Row],[Llegada Almacén de Ingreso]]-OLDBD[[#This Row],[Salida Packing]],"")</f>
        <v>0.70902777777519077</v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8" s="45" t="s">
        <v>181</v>
      </c>
      <c r="BB128" s="53" t="str">
        <f>IFERROR(IF(MARÍTIMOS[[#This Row],[Estatus]]="","",MARÍTIMOS[[#This Row],[Estatus]]),"")</f>
        <v>Confirmado</v>
      </c>
      <c r="BC128" s="45"/>
      <c r="BD128" s="52">
        <f>IFERROR(OLDBD[[#This Row],[Salida de almacén de retiro]]-OLDBD[[#This Row],[Ingreso Almacén de retiro]],"")</f>
        <v>9.9999999998544808E-2</v>
      </c>
      <c r="BE128" s="52">
        <f>IFERROR(OLDBD[[#This Row],[Fin de Carga]]-OLDBD[[#This Row],[Inicio de Carga]],"")</f>
        <v>8.3333333328482695E-2</v>
      </c>
    </row>
    <row r="129" spans="1:57" x14ac:dyDescent="0.35">
      <c r="A129" s="1"/>
      <c r="B129" s="1">
        <f>IFERROR(IF(MARÍTIMOS[[#This Row],[PP]]="","",MARÍTIMOS[[#This Row],[PP]]),"")</f>
        <v>30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RH-0235</v>
      </c>
      <c r="E129" s="1"/>
      <c r="F129" s="2" t="str">
        <f>IFERROR(IF(MARÍTIMOS[[#This Row],[Transportista]]="","",MARÍTIMOS[[#This Row],[Transportista]]),"")</f>
        <v>LIP</v>
      </c>
      <c r="G129" s="2" t="str">
        <f>IFERROR(IF(MARÍTIMOS[[#This Row],[Tercero]]="","",MARÍTIMOS[[#This Row],[Tercero]]),"")</f>
        <v>NO</v>
      </c>
      <c r="H129" s="2" t="str">
        <f>IFERROR(IF(MARÍTIMOS[[#This Row],[Razón Social]]="","",MARÍTIMOS[[#This Row],[Razón Social]]),"")</f>
        <v>LOGISTICA INTERMODAL DEL PERU S.A.C.</v>
      </c>
      <c r="I129" s="2">
        <f>IFERROR(IF(MARÍTIMOS[[#This Row],[RUC]]="","",MARÍTIMOS[[#This Row],[RUC]]),"")</f>
        <v>20513040718</v>
      </c>
      <c r="J129" s="2" t="str">
        <f>IFERROR(IF(MARÍTIMOS[[#This Row],[Placa Tracto]]="","",MARÍTIMOS[[#This Row],[Placa Tracto]]),"")</f>
        <v>AZH-888</v>
      </c>
      <c r="K129" s="2" t="str">
        <f>IFERROR(IF(MARÍTIMOS[[#This Row],[Placa Carreta]]="","",MARÍTIMOS[[#This Row],[Placa Carreta]]),"")</f>
        <v>ALL-988</v>
      </c>
      <c r="L129" s="46" t="str">
        <f>IFERROR(IF(MARÍTIMOS[[#This Row],[Conductor]]="","",MARÍTIMOS[[#This Row],[Conductor]]),"")</f>
        <v>CANCHARI ROSALES DAVID MARCOS</v>
      </c>
      <c r="M129" s="2" t="str">
        <f>IFERROR(IF(MARÍTIMOS[[#This Row],[Licencia]]="","",MARÍTIMOS[[#This Row],[Licencia]]),"")</f>
        <v>Q09911196</v>
      </c>
      <c r="N129" s="2" t="str">
        <f>IFERROR(IF(MARÍTIMOS[[#This Row],[Número de Contacto]]="","",MARÍTIMOS[[#This Row],[Número de Contacto]]),"")</f>
        <v/>
      </c>
      <c r="O129" s="10">
        <f>IFERROR(IF(MARÍTIMOS[[#This Row],[Booking|AWB|CRT]]="","",MARÍTIMOS[[#This Row],[Booking|AWB|CRT]]),"")</f>
        <v>6508577320</v>
      </c>
      <c r="P129" s="2" t="str">
        <f>IFERROR(IF(MARÍTIMOS[[#This Row],[Contenedor]]="","",MARÍTIMOS[[#This Row],[Contenedor]]),"")</f>
        <v>OERU4285127</v>
      </c>
      <c r="Q129" s="2" t="str">
        <f>IFERROR(IF(MARÍTIMOS[[#This Row],[Puerto de Retiro]]="","",MARÍTIMOS[[#This Row],[Puerto de Retiro]]),"")</f>
        <v>CHANCAY</v>
      </c>
      <c r="R129" s="2" t="str">
        <f>IFERROR(IF(MARÍTIMOS[[#This Row],[Almacén de Retiro]]="","",MARÍTIMOS[[#This Row],[Almacén de Retiro]]),"")</f>
        <v>CSPCP</v>
      </c>
      <c r="S129" s="11">
        <f>IFERROR(IF(MARÍTIMOS[[#This Row],[Etapa Retiro - Cita]]="","",MARÍTIMOS[[#This Row],[Etapa Retiro - Cita]]),"")</f>
        <v>46224.75</v>
      </c>
      <c r="T129" s="11">
        <f>IFERROR(IF(MARÍTIMOS[[#This Row],[Etapa Retiro - Llegada]]="","",MARÍTIMOS[[#This Row],[Etapa Retiro - Llegada]]),"")</f>
        <v>46224.84375</v>
      </c>
      <c r="U129" s="11">
        <f>IFERROR(IF(MARÍTIMOS[[#This Row],[Etapa Retiro - Ingreso]]="","",MARÍTIMOS[[#This Row],[Etapa Retiro - Ingreso]]),"")</f>
        <v>46224.854166666664</v>
      </c>
      <c r="V129" s="11">
        <f>IFERROR(IF(MARÍTIMOS[[#This Row],[Etapa Retiro - Atención]]="","",MARÍTIMOS[[#This Row],[Etapa Retiro - Atención]]),"")</f>
        <v>46224.879166666666</v>
      </c>
      <c r="W129" s="11">
        <f>IFERROR(IF(MARÍTIMOS[[#This Row],[Etapa Retiro - Salida]]="","",MARÍTIMOS[[#This Row],[Etapa Retiro - Salida]]),"")</f>
        <v>46224.927083333336</v>
      </c>
      <c r="X129" s="11">
        <f>IFERROR(IF(MARÍTIMOS[[#This Row],[Etapa Retiro - Inicio de Ruta]]="","",MARÍTIMOS[[#This Row],[Etapa Retiro - Inicio de Ruta]]),"")</f>
        <v>46225.958333333336</v>
      </c>
      <c r="Y129" s="11">
        <f>IFERROR(IF(MARÍTIMOS[[#This Row],[Hora de Posicionamiento]]="","",MARÍTIMOS[[#This Row],[Hora de Carga]]+MARÍTIMOS[[#This Row],[Hora de Posicionamiento]]),"")</f>
        <v>0.5</v>
      </c>
      <c r="Z129" s="11">
        <f>IFERROR(IF(MARÍTIMOS[[#This Row],[Etapa Despacho -  Llegada]]="","",MARÍTIMOS[[#This Row],[Etapa Despacho -  Llegada]]),"")</f>
        <v>46225.518750000003</v>
      </c>
      <c r="AA129" s="11">
        <f>IFERROR(IF(MARÍTIMOS[[#This Row],[Etapa Despacho -  Registro]]="","",MARÍTIMOS[[#This Row],[Etapa Despacho -  Registro]]),"")</f>
        <v>46225.527777777781</v>
      </c>
      <c r="AB129" s="11" t="str">
        <f>IFERROR(IF(MARÍTIMOS[[#This Row],[Inspección Externa]]="","",MARÍTIMOS[[#This Row],[Inspección Externa]]),"")</f>
        <v/>
      </c>
      <c r="AC129" s="11" t="str">
        <f>IFERROR(IF(MARÍTIMOS[[#This Row],[Etapa Despacho -  Inicio de Carga]]="","",MARÍTIMOS[[#This Row],[Etapa Despacho -  Inicio de Carga]]),"")</f>
        <v/>
      </c>
      <c r="AD129" s="11" t="str">
        <f>IFERROR(IF(MARÍTIMOS[[#This Row],[Etapa Despacho -  Fin de Carga]]="","",MARÍTIMOS[[#This Row],[Etapa Despacho -  Fin de Carga]]),"")</f>
        <v/>
      </c>
      <c r="AE129" s="11">
        <f>IFERROR(IF(MARÍTIMOS[[#This Row],[Etapa Despacho -  Salida]]="","",MARÍTIMOS[[#This Row],[Etapa Despacho -  Salida]]),"")</f>
        <v>46225.728472222225</v>
      </c>
      <c r="AF129" s="2" t="str">
        <f>IFERROR(IF(MARÍTIMOS[[#This Row],[Puerto de Embarque]]="","",MARÍTIMOS[[#This Row],[Puerto de Embarque]]),"")</f>
        <v>CHANCAY</v>
      </c>
      <c r="AG129" s="2" t="str">
        <f>IFERROR(IF(MARÍTIMOS[[#This Row],[Almacén de Ingreso]]="","",MARÍTIMOS[[#This Row],[Almacén de Ingreso]]),"")</f>
        <v>CSPCP</v>
      </c>
      <c r="AH129" s="11">
        <f>IFERROR(IF(MARÍTIMOS[[#This Row],[Etapa Ingreso - Cita]]="","",MARÍTIMOS[[#This Row],[Etapa Ingreso - Cita]]),"")</f>
        <v>46226.333333333336</v>
      </c>
      <c r="AI129" s="11">
        <f>IFERROR(IF(MARÍTIMOS[[#This Row],[Etapa Ingreso - Llegada]]="","",MARÍTIMOS[[#This Row],[Etapa Ingreso - Llegada]]),"")</f>
        <v>46226.342361111114</v>
      </c>
      <c r="AJ129" s="11">
        <f>IFERROR(IF(MARÍTIMOS[[#This Row],[Etapa Ingreso - Ingeso]]="","",MARÍTIMOS[[#This Row],[Etapa Ingreso - Ingeso]]),"")</f>
        <v>46226.34375</v>
      </c>
      <c r="AK129" s="11">
        <f>IFERROR(IF(MARÍTIMOS[[#This Row],[Etapa Ingreso - Atención]]="","",MARÍTIMOS[[#This Row],[Etapa Ingreso - Atención]]),"")</f>
        <v>46226.35833333333</v>
      </c>
      <c r="AL129" s="11">
        <f>IFERROR(IF(MARÍTIMOS[[#This Row],[Etapa Ingreso - Salida]]="","",MARÍTIMOS[[#This Row],[Etapa Ingreso - Salida]]),"")</f>
        <v>46226.372916666667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9" s="5">
        <f>IFERROR(OLDBD[[#This Row],[Llegada a packing]]-OLDBD[[#This Row],[Inicio de Ruta]],"")</f>
        <v>-0.43958333333284827</v>
      </c>
      <c r="AQ129" s="6">
        <f>IFERROR(OLDBD[[#This Row],[Inicio de Ruta]]-OLDBD[[#This Row],[Salida de almacén de retiro]],"")</f>
        <v>1.03125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9" s="9" t="str">
        <f>IFERROR(OLDBD[[#This Row],[Ingreso Packing]]-OLDBD[[#This Row],[Registro en Packing]],"")</f>
        <v/>
      </c>
      <c r="AV129" s="9" t="str">
        <f>IFERROR(OLDBD[[#This Row],[Ingreso Packing]]-OLDBD[[#This Row],[Llegada a packing]],"")</f>
        <v/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9" s="5">
        <f>IFERROR(OLDBD[[#This Row],[Llegada Almacén de Ingreso]]-OLDBD[[#This Row],[Salida Packing]],"")</f>
        <v>0.61388888888905058</v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9" s="45" t="s">
        <v>181</v>
      </c>
      <c r="BB129" s="53" t="str">
        <f>IFERROR(IF(MARÍTIMOS[[#This Row],[Estatus]]="","",MARÍTIMOS[[#This Row],[Estatus]]),"")</f>
        <v>Confirmado</v>
      </c>
      <c r="BC129" s="45"/>
      <c r="BD129" s="52">
        <f>IFERROR(OLDBD[[#This Row],[Salida de almacén de retiro]]-OLDBD[[#This Row],[Ingreso Almacén de retiro]],"")</f>
        <v>7.2916666671517305E-2</v>
      </c>
      <c r="BE129" s="52" t="str">
        <f>IFERROR(OLDBD[[#This Row],[Fin de Carga]]-OLDBD[[#This Row],[Inicio de Carga]],"")</f>
        <v/>
      </c>
    </row>
    <row r="130" spans="1:57" x14ac:dyDescent="0.35">
      <c r="A130" s="1"/>
      <c r="B130" s="1">
        <f>IFERROR(IF(MARÍTIMOS[[#This Row],[PP]]="","",MARÍTIMOS[[#This Row],[PP]]),"")</f>
        <v>30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RH-0236</v>
      </c>
      <c r="E130" s="1"/>
      <c r="F130" s="2" t="str">
        <f>IFERROR(IF(MARÍTIMOS[[#This Row],[Transportista]]="","",MARÍTIMOS[[#This Row],[Transportista]]),"")</f>
        <v>LIP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>LOGISTICA INTERMODAL DEL PERU S.A.C.</v>
      </c>
      <c r="I130" s="2">
        <f>IFERROR(IF(MARÍTIMOS[[#This Row],[RUC]]="","",MARÍTIMOS[[#This Row],[RUC]]),"")</f>
        <v>20513040718</v>
      </c>
      <c r="J130" s="2" t="str">
        <f>IFERROR(IF(MARÍTIMOS[[#This Row],[Placa Tracto]]="","",MARÍTIMOS[[#This Row],[Placa Tracto]]),"")</f>
        <v>BFH-947</v>
      </c>
      <c r="K130" s="2" t="str">
        <f>IFERROR(IF(MARÍTIMOS[[#This Row],[Placa Carreta]]="","",MARÍTIMOS[[#This Row],[Placa Carreta]]),"")</f>
        <v>ATZ-998</v>
      </c>
      <c r="L130" s="46" t="str">
        <f>IFERROR(IF(MARÍTIMOS[[#This Row],[Conductor]]="","",MARÍTIMOS[[#This Row],[Conductor]]),"")</f>
        <v>NAVARRO VILCATOMA LUIS ENRIQUE</v>
      </c>
      <c r="M130" s="2" t="str">
        <f>IFERROR(IF(MARÍTIMOS[[#This Row],[Licencia]]="","",MARÍTIMOS[[#This Row],[Licencia]]),"")</f>
        <v>F41812149</v>
      </c>
      <c r="N130" s="2" t="str">
        <f>IFERROR(IF(MARÍTIMOS[[#This Row],[Número de Contacto]]="","",MARÍTIMOS[[#This Row],[Número de Contacto]]),"")</f>
        <v/>
      </c>
      <c r="O130" s="10">
        <f>IFERROR(IF(MARÍTIMOS[[#This Row],[Booking|AWB|CRT]]="","",MARÍTIMOS[[#This Row],[Booking|AWB|CRT]]),"")</f>
        <v>6508706620</v>
      </c>
      <c r="P130" s="2" t="str">
        <f>IFERROR(IF(MARÍTIMOS[[#This Row],[Contenedor]]="","",MARÍTIMOS[[#This Row],[Contenedor]]),"")</f>
        <v>OTPU6648331</v>
      </c>
      <c r="Q130" s="2" t="str">
        <f>IFERROR(IF(MARÍTIMOS[[#This Row],[Puerto de Retiro]]="","",MARÍTIMOS[[#This Row],[Puerto de Retiro]]),"")</f>
        <v>CHANCAY</v>
      </c>
      <c r="R130" s="2" t="str">
        <f>IFERROR(IF(MARÍTIMOS[[#This Row],[Almacén de Retiro]]="","",MARÍTIMOS[[#This Row],[Almacén de Retiro]]),"")</f>
        <v>CSPCP</v>
      </c>
      <c r="S130" s="11">
        <f>IFERROR(IF(MARÍTIMOS[[#This Row],[Etapa Retiro - Cita]]="","",MARÍTIMOS[[#This Row],[Etapa Retiro - Cita]]),"")</f>
        <v>46224.75</v>
      </c>
      <c r="T130" s="11">
        <f>IFERROR(IF(MARÍTIMOS[[#This Row],[Etapa Retiro - Llegada]]="","",MARÍTIMOS[[#This Row],[Etapa Retiro - Llegada]]),"")</f>
        <v>46224.84375</v>
      </c>
      <c r="U130" s="11">
        <f>IFERROR(IF(MARÍTIMOS[[#This Row],[Etapa Retiro - Ingreso]]="","",MARÍTIMOS[[#This Row],[Etapa Retiro - Ingreso]]),"")</f>
        <v>46224.849305555559</v>
      </c>
      <c r="V130" s="11">
        <f>IFERROR(IF(MARÍTIMOS[[#This Row],[Etapa Retiro - Atención]]="","",MARÍTIMOS[[#This Row],[Etapa Retiro - Atención]]),"")</f>
        <v>46224.878472222219</v>
      </c>
      <c r="W130" s="11">
        <f>IFERROR(IF(MARÍTIMOS[[#This Row],[Etapa Retiro - Salida]]="","",MARÍTIMOS[[#This Row],[Etapa Retiro - Salida]]),"")</f>
        <v>46224.934027777781</v>
      </c>
      <c r="X130" s="11">
        <f>IFERROR(IF(MARÍTIMOS[[#This Row],[Etapa Retiro - Inicio de Ruta]]="","",MARÍTIMOS[[#This Row],[Etapa Retiro - Inicio de Ruta]]),"")</f>
        <v>46225.958333333336</v>
      </c>
      <c r="Y130" s="11">
        <f>IFERROR(IF(MARÍTIMOS[[#This Row],[Hora de Posicionamiento]]="","",MARÍTIMOS[[#This Row],[Hora de Carga]]+MARÍTIMOS[[#This Row],[Hora de Posicionamiento]]),"")</f>
        <v>0.5</v>
      </c>
      <c r="Z130" s="11">
        <f>IFERROR(IF(MARÍTIMOS[[#This Row],[Etapa Despacho -  Llegada]]="","",MARÍTIMOS[[#This Row],[Etapa Despacho -  Llegada]]),"")</f>
        <v>46225.521527777775</v>
      </c>
      <c r="AA130" s="11">
        <f>IFERROR(IF(MARÍTIMOS[[#This Row],[Etapa Despacho -  Registro]]="","",MARÍTIMOS[[#This Row],[Etapa Despacho -  Registro]]),"")</f>
        <v>46225.53125</v>
      </c>
      <c r="AB130" s="11">
        <f>IFERROR(IF(MARÍTIMOS[[#This Row],[Inspección Externa]]="","",MARÍTIMOS[[#This Row],[Inspección Externa]]),"")</f>
        <v>46225.563194444447</v>
      </c>
      <c r="AC130" s="11">
        <f>IFERROR(IF(MARÍTIMOS[[#This Row],[Etapa Despacho -  Inicio de Carga]]="","",MARÍTIMOS[[#This Row],[Etapa Despacho -  Inicio de Carga]]),"")</f>
        <v>46225.569444444445</v>
      </c>
      <c r="AD130" s="11">
        <f>IFERROR(IF(MARÍTIMOS[[#This Row],[Etapa Despacho -  Fin de Carga]]="","",MARÍTIMOS[[#This Row],[Etapa Despacho -  Fin de Carga]]),"")</f>
        <v>46225.741666666669</v>
      </c>
      <c r="AE130" s="11">
        <f>IFERROR(IF(MARÍTIMOS[[#This Row],[Etapa Despacho -  Salida]]="","",MARÍTIMOS[[#This Row],[Etapa Despacho -  Salida]]),"")</f>
        <v>46225.754166666666</v>
      </c>
      <c r="AF130" s="2" t="str">
        <f>IFERROR(IF(MARÍTIMOS[[#This Row],[Puerto de Embarque]]="","",MARÍTIMOS[[#This Row],[Puerto de Embarque]]),"")</f>
        <v>CHANCAY</v>
      </c>
      <c r="AG130" s="2" t="str">
        <f>IFERROR(IF(MARÍTIMOS[[#This Row],[Almacén de Ingreso]]="","",MARÍTIMOS[[#This Row],[Almacén de Ingreso]]),"")</f>
        <v>CSPCP</v>
      </c>
      <c r="AH130" s="11">
        <f>IFERROR(IF(MARÍTIMOS[[#This Row],[Etapa Ingreso - Cita]]="","",MARÍTIMOS[[#This Row],[Etapa Ingreso - Cita]]),"")</f>
        <v>46226.333333333336</v>
      </c>
      <c r="AI130" s="11">
        <f>IFERROR(IF(MARÍTIMOS[[#This Row],[Etapa Ingreso - Llegada]]="","",MARÍTIMOS[[#This Row],[Etapa Ingreso - Llegada]]),"")</f>
        <v>46226.350694444445</v>
      </c>
      <c r="AJ130" s="11">
        <f>IFERROR(IF(MARÍTIMOS[[#This Row],[Etapa Ingreso - Ingeso]]="","",MARÍTIMOS[[#This Row],[Etapa Ingreso - Ingeso]]),"")</f>
        <v>46226.352083333331</v>
      </c>
      <c r="AK130" s="11">
        <f>IFERROR(IF(MARÍTIMOS[[#This Row],[Etapa Ingreso - Atención]]="","",MARÍTIMOS[[#This Row],[Etapa Ingreso - Atención]]),"")</f>
        <v>46226.356944444444</v>
      </c>
      <c r="AL130" s="11">
        <f>IFERROR(IF(MARÍTIMOS[[#This Row],[Etapa Ingreso - Salida]]="","",MARÍTIMOS[[#This Row],[Etapa Ingreso - Salida]]),"")</f>
        <v>46226.375694444447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0" s="5">
        <f>IFERROR(OLDBD[[#This Row],[Llegada a packing]]-OLDBD[[#This Row],[Inicio de Ruta]],"")</f>
        <v>-0.43680555556056788</v>
      </c>
      <c r="AQ130" s="6">
        <f>IFERROR(OLDBD[[#This Row],[Inicio de Ruta]]-OLDBD[[#This Row],[Salida de almacén de retiro]],"")</f>
        <v>1.0243055555547471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0" s="9">
        <f>IFERROR(OLDBD[[#This Row],[Ingreso Packing]]-OLDBD[[#This Row],[Registro en Packing]],"")</f>
        <v>3.1944444446708076E-2</v>
      </c>
      <c r="AV130" s="9">
        <f>IFERROR(OLDBD[[#This Row],[Ingreso Packing]]-OLDBD[[#This Row],[Llegada a packing]],"")</f>
        <v>4.1666666671517305E-2</v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0" s="5">
        <f>IFERROR(OLDBD[[#This Row],[Llegada Almacén de Ingreso]]-OLDBD[[#This Row],[Salida Packing]],"")</f>
        <v>0.59652777777955635</v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5" t="s">
        <v>181</v>
      </c>
      <c r="BB130" s="53" t="str">
        <f>IFERROR(IF(MARÍTIMOS[[#This Row],[Estatus]]="","",MARÍTIMOS[[#This Row],[Estatus]]),"")</f>
        <v>Confirmado</v>
      </c>
      <c r="BC130" s="45"/>
      <c r="BD130" s="52">
        <f>IFERROR(OLDBD[[#This Row],[Salida de almacén de retiro]]-OLDBD[[#This Row],[Ingreso Almacén de retiro]],"")</f>
        <v>8.4722222221898846E-2</v>
      </c>
      <c r="BE130" s="52">
        <f>IFERROR(OLDBD[[#This Row],[Fin de Carga]]-OLDBD[[#This Row],[Inicio de Carga]],"")</f>
        <v>0.17222222222335404</v>
      </c>
    </row>
    <row r="131" spans="1:57" x14ac:dyDescent="0.35">
      <c r="A131" s="1"/>
      <c r="B131" s="1">
        <f>IFERROR(IF(MARÍTIMOS[[#This Row],[PP]]="","",MARÍTIMOS[[#This Row],[PP]]),"")</f>
        <v>30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RH-0237</v>
      </c>
      <c r="E131" s="1"/>
      <c r="F131" s="2" t="str">
        <f>IFERROR(IF(MARÍTIMOS[[#This Row],[Transportista]]="","",MARÍTIMOS[[#This Row],[Transportista]]),"")</f>
        <v>LIP</v>
      </c>
      <c r="G131" s="2" t="str">
        <f>IFERROR(IF(MARÍTIMOS[[#This Row],[Tercero]]="","",MARÍTIMOS[[#This Row],[Tercero]]),"")</f>
        <v>NO</v>
      </c>
      <c r="H131" s="2" t="str">
        <f>IFERROR(IF(MARÍTIMOS[[#This Row],[Razón Social]]="","",MARÍTIMOS[[#This Row],[Razón Social]]),"")</f>
        <v>LOGISTICA INTERMODAL DEL PERU S.A.C.</v>
      </c>
      <c r="I131" s="2">
        <f>IFERROR(IF(MARÍTIMOS[[#This Row],[RUC]]="","",MARÍTIMOS[[#This Row],[RUC]]),"")</f>
        <v>20513040718</v>
      </c>
      <c r="J131" s="2" t="str">
        <f>IFERROR(IF(MARÍTIMOS[[#This Row],[Placa Tracto]]="","",MARÍTIMOS[[#This Row],[Placa Tracto]]),"")</f>
        <v>BKS-916</v>
      </c>
      <c r="K131" s="2" t="str">
        <f>IFERROR(IF(MARÍTIMOS[[#This Row],[Placa Carreta]]="","",MARÍTIMOS[[#This Row],[Placa Carreta]]),"")</f>
        <v>AZS-995</v>
      </c>
      <c r="L131" s="46" t="str">
        <f>IFERROR(IF(MARÍTIMOS[[#This Row],[Conductor]]="","",MARÍTIMOS[[#This Row],[Conductor]]),"")</f>
        <v>PALOMARES LUIS ALBERTO</v>
      </c>
      <c r="M131" s="2" t="str">
        <f>IFERROR(IF(MARÍTIMOS[[#This Row],[Licencia]]="","",MARÍTIMOS[[#This Row],[Licencia]]),"")</f>
        <v>Q09051460</v>
      </c>
      <c r="N131" s="2" t="str">
        <f>IFERROR(IF(MARÍTIMOS[[#This Row],[Número de Contacto]]="","",MARÍTIMOS[[#This Row],[Número de Contacto]]),"")</f>
        <v/>
      </c>
      <c r="O131" s="10">
        <f>IFERROR(IF(MARÍTIMOS[[#This Row],[Booking|AWB|CRT]]="","",MARÍTIMOS[[#This Row],[Booking|AWB|CRT]]),"")</f>
        <v>6508707680</v>
      </c>
      <c r="P131" s="2" t="str">
        <f>IFERROR(IF(MARÍTIMOS[[#This Row],[Contenedor]]="","",MARÍTIMOS[[#This Row],[Contenedor]]),"")</f>
        <v>OERU4375025</v>
      </c>
      <c r="Q131" s="2" t="str">
        <f>IFERROR(IF(MARÍTIMOS[[#This Row],[Puerto de Retiro]]="","",MARÍTIMOS[[#This Row],[Puerto de Retiro]]),"")</f>
        <v>CHANCAY</v>
      </c>
      <c r="R131" s="2" t="str">
        <f>IFERROR(IF(MARÍTIMOS[[#This Row],[Almacén de Retiro]]="","",MARÍTIMOS[[#This Row],[Almacén de Retiro]]),"")</f>
        <v>CSPCP</v>
      </c>
      <c r="S131" s="11">
        <f>IFERROR(IF(MARÍTIMOS[[#This Row],[Etapa Retiro - Cita]]="","",MARÍTIMOS[[#This Row],[Etapa Retiro - Cita]]),"")</f>
        <v>46224.791666666664</v>
      </c>
      <c r="T131" s="11">
        <f>IFERROR(IF(MARÍTIMOS[[#This Row],[Etapa Retiro - Llegada]]="","",MARÍTIMOS[[#This Row],[Etapa Retiro - Llegada]]),"")</f>
        <v>46224.840277777781</v>
      </c>
      <c r="U131" s="11">
        <f>IFERROR(IF(MARÍTIMOS[[#This Row],[Etapa Retiro - Ingreso]]="","",MARÍTIMOS[[#This Row],[Etapa Retiro - Ingreso]]),"")</f>
        <v>46224.842361111114</v>
      </c>
      <c r="V131" s="11">
        <f>IFERROR(IF(MARÍTIMOS[[#This Row],[Etapa Retiro - Atención]]="","",MARÍTIMOS[[#This Row],[Etapa Retiro - Atención]]),"")</f>
        <v>46224.979166666664</v>
      </c>
      <c r="W131" s="11">
        <f>IFERROR(IF(MARÍTIMOS[[#This Row],[Etapa Retiro - Salida]]="","",MARÍTIMOS[[#This Row],[Etapa Retiro - Salida]]),"")</f>
        <v>46225.090277777781</v>
      </c>
      <c r="X131" s="11">
        <f>IFERROR(IF(MARÍTIMOS[[#This Row],[Etapa Retiro - Inicio de Ruta]]="","",MARÍTIMOS[[#This Row],[Etapa Retiro - Inicio de Ruta]]),"")</f>
        <v>46226.125</v>
      </c>
      <c r="Y131" s="11">
        <f>IFERROR(IF(MARÍTIMOS[[#This Row],[Hora de Posicionamiento]]="","",MARÍTIMOS[[#This Row],[Hora de Carga]]+MARÍTIMOS[[#This Row],[Hora de Posicionamiento]]),"")</f>
        <v>0.5</v>
      </c>
      <c r="Z131" s="11">
        <f>IFERROR(IF(MARÍTIMOS[[#This Row],[Etapa Despacho -  Llegada]]="","",MARÍTIMOS[[#This Row],[Etapa Despacho -  Llegada]]),"")</f>
        <v>46225.518750000003</v>
      </c>
      <c r="AA131" s="11">
        <f>IFERROR(IF(MARÍTIMOS[[#This Row],[Etapa Despacho -  Registro]]="","",MARÍTIMOS[[#This Row],[Etapa Despacho -  Registro]]),"")</f>
        <v>46225.527777777781</v>
      </c>
      <c r="AB131" s="11">
        <f>IFERROR(IF(MARÍTIMOS[[#This Row],[Inspección Externa]]="","",MARÍTIMOS[[#This Row],[Inspección Externa]]),"")</f>
        <v>46225.55</v>
      </c>
      <c r="AC131" s="11">
        <f>IFERROR(IF(MARÍTIMOS[[#This Row],[Etapa Despacho -  Inicio de Carga]]="","",MARÍTIMOS[[#This Row],[Etapa Despacho -  Inicio de Carga]]),"")</f>
        <v>46225.556944444441</v>
      </c>
      <c r="AD131" s="11">
        <f>IFERROR(IF(MARÍTIMOS[[#This Row],[Etapa Despacho -  Fin de Carga]]="","",MARÍTIMOS[[#This Row],[Etapa Despacho -  Fin de Carga]]),"")</f>
        <v>46225.702777777777</v>
      </c>
      <c r="AE131" s="11">
        <f>IFERROR(IF(MARÍTIMOS[[#This Row],[Etapa Despacho -  Salida]]="","",MARÍTIMOS[[#This Row],[Etapa Despacho -  Salida]]),"")</f>
        <v>46225.729166666664</v>
      </c>
      <c r="AF131" s="2" t="str">
        <f>IFERROR(IF(MARÍTIMOS[[#This Row],[Puerto de Embarque]]="","",MARÍTIMOS[[#This Row],[Puerto de Embarque]]),"")</f>
        <v>CHANCAY</v>
      </c>
      <c r="AG131" s="2" t="str">
        <f>IFERROR(IF(MARÍTIMOS[[#This Row],[Almacén de Ingreso]]="","",MARÍTIMOS[[#This Row],[Almacén de Ingreso]]),"")</f>
        <v>CSPCP</v>
      </c>
      <c r="AH131" s="11">
        <f>IFERROR(IF(MARÍTIMOS[[#This Row],[Etapa Ingreso - Cita]]="","",MARÍTIMOS[[#This Row],[Etapa Ingreso - Cita]]),"")</f>
        <v>46226.333333333336</v>
      </c>
      <c r="AI131" s="11">
        <f>IFERROR(IF(MARÍTIMOS[[#This Row],[Etapa Ingreso - Llegada]]="","",MARÍTIMOS[[#This Row],[Etapa Ingreso - Llegada]]),"")</f>
        <v>46226.342361111114</v>
      </c>
      <c r="AJ131" s="11">
        <f>IFERROR(IF(MARÍTIMOS[[#This Row],[Etapa Ingreso - Ingeso]]="","",MARÍTIMOS[[#This Row],[Etapa Ingreso - Ingeso]]),"")</f>
        <v>46226.34375</v>
      </c>
      <c r="AK131" s="11">
        <f>IFERROR(IF(MARÍTIMOS[[#This Row],[Etapa Ingreso - Atención]]="","",MARÍTIMOS[[#This Row],[Etapa Ingreso - Atención]]),"")</f>
        <v>46226.354861111111</v>
      </c>
      <c r="AL131" s="11">
        <f>IFERROR(IF(MARÍTIMOS[[#This Row],[Etapa Ingreso - Salida]]="","",MARÍTIMOS[[#This Row],[Etapa Ingreso - Salida]]),"")</f>
        <v>46226.370138888888</v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1" s="5">
        <f>IFERROR(OLDBD[[#This Row],[Llegada a packing]]-OLDBD[[#This Row],[Inicio de Ruta]],"")</f>
        <v>-0.60624999999708962</v>
      </c>
      <c r="AQ131" s="6">
        <f>IFERROR(OLDBD[[#This Row],[Inicio de Ruta]]-OLDBD[[#This Row],[Salida de almacén de retiro]],"")</f>
        <v>1.0347222222189885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1" s="9">
        <f>IFERROR(OLDBD[[#This Row],[Ingreso Packing]]-OLDBD[[#This Row],[Registro en Packing]],"")</f>
        <v>2.2222222221898846E-2</v>
      </c>
      <c r="AV131" s="9">
        <f>IFERROR(OLDBD[[#This Row],[Ingreso Packing]]-OLDBD[[#This Row],[Llegada a packing]],"")</f>
        <v>3.125E-2</v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1" s="5">
        <f>IFERROR(OLDBD[[#This Row],[Llegada Almacén de Ingreso]]-OLDBD[[#This Row],[Salida Packing]],"")</f>
        <v>0.61319444444961846</v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1" s="45" t="s">
        <v>181</v>
      </c>
      <c r="BB131" s="53" t="str">
        <f>IFERROR(IF(MARÍTIMOS[[#This Row],[Estatus]]="","",MARÍTIMOS[[#This Row],[Estatus]]),"")</f>
        <v>Confirmado</v>
      </c>
      <c r="BC131" s="45"/>
      <c r="BD131" s="52">
        <f>IFERROR(OLDBD[[#This Row],[Salida de almacén de retiro]]-OLDBD[[#This Row],[Ingreso Almacén de retiro]],"")</f>
        <v>0.24791666666715173</v>
      </c>
      <c r="BE131" s="52">
        <f>IFERROR(OLDBD[[#This Row],[Fin de Carga]]-OLDBD[[#This Row],[Inicio de Carga]],"")</f>
        <v>0.14583333333575865</v>
      </c>
    </row>
    <row r="132" spans="1:57" x14ac:dyDescent="0.35">
      <c r="A132" s="1"/>
      <c r="B132" s="1">
        <f>IFERROR(IF(MARÍTIMOS[[#This Row],[PP]]="","",MARÍTIMOS[[#This Row],[PP]]),"")</f>
        <v>30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RH-0248</v>
      </c>
      <c r="E132" s="1"/>
      <c r="F132" s="2" t="str">
        <f>IFERROR(IF(MARÍTIMOS[[#This Row],[Transportista]]="","",MARÍTIMOS[[#This Row],[Transportista]]),"")</f>
        <v>LIP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>LOGISTICA INTERMODAL DEL PERU S.A.C.</v>
      </c>
      <c r="I132" s="2">
        <f>IFERROR(IF(MARÍTIMOS[[#This Row],[RUC]]="","",MARÍTIMOS[[#This Row],[RUC]]),"")</f>
        <v>20513040718</v>
      </c>
      <c r="J132" s="2" t="str">
        <f>IFERROR(IF(MARÍTIMOS[[#This Row],[Placa Tracto]]="","",MARÍTIMOS[[#This Row],[Placa Tracto]]),"")</f>
        <v>BKI-940</v>
      </c>
      <c r="K132" s="2" t="str">
        <f>IFERROR(IF(MARÍTIMOS[[#This Row],[Placa Carreta]]="","",MARÍTIMOS[[#This Row],[Placa Carreta]]),"")</f>
        <v>AXN-997</v>
      </c>
      <c r="L132" s="46" t="str">
        <f>IFERROR(IF(MARÍTIMOS[[#This Row],[Conductor]]="","",MARÍTIMOS[[#This Row],[Conductor]]),"")</f>
        <v>MALDONADO SANTARIA WILDER</v>
      </c>
      <c r="M132" s="2" t="str">
        <f>IFERROR(IF(MARÍTIMOS[[#This Row],[Licencia]]="","",MARÍTIMOS[[#This Row],[Licencia]]),"")</f>
        <v>E41180232</v>
      </c>
      <c r="N132" s="2" t="str">
        <f>IFERROR(IF(MARÍTIMOS[[#This Row],[Número de Contacto]]="","",MARÍTIMOS[[#This Row],[Número de Contacto]]),"")</f>
        <v/>
      </c>
      <c r="O132" s="10">
        <f>IFERROR(IF(MARÍTIMOS[[#This Row],[Booking|AWB|CRT]]="","",MARÍTIMOS[[#This Row],[Booking|AWB|CRT]]),"")</f>
        <v>751600040984</v>
      </c>
      <c r="P132" s="2" t="str">
        <f>IFERROR(IF(MARÍTIMOS[[#This Row],[Contenedor]]="","",MARÍTIMOS[[#This Row],[Contenedor]]),"")</f>
        <v>EMCU5643687</v>
      </c>
      <c r="Q132" s="2" t="str">
        <f>IFERROR(IF(MARÍTIMOS[[#This Row],[Puerto de Retiro]]="","",MARÍTIMOS[[#This Row],[Puerto de Retiro]]),"")</f>
        <v>CALLAO</v>
      </c>
      <c r="R132" s="2" t="str">
        <f>IFERROR(IF(MARÍTIMOS[[#This Row],[Almacén de Retiro]]="","",MARÍTIMOS[[#This Row],[Almacén de Retiro]]),"")</f>
        <v>IMUPESA</v>
      </c>
      <c r="S132" s="11">
        <f>IFERROR(IF(MARÍTIMOS[[#This Row],[Etapa Retiro - Cita]]="","",MARÍTIMOS[[#This Row],[Etapa Retiro - Cita]]),"")</f>
        <v>46229.666666666664</v>
      </c>
      <c r="T132" s="11">
        <f>IFERROR(IF(MARÍTIMOS[[#This Row],[Etapa Retiro - Llegada]]="","",MARÍTIMOS[[#This Row],[Etapa Retiro - Llegada]]),"")</f>
        <v>46229.621527777781</v>
      </c>
      <c r="U132" s="11">
        <f>IFERROR(IF(MARÍTIMOS[[#This Row],[Etapa Retiro - Ingreso]]="","",MARÍTIMOS[[#This Row],[Etapa Retiro - Ingreso]]),"")</f>
        <v>46229.62222222222</v>
      </c>
      <c r="V132" s="11">
        <f>IFERROR(IF(MARÍTIMOS[[#This Row],[Etapa Retiro - Atención]]="","",MARÍTIMOS[[#This Row],[Etapa Retiro - Atención]]),"")</f>
        <v>46229.631944444445</v>
      </c>
      <c r="W132" s="11">
        <f>IFERROR(IF(MARÍTIMOS[[#This Row],[Etapa Retiro - Salida]]="","",MARÍTIMOS[[#This Row],[Etapa Retiro - Salida]]),"")</f>
        <v>46229.669444444444</v>
      </c>
      <c r="X132" s="11">
        <f>IFERROR(IF(MARÍTIMOS[[#This Row],[Etapa Retiro - Inicio de Ruta]]="","",MARÍTIMOS[[#This Row],[Etapa Retiro - Inicio de Ruta]]),"")</f>
        <v>46229.708333333336</v>
      </c>
      <c r="Y132" s="11">
        <f>IFERROR(IF(MARÍTIMOS[[#This Row],[Hora de Posicionamiento]]="","",MARÍTIMOS[[#This Row],[Hora de Carga]]+MARÍTIMOS[[#This Row],[Hora de Posicionamiento]]),"")</f>
        <v>0.5</v>
      </c>
      <c r="Z132" s="11">
        <f>IFERROR(IF(MARÍTIMOS[[#This Row],[Etapa Despacho -  Llegada]]="","",MARÍTIMOS[[#This Row],[Etapa Despacho -  Llegada]]),"")</f>
        <v>46230.59652777778</v>
      </c>
      <c r="AA132" s="11">
        <f>IFERROR(IF(MARÍTIMOS[[#This Row],[Etapa Despacho -  Registro]]="","",MARÍTIMOS[[#This Row],[Etapa Despacho -  Registro]]),"")</f>
        <v>46230.618055555555</v>
      </c>
      <c r="AB132" s="11">
        <f>IFERROR(IF(MARÍTIMOS[[#This Row],[Inspección Externa]]="","",MARÍTIMOS[[#This Row],[Inspección Externa]]),"")</f>
        <v>46230.633333333331</v>
      </c>
      <c r="AC132" s="11">
        <f>IFERROR(IF(MARÍTIMOS[[#This Row],[Etapa Despacho -  Inicio de Carga]]="","",MARÍTIMOS[[#This Row],[Etapa Despacho -  Inicio de Carga]]),"")</f>
        <v>46230.64166666667</v>
      </c>
      <c r="AD132" s="11">
        <f>IFERROR(IF(MARÍTIMOS[[#This Row],[Etapa Despacho -  Fin de Carga]]="","",MARÍTIMOS[[#This Row],[Etapa Despacho -  Fin de Carga]]),"")</f>
        <v>46230.751388888886</v>
      </c>
      <c r="AE132" s="11">
        <f>IFERROR(IF(MARÍTIMOS[[#This Row],[Etapa Despacho -  Salida]]="","",MARÍTIMOS[[#This Row],[Etapa Despacho -  Salida]]),"")</f>
        <v>46230.763888888891</v>
      </c>
      <c r="AF132" s="2" t="str">
        <f>IFERROR(IF(MARÍTIMOS[[#This Row],[Puerto de Embarque]]="","",MARÍTIMOS[[#This Row],[Puerto de Embarque]]),"")</f>
        <v>CALLAO</v>
      </c>
      <c r="AG132" s="2" t="str">
        <f>IFERROR(IF(MARÍTIMOS[[#This Row],[Almacén de Ingreso]]="","",MARÍTIMOS[[#This Row],[Almacén de Ingreso]]),"")</f>
        <v>DPW</v>
      </c>
      <c r="AH132" s="11">
        <f>IFERROR(IF(MARÍTIMOS[[#This Row],[Etapa Ingreso - Cita]]="","",MARÍTIMOS[[#This Row],[Etapa Ingreso - Cita]]),"")</f>
        <v>46231.333333333336</v>
      </c>
      <c r="AI132" s="11">
        <f>IFERROR(IF(MARÍTIMOS[[#This Row],[Etapa Ingreso - Llegada]]="","",MARÍTIMOS[[#This Row],[Etapa Ingreso - Llegada]]),"")</f>
        <v>46231.34375</v>
      </c>
      <c r="AJ132" s="11">
        <f>IFERROR(IF(MARÍTIMOS[[#This Row],[Etapa Ingreso - Ingeso]]="","",MARÍTIMOS[[#This Row],[Etapa Ingreso - Ingeso]]),"")</f>
        <v>46231.379166666666</v>
      </c>
      <c r="AK132" s="11">
        <f>IFERROR(IF(MARÍTIMOS[[#This Row],[Etapa Ingreso - Atención]]="","",MARÍTIMOS[[#This Row],[Etapa Ingreso - Atención]]),"")</f>
        <v>46231.402083333334</v>
      </c>
      <c r="AL132" s="11">
        <f>IFERROR(IF(MARÍTIMOS[[#This Row],[Etapa Ingreso - Salida]]="","",MARÍTIMOS[[#This Row],[Etapa Ingreso - Salida]]),"")</f>
        <v>46231.417361111111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2" s="5">
        <f>IFERROR(OLDBD[[#This Row],[Llegada a packing]]-OLDBD[[#This Row],[Inicio de Ruta]],"")</f>
        <v>0.88819444444379769</v>
      </c>
      <c r="AQ132" s="6">
        <f>IFERROR(OLDBD[[#This Row],[Inicio de Ruta]]-OLDBD[[#This Row],[Salida de almacén de retiro]],"")</f>
        <v>3.888888889196096E-2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2" s="9">
        <f>IFERROR(OLDBD[[#This Row],[Ingreso Packing]]-OLDBD[[#This Row],[Registro en Packing]],"")</f>
        <v>1.5277777776645962E-2</v>
      </c>
      <c r="AV132" s="9">
        <f>IFERROR(OLDBD[[#This Row],[Ingreso Packing]]-OLDBD[[#This Row],[Llegada a packing]],"")</f>
        <v>3.6805555551836733E-2</v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2" s="5">
        <f>IFERROR(OLDBD[[#This Row],[Llegada Almacén de Ingreso]]-OLDBD[[#This Row],[Salida Packing]],"")</f>
        <v>0.57986111110949423</v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2" s="45" t="s">
        <v>181</v>
      </c>
      <c r="BB132" s="53" t="str">
        <f>IFERROR(IF(MARÍTIMOS[[#This Row],[Estatus]]="","",MARÍTIMOS[[#This Row],[Estatus]]),"")</f>
        <v>Confirmado</v>
      </c>
      <c r="BC132" s="45"/>
      <c r="BD132" s="52">
        <f>IFERROR(OLDBD[[#This Row],[Salida de almacén de retiro]]-OLDBD[[#This Row],[Ingreso Almacén de retiro]],"")</f>
        <v>4.7222222223354038E-2</v>
      </c>
      <c r="BE132" s="52">
        <f>IFERROR(OLDBD[[#This Row],[Fin de Carga]]-OLDBD[[#This Row],[Inicio de Carga]],"")</f>
        <v>0.10972222221607808</v>
      </c>
    </row>
    <row r="133" spans="1:57" x14ac:dyDescent="0.35">
      <c r="A133" s="1"/>
      <c r="B133" s="1">
        <f>IFERROR(IF(MARÍTIMOS[[#This Row],[PP]]="","",MARÍTIMOS[[#This Row],[PP]]),"")</f>
        <v>30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RH-0250</v>
      </c>
      <c r="E133" s="1"/>
      <c r="F133" s="2" t="str">
        <f>IFERROR(IF(MARÍTIMOS[[#This Row],[Transportista]]="","",MARÍTIMOS[[#This Row],[Transportista]]),"")</f>
        <v>LIP</v>
      </c>
      <c r="G133" s="2" t="str">
        <f>IFERROR(IF(MARÍTIMOS[[#This Row],[Tercero]]="","",MARÍTIMOS[[#This Row],[Tercero]]),"")</f>
        <v>SI</v>
      </c>
      <c r="H133" s="2" t="str">
        <f>IFERROR(IF(MARÍTIMOS[[#This Row],[Razón Social]]="","",MARÍTIMOS[[#This Row],[Razón Social]]),"")</f>
        <v>RGM LOGISTICS TRANSPORT S.A.C.</v>
      </c>
      <c r="I133" s="2">
        <f>IFERROR(IF(MARÍTIMOS[[#This Row],[RUC]]="","",MARÍTIMOS[[#This Row],[RUC]]),"")</f>
        <v>20607131610</v>
      </c>
      <c r="J133" s="2" t="str">
        <f>IFERROR(IF(MARÍTIMOS[[#This Row],[Placa Tracto]]="","",MARÍTIMOS[[#This Row],[Placa Tracto]]),"")</f>
        <v>BPJ-915</v>
      </c>
      <c r="K133" s="2" t="str">
        <f>IFERROR(IF(MARÍTIMOS[[#This Row],[Placa Carreta]]="","",MARÍTIMOS[[#This Row],[Placa Carreta]]),"")</f>
        <v>BBG-981</v>
      </c>
      <c r="L133" s="46" t="str">
        <f>IFERROR(IF(MARÍTIMOS[[#This Row],[Conductor]]="","",MARÍTIMOS[[#This Row],[Conductor]]),"")</f>
        <v>AQUISE MEDRANO WILBER</v>
      </c>
      <c r="M133" s="2" t="str">
        <f>IFERROR(IF(MARÍTIMOS[[#This Row],[Licencia]]="","",MARÍTIMOS[[#This Row],[Licencia]]),"")</f>
        <v>Q42539956</v>
      </c>
      <c r="N133" s="2" t="str">
        <f>IFERROR(IF(MARÍTIMOS[[#This Row],[Número de Contacto]]="","",MARÍTIMOS[[#This Row],[Número de Contacto]]),"")</f>
        <v/>
      </c>
      <c r="O133" s="10">
        <f>IFERROR(IF(MARÍTIMOS[[#This Row],[Booking|AWB|CRT]]="","",MARÍTIMOS[[#This Row],[Booking|AWB|CRT]]),"")</f>
        <v>6508710280</v>
      </c>
      <c r="P133" s="2" t="str">
        <f>IFERROR(IF(MARÍTIMOS[[#This Row],[Contenedor]]="","",MARÍTIMOS[[#This Row],[Contenedor]]),"")</f>
        <v>FBIU5614458</v>
      </c>
      <c r="Q133" s="2" t="str">
        <f>IFERROR(IF(MARÍTIMOS[[#This Row],[Puerto de Retiro]]="","",MARÍTIMOS[[#This Row],[Puerto de Retiro]]),"")</f>
        <v>CHANCAY</v>
      </c>
      <c r="R133" s="2" t="str">
        <f>IFERROR(IF(MARÍTIMOS[[#This Row],[Almacén de Retiro]]="","",MARÍTIMOS[[#This Row],[Almacén de Retiro]]),"")</f>
        <v>CSPCP</v>
      </c>
      <c r="S133" s="11">
        <f>IFERROR(IF(MARÍTIMOS[[#This Row],[Etapa Retiro - Cita]]="","",MARÍTIMOS[[#This Row],[Etapa Retiro - Cita]]),"")</f>
        <v>46229.875</v>
      </c>
      <c r="T133" s="11">
        <f>IFERROR(IF(MARÍTIMOS[[#This Row],[Etapa Retiro - Llegada]]="","",MARÍTIMOS[[#This Row],[Etapa Retiro - Llegada]]),"")</f>
        <v>46229.803472222222</v>
      </c>
      <c r="U133" s="11">
        <f>IFERROR(IF(MARÍTIMOS[[#This Row],[Etapa Retiro - Ingreso]]="","",MARÍTIMOS[[#This Row],[Etapa Retiro - Ingreso]]),"")</f>
        <v>46229.842361111114</v>
      </c>
      <c r="V133" s="11">
        <f>IFERROR(IF(MARÍTIMOS[[#This Row],[Etapa Retiro - Atención]]="","",MARÍTIMOS[[#This Row],[Etapa Retiro - Atención]]),"")</f>
        <v>46229.847916666666</v>
      </c>
      <c r="W133" s="11">
        <f>IFERROR(IF(MARÍTIMOS[[#This Row],[Etapa Retiro - Salida]]="","",MARÍTIMOS[[#This Row],[Etapa Retiro - Salida]]),"")</f>
        <v>46229.900694444441</v>
      </c>
      <c r="X133" s="11">
        <f>IFERROR(IF(MARÍTIMOS[[#This Row],[Etapa Retiro - Inicio de Ruta]]="","",MARÍTIMOS[[#This Row],[Etapa Retiro - Inicio de Ruta]]),"")</f>
        <v>46229.958333333336</v>
      </c>
      <c r="Y133" s="11">
        <f>IFERROR(IF(MARÍTIMOS[[#This Row],[Hora de Posicionamiento]]="","",MARÍTIMOS[[#This Row],[Hora de Carga]]+MARÍTIMOS[[#This Row],[Hora de Posicionamiento]]),"")</f>
        <v>0.5</v>
      </c>
      <c r="Z133" s="11">
        <f>IFERROR(IF(MARÍTIMOS[[#This Row],[Etapa Despacho -  Llegada]]="","",MARÍTIMOS[[#This Row],[Etapa Despacho -  Llegada]]),"")</f>
        <v>46230.515972222223</v>
      </c>
      <c r="AA133" s="11">
        <f>IFERROR(IF(MARÍTIMOS[[#This Row],[Etapa Despacho -  Registro]]="","",MARÍTIMOS[[#This Row],[Etapa Despacho -  Registro]]),"")</f>
        <v>46230.520833333336</v>
      </c>
      <c r="AB133" s="11">
        <f>IFERROR(IF(MARÍTIMOS[[#This Row],[Inspección Externa]]="","",MARÍTIMOS[[#This Row],[Inspección Externa]]),"")</f>
        <v>46230.530555555553</v>
      </c>
      <c r="AC133" s="11">
        <f>IFERROR(IF(MARÍTIMOS[[#This Row],[Etapa Despacho -  Inicio de Carga]]="","",MARÍTIMOS[[#This Row],[Etapa Despacho -  Inicio de Carga]]),"")</f>
        <v>46230.536111111112</v>
      </c>
      <c r="AD133" s="11">
        <f>IFERROR(IF(MARÍTIMOS[[#This Row],[Etapa Despacho -  Fin de Carga]]="","",MARÍTIMOS[[#This Row],[Etapa Despacho -  Fin de Carga]]),"")</f>
        <v>46230.682638888888</v>
      </c>
      <c r="AE133" s="11">
        <f>IFERROR(IF(MARÍTIMOS[[#This Row],[Etapa Despacho -  Salida]]="","",MARÍTIMOS[[#This Row],[Etapa Despacho -  Salida]]),"")</f>
        <v>46230.697222222225</v>
      </c>
      <c r="AF133" s="2" t="str">
        <f>IFERROR(IF(MARÍTIMOS[[#This Row],[Puerto de Embarque]]="","",MARÍTIMOS[[#This Row],[Puerto de Embarque]]),"")</f>
        <v>CHANCAY</v>
      </c>
      <c r="AG133" s="2" t="str">
        <f>IFERROR(IF(MARÍTIMOS[[#This Row],[Almacén de Ingreso]]="","",MARÍTIMOS[[#This Row],[Almacén de Ingreso]]),"")</f>
        <v>CSPCP</v>
      </c>
      <c r="AH133" s="11">
        <f>IFERROR(IF(MARÍTIMOS[[#This Row],[Etapa Ingreso - Cita]]="","",MARÍTIMOS[[#This Row],[Etapa Ingreso - Cita]]),"")</f>
        <v>46231.166666666664</v>
      </c>
      <c r="AI133" s="11">
        <f>IFERROR(IF(MARÍTIMOS[[#This Row],[Etapa Ingreso - Llegada]]="","",MARÍTIMOS[[#This Row],[Etapa Ingreso - Llegada]]),"")</f>
        <v>46231.197222222225</v>
      </c>
      <c r="AJ133" s="11">
        <f>IFERROR(IF(MARÍTIMOS[[#This Row],[Etapa Ingreso - Ingeso]]="","",MARÍTIMOS[[#This Row],[Etapa Ingreso - Ingeso]]),"")</f>
        <v>46231.268750000003</v>
      </c>
      <c r="AK133" s="11">
        <f>IFERROR(IF(MARÍTIMOS[[#This Row],[Etapa Ingreso - Atención]]="","",MARÍTIMOS[[#This Row],[Etapa Ingreso - Atención]]),"")</f>
        <v>46231.379861111112</v>
      </c>
      <c r="AL133" s="11">
        <f>IFERROR(IF(MARÍTIMOS[[#This Row],[Etapa Ingreso - Salida]]="","",MARÍTIMOS[[#This Row],[Etapa Ingreso - Salida]]),"")</f>
        <v>46231.39166666667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3" s="5">
        <f>IFERROR(OLDBD[[#This Row],[Llegada a packing]]-OLDBD[[#This Row],[Inicio de Ruta]],"")</f>
        <v>0.55763888888759539</v>
      </c>
      <c r="AQ133" s="6">
        <f>IFERROR(OLDBD[[#This Row],[Inicio de Ruta]]-OLDBD[[#This Row],[Salida de almacén de retiro]],"")</f>
        <v>5.7638888894871343E-2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3" s="9">
        <f>IFERROR(OLDBD[[#This Row],[Ingreso Packing]]-OLDBD[[#This Row],[Registro en Packing]],"")</f>
        <v>9.7222222175332718E-3</v>
      </c>
      <c r="AV133" s="9">
        <f>IFERROR(OLDBD[[#This Row],[Ingreso Packing]]-OLDBD[[#This Row],[Llegada a packing]],"")</f>
        <v>1.4583333329937886E-2</v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3" s="5">
        <f>IFERROR(OLDBD[[#This Row],[Llegada Almacén de Ingreso]]-OLDBD[[#This Row],[Salida Packing]],"")</f>
        <v>0.5</v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5" t="s">
        <v>181</v>
      </c>
      <c r="BB133" s="53" t="str">
        <f>IFERROR(IF(MARÍTIMOS[[#This Row],[Estatus]]="","",MARÍTIMOS[[#This Row],[Estatus]]),"")</f>
        <v>Confirmado</v>
      </c>
      <c r="BC133" s="45"/>
      <c r="BD133" s="52">
        <f>IFERROR(OLDBD[[#This Row],[Salida de almacén de retiro]]-OLDBD[[#This Row],[Ingreso Almacén de retiro]],"")</f>
        <v>5.8333333327027503E-2</v>
      </c>
      <c r="BE133" s="52">
        <f>IFERROR(OLDBD[[#This Row],[Fin de Carga]]-OLDBD[[#This Row],[Inicio de Carga]],"")</f>
        <v>0.14652777777519077</v>
      </c>
    </row>
    <row r="134" spans="1:57" x14ac:dyDescent="0.35">
      <c r="A134" s="1"/>
      <c r="B134" s="1">
        <f>IFERROR(IF(MARÍTIMOS[[#This Row],[PP]]="","",MARÍTIMOS[[#This Row],[PP]]),"")</f>
        <v>30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RH-0275</v>
      </c>
      <c r="E134" s="1"/>
      <c r="F134" s="2" t="str">
        <f>IFERROR(IF(MARÍTIMOS[[#This Row],[Transportista]]="","",MARÍTIMOS[[#This Row],[Transportista]]),"")</f>
        <v>LIP</v>
      </c>
      <c r="G134" s="2" t="str">
        <f>IFERROR(IF(MARÍTIMOS[[#This Row],[Tercero]]="","",MARÍTIMOS[[#This Row],[Tercero]]),"")</f>
        <v>NO</v>
      </c>
      <c r="H134" s="2" t="str">
        <f>IFERROR(IF(MARÍTIMOS[[#This Row],[Razón Social]]="","",MARÍTIMOS[[#This Row],[Razón Social]]),"")</f>
        <v>LOGISTICA INTERMODAL DEL PERU S.A.C.</v>
      </c>
      <c r="I134" s="2">
        <f>IFERROR(IF(MARÍTIMOS[[#This Row],[RUC]]="","",MARÍTIMOS[[#This Row],[RUC]]),"")</f>
        <v>20513040718</v>
      </c>
      <c r="J134" s="2" t="str">
        <f>IFERROR(IF(MARÍTIMOS[[#This Row],[Placa Tracto]]="","",MARÍTIMOS[[#This Row],[Placa Tracto]]),"")</f>
        <v>BCA-717</v>
      </c>
      <c r="K134" s="2" t="str">
        <f>IFERROR(IF(MARÍTIMOS[[#This Row],[Placa Carreta]]="","",MARÍTIMOS[[#This Row],[Placa Carreta]]),"")</f>
        <v>ANS-995</v>
      </c>
      <c r="L134" s="46" t="str">
        <f>IFERROR(IF(MARÍTIMOS[[#This Row],[Conductor]]="","",MARÍTIMOS[[#This Row],[Conductor]]),"")</f>
        <v>CARBAJAL PALOMINO YOVANNI</v>
      </c>
      <c r="M134" s="2" t="str">
        <f>IFERROR(IF(MARÍTIMOS[[#This Row],[Licencia]]="","",MARÍTIMOS[[#This Row],[Licencia]]),"")</f>
        <v>Q10429095</v>
      </c>
      <c r="N134" s="2" t="str">
        <f>IFERROR(IF(MARÍTIMOS[[#This Row],[Número de Contacto]]="","",MARÍTIMOS[[#This Row],[Número de Contacto]]),"")</f>
        <v/>
      </c>
      <c r="O134" s="10">
        <f>IFERROR(IF(MARÍTIMOS[[#This Row],[Booking|AWB|CRT]]="","",MARÍTIMOS[[#This Row],[Booking|AWB|CRT]]),"")</f>
        <v>6508866570</v>
      </c>
      <c r="P134" s="2" t="str">
        <f>IFERROR(IF(MARÍTIMOS[[#This Row],[Contenedor]]="","",MARÍTIMOS[[#This Row],[Contenedor]]),"")</f>
        <v>OERU4806082</v>
      </c>
      <c r="Q134" s="2" t="str">
        <f>IFERROR(IF(MARÍTIMOS[[#This Row],[Puerto de Retiro]]="","",MARÍTIMOS[[#This Row],[Puerto de Retiro]]),"")</f>
        <v>CHANCAY</v>
      </c>
      <c r="R134" s="2" t="str">
        <f>IFERROR(IF(MARÍTIMOS[[#This Row],[Almacén de Retiro]]="","",MARÍTIMOS[[#This Row],[Almacén de Retiro]]),"")</f>
        <v>CSPCP</v>
      </c>
      <c r="S134" s="11">
        <f>IFERROR(IF(MARÍTIMOS[[#This Row],[Etapa Retiro - Cita]]="","",MARÍTIMOS[[#This Row],[Etapa Retiro - Cita]]),"")</f>
        <v>46224.833333333336</v>
      </c>
      <c r="T134" s="11">
        <f>IFERROR(IF(MARÍTIMOS[[#This Row],[Etapa Retiro - Llegada]]="","",MARÍTIMOS[[#This Row],[Etapa Retiro - Llegada]]),"")</f>
        <v>46224.923611111109</v>
      </c>
      <c r="U134" s="11">
        <f>IFERROR(IF(MARÍTIMOS[[#This Row],[Etapa Retiro - Ingreso]]="","",MARÍTIMOS[[#This Row],[Etapa Retiro - Ingreso]]),"")</f>
        <v>46224.927083333336</v>
      </c>
      <c r="V134" s="11">
        <f>IFERROR(IF(MARÍTIMOS[[#This Row],[Etapa Retiro - Atención]]="","",MARÍTIMOS[[#This Row],[Etapa Retiro - Atención]]),"")</f>
        <v>46224.958333333336</v>
      </c>
      <c r="W134" s="11">
        <f>IFERROR(IF(MARÍTIMOS[[#This Row],[Etapa Retiro - Salida]]="","",MARÍTIMOS[[#This Row],[Etapa Retiro - Salida]]),"")</f>
        <v>46225.020833333336</v>
      </c>
      <c r="X134" s="11">
        <f>IFERROR(IF(MARÍTIMOS[[#This Row],[Etapa Retiro - Inicio de Ruta]]="","",MARÍTIMOS[[#This Row],[Etapa Retiro - Inicio de Ruta]]),"")</f>
        <v>46225.0625</v>
      </c>
      <c r="Y134" s="11">
        <f>IFERROR(IF(MARÍTIMOS[[#This Row],[Hora de Posicionamiento]]="","",MARÍTIMOS[[#This Row],[Hora de Carga]]+MARÍTIMOS[[#This Row],[Hora de Posicionamiento]]),"")</f>
        <v>0.58333333333333337</v>
      </c>
      <c r="Z134" s="11">
        <f>IFERROR(IF(MARÍTIMOS[[#This Row],[Etapa Despacho -  Llegada]]="","",MARÍTIMOS[[#This Row],[Etapa Despacho -  Llegada]]),"")</f>
        <v>46225.60833333333</v>
      </c>
      <c r="AA134" s="11">
        <f>IFERROR(IF(MARÍTIMOS[[#This Row],[Etapa Despacho -  Registro]]="","",MARÍTIMOS[[#This Row],[Etapa Despacho -  Registro]]),"")</f>
        <v>46225.614583333336</v>
      </c>
      <c r="AB134" s="11">
        <f>IFERROR(IF(MARÍTIMOS[[#This Row],[Inspección Externa]]="","",MARÍTIMOS[[#This Row],[Inspección Externa]]),"")</f>
        <v>46225.620138888888</v>
      </c>
      <c r="AC134" s="11">
        <f>IFERROR(IF(MARÍTIMOS[[#This Row],[Etapa Despacho -  Inicio de Carga]]="","",MARÍTIMOS[[#This Row],[Etapa Despacho -  Inicio de Carga]]),"")</f>
        <v>46225.62777777778</v>
      </c>
      <c r="AD134" s="11">
        <f>IFERROR(IF(MARÍTIMOS[[#This Row],[Etapa Despacho -  Fin de Carga]]="","",MARÍTIMOS[[#This Row],[Etapa Despacho -  Fin de Carga]]),"")</f>
        <v>46225.760416666664</v>
      </c>
      <c r="AE134" s="11">
        <f>IFERROR(IF(MARÍTIMOS[[#This Row],[Etapa Despacho -  Salida]]="","",MARÍTIMOS[[#This Row],[Etapa Despacho -  Salida]]),"")</f>
        <v>46225.771527777775</v>
      </c>
      <c r="AF134" s="2" t="str">
        <f>IFERROR(IF(MARÍTIMOS[[#This Row],[Puerto de Embarque]]="","",MARÍTIMOS[[#This Row],[Puerto de Embarque]]),"")</f>
        <v>CHANCAY</v>
      </c>
      <c r="AG134" s="2" t="str">
        <f>IFERROR(IF(MARÍTIMOS[[#This Row],[Almacén de Ingreso]]="","",MARÍTIMOS[[#This Row],[Almacén de Ingreso]]),"")</f>
        <v>CSPCP</v>
      </c>
      <c r="AH134" s="11">
        <f>IFERROR(IF(MARÍTIMOS[[#This Row],[Etapa Ingreso - Cita]]="","",MARÍTIMOS[[#This Row],[Etapa Ingreso - Cita]]),"")</f>
        <v>46226.791666666664</v>
      </c>
      <c r="AI134" s="11">
        <f>IFERROR(IF(MARÍTIMOS[[#This Row],[Etapa Ingreso - Llegada]]="","",MARÍTIMOS[[#This Row],[Etapa Ingreso - Llegada]]),"")</f>
        <v>46226.82916666667</v>
      </c>
      <c r="AJ134" s="11">
        <f>IFERROR(IF(MARÍTIMOS[[#This Row],[Etapa Ingreso - Ingeso]]="","",MARÍTIMOS[[#This Row],[Etapa Ingreso - Ingeso]]),"")</f>
        <v>46226.838888888888</v>
      </c>
      <c r="AK134" s="11">
        <f>IFERROR(IF(MARÍTIMOS[[#This Row],[Etapa Ingreso - Atención]]="","",MARÍTIMOS[[#This Row],[Etapa Ingreso - Atención]]),"")</f>
        <v>46226.847222222219</v>
      </c>
      <c r="AL134" s="11">
        <f>IFERROR(IF(MARÍTIMOS[[#This Row],[Etapa Ingreso - Salida]]="","",MARÍTIMOS[[#This Row],[Etapa Ingreso - Salida]]),"")</f>
        <v>46226.868750000001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4" s="5">
        <f>IFERROR(OLDBD[[#This Row],[Llegada a packing]]-OLDBD[[#This Row],[Inicio de Ruta]],"")</f>
        <v>0.54583333332993789</v>
      </c>
      <c r="AQ134" s="6">
        <f>IFERROR(OLDBD[[#This Row],[Inicio de Ruta]]-OLDBD[[#This Row],[Salida de almacén de retiro]],"")</f>
        <v>4.1666666664241347E-2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4" s="9">
        <f>IFERROR(OLDBD[[#This Row],[Ingreso Packing]]-OLDBD[[#This Row],[Registro en Packing]],"")</f>
        <v>5.5555555518367328E-3</v>
      </c>
      <c r="AV134" s="9">
        <f>IFERROR(OLDBD[[#This Row],[Ingreso Packing]]-OLDBD[[#This Row],[Llegada a packing]],"")</f>
        <v>1.1805555557657499E-2</v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4" s="5">
        <f>IFERROR(OLDBD[[#This Row],[Llegada Almacén de Ingreso]]-OLDBD[[#This Row],[Salida Packing]],"")</f>
        <v>1.0576388888948713</v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4" s="45" t="s">
        <v>181</v>
      </c>
      <c r="BB134" s="53" t="str">
        <f>IFERROR(IF(MARÍTIMOS[[#This Row],[Estatus]]="","",MARÍTIMOS[[#This Row],[Estatus]]),"")</f>
        <v>Confirmado</v>
      </c>
      <c r="BC134" s="45"/>
      <c r="BD134" s="52">
        <f>IFERROR(OLDBD[[#This Row],[Salida de almacén de retiro]]-OLDBD[[#This Row],[Ingreso Almacén de retiro]],"")</f>
        <v>9.375E-2</v>
      </c>
      <c r="BE134" s="52">
        <f>IFERROR(OLDBD[[#This Row],[Fin de Carga]]-OLDBD[[#This Row],[Inicio de Carga]],"")</f>
        <v>0.132638888884685</v>
      </c>
    </row>
    <row r="135" spans="1:57" x14ac:dyDescent="0.35">
      <c r="A135" s="1"/>
      <c r="B135" s="1">
        <f>IFERROR(IF(MARÍTIMOS[[#This Row],[PP]]="","",MARÍTIMOS[[#This Row],[PP]]),"")</f>
        <v>31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RH-0326</v>
      </c>
      <c r="E135" s="1"/>
      <c r="F135" s="2" t="str">
        <f>IFERROR(IF(MARÍTIMOS[[#This Row],[Transportista]]="","",MARÍTIMOS[[#This Row],[Transportista]]),"")</f>
        <v>LIP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>LOGISTICA INTERMODAL DEL PERU S.A.C.</v>
      </c>
      <c r="I135" s="2">
        <f>IFERROR(IF(MARÍTIMOS[[#This Row],[RUC]]="","",MARÍTIMOS[[#This Row],[RUC]]),"")</f>
        <v>20513040718</v>
      </c>
      <c r="J135" s="2" t="str">
        <f>IFERROR(IF(MARÍTIMOS[[#This Row],[Placa Tracto]]="","",MARÍTIMOS[[#This Row],[Placa Tracto]]),"")</f>
        <v>AYO-923</v>
      </c>
      <c r="K135" s="2" t="str">
        <f>IFERROR(IF(MARÍTIMOS[[#This Row],[Placa Carreta]]="","",MARÍTIMOS[[#This Row],[Placa Carreta]]),"")</f>
        <v>ANE-991</v>
      </c>
      <c r="L135" s="46" t="str">
        <f>IFERROR(IF(MARÍTIMOS[[#This Row],[Conductor]]="","",MARÍTIMOS[[#This Row],[Conductor]]),"")</f>
        <v>MATIAS ORTIZ LUIS ANGEL</v>
      </c>
      <c r="M135" s="2" t="str">
        <f>IFERROR(IF(MARÍTIMOS[[#This Row],[Licencia]]="","",MARÍTIMOS[[#This Row],[Licencia]]),"")</f>
        <v>Q41615893</v>
      </c>
      <c r="N135" s="2" t="str">
        <f>IFERROR(IF(MARÍTIMOS[[#This Row],[Número de Contacto]]="","",MARÍTIMOS[[#This Row],[Número de Contacto]]),"")</f>
        <v/>
      </c>
      <c r="O135" s="10">
        <f>IFERROR(IF(MARÍTIMOS[[#This Row],[Booking|AWB|CRT]]="","",MARÍTIMOS[[#This Row],[Booking|AWB|CRT]]),"")</f>
        <v>6509439080</v>
      </c>
      <c r="P135" s="2" t="str">
        <f>IFERROR(IF(MARÍTIMOS[[#This Row],[Contenedor]]="","",MARÍTIMOS[[#This Row],[Contenedor]]),"")</f>
        <v>FBIU5342832</v>
      </c>
      <c r="Q135" s="2" t="str">
        <f>IFERROR(IF(MARÍTIMOS[[#This Row],[Puerto de Retiro]]="","",MARÍTIMOS[[#This Row],[Puerto de Retiro]]),"")</f>
        <v>CALLAO</v>
      </c>
      <c r="R135" s="2" t="str">
        <f>IFERROR(IF(MARÍTIMOS[[#This Row],[Almacén de Retiro]]="","",MARÍTIMOS[[#This Row],[Almacén de Retiro]]),"")</f>
        <v>FARGOLINE</v>
      </c>
      <c r="S135" s="11">
        <f>IFERROR(IF(MARÍTIMOS[[#This Row],[Etapa Retiro - Cita]]="","",MARÍTIMOS[[#This Row],[Etapa Retiro - Cita]]),"")</f>
        <v>46235.666666666664</v>
      </c>
      <c r="T135" s="11">
        <f>IFERROR(IF(MARÍTIMOS[[#This Row],[Etapa Retiro - Llegada]]="","",MARÍTIMOS[[#This Row],[Etapa Retiro - Llegada]]),"")</f>
        <v>46235.729166666664</v>
      </c>
      <c r="U135" s="11">
        <f>IFERROR(IF(MARÍTIMOS[[#This Row],[Etapa Retiro - Ingreso]]="","",MARÍTIMOS[[#This Row],[Etapa Retiro - Ingreso]]),"")</f>
        <v>46235.75277777778</v>
      </c>
      <c r="V135" s="11">
        <f>IFERROR(IF(MARÍTIMOS[[#This Row],[Etapa Retiro - Atención]]="","",MARÍTIMOS[[#This Row],[Etapa Retiro - Atención]]),"")</f>
        <v>46235.758333333331</v>
      </c>
      <c r="W135" s="11">
        <f>IFERROR(IF(MARÍTIMOS[[#This Row],[Etapa Retiro - Salida]]="","",MARÍTIMOS[[#This Row],[Etapa Retiro - Salida]]),"")</f>
        <v>46235.854861111111</v>
      </c>
      <c r="X135" s="11">
        <f>IFERROR(IF(MARÍTIMOS[[#This Row],[Etapa Retiro - Inicio de Ruta]]="","",MARÍTIMOS[[#This Row],[Etapa Retiro - Inicio de Ruta]]),"")</f>
        <v>46235.887499999997</v>
      </c>
      <c r="Y135" s="11">
        <f>IFERROR(IF(MARÍTIMOS[[#This Row],[Hora de Posicionamiento]]="","",MARÍTIMOS[[#This Row],[Hora de Carga]]+MARÍTIMOS[[#This Row],[Hora de Posicionamiento]]),"")</f>
        <v>0.5</v>
      </c>
      <c r="Z135" s="11">
        <f>IFERROR(IF(MARÍTIMOS[[#This Row],[Etapa Despacho -  Llegada]]="","",MARÍTIMOS[[#This Row],[Etapa Despacho -  Llegada]]),"")</f>
        <v>46236.48333333333</v>
      </c>
      <c r="AA135" s="11">
        <f>IFERROR(IF(MARÍTIMOS[[#This Row],[Etapa Despacho -  Registro]]="","",MARÍTIMOS[[#This Row],[Etapa Despacho -  Registro]]),"")</f>
        <v>46236.490277777775</v>
      </c>
      <c r="AB135" s="11">
        <f>IFERROR(IF(MARÍTIMOS[[#This Row],[Inspección Externa]]="","",MARÍTIMOS[[#This Row],[Inspección Externa]]),"")</f>
        <v>46236.5</v>
      </c>
      <c r="AC135" s="11">
        <f>IFERROR(IF(MARÍTIMOS[[#This Row],[Etapa Despacho -  Inicio de Carga]]="","",MARÍTIMOS[[#This Row],[Etapa Despacho -  Inicio de Carga]]),"")</f>
        <v>46236.511805555558</v>
      </c>
      <c r="AD135" s="11">
        <f>IFERROR(IF(MARÍTIMOS[[#This Row],[Etapa Despacho -  Fin de Carga]]="","",MARÍTIMOS[[#This Row],[Etapa Despacho -  Fin de Carga]]),"")</f>
        <v>46236.674305555556</v>
      </c>
      <c r="AE135" s="11">
        <f>IFERROR(IF(MARÍTIMOS[[#This Row],[Etapa Despacho -  Salida]]="","",MARÍTIMOS[[#This Row],[Etapa Despacho -  Salida]]),"")</f>
        <v>46236.700694444444</v>
      </c>
      <c r="AF135" s="2" t="str">
        <f>IFERROR(IF(MARÍTIMOS[[#This Row],[Puerto de Embarque]]="","",MARÍTIMOS[[#This Row],[Puerto de Embarque]]),"")</f>
        <v>CALLAO</v>
      </c>
      <c r="AG135" s="2" t="str">
        <f>IFERROR(IF(MARÍTIMOS[[#This Row],[Almacén de Ingreso]]="","",MARÍTIMOS[[#This Row],[Almacén de Ingreso]]),"")</f>
        <v>CSPCP</v>
      </c>
      <c r="AH135" s="11">
        <f>IFERROR(IF(MARÍTIMOS[[#This Row],[Etapa Ingreso - Cita]]="","",MARÍTIMOS[[#This Row],[Etapa Ingreso - Cita]]),"")</f>
        <v>46237.083333333336</v>
      </c>
      <c r="AI135" s="11">
        <f>IFERROR(IF(MARÍTIMOS[[#This Row],[Etapa Ingreso - Llegada]]="","",MARÍTIMOS[[#This Row],[Etapa Ingreso - Llegada]]),"")</f>
        <v>46237.106249999997</v>
      </c>
      <c r="AJ135" s="11">
        <f>IFERROR(IF(MARÍTIMOS[[#This Row],[Etapa Ingreso - Ingeso]]="","",MARÍTIMOS[[#This Row],[Etapa Ingreso - Ingeso]]),"")</f>
        <v>46237.125</v>
      </c>
      <c r="AK135" s="11">
        <f>IFERROR(IF(MARÍTIMOS[[#This Row],[Etapa Ingreso - Atención]]="","",MARÍTIMOS[[#This Row],[Etapa Ingreso - Atención]]),"")</f>
        <v>46237.134722222225</v>
      </c>
      <c r="AL135" s="11">
        <f>IFERROR(IF(MARÍTIMOS[[#This Row],[Etapa Ingreso - Salida]]="","",MARÍTIMOS[[#This Row],[Etapa Ingreso - Salida]]),"")</f>
        <v>46237.15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5" s="5">
        <f>IFERROR(OLDBD[[#This Row],[Llegada a packing]]-OLDBD[[#This Row],[Inicio de Ruta]],"")</f>
        <v>0.59583333333284827</v>
      </c>
      <c r="AQ135" s="6">
        <f>IFERROR(OLDBD[[#This Row],[Inicio de Ruta]]-OLDBD[[#This Row],[Salida de almacén de retiro]],"")</f>
        <v>3.2638888886140194E-2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5" s="9">
        <f>IFERROR(OLDBD[[#This Row],[Ingreso Packing]]-OLDBD[[#This Row],[Registro en Packing]],"")</f>
        <v>9.7222222248092294E-3</v>
      </c>
      <c r="AV135" s="9">
        <f>IFERROR(OLDBD[[#This Row],[Ingreso Packing]]-OLDBD[[#This Row],[Llegada a packing]],"")</f>
        <v>1.6666666670062114E-2</v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5" s="5">
        <f>IFERROR(OLDBD[[#This Row],[Llegada Almacén de Ingreso]]-OLDBD[[#This Row],[Salida Packing]],"")</f>
        <v>0.40555555555329192</v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5" s="45" t="s">
        <v>181</v>
      </c>
      <c r="BB135" s="53" t="str">
        <f>IFERROR(IF(MARÍTIMOS[[#This Row],[Estatus]]="","",MARÍTIMOS[[#This Row],[Estatus]]),"")</f>
        <v>Confirmado</v>
      </c>
      <c r="BC135" s="45"/>
      <c r="BD135" s="52">
        <f>IFERROR(OLDBD[[#This Row],[Salida de almacén de retiro]]-OLDBD[[#This Row],[Ingreso Almacén de retiro]],"")</f>
        <v>0.10208333333139308</v>
      </c>
      <c r="BE135" s="52">
        <f>IFERROR(OLDBD[[#This Row],[Fin de Carga]]-OLDBD[[#This Row],[Inicio de Carga]],"")</f>
        <v>0.16249999999854481</v>
      </c>
    </row>
    <row r="136" spans="1:57" x14ac:dyDescent="0.35">
      <c r="A136" s="1"/>
      <c r="B136" s="1">
        <f>IFERROR(IF(MARÍTIMOS[[#This Row],[PP]]="","",MARÍTIMOS[[#This Row],[PP]]),"")</f>
        <v>31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RH-0327</v>
      </c>
      <c r="E136" s="1"/>
      <c r="F136" s="2" t="str">
        <f>IFERROR(IF(MARÍTIMOS[[#This Row],[Transportista]]="","",MARÍTIMOS[[#This Row],[Transportista]]),"")</f>
        <v>LIP</v>
      </c>
      <c r="G136" s="2" t="str">
        <f>IFERROR(IF(MARÍTIMOS[[#This Row],[Tercero]]="","",MARÍTIMOS[[#This Row],[Tercero]]),"")</f>
        <v>NO</v>
      </c>
      <c r="H136" s="2" t="str">
        <f>IFERROR(IF(MARÍTIMOS[[#This Row],[Razón Social]]="","",MARÍTIMOS[[#This Row],[Razón Social]]),"")</f>
        <v>LOGISTICA INTERMODAL DEL PERU S.A.C.</v>
      </c>
      <c r="I136" s="2">
        <f>IFERROR(IF(MARÍTIMOS[[#This Row],[RUC]]="","",MARÍTIMOS[[#This Row],[RUC]]),"")</f>
        <v>20513040718</v>
      </c>
      <c r="J136" s="2" t="str">
        <f>IFERROR(IF(MARÍTIMOS[[#This Row],[Placa Tracto]]="","",MARÍTIMOS[[#This Row],[Placa Tracto]]),"")</f>
        <v>BBK-835</v>
      </c>
      <c r="K136" s="2" t="str">
        <f>IFERROR(IF(MARÍTIMOS[[#This Row],[Placa Carreta]]="","",MARÍTIMOS[[#This Row],[Placa Carreta]]),"")</f>
        <v>AKN-992</v>
      </c>
      <c r="L136" s="46" t="str">
        <f>IFERROR(IF(MARÍTIMOS[[#This Row],[Conductor]]="","",MARÍTIMOS[[#This Row],[Conductor]]),"")</f>
        <v>CASTILLO ALVAREZ CESAR HUGO</v>
      </c>
      <c r="M136" s="2" t="str">
        <f>IFERROR(IF(MARÍTIMOS[[#This Row],[Licencia]]="","",MARÍTIMOS[[#This Row],[Licencia]]),"")</f>
        <v>Q25858072</v>
      </c>
      <c r="N136" s="2" t="str">
        <f>IFERROR(IF(MARÍTIMOS[[#This Row],[Número de Contacto]]="","",MARÍTIMOS[[#This Row],[Número de Contacto]]),"")</f>
        <v/>
      </c>
      <c r="O136" s="10">
        <f>IFERROR(IF(MARÍTIMOS[[#This Row],[Booking|AWB|CRT]]="","",MARÍTIMOS[[#This Row],[Booking|AWB|CRT]]),"")</f>
        <v>6509439040</v>
      </c>
      <c r="P136" s="2" t="str">
        <f>IFERROR(IF(MARÍTIMOS[[#This Row],[Contenedor]]="","",MARÍTIMOS[[#This Row],[Contenedor]]),"")</f>
        <v>FBIU5729380</v>
      </c>
      <c r="Q136" s="2" t="str">
        <f>IFERROR(IF(MARÍTIMOS[[#This Row],[Puerto de Retiro]]="","",MARÍTIMOS[[#This Row],[Puerto de Retiro]]),"")</f>
        <v>CALLAO</v>
      </c>
      <c r="R136" s="2" t="str">
        <f>IFERROR(IF(MARÍTIMOS[[#This Row],[Almacén de Retiro]]="","",MARÍTIMOS[[#This Row],[Almacén de Retiro]]),"")</f>
        <v>FARGOLINE</v>
      </c>
      <c r="S136" s="11">
        <f>IFERROR(IF(MARÍTIMOS[[#This Row],[Etapa Retiro - Cita]]="","",MARÍTIMOS[[#This Row],[Etapa Retiro - Cita]]),"")</f>
        <v>46235.666666666664</v>
      </c>
      <c r="T136" s="11">
        <f>IFERROR(IF(MARÍTIMOS[[#This Row],[Etapa Retiro - Llegada]]="","",MARÍTIMOS[[#This Row],[Etapa Retiro - Llegada]]),"")</f>
        <v>46235.67083333333</v>
      </c>
      <c r="U136" s="11">
        <f>IFERROR(IF(MARÍTIMOS[[#This Row],[Etapa Retiro - Ingreso]]="","",MARÍTIMOS[[#This Row],[Etapa Retiro - Ingreso]]),"")</f>
        <v>46235.686111111114</v>
      </c>
      <c r="V136" s="11">
        <f>IFERROR(IF(MARÍTIMOS[[#This Row],[Etapa Retiro - Atención]]="","",MARÍTIMOS[[#This Row],[Etapa Retiro - Atención]]),"")</f>
        <v>46235.698611111111</v>
      </c>
      <c r="W136" s="11">
        <f>IFERROR(IF(MARÍTIMOS[[#This Row],[Etapa Retiro - Salida]]="","",MARÍTIMOS[[#This Row],[Etapa Retiro - Salida]]),"")</f>
        <v>46235.718055555553</v>
      </c>
      <c r="X136" s="11">
        <f>IFERROR(IF(MARÍTIMOS[[#This Row],[Etapa Retiro - Inicio de Ruta]]="","",MARÍTIMOS[[#This Row],[Etapa Retiro - Inicio de Ruta]]),"")</f>
        <v>46235.980555555558</v>
      </c>
      <c r="Y136" s="11">
        <f>IFERROR(IF(MARÍTIMOS[[#This Row],[Hora de Posicionamiento]]="","",MARÍTIMOS[[#This Row],[Hora de Carga]]+MARÍTIMOS[[#This Row],[Hora de Posicionamiento]]),"")</f>
        <v>0.58333333333333337</v>
      </c>
      <c r="Z136" s="11">
        <f>IFERROR(IF(MARÍTIMOS[[#This Row],[Etapa Despacho -  Llegada]]="","",MARÍTIMOS[[#This Row],[Etapa Despacho -  Llegada]]),"")</f>
        <v>46236.542361111111</v>
      </c>
      <c r="AA136" s="11">
        <f>IFERROR(IF(MARÍTIMOS[[#This Row],[Etapa Despacho -  Registro]]="","",MARÍTIMOS[[#This Row],[Etapa Despacho -  Registro]]),"")</f>
        <v>46236.545138888891</v>
      </c>
      <c r="AB136" s="11">
        <f>IFERROR(IF(MARÍTIMOS[[#This Row],[Inspección Externa]]="","",MARÍTIMOS[[#This Row],[Inspección Externa]]),"")</f>
        <v>46236.548611111109</v>
      </c>
      <c r="AC136" s="11">
        <f>IFERROR(IF(MARÍTIMOS[[#This Row],[Etapa Despacho -  Inicio de Carga]]="","",MARÍTIMOS[[#This Row],[Etapa Despacho -  Inicio de Carga]]),"")</f>
        <v>46236.553472222222</v>
      </c>
      <c r="AD136" s="11">
        <f>IFERROR(IF(MARÍTIMOS[[#This Row],[Etapa Despacho -  Fin de Carga]]="","",MARÍTIMOS[[#This Row],[Etapa Despacho -  Fin de Carga]]),"")</f>
        <v>46236.553472222222</v>
      </c>
      <c r="AE136" s="11">
        <f>IFERROR(IF(MARÍTIMOS[[#This Row],[Etapa Despacho -  Salida]]="","",MARÍTIMOS[[#This Row],[Etapa Despacho -  Salida]]),"")</f>
        <v>46236.708333333336</v>
      </c>
      <c r="AF136" s="2" t="str">
        <f>IFERROR(IF(MARÍTIMOS[[#This Row],[Puerto de Embarque]]="","",MARÍTIMOS[[#This Row],[Puerto de Embarque]]),"")</f>
        <v>CALLAO</v>
      </c>
      <c r="AG136" s="2" t="str">
        <f>IFERROR(IF(MARÍTIMOS[[#This Row],[Almacén de Ingreso]]="","",MARÍTIMOS[[#This Row],[Almacén de Ingreso]]),"")</f>
        <v>CSPCP</v>
      </c>
      <c r="AH136" s="11">
        <f>IFERROR(IF(MARÍTIMOS[[#This Row],[Etapa Ingreso - Cita]]="","",MARÍTIMOS[[#This Row],[Etapa Ingreso - Cita]]),"")</f>
        <v>46237.291666666664</v>
      </c>
      <c r="AI136" s="11">
        <f>IFERROR(IF(MARÍTIMOS[[#This Row],[Etapa Ingreso - Llegada]]="","",MARÍTIMOS[[#This Row],[Etapa Ingreso - Llegada]]),"")</f>
        <v>46237.324999999997</v>
      </c>
      <c r="AJ136" s="11">
        <f>IFERROR(IF(MARÍTIMOS[[#This Row],[Etapa Ingreso - Ingeso]]="","",MARÍTIMOS[[#This Row],[Etapa Ingreso - Ingeso]]),"")</f>
        <v>46237.34652777778</v>
      </c>
      <c r="AK136" s="11">
        <f>IFERROR(IF(MARÍTIMOS[[#This Row],[Etapa Ingreso - Atención]]="","",MARÍTIMOS[[#This Row],[Etapa Ingreso - Atención]]),"")</f>
        <v>46237.350694444445</v>
      </c>
      <c r="AL136" s="11">
        <f>IFERROR(IF(MARÍTIMOS[[#This Row],[Etapa Ingreso - Salida]]="","",MARÍTIMOS[[#This Row],[Etapa Ingreso - Salida]]),"")</f>
        <v>46237.361111111109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6" s="5">
        <f>IFERROR(OLDBD[[#This Row],[Llegada a packing]]-OLDBD[[#This Row],[Inicio de Ruta]],"")</f>
        <v>0.56180555555329192</v>
      </c>
      <c r="AQ136" s="6">
        <f>IFERROR(OLDBD[[#This Row],[Inicio de Ruta]]-OLDBD[[#This Row],[Salida de almacén de retiro]],"")</f>
        <v>0.26250000000436557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6" s="9">
        <f>IFERROR(OLDBD[[#This Row],[Ingreso Packing]]-OLDBD[[#This Row],[Registro en Packing]],"")</f>
        <v>3.4722222189884633E-3</v>
      </c>
      <c r="AV136" s="9">
        <f>IFERROR(OLDBD[[#This Row],[Ingreso Packing]]-OLDBD[[#This Row],[Llegada a packing]],"")</f>
        <v>6.2499999985448085E-3</v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36" s="5">
        <f>IFERROR(OLDBD[[#This Row],[Llegada Almacén de Ingreso]]-OLDBD[[#This Row],[Salida Packing]],"")</f>
        <v>0.61666666666133096</v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6" s="45" t="s">
        <v>181</v>
      </c>
      <c r="BB136" s="53" t="str">
        <f>IFERROR(IF(MARÍTIMOS[[#This Row],[Estatus]]="","",MARÍTIMOS[[#This Row],[Estatus]]),"")</f>
        <v>Confirmado</v>
      </c>
      <c r="BC136" s="45"/>
      <c r="BD136" s="52">
        <f>IFERROR(OLDBD[[#This Row],[Salida de almacén de retiro]]-OLDBD[[#This Row],[Ingreso Almacén de retiro]],"")</f>
        <v>3.1944444439432118E-2</v>
      </c>
      <c r="BE136" s="52">
        <f>IFERROR(OLDBD[[#This Row],[Fin de Carga]]-OLDBD[[#This Row],[Inicio de Carga]],"")</f>
        <v>0</v>
      </c>
    </row>
    <row r="137" spans="1:57" x14ac:dyDescent="0.35">
      <c r="A137" s="1"/>
      <c r="B137" s="1">
        <f>IFERROR(IF(MARÍTIMOS[[#This Row],[PP]]="","",MARÍTIMOS[[#This Row],[PP]]),"")</f>
        <v>31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RH-0329</v>
      </c>
      <c r="E137" s="1"/>
      <c r="F137" s="2" t="str">
        <f>IFERROR(IF(MARÍTIMOS[[#This Row],[Transportista]]="","",MARÍTIMOS[[#This Row],[Transportista]]),"")</f>
        <v>LIP</v>
      </c>
      <c r="G137" s="2" t="str">
        <f>IFERROR(IF(MARÍTIMOS[[#This Row],[Tercero]]="","",MARÍTIMOS[[#This Row],[Tercero]]),"")</f>
        <v>SI</v>
      </c>
      <c r="H137" s="2" t="str">
        <f>IFERROR(IF(MARÍTIMOS[[#This Row],[Razón Social]]="","",MARÍTIMOS[[#This Row],[Razón Social]]),"")</f>
        <v>BENLOB E.I.R.L.</v>
      </c>
      <c r="I137" s="2">
        <f>IFERROR(IF(MARÍTIMOS[[#This Row],[RUC]]="","",MARÍTIMOS[[#This Row],[RUC]]),"")</f>
        <v>20608586238</v>
      </c>
      <c r="J137" s="2" t="str">
        <f>IFERROR(IF(MARÍTIMOS[[#This Row],[Placa Tracto]]="","",MARÍTIMOS[[#This Row],[Placa Tracto]]),"")</f>
        <v>BMD-798</v>
      </c>
      <c r="K137" s="2" t="str">
        <f>IFERROR(IF(MARÍTIMOS[[#This Row],[Placa Carreta]]="","",MARÍTIMOS[[#This Row],[Placa Carreta]]),"")</f>
        <v>AZJ-971</v>
      </c>
      <c r="L137" s="46" t="str">
        <f>IFERROR(IF(MARÍTIMOS[[#This Row],[Conductor]]="","",MARÍTIMOS[[#This Row],[Conductor]]),"")</f>
        <v>RUMICHE FIESTAS MELANIO ANTONIO</v>
      </c>
      <c r="M137" s="2" t="str">
        <f>IFERROR(IF(MARÍTIMOS[[#This Row],[Licencia]]="","",MARÍTIMOS[[#This Row],[Licencia]]),"")</f>
        <v>Q25826470</v>
      </c>
      <c r="N137" s="2" t="str">
        <f>IFERROR(IF(MARÍTIMOS[[#This Row],[Número de Contacto]]="","",MARÍTIMOS[[#This Row],[Número de Contacto]]),"")</f>
        <v/>
      </c>
      <c r="O137" s="10">
        <f>IFERROR(IF(MARÍTIMOS[[#This Row],[Booking|AWB|CRT]]="","",MARÍTIMOS[[#This Row],[Booking|AWB|CRT]]),"")</f>
        <v>6509980950</v>
      </c>
      <c r="P137" s="2" t="str">
        <f>IFERROR(IF(MARÍTIMOS[[#This Row],[Contenedor]]="","",MARÍTIMOS[[#This Row],[Contenedor]]),"")</f>
        <v>OERU4362265</v>
      </c>
      <c r="Q137" s="2" t="str">
        <f>IFERROR(IF(MARÍTIMOS[[#This Row],[Puerto de Retiro]]="","",MARÍTIMOS[[#This Row],[Puerto de Retiro]]),"")</f>
        <v>CALLAO</v>
      </c>
      <c r="R137" s="2" t="str">
        <f>IFERROR(IF(MARÍTIMOS[[#This Row],[Almacén de Retiro]]="","",MARÍTIMOS[[#This Row],[Almacén de Retiro]]),"")</f>
        <v>FARGOLINE</v>
      </c>
      <c r="S137" s="11">
        <f>IFERROR(IF(MARÍTIMOS[[#This Row],[Etapa Retiro - Cita]]="","",MARÍTIMOS[[#This Row],[Etapa Retiro - Cita]]),"")</f>
        <v>46236.625</v>
      </c>
      <c r="T137" s="11">
        <f>IFERROR(IF(MARÍTIMOS[[#This Row],[Etapa Retiro - Llegada]]="","",MARÍTIMOS[[#This Row],[Etapa Retiro - Llegada]]),"")</f>
        <v>46236.664583333331</v>
      </c>
      <c r="U137" s="11">
        <f>IFERROR(IF(MARÍTIMOS[[#This Row],[Etapa Retiro - Ingreso]]="","",MARÍTIMOS[[#This Row],[Etapa Retiro - Ingreso]]),"")</f>
        <v>46236.667361111111</v>
      </c>
      <c r="V137" s="11">
        <f>IFERROR(IF(MARÍTIMOS[[#This Row],[Etapa Retiro - Atención]]="","",MARÍTIMOS[[#This Row],[Etapa Retiro - Atención]]),"")</f>
        <v>46236.720138888886</v>
      </c>
      <c r="W137" s="11">
        <f>IFERROR(IF(MARÍTIMOS[[#This Row],[Etapa Retiro - Salida]]="","",MARÍTIMOS[[#This Row],[Etapa Retiro - Salida]]),"")</f>
        <v>46236.732638888891</v>
      </c>
      <c r="X137" s="11">
        <f>IFERROR(IF(MARÍTIMOS[[#This Row],[Etapa Retiro - Inicio de Ruta]]="","",MARÍTIMOS[[#This Row],[Etapa Retiro - Inicio de Ruta]]),"")</f>
        <v>46236.845833333333</v>
      </c>
      <c r="Y137" s="11">
        <f>IFERROR(IF(MARÍTIMOS[[#This Row],[Hora de Posicionamiento]]="","",MARÍTIMOS[[#This Row],[Hora de Carga]]+MARÍTIMOS[[#This Row],[Hora de Posicionamiento]]),"")</f>
        <v>0.5</v>
      </c>
      <c r="Z137" s="11">
        <f>IFERROR(IF(MARÍTIMOS[[#This Row],[Etapa Despacho -  Llegada]]="","",MARÍTIMOS[[#This Row],[Etapa Despacho -  Llegada]]),"")</f>
        <v>46237.486111111109</v>
      </c>
      <c r="AA137" s="11">
        <f>IFERROR(IF(MARÍTIMOS[[#This Row],[Etapa Despacho -  Registro]]="","",MARÍTIMOS[[#This Row],[Etapa Despacho -  Registro]]),"")</f>
        <v>46237.5</v>
      </c>
      <c r="AB137" s="11">
        <f>IFERROR(IF(MARÍTIMOS[[#This Row],[Inspección Externa]]="","",MARÍTIMOS[[#This Row],[Inspección Externa]]),"")</f>
        <v>46237.513194444444</v>
      </c>
      <c r="AC137" s="11">
        <f>IFERROR(IF(MARÍTIMOS[[#This Row],[Etapa Despacho -  Inicio de Carga]]="","",MARÍTIMOS[[#This Row],[Etapa Despacho -  Inicio de Carga]]),"")</f>
        <v>46237.555555555555</v>
      </c>
      <c r="AD137" s="11">
        <f>IFERROR(IF(MARÍTIMOS[[#This Row],[Etapa Despacho -  Fin de Carga]]="","",MARÍTIMOS[[#This Row],[Etapa Despacho -  Fin de Carga]]),"")</f>
        <v>46237.67083333333</v>
      </c>
      <c r="AE137" s="11">
        <f>IFERROR(IF(MARÍTIMOS[[#This Row],[Etapa Despacho -  Salida]]="","",MARÍTIMOS[[#This Row],[Etapa Despacho -  Salida]]),"")</f>
        <v>46237.689583333333</v>
      </c>
      <c r="AF137" s="2" t="str">
        <f>IFERROR(IF(MARÍTIMOS[[#This Row],[Puerto de Embarque]]="","",MARÍTIMOS[[#This Row],[Puerto de Embarque]]),"")</f>
        <v>CALLAO</v>
      </c>
      <c r="AG137" s="2" t="str">
        <f>IFERROR(IF(MARÍTIMOS[[#This Row],[Almacén de Ingreso]]="","",MARÍTIMOS[[#This Row],[Almacén de Ingreso]]),"")</f>
        <v>CSPCP</v>
      </c>
      <c r="AH137" s="11">
        <f>IFERROR(IF(MARÍTIMOS[[#This Row],[Etapa Ingreso - Cita]]="","",MARÍTIMOS[[#This Row],[Etapa Ingreso - Cita]]),"")</f>
        <v>46238.375</v>
      </c>
      <c r="AI137" s="11">
        <f>IFERROR(IF(MARÍTIMOS[[#This Row],[Etapa Ingreso - Llegada]]="","",MARÍTIMOS[[#This Row],[Etapa Ingreso - Llegada]]),"")</f>
        <v>46238.377083333333</v>
      </c>
      <c r="AJ137" s="11">
        <f>IFERROR(IF(MARÍTIMOS[[#This Row],[Etapa Ingreso - Ingeso]]="","",MARÍTIMOS[[#This Row],[Etapa Ingreso - Ingeso]]),"")</f>
        <v>46238.390972222223</v>
      </c>
      <c r="AK137" s="11">
        <f>IFERROR(IF(MARÍTIMOS[[#This Row],[Etapa Ingreso - Atención]]="","",MARÍTIMOS[[#This Row],[Etapa Ingreso - Atención]]),"")</f>
        <v>46238.393055555556</v>
      </c>
      <c r="AL137" s="11">
        <f>IFERROR(IF(MARÍTIMOS[[#This Row],[Etapa Ingreso - Salida]]="","",MARÍTIMOS[[#This Row],[Etapa Ingreso - Salida]]),"")</f>
        <v>46238.431944444441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>
        <f>IFERROR(OLDBD[[#This Row],[Llegada a packing]]-OLDBD[[#This Row],[Inicio de Ruta]],"")</f>
        <v>0.64027777777664596</v>
      </c>
      <c r="AQ137" s="6">
        <f>IFERROR(OLDBD[[#This Row],[Inicio de Ruta]]-OLDBD[[#This Row],[Salida de almacén de retiro]],"")</f>
        <v>0.1131944444423425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7" s="9">
        <f>IFERROR(OLDBD[[#This Row],[Ingreso Packing]]-OLDBD[[#This Row],[Registro en Packing]],"")</f>
        <v>1.3194444443797693E-2</v>
      </c>
      <c r="AV137" s="9">
        <f>IFERROR(OLDBD[[#This Row],[Ingreso Packing]]-OLDBD[[#This Row],[Llegada a packing]],"")</f>
        <v>2.7083333334303461E-2</v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7" s="5">
        <f>IFERROR(OLDBD[[#This Row],[Llegada Almacén de Ingreso]]-OLDBD[[#This Row],[Salida Packing]],"")</f>
        <v>0.6875</v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5" t="s">
        <v>181</v>
      </c>
      <c r="BB137" s="53" t="str">
        <f>IFERROR(IF(MARÍTIMOS[[#This Row],[Estatus]]="","",MARÍTIMOS[[#This Row],[Estatus]]),"")</f>
        <v>Confirmado</v>
      </c>
      <c r="BC137" s="45"/>
      <c r="BD137" s="52">
        <f>IFERROR(OLDBD[[#This Row],[Salida de almacén de retiro]]-OLDBD[[#This Row],[Ingreso Almacén de retiro]],"")</f>
        <v>6.5277777779556345E-2</v>
      </c>
      <c r="BE137" s="52">
        <f>IFERROR(OLDBD[[#This Row],[Fin de Carga]]-OLDBD[[#This Row],[Inicio de Carga]],"")</f>
        <v>0.11527777777519077</v>
      </c>
    </row>
    <row r="138" spans="1:57" x14ac:dyDescent="0.35">
      <c r="A138" s="1"/>
      <c r="B138" s="1">
        <f>IFERROR(IF(MARÍTIMOS[[#This Row],[PP]]="","",MARÍTIMOS[[#This Row],[PP]]),"")</f>
        <v>31</v>
      </c>
      <c r="C138" s="1" t="str">
        <f>IFERROR(IF(MARÍTIMOS[[#This Row],[Sede]]="","",MARÍTIMOS[[#This Row],[Sede]]),"")</f>
        <v>Chao</v>
      </c>
      <c r="D138" s="1" t="str">
        <f>IFERROR(IF(MARÍTIMOS[[#This Row],[Instruction]]="","",MARÍTIMOS[[#This Row],[Instruction]]),"")</f>
        <v>RH-0331</v>
      </c>
      <c r="E138" s="1"/>
      <c r="F138" s="2" t="str">
        <f>IFERROR(IF(MARÍTIMOS[[#This Row],[Transportista]]="","",MARÍTIMOS[[#This Row],[Transportista]]),"")</f>
        <v>LIP</v>
      </c>
      <c r="G138" s="2" t="str">
        <f>IFERROR(IF(MARÍTIMOS[[#This Row],[Tercero]]="","",MARÍTIMOS[[#This Row],[Tercero]]),"")</f>
        <v>SI</v>
      </c>
      <c r="H138" s="2" t="str">
        <f>IFERROR(IF(MARÍTIMOS[[#This Row],[Razón Social]]="","",MARÍTIMOS[[#This Row],[Razón Social]]),"")</f>
        <v>TRANSPORTES CORRECAMINOS DEL PERU S.A.C.</v>
      </c>
      <c r="I138" s="2">
        <f>IFERROR(IF(MARÍTIMOS[[#This Row],[RUC]]="","",MARÍTIMOS[[#This Row],[RUC]]),"")</f>
        <v>20609163632</v>
      </c>
      <c r="J138" s="2" t="str">
        <f>IFERROR(IF(MARÍTIMOS[[#This Row],[Placa Tracto]]="","",MARÍTIMOS[[#This Row],[Placa Tracto]]),"")</f>
        <v>BPI-717</v>
      </c>
      <c r="K138" s="2" t="str">
        <f>IFERROR(IF(MARÍTIMOS[[#This Row],[Placa Carreta]]="","",MARÍTIMOS[[#This Row],[Placa Carreta]]),"")</f>
        <v>C2C-998</v>
      </c>
      <c r="L138" s="46" t="str">
        <f>IFERROR(IF(MARÍTIMOS[[#This Row],[Conductor]]="","",MARÍTIMOS[[#This Row],[Conductor]]),"")</f>
        <v>CAMASCA CARNICA SIMION</v>
      </c>
      <c r="M138" s="2" t="str">
        <f>IFERROR(IF(MARÍTIMOS[[#This Row],[Licencia]]="","",MARÍTIMOS[[#This Row],[Licencia]]),"")</f>
        <v>Q40419234</v>
      </c>
      <c r="N138" s="2" t="str">
        <f>IFERROR(IF(MARÍTIMOS[[#This Row],[Número de Contacto]]="","",MARÍTIMOS[[#This Row],[Número de Contacto]]),"")</f>
        <v/>
      </c>
      <c r="O138" s="10">
        <f>IFERROR(IF(MARÍTIMOS[[#This Row],[Booking|AWB|CRT]]="","",MARÍTIMOS[[#This Row],[Booking|AWB|CRT]]),"")</f>
        <v>6509439060</v>
      </c>
      <c r="P138" s="2" t="str">
        <f>IFERROR(IF(MARÍTIMOS[[#This Row],[Contenedor]]="","",MARÍTIMOS[[#This Row],[Contenedor]]),"")</f>
        <v>OERU4811896</v>
      </c>
      <c r="Q138" s="2" t="str">
        <f>IFERROR(IF(MARÍTIMOS[[#This Row],[Puerto de Retiro]]="","",MARÍTIMOS[[#This Row],[Puerto de Retiro]]),"")</f>
        <v>CALLAO</v>
      </c>
      <c r="R138" s="2" t="str">
        <f>IFERROR(IF(MARÍTIMOS[[#This Row],[Almacén de Retiro]]="","",MARÍTIMOS[[#This Row],[Almacén de Retiro]]),"")</f>
        <v>FARGOLINE</v>
      </c>
      <c r="S138" s="11">
        <f>IFERROR(IF(MARÍTIMOS[[#This Row],[Etapa Retiro - Cita]]="","",MARÍTIMOS[[#This Row],[Etapa Retiro - Cita]]),"")</f>
        <v>46235.666666666664</v>
      </c>
      <c r="T138" s="11">
        <f>IFERROR(IF(MARÍTIMOS[[#This Row],[Etapa Retiro - Llegada]]="","",MARÍTIMOS[[#This Row],[Etapa Retiro - Llegada]]),"")</f>
        <v>46235.640972222223</v>
      </c>
      <c r="U138" s="11">
        <f>IFERROR(IF(MARÍTIMOS[[#This Row],[Etapa Retiro - Ingreso]]="","",MARÍTIMOS[[#This Row],[Etapa Retiro - Ingreso]]),"")</f>
        <v>46235.674305555556</v>
      </c>
      <c r="V138" s="11">
        <f>IFERROR(IF(MARÍTIMOS[[#This Row],[Etapa Retiro - Atención]]="","",MARÍTIMOS[[#This Row],[Etapa Retiro - Atención]]),"")</f>
        <v>46235.677777777775</v>
      </c>
      <c r="W138" s="11">
        <f>IFERROR(IF(MARÍTIMOS[[#This Row],[Etapa Retiro - Salida]]="","",MARÍTIMOS[[#This Row],[Etapa Retiro - Salida]]),"")</f>
        <v>46235.708333333336</v>
      </c>
      <c r="X138" s="11">
        <f>IFERROR(IF(MARÍTIMOS[[#This Row],[Etapa Retiro - Inicio de Ruta]]="","",MARÍTIMOS[[#This Row],[Etapa Retiro - Inicio de Ruta]]),"")</f>
        <v>46236.694444444445</v>
      </c>
      <c r="Y138" s="11">
        <f>IFERROR(IF(MARÍTIMOS[[#This Row],[Hora de Posicionamiento]]="","",MARÍTIMOS[[#This Row],[Hora de Carga]]+MARÍTIMOS[[#This Row],[Hora de Posicionamiento]]),"")</f>
        <v>0.5</v>
      </c>
      <c r="Z138" s="11">
        <f>IFERROR(IF(MARÍTIMOS[[#This Row],[Etapa Despacho -  Llegada]]="","",MARÍTIMOS[[#This Row],[Etapa Despacho -  Llegada]]),"")</f>
        <v>46237.467361111114</v>
      </c>
      <c r="AA138" s="11">
        <f>IFERROR(IF(MARÍTIMOS[[#This Row],[Etapa Despacho -  Registro]]="","",MARÍTIMOS[[#This Row],[Etapa Despacho -  Registro]]),"")</f>
        <v>46237.469444444447</v>
      </c>
      <c r="AB138" s="11">
        <f>IFERROR(IF(MARÍTIMOS[[#This Row],[Inspección Externa]]="","",MARÍTIMOS[[#This Row],[Inspección Externa]]),"")</f>
        <v>46237.472222222219</v>
      </c>
      <c r="AC138" s="11">
        <f>IFERROR(IF(MARÍTIMOS[[#This Row],[Etapa Despacho -  Inicio de Carga]]="","",MARÍTIMOS[[#This Row],[Etapa Despacho -  Inicio de Carga]]),"")</f>
        <v>46237.474999999999</v>
      </c>
      <c r="AD138" s="11">
        <f>IFERROR(IF(MARÍTIMOS[[#This Row],[Etapa Despacho -  Fin de Carga]]="","",MARÍTIMOS[[#This Row],[Etapa Despacho -  Fin de Carga]]),"")</f>
        <v>46237.668749999997</v>
      </c>
      <c r="AE138" s="11">
        <f>IFERROR(IF(MARÍTIMOS[[#This Row],[Etapa Despacho -  Salida]]="","",MARÍTIMOS[[#This Row],[Etapa Despacho -  Salida]]),"")</f>
        <v>46237.686111111114</v>
      </c>
      <c r="AF138" s="2" t="str">
        <f>IFERROR(IF(MARÍTIMOS[[#This Row],[Puerto de Embarque]]="","",MARÍTIMOS[[#This Row],[Puerto de Embarque]]),"")</f>
        <v>CALLAO</v>
      </c>
      <c r="AG138" s="2" t="str">
        <f>IFERROR(IF(MARÍTIMOS[[#This Row],[Almacén de Ingreso]]="","",MARÍTIMOS[[#This Row],[Almacén de Ingreso]]),"")</f>
        <v>CSPCP</v>
      </c>
      <c r="AH138" s="11">
        <f>IFERROR(IF(MARÍTIMOS[[#This Row],[Etapa Ingreso - Cita]]="","",MARÍTIMOS[[#This Row],[Etapa Ingreso - Cita]]),"")</f>
        <v>46238.333333333336</v>
      </c>
      <c r="AI138" s="11">
        <f>IFERROR(IF(MARÍTIMOS[[#This Row],[Etapa Ingreso - Llegada]]="","",MARÍTIMOS[[#This Row],[Etapa Ingreso - Llegada]]),"")</f>
        <v>46238.370833333334</v>
      </c>
      <c r="AJ138" s="11">
        <f>IFERROR(IF(MARÍTIMOS[[#This Row],[Etapa Ingreso - Ingeso]]="","",MARÍTIMOS[[#This Row],[Etapa Ingreso - Ingeso]]),"")</f>
        <v>46238.382638888892</v>
      </c>
      <c r="AK138" s="11">
        <f>IFERROR(IF(MARÍTIMOS[[#This Row],[Etapa Ingreso - Atención]]="","",MARÍTIMOS[[#This Row],[Etapa Ingreso - Atención]]),"")</f>
        <v>46238.388194444444</v>
      </c>
      <c r="AL138" s="11">
        <f>IFERROR(IF(MARÍTIMOS[[#This Row],[Etapa Ingreso - Salida]]="","",MARÍTIMOS[[#This Row],[Etapa Ingreso - Salida]]),"")</f>
        <v>46238.407638888886</v>
      </c>
      <c r="AM138" s="2">
        <f>IFERROR(IF(MARÍTIMOS[[#This Row],[FCL]]="","",MARÍTIMOS[[#This Row],[FCL]]),"")</f>
        <v>1</v>
      </c>
      <c r="AN1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5">
        <f>IFERROR(OLDBD[[#This Row],[Llegada a packing]]-OLDBD[[#This Row],[Inicio de Ruta]],"")</f>
        <v>0.77291666666860692</v>
      </c>
      <c r="AQ138" s="6">
        <f>IFERROR(OLDBD[[#This Row],[Inicio de Ruta]]-OLDBD[[#This Row],[Salida de almacén de retiro]],"")</f>
        <v>0.98611111110949423</v>
      </c>
      <c r="AR1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8" s="9">
        <f>IFERROR(OLDBD[[#This Row],[Ingreso Packing]]-OLDBD[[#This Row],[Registro en Packing]],"")</f>
        <v>2.7777777722803876E-3</v>
      </c>
      <c r="AV138" s="9">
        <f>IFERROR(OLDBD[[#This Row],[Ingreso Packing]]-OLDBD[[#This Row],[Llegada a packing]],"")</f>
        <v>4.8611111051286571E-3</v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8" s="5">
        <f>IFERROR(OLDBD[[#This Row],[Llegada Almacén de Ingreso]]-OLDBD[[#This Row],[Salida Packing]],"")</f>
        <v>0.68472222222044365</v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45" t="s">
        <v>181</v>
      </c>
      <c r="BB138" s="53" t="str">
        <f>IFERROR(IF(MARÍTIMOS[[#This Row],[Estatus]]="","",MARÍTIMOS[[#This Row],[Estatus]]),"")</f>
        <v>Confirmado</v>
      </c>
      <c r="BC138" s="45"/>
      <c r="BD138" s="52">
        <f>IFERROR(OLDBD[[#This Row],[Salida de almacén de retiro]]-OLDBD[[#This Row],[Ingreso Almacén de retiro]],"")</f>
        <v>3.4027777779556345E-2</v>
      </c>
      <c r="BE138" s="52">
        <f>IFERROR(OLDBD[[#This Row],[Fin de Carga]]-OLDBD[[#This Row],[Inicio de Carga]],"")</f>
        <v>0.19374999999854481</v>
      </c>
    </row>
    <row r="139" spans="1:57" x14ac:dyDescent="0.35">
      <c r="A139" s="1"/>
      <c r="B139" s="1">
        <f>IFERROR(IF(MARÍTIMOS[[#This Row],[PP]]="","",MARÍTIMOS[[#This Row],[PP]]),"")</f>
        <v>32</v>
      </c>
      <c r="C139" s="1" t="str">
        <f>IFERROR(IF(MARÍTIMOS[[#This Row],[Sede]]="","",MARÍTIMOS[[#This Row],[Sede]]),"")</f>
        <v>Chao</v>
      </c>
      <c r="D139" s="1" t="str">
        <f>IFERROR(IF(MARÍTIMOS[[#This Row],[Instruction]]="","",MARÍTIMOS[[#This Row],[Instruction]]),"")</f>
        <v>RH-0420</v>
      </c>
      <c r="E139" s="1"/>
      <c r="F139" s="2" t="str">
        <f>IFERROR(IF(MARÍTIMOS[[#This Row],[Transportista]]="","",MARÍTIMOS[[#This Row],[Transportista]]),"")</f>
        <v>LIP</v>
      </c>
      <c r="G139" s="2" t="str">
        <f>IFERROR(IF(MARÍTIMOS[[#This Row],[Tercero]]="","",MARÍTIMOS[[#This Row],[Tercero]]),"")</f>
        <v>NO</v>
      </c>
      <c r="H139" s="2" t="str">
        <f>IFERROR(IF(MARÍTIMOS[[#This Row],[Razón Social]]="","",MARÍTIMOS[[#This Row],[Razón Social]]),"")</f>
        <v>LOGISTICA INTERMODAL DEL PERU S.A.C.</v>
      </c>
      <c r="I139" s="2">
        <f>IFERROR(IF(MARÍTIMOS[[#This Row],[RUC]]="","",MARÍTIMOS[[#This Row],[RUC]]),"")</f>
        <v>20513040718</v>
      </c>
      <c r="J139" s="2" t="str">
        <f>IFERROR(IF(MARÍTIMOS[[#This Row],[Placa Tracto]]="","",MARÍTIMOS[[#This Row],[Placa Tracto]]),"")</f>
        <v>AMP-767</v>
      </c>
      <c r="K139" s="2" t="str">
        <f>IFERROR(IF(MARÍTIMOS[[#This Row],[Placa Carreta]]="","",MARÍTIMOS[[#This Row],[Placa Carreta]]),"")</f>
        <v>AZL-971</v>
      </c>
      <c r="L139" s="46" t="str">
        <f>IFERROR(IF(MARÍTIMOS[[#This Row],[Conductor]]="","",MARÍTIMOS[[#This Row],[Conductor]]),"")</f>
        <v>POPAYAN DOMINGUEZ OSCAR CANTO</v>
      </c>
      <c r="M139" s="2" t="str">
        <f>IFERROR(IF(MARÍTIMOS[[#This Row],[Licencia]]="","",MARÍTIMOS[[#This Row],[Licencia]]),"")</f>
        <v>Q32110321</v>
      </c>
      <c r="N139" s="2" t="str">
        <f>IFERROR(IF(MARÍTIMOS[[#This Row],[Número de Contacto]]="","",MARÍTIMOS[[#This Row],[Número de Contacto]]),"")</f>
        <v/>
      </c>
      <c r="O139" s="10">
        <f>IFERROR(IF(MARÍTIMOS[[#This Row],[Booking|AWB|CRT]]="","",MARÍTIMOS[[#This Row],[Booking|AWB|CRT]]),"")</f>
        <v>6461847420</v>
      </c>
      <c r="P139" s="2" t="str">
        <f>IFERROR(IF(MARÍTIMOS[[#This Row],[Contenedor]]="","",MARÍTIMOS[[#This Row],[Contenedor]]),"")</f>
        <v>OERU4815150</v>
      </c>
      <c r="Q139" s="2" t="str">
        <f>IFERROR(IF(MARÍTIMOS[[#This Row],[Puerto de Retiro]]="","",MARÍTIMOS[[#This Row],[Puerto de Retiro]]),"")</f>
        <v>CALLAO</v>
      </c>
      <c r="R139" s="2" t="str">
        <f>IFERROR(IF(MARÍTIMOS[[#This Row],[Almacén de Retiro]]="","",MARÍTIMOS[[#This Row],[Almacén de Retiro]]),"")</f>
        <v>FARGOLINE</v>
      </c>
      <c r="S139" s="11">
        <f>IFERROR(IF(MARÍTIMOS[[#This Row],[Etapa Retiro - Cita]]="","",MARÍTIMOS[[#This Row],[Etapa Retiro - Cita]]),"")</f>
        <v>46242.541666666664</v>
      </c>
      <c r="T139" s="11">
        <f>IFERROR(IF(MARÍTIMOS[[#This Row],[Etapa Retiro - Llegada]]="","",MARÍTIMOS[[#This Row],[Etapa Retiro - Llegada]]),"")</f>
        <v>46242.565972222219</v>
      </c>
      <c r="U139" s="11">
        <f>IFERROR(IF(MARÍTIMOS[[#This Row],[Etapa Retiro - Ingreso]]="","",MARÍTIMOS[[#This Row],[Etapa Retiro - Ingreso]]),"")</f>
        <v>46242.585416666669</v>
      </c>
      <c r="V139" s="11">
        <f>IFERROR(IF(MARÍTIMOS[[#This Row],[Etapa Retiro - Atención]]="","",MARÍTIMOS[[#This Row],[Etapa Retiro - Atención]]),"")</f>
        <v>46242.609722222223</v>
      </c>
      <c r="W139" s="11">
        <f>IFERROR(IF(MARÍTIMOS[[#This Row],[Etapa Retiro - Salida]]="","",MARÍTIMOS[[#This Row],[Etapa Retiro - Salida]]),"")</f>
        <v>46242.64166666667</v>
      </c>
      <c r="X139" s="11">
        <f>IFERROR(IF(MARÍTIMOS[[#This Row],[Etapa Retiro - Inicio de Ruta]]="","",MARÍTIMOS[[#This Row],[Etapa Retiro - Inicio de Ruta]]),"")</f>
        <v>46243.011111111111</v>
      </c>
      <c r="Y139" s="11">
        <f>IFERROR(IF(MARÍTIMOS[[#This Row],[Hora de Posicionamiento]]="","",MARÍTIMOS[[#This Row],[Hora de Carga]]+MARÍTIMOS[[#This Row],[Hora de Posicionamiento]]),"")</f>
        <v>0.58333333333333337</v>
      </c>
      <c r="Z139" s="11">
        <f>IFERROR(IF(MARÍTIMOS[[#This Row],[Etapa Despacho -  Llegada]]="","",MARÍTIMOS[[#This Row],[Etapa Despacho -  Llegada]]),"")</f>
        <v>46243.533333333333</v>
      </c>
      <c r="AA139" s="11">
        <f>IFERROR(IF(MARÍTIMOS[[#This Row],[Etapa Despacho -  Registro]]="","",MARÍTIMOS[[#This Row],[Etapa Despacho -  Registro]]),"")</f>
        <v>46243.677083333336</v>
      </c>
      <c r="AB139" s="11">
        <f>IFERROR(IF(MARÍTIMOS[[#This Row],[Inspección Externa]]="","",MARÍTIMOS[[#This Row],[Inspección Externa]]),"")</f>
        <v>46243.680555555555</v>
      </c>
      <c r="AC139" s="11">
        <f>IFERROR(IF(MARÍTIMOS[[#This Row],[Etapa Despacho -  Inicio de Carga]]="","",MARÍTIMOS[[#This Row],[Etapa Despacho -  Inicio de Carga]]),"")</f>
        <v>46243.689583333333</v>
      </c>
      <c r="AD139" s="11">
        <f>IFERROR(IF(MARÍTIMOS[[#This Row],[Etapa Despacho -  Fin de Carga]]="","",MARÍTIMOS[[#This Row],[Etapa Despacho -  Fin de Carga]]),"")</f>
        <v>46243.783333333333</v>
      </c>
      <c r="AE139" s="11">
        <f>IFERROR(IF(MARÍTIMOS[[#This Row],[Etapa Despacho -  Salida]]="","",MARÍTIMOS[[#This Row],[Etapa Despacho -  Salida]]),"")</f>
        <v>46243.823611111111</v>
      </c>
      <c r="AF139" s="2" t="str">
        <f>IFERROR(IF(MARÍTIMOS[[#This Row],[Puerto de Embarque]]="","",MARÍTIMOS[[#This Row],[Puerto de Embarque]]),"")</f>
        <v>CHANCAY</v>
      </c>
      <c r="AG139" s="2" t="str">
        <f>IFERROR(IF(MARÍTIMOS[[#This Row],[Almacén de Ingreso]]="","",MARÍTIMOS[[#This Row],[Almacén de Ingreso]]),"")</f>
        <v>CSPCP</v>
      </c>
      <c r="AH139" s="11">
        <f>IFERROR(IF(MARÍTIMOS[[#This Row],[Etapa Ingreso - Cita]]="","",MARÍTIMOS[[#This Row],[Etapa Ingreso - Cita]]),"")</f>
        <v>46244.416666666664</v>
      </c>
      <c r="AI139" s="11">
        <f>IFERROR(IF(MARÍTIMOS[[#This Row],[Etapa Ingreso - Llegada]]="","",MARÍTIMOS[[#This Row],[Etapa Ingreso - Llegada]]),"")</f>
        <v>46244.42083333333</v>
      </c>
      <c r="AJ139" s="11">
        <f>IFERROR(IF(MARÍTIMOS[[#This Row],[Etapa Ingreso - Ingeso]]="","",MARÍTIMOS[[#This Row],[Etapa Ingreso - Ingeso]]),"")</f>
        <v>46244.422222222223</v>
      </c>
      <c r="AK139" s="11">
        <f>IFERROR(IF(MARÍTIMOS[[#This Row],[Etapa Ingreso - Atención]]="","",MARÍTIMOS[[#This Row],[Etapa Ingreso - Atención]]),"")</f>
        <v>46244.442361111112</v>
      </c>
      <c r="AL139" s="11">
        <f>IFERROR(IF(MARÍTIMOS[[#This Row],[Etapa Ingreso - Salida]]="","",MARÍTIMOS[[#This Row],[Etapa Ingreso - Salida]]),"")</f>
        <v>46244.463194444441</v>
      </c>
      <c r="AM139" s="2">
        <f>IFERROR(IF(MARÍTIMOS[[#This Row],[FCL]]="","",MARÍTIMOS[[#This Row],[FCL]]),"")</f>
        <v>1</v>
      </c>
      <c r="AN1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5">
        <f>IFERROR(OLDBD[[#This Row],[Llegada a packing]]-OLDBD[[#This Row],[Inicio de Ruta]],"")</f>
        <v>0.52222222222189885</v>
      </c>
      <c r="AQ139" s="6">
        <f>IFERROR(OLDBD[[#This Row],[Inicio de Ruta]]-OLDBD[[#This Row],[Salida de almacén de retiro]],"")</f>
        <v>0.36944444444088731</v>
      </c>
      <c r="AR1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9" s="9">
        <f>IFERROR(OLDBD[[#This Row],[Ingreso Packing]]-OLDBD[[#This Row],[Registro en Packing]],"")</f>
        <v>3.4722222189884633E-3</v>
      </c>
      <c r="AV139" s="9">
        <f>IFERROR(OLDBD[[#This Row],[Ingreso Packing]]-OLDBD[[#This Row],[Llegada a packing]],"")</f>
        <v>0.14722222222189885</v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39" s="5">
        <f>IFERROR(OLDBD[[#This Row],[Llegada Almacén de Ingreso]]-OLDBD[[#This Row],[Salida Packing]],"")</f>
        <v>0.59722222221898846</v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9" s="45" t="s">
        <v>181</v>
      </c>
      <c r="BB139" s="53" t="str">
        <f>IFERROR(IF(MARÍTIMOS[[#This Row],[Estatus]]="","",MARÍTIMOS[[#This Row],[Estatus]]),"")</f>
        <v>Confirmado</v>
      </c>
      <c r="BC139" s="45"/>
      <c r="BD139" s="52">
        <f>IFERROR(OLDBD[[#This Row],[Salida de almacén de retiro]]-OLDBD[[#This Row],[Ingreso Almacén de retiro]],"")</f>
        <v>5.6250000001455192E-2</v>
      </c>
      <c r="BE139" s="52">
        <f>IFERROR(OLDBD[[#This Row],[Fin de Carga]]-OLDBD[[#This Row],[Inicio de Carga]],"")</f>
        <v>9.375E-2</v>
      </c>
    </row>
    <row r="140" spans="1:57" x14ac:dyDescent="0.35">
      <c r="A140" s="1"/>
      <c r="B140" s="1">
        <f>IFERROR(IF(MARÍTIMOS[[#This Row],[PP]]="","",MARÍTIMOS[[#This Row],[PP]]),"")</f>
        <v>32</v>
      </c>
      <c r="C140" s="1" t="str">
        <f>IFERROR(IF(MARÍTIMOS[[#This Row],[Sede]]="","",MARÍTIMOS[[#This Row],[Sede]]),"")</f>
        <v>Chao</v>
      </c>
      <c r="D140" s="1" t="str">
        <f>IFERROR(IF(MARÍTIMOS[[#This Row],[Instruction]]="","",MARÍTIMOS[[#This Row],[Instruction]]),"")</f>
        <v>RH-0421</v>
      </c>
      <c r="E140" s="1"/>
      <c r="F140" s="2" t="str">
        <f>IFERROR(IF(MARÍTIMOS[[#This Row],[Transportista]]="","",MARÍTIMOS[[#This Row],[Transportista]]),"")</f>
        <v>LIP</v>
      </c>
      <c r="G140" s="2" t="str">
        <f>IFERROR(IF(MARÍTIMOS[[#This Row],[Tercero]]="","",MARÍTIMOS[[#This Row],[Tercero]]),"")</f>
        <v>NO</v>
      </c>
      <c r="H140" s="2" t="str">
        <f>IFERROR(IF(MARÍTIMOS[[#This Row],[Razón Social]]="","",MARÍTIMOS[[#This Row],[Razón Social]]),"")</f>
        <v>MANUFACTURAS DE ACERO COMERCIAL E INDUSTRIAL S.A.</v>
      </c>
      <c r="I140" s="2">
        <f>IFERROR(IF(MARÍTIMOS[[#This Row],[RUC]]="","",MARÍTIMOS[[#This Row],[RUC]]),"")</f>
        <v>20100727359</v>
      </c>
      <c r="J140" s="2" t="str">
        <f>IFERROR(IF(MARÍTIMOS[[#This Row],[Placa Tracto]]="","",MARÍTIMOS[[#This Row],[Placa Tracto]]),"")</f>
        <v>BYP-947</v>
      </c>
      <c r="K140" s="2" t="str">
        <f>IFERROR(IF(MARÍTIMOS[[#This Row],[Placa Carreta]]="","",MARÍTIMOS[[#This Row],[Placa Carreta]]),"")</f>
        <v>ARW-980</v>
      </c>
      <c r="L140" s="46" t="str">
        <f>IFERROR(IF(MARÍTIMOS[[#This Row],[Conductor]]="","",MARÍTIMOS[[#This Row],[Conductor]]),"")</f>
        <v>CHOQUEHUANCA MARTINEZ CARLOS</v>
      </c>
      <c r="M140" s="2" t="str">
        <f>IFERROR(IF(MARÍTIMOS[[#This Row],[Licencia]]="","",MARÍTIMOS[[#This Row],[Licencia]]),"")</f>
        <v>Q10746212</v>
      </c>
      <c r="N140" s="2" t="str">
        <f>IFERROR(IF(MARÍTIMOS[[#This Row],[Número de Contacto]]="","",MARÍTIMOS[[#This Row],[Número de Contacto]]),"")</f>
        <v/>
      </c>
      <c r="O140" s="10">
        <f>IFERROR(IF(MARÍTIMOS[[#This Row],[Booking|AWB|CRT]]="","",MARÍTIMOS[[#This Row],[Booking|AWB|CRT]]),"")</f>
        <v>6461847540</v>
      </c>
      <c r="P140" s="2" t="str">
        <f>IFERROR(IF(MARÍTIMOS[[#This Row],[Contenedor]]="","",MARÍTIMOS[[#This Row],[Contenedor]]),"")</f>
        <v>OERU4817472</v>
      </c>
      <c r="Q140" s="2" t="str">
        <f>IFERROR(IF(MARÍTIMOS[[#This Row],[Puerto de Retiro]]="","",MARÍTIMOS[[#This Row],[Puerto de Retiro]]),"")</f>
        <v>CALLAO</v>
      </c>
      <c r="R140" s="2" t="str">
        <f>IFERROR(IF(MARÍTIMOS[[#This Row],[Almacén de Retiro]]="","",MARÍTIMOS[[#This Row],[Almacén de Retiro]]),"")</f>
        <v>FARGOLINE</v>
      </c>
      <c r="S140" s="11">
        <f>IFERROR(IF(MARÍTIMOS[[#This Row],[Etapa Retiro - Cita]]="","",MARÍTIMOS[[#This Row],[Etapa Retiro - Cita]]),"")</f>
        <v>46242.541666666664</v>
      </c>
      <c r="T140" s="11">
        <f>IFERROR(IF(MARÍTIMOS[[#This Row],[Etapa Retiro - Llegada]]="","",MARÍTIMOS[[#This Row],[Etapa Retiro - Llegada]]),"")</f>
        <v>46242.6</v>
      </c>
      <c r="U140" s="11">
        <f>IFERROR(IF(MARÍTIMOS[[#This Row],[Etapa Retiro - Ingreso]]="","",MARÍTIMOS[[#This Row],[Etapa Retiro - Ingreso]]),"")</f>
        <v>46242.604166666664</v>
      </c>
      <c r="V140" s="11">
        <f>IFERROR(IF(MARÍTIMOS[[#This Row],[Etapa Retiro - Atención]]="","",MARÍTIMOS[[#This Row],[Etapa Retiro - Atención]]),"")</f>
        <v>46242.65347222222</v>
      </c>
      <c r="W140" s="11">
        <f>IFERROR(IF(MARÍTIMOS[[#This Row],[Etapa Retiro - Salida]]="","",MARÍTIMOS[[#This Row],[Etapa Retiro - Salida]]),"")</f>
        <v>46242.675000000003</v>
      </c>
      <c r="X140" s="11">
        <f>IFERROR(IF(MARÍTIMOS[[#This Row],[Etapa Retiro - Inicio de Ruta]]="","",MARÍTIMOS[[#This Row],[Etapa Retiro - Inicio de Ruta]]),"")</f>
        <v>46242.675000000003</v>
      </c>
      <c r="Y140" s="11">
        <f>IFERROR(IF(MARÍTIMOS[[#This Row],[Hora de Posicionamiento]]="","",MARÍTIMOS[[#This Row],[Hora de Carga]]+MARÍTIMOS[[#This Row],[Hora de Posicionamiento]]),"")</f>
        <v>0.58333333333333337</v>
      </c>
      <c r="Z140" s="11">
        <f>IFERROR(IF(MARÍTIMOS[[#This Row],[Etapa Despacho -  Llegada]]="","",MARÍTIMOS[[#This Row],[Etapa Despacho -  Llegada]]),"")</f>
        <v>46243.54791666667</v>
      </c>
      <c r="AA140" s="11">
        <f>IFERROR(IF(MARÍTIMOS[[#This Row],[Etapa Despacho -  Registro]]="","",MARÍTIMOS[[#This Row],[Etapa Despacho -  Registro]]),"")</f>
        <v>46243.75</v>
      </c>
      <c r="AB140" s="11">
        <f>IFERROR(IF(MARÍTIMOS[[#This Row],[Inspección Externa]]="","",MARÍTIMOS[[#This Row],[Inspección Externa]]),"")</f>
        <v>46243.756944444445</v>
      </c>
      <c r="AC140" s="11">
        <f>IFERROR(IF(MARÍTIMOS[[#This Row],[Etapa Despacho -  Inicio de Carga]]="","",MARÍTIMOS[[#This Row],[Etapa Despacho -  Inicio de Carga]]),"")</f>
        <v>46243.763888888891</v>
      </c>
      <c r="AD140" s="11">
        <f>IFERROR(IF(MARÍTIMOS[[#This Row],[Etapa Despacho -  Fin de Carga]]="","",MARÍTIMOS[[#This Row],[Etapa Despacho -  Fin de Carga]]),"")</f>
        <v>46243.838888888888</v>
      </c>
      <c r="AE140" s="11">
        <f>IFERROR(IF(MARÍTIMOS[[#This Row],[Etapa Despacho -  Salida]]="","",MARÍTIMOS[[#This Row],[Etapa Despacho -  Salida]]),"")</f>
        <v>46243.854166666664</v>
      </c>
      <c r="AF140" s="2" t="str">
        <f>IFERROR(IF(MARÍTIMOS[[#This Row],[Puerto de Embarque]]="","",MARÍTIMOS[[#This Row],[Puerto de Embarque]]),"")</f>
        <v>CHANCAY</v>
      </c>
      <c r="AG140" s="2" t="str">
        <f>IFERROR(IF(MARÍTIMOS[[#This Row],[Almacén de Ingreso]]="","",MARÍTIMOS[[#This Row],[Almacén de Ingreso]]),"")</f>
        <v>CSPCP</v>
      </c>
      <c r="AH140" s="11">
        <f>IFERROR(IF(MARÍTIMOS[[#This Row],[Etapa Ingreso - Cita]]="","",MARÍTIMOS[[#This Row],[Etapa Ingreso - Cita]]),"")</f>
        <v>46244.5</v>
      </c>
      <c r="AI140" s="11">
        <f>IFERROR(IF(MARÍTIMOS[[#This Row],[Etapa Ingreso - Llegada]]="","",MARÍTIMOS[[#This Row],[Etapa Ingreso - Llegada]]),"")</f>
        <v>46244.5</v>
      </c>
      <c r="AJ140" s="11">
        <f>IFERROR(IF(MARÍTIMOS[[#This Row],[Etapa Ingreso - Ingeso]]="","",MARÍTIMOS[[#This Row],[Etapa Ingreso - Ingeso]]),"")</f>
        <v>46244.503472222219</v>
      </c>
      <c r="AK140" s="11">
        <f>IFERROR(IF(MARÍTIMOS[[#This Row],[Etapa Ingreso - Atención]]="","",MARÍTIMOS[[#This Row],[Etapa Ingreso - Atención]]),"")</f>
        <v>46244.527777777781</v>
      </c>
      <c r="AL140" s="11">
        <f>IFERROR(IF(MARÍTIMOS[[#This Row],[Etapa Ingreso - Salida]]="","",MARÍTIMOS[[#This Row],[Etapa Ingreso - Salida]]),"")</f>
        <v>46244.542361111111</v>
      </c>
      <c r="AM140" s="2">
        <f>IFERROR(IF(MARÍTIMOS[[#This Row],[FCL]]="","",MARÍTIMOS[[#This Row],[FCL]]),"")</f>
        <v>1</v>
      </c>
      <c r="AN1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5">
        <f>IFERROR(OLDBD[[#This Row],[Llegada a packing]]-OLDBD[[#This Row],[Inicio de Ruta]],"")</f>
        <v>0.87291666666715173</v>
      </c>
      <c r="AQ140" s="6">
        <f>IFERROR(OLDBD[[#This Row],[Inicio de Ruta]]-OLDBD[[#This Row],[Salida de almacén de retiro]],"")</f>
        <v>0</v>
      </c>
      <c r="AR1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0" s="9">
        <f>IFERROR(OLDBD[[#This Row],[Ingreso Packing]]-OLDBD[[#This Row],[Registro en Packing]],"")</f>
        <v>6.9444444452528842E-3</v>
      </c>
      <c r="AV140" s="9">
        <f>IFERROR(OLDBD[[#This Row],[Ingreso Packing]]-OLDBD[[#This Row],[Llegada a packing]],"")</f>
        <v>0.20902777777519077</v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0" s="5">
        <f>IFERROR(OLDBD[[#This Row],[Llegada Almacén de Ingreso]]-OLDBD[[#This Row],[Salida Packing]],"")</f>
        <v>0.64583333333575865</v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0" s="45" t="s">
        <v>181</v>
      </c>
      <c r="BB140" s="53" t="str">
        <f>IFERROR(IF(MARÍTIMOS[[#This Row],[Estatus]]="","",MARÍTIMOS[[#This Row],[Estatus]]),"")</f>
        <v>Confirmado</v>
      </c>
      <c r="BC140" s="45"/>
      <c r="BD140" s="52">
        <f>IFERROR(OLDBD[[#This Row],[Salida de almacén de retiro]]-OLDBD[[#This Row],[Ingreso Almacén de retiro]],"")</f>
        <v>7.0833333338669036E-2</v>
      </c>
      <c r="BE140" s="52">
        <f>IFERROR(OLDBD[[#This Row],[Fin de Carga]]-OLDBD[[#This Row],[Inicio de Carga]],"")</f>
        <v>7.4999999997089617E-2</v>
      </c>
    </row>
    <row r="141" spans="1:57" x14ac:dyDescent="0.35">
      <c r="A141" s="1"/>
      <c r="B141" s="1">
        <f>IFERROR(IF(MARÍTIMOS[[#This Row],[PP]]="","",MARÍTIMOS[[#This Row],[PP]]),"")</f>
        <v>32</v>
      </c>
      <c r="C141" s="1" t="str">
        <f>IFERROR(IF(MARÍTIMOS[[#This Row],[Sede]]="","",MARÍTIMOS[[#This Row],[Sede]]),"")</f>
        <v>Chao</v>
      </c>
      <c r="D141" s="1" t="str">
        <f>IFERROR(IF(MARÍTIMOS[[#This Row],[Instruction]]="","",MARÍTIMOS[[#This Row],[Instruction]]),"")</f>
        <v>RH-0424</v>
      </c>
      <c r="E141" s="1"/>
      <c r="F141" s="2" t="str">
        <f>IFERROR(IF(MARÍTIMOS[[#This Row],[Transportista]]="","",MARÍTIMOS[[#This Row],[Transportista]]),"")</f>
        <v>LIP</v>
      </c>
      <c r="G141" s="2" t="str">
        <f>IFERROR(IF(MARÍTIMOS[[#This Row],[Tercero]]="","",MARÍTIMOS[[#This Row],[Tercero]]),"")</f>
        <v>NO</v>
      </c>
      <c r="H141" s="2" t="str">
        <f>IFERROR(IF(MARÍTIMOS[[#This Row],[Razón Social]]="","",MARÍTIMOS[[#This Row],[Razón Social]]),"")</f>
        <v>TGD SERVICIOS S.A.C</v>
      </c>
      <c r="I141" s="2">
        <f>IFERROR(IF(MARÍTIMOS[[#This Row],[RUC]]="","",MARÍTIMOS[[#This Row],[RUC]]),"")</f>
        <v>20614404460</v>
      </c>
      <c r="J141" s="2" t="str">
        <f>IFERROR(IF(MARÍTIMOS[[#This Row],[Placa Tracto]]="","",MARÍTIMOS[[#This Row],[Placa Tracto]]),"")</f>
        <v>ABH-924</v>
      </c>
      <c r="K141" s="2" t="str">
        <f>IFERROR(IF(MARÍTIMOS[[#This Row],[Placa Carreta]]="","",MARÍTIMOS[[#This Row],[Placa Carreta]]),"")</f>
        <v>AEB-975</v>
      </c>
      <c r="L141" s="46" t="str">
        <f>IFERROR(IF(MARÍTIMOS[[#This Row],[Conductor]]="","",MARÍTIMOS[[#This Row],[Conductor]]),"")</f>
        <v>QUISPE SAIRE JOSE ROLANDO</v>
      </c>
      <c r="M141" s="2" t="str">
        <f>IFERROR(IF(MARÍTIMOS[[#This Row],[Licencia]]="","",MARÍTIMOS[[#This Row],[Licencia]]),"")</f>
        <v>Q10672718</v>
      </c>
      <c r="N141" s="2" t="str">
        <f>IFERROR(IF(MARÍTIMOS[[#This Row],[Número de Contacto]]="","",MARÍTIMOS[[#This Row],[Número de Contacto]]),"")</f>
        <v/>
      </c>
      <c r="O141" s="10">
        <f>IFERROR(IF(MARÍTIMOS[[#This Row],[Booking|AWB|CRT]]="","",MARÍTIMOS[[#This Row],[Booking|AWB|CRT]]),"")</f>
        <v>751600043223</v>
      </c>
      <c r="P141" s="2" t="str">
        <f>IFERROR(IF(MARÍTIMOS[[#This Row],[Contenedor]]="","",MARÍTIMOS[[#This Row],[Contenedor]]),"")</f>
        <v>EMCU5665048</v>
      </c>
      <c r="Q141" s="2" t="str">
        <f>IFERROR(IF(MARÍTIMOS[[#This Row],[Puerto de Retiro]]="","",MARÍTIMOS[[#This Row],[Puerto de Retiro]]),"")</f>
        <v>CALLAO</v>
      </c>
      <c r="R141" s="2" t="str">
        <f>IFERROR(IF(MARÍTIMOS[[#This Row],[Almacén de Retiro]]="","",MARÍTIMOS[[#This Row],[Almacén de Retiro]]),"")</f>
        <v>IMUPESA</v>
      </c>
      <c r="S141" s="11">
        <f>IFERROR(IF(MARÍTIMOS[[#This Row],[Etapa Retiro - Cita]]="","",MARÍTIMOS[[#This Row],[Etapa Retiro - Cita]]),"")</f>
        <v>46243.833333333336</v>
      </c>
      <c r="T141" s="11">
        <f>IFERROR(IF(MARÍTIMOS[[#This Row],[Etapa Retiro - Llegada]]="","",MARÍTIMOS[[#This Row],[Etapa Retiro - Llegada]]),"")</f>
        <v>46243.651388888888</v>
      </c>
      <c r="U141" s="11">
        <f>IFERROR(IF(MARÍTIMOS[[#This Row],[Etapa Retiro - Ingreso]]="","",MARÍTIMOS[[#This Row],[Etapa Retiro - Ingreso]]),"")</f>
        <v>46243.663888888892</v>
      </c>
      <c r="V141" s="11">
        <f>IFERROR(IF(MARÍTIMOS[[#This Row],[Etapa Retiro - Atención]]="","",MARÍTIMOS[[#This Row],[Etapa Retiro - Atención]]),"")</f>
        <v>46243.675694444442</v>
      </c>
      <c r="W141" s="11">
        <f>IFERROR(IF(MARÍTIMOS[[#This Row],[Etapa Retiro - Salida]]="","",MARÍTIMOS[[#This Row],[Etapa Retiro - Salida]]),"")</f>
        <v>46243.753472222219</v>
      </c>
      <c r="X141" s="11">
        <f>IFERROR(IF(MARÍTIMOS[[#This Row],[Etapa Retiro - Inicio de Ruta]]="","",MARÍTIMOS[[#This Row],[Etapa Retiro - Inicio de Ruta]]),"")</f>
        <v>46243.777083333334</v>
      </c>
      <c r="Y141" s="11">
        <f>IFERROR(IF(MARÍTIMOS[[#This Row],[Hora de Posicionamiento]]="","",MARÍTIMOS[[#This Row],[Hora de Carga]]+MARÍTIMOS[[#This Row],[Hora de Posicionamiento]]),"")</f>
        <v>0.5</v>
      </c>
      <c r="Z141" s="11">
        <f>IFERROR(IF(MARÍTIMOS[[#This Row],[Etapa Despacho -  Llegada]]="","",MARÍTIMOS[[#This Row],[Etapa Despacho -  Llegada]]),"")</f>
        <v>46244.423611111109</v>
      </c>
      <c r="AA141" s="11">
        <f>IFERROR(IF(MARÍTIMOS[[#This Row],[Etapa Despacho -  Registro]]="","",MARÍTIMOS[[#This Row],[Etapa Despacho -  Registro]]),"")</f>
        <v>46244.4375</v>
      </c>
      <c r="AB141" s="11">
        <f>IFERROR(IF(MARÍTIMOS[[#This Row],[Inspección Externa]]="","",MARÍTIMOS[[#This Row],[Inspección Externa]]),"")</f>
        <v>46244.443055555559</v>
      </c>
      <c r="AC141" s="11">
        <f>IFERROR(IF(MARÍTIMOS[[#This Row],[Etapa Despacho -  Inicio de Carga]]="","",MARÍTIMOS[[#This Row],[Etapa Despacho -  Inicio de Carga]]),"")</f>
        <v>46244.451388888891</v>
      </c>
      <c r="AD141" s="11">
        <f>IFERROR(IF(MARÍTIMOS[[#This Row],[Etapa Despacho -  Fin de Carga]]="","",MARÍTIMOS[[#This Row],[Etapa Despacho -  Fin de Carga]]),"")</f>
        <v>46244.637499999997</v>
      </c>
      <c r="AE141" s="11">
        <f>IFERROR(IF(MARÍTIMOS[[#This Row],[Etapa Despacho -  Salida]]="","",MARÍTIMOS[[#This Row],[Etapa Despacho -  Salida]]),"")</f>
        <v>46244.652777777781</v>
      </c>
      <c r="AF141" s="2" t="str">
        <f>IFERROR(IF(MARÍTIMOS[[#This Row],[Puerto de Embarque]]="","",MARÍTIMOS[[#This Row],[Puerto de Embarque]]),"")</f>
        <v>Callao</v>
      </c>
      <c r="AG141" s="2" t="str">
        <f>IFERROR(IF(MARÍTIMOS[[#This Row],[Almacén de Ingreso]]="","",MARÍTIMOS[[#This Row],[Almacén de Ingreso]]),"")</f>
        <v>DPW</v>
      </c>
      <c r="AH141" s="11">
        <f>IFERROR(IF(MARÍTIMOS[[#This Row],[Etapa Ingreso - Cita]]="","",MARÍTIMOS[[#This Row],[Etapa Ingreso - Cita]]),"")</f>
        <v>46245.375</v>
      </c>
      <c r="AI141" s="11">
        <f>IFERROR(IF(MARÍTIMOS[[#This Row],[Etapa Ingreso - Llegada]]="","",MARÍTIMOS[[#This Row],[Etapa Ingreso - Llegada]]),"")</f>
        <v>46245.089583333334</v>
      </c>
      <c r="AJ141" s="11">
        <f>IFERROR(IF(MARÍTIMOS[[#This Row],[Etapa Ingreso - Ingeso]]="","",MARÍTIMOS[[#This Row],[Etapa Ingreso - Ingeso]]),"")</f>
        <v>46245.363888888889</v>
      </c>
      <c r="AK141" s="11">
        <f>IFERROR(IF(MARÍTIMOS[[#This Row],[Etapa Ingreso - Atención]]="","",MARÍTIMOS[[#This Row],[Etapa Ingreso - Atención]]),"")</f>
        <v>46245.368750000001</v>
      </c>
      <c r="AL141" s="11">
        <f>IFERROR(IF(MARÍTIMOS[[#This Row],[Etapa Ingreso - Salida]]="","",MARÍTIMOS[[#This Row],[Etapa Ingreso - Salida]]),"")</f>
        <v>46245.395138888889</v>
      </c>
      <c r="AM141" s="2">
        <f>IFERROR(IF(MARÍTIMOS[[#This Row],[FCL]]="","",MARÍTIMOS[[#This Row],[FCL]]),"")</f>
        <v>1</v>
      </c>
      <c r="AN1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1" s="5">
        <f>IFERROR(OLDBD[[#This Row],[Llegada a packing]]-OLDBD[[#This Row],[Inicio de Ruta]],"")</f>
        <v>0.64652777777519077</v>
      </c>
      <c r="AQ141" s="6">
        <f>IFERROR(OLDBD[[#This Row],[Inicio de Ruta]]-OLDBD[[#This Row],[Salida de almacén de retiro]],"")</f>
        <v>2.3611111115314998E-2</v>
      </c>
      <c r="AR1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1" s="9">
        <f>IFERROR(OLDBD[[#This Row],[Ingreso Packing]]-OLDBD[[#This Row],[Registro en Packing]],"")</f>
        <v>5.5555555591126904E-3</v>
      </c>
      <c r="AV141" s="9">
        <f>IFERROR(OLDBD[[#This Row],[Ingreso Packing]]-OLDBD[[#This Row],[Llegada a packing]],"")</f>
        <v>1.9444444449618459E-2</v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1" s="5">
        <f>IFERROR(OLDBD[[#This Row],[Llegada Almacén de Ingreso]]-OLDBD[[#This Row],[Salida Packing]],"")</f>
        <v>0.43680555555329192</v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1" s="45" t="s">
        <v>181</v>
      </c>
      <c r="BB141" s="53" t="str">
        <f>IFERROR(IF(MARÍTIMOS[[#This Row],[Estatus]]="","",MARÍTIMOS[[#This Row],[Estatus]]),"")</f>
        <v>Confirmado</v>
      </c>
      <c r="BC141" s="45"/>
      <c r="BD141" s="52">
        <f>IFERROR(OLDBD[[#This Row],[Salida de almacén de retiro]]-OLDBD[[#This Row],[Ingreso Almacén de retiro]],"")</f>
        <v>8.9583333327027503E-2</v>
      </c>
      <c r="BE141" s="52">
        <f>IFERROR(OLDBD[[#This Row],[Fin de Carga]]-OLDBD[[#This Row],[Inicio de Carga]],"")</f>
        <v>0.18611111110658385</v>
      </c>
    </row>
    <row r="142" spans="1:57" x14ac:dyDescent="0.35">
      <c r="A142" s="1"/>
      <c r="B142" s="1">
        <f>IFERROR(IF(MARÍTIMOS[[#This Row],[PP]]="","",MARÍTIMOS[[#This Row],[PP]]),"")</f>
        <v>32</v>
      </c>
      <c r="C142" s="1" t="str">
        <f>IFERROR(IF(MARÍTIMOS[[#This Row],[Sede]]="","",MARÍTIMOS[[#This Row],[Sede]]),"")</f>
        <v>Chao</v>
      </c>
      <c r="D142" s="1" t="str">
        <f>IFERROR(IF(MARÍTIMOS[[#This Row],[Instruction]]="","",MARÍTIMOS[[#This Row],[Instruction]]),"")</f>
        <v>RH-0430</v>
      </c>
      <c r="E142" s="1"/>
      <c r="F142" s="2" t="str">
        <f>IFERROR(IF(MARÍTIMOS[[#This Row],[Transportista]]="","",MARÍTIMOS[[#This Row],[Transportista]]),"")</f>
        <v>LIP</v>
      </c>
      <c r="G142" s="2" t="str">
        <f>IFERROR(IF(MARÍTIMOS[[#This Row],[Tercero]]="","",MARÍTIMOS[[#This Row],[Tercero]]),"")</f>
        <v>NO</v>
      </c>
      <c r="H142" s="2" t="str">
        <f>IFERROR(IF(MARÍTIMOS[[#This Row],[Razón Social]]="","",MARÍTIMOS[[#This Row],[Razón Social]]),"")</f>
        <v>RVR AGRO S.R.L</v>
      </c>
      <c r="I142" s="2">
        <f>IFERROR(IF(MARÍTIMOS[[#This Row],[RUC]]="","",MARÍTIMOS[[#This Row],[RUC]]),"")</f>
        <v>20535747424</v>
      </c>
      <c r="J142" s="2" t="str">
        <f>IFERROR(IF(MARÍTIMOS[[#This Row],[Placa Tracto]]="","",MARÍTIMOS[[#This Row],[Placa Tracto]]),"")</f>
        <v>BPQ-758</v>
      </c>
      <c r="K142" s="2" t="str">
        <f>IFERROR(IF(MARÍTIMOS[[#This Row],[Placa Carreta]]="","",MARÍTIMOS[[#This Row],[Placa Carreta]]),"")</f>
        <v>BBR-979</v>
      </c>
      <c r="L142" s="46" t="str">
        <f>IFERROR(IF(MARÍTIMOS[[#This Row],[Conductor]]="","",MARÍTIMOS[[#This Row],[Conductor]]),"")</f>
        <v>OCHOA VITELBO JOSE</v>
      </c>
      <c r="M142" s="2" t="str">
        <f>IFERROR(IF(MARÍTIMOS[[#This Row],[Licencia]]="","",MARÍTIMOS[[#This Row],[Licencia]]),"")</f>
        <v>Q004569361</v>
      </c>
      <c r="N142" s="2" t="str">
        <f>IFERROR(IF(MARÍTIMOS[[#This Row],[Número de Contacto]]="","",MARÍTIMOS[[#This Row],[Número de Contacto]]),"")</f>
        <v/>
      </c>
      <c r="O142" s="10">
        <f>IFERROR(IF(MARÍTIMOS[[#This Row],[Booking|AWB|CRT]]="","",MARÍTIMOS[[#This Row],[Booking|AWB|CRT]]),"")</f>
        <v>6461853960</v>
      </c>
      <c r="P142" s="2" t="str">
        <f>IFERROR(IF(MARÍTIMOS[[#This Row],[Contenedor]]="","",MARÍTIMOS[[#This Row],[Contenedor]]),"")</f>
        <v>OERU4138229</v>
      </c>
      <c r="Q142" s="2" t="str">
        <f>IFERROR(IF(MARÍTIMOS[[#This Row],[Puerto de Retiro]]="","",MARÍTIMOS[[#This Row],[Puerto de Retiro]]),"")</f>
        <v>CALLAO</v>
      </c>
      <c r="R142" s="2" t="str">
        <f>IFERROR(IF(MARÍTIMOS[[#This Row],[Almacén de Retiro]]="","",MARÍTIMOS[[#This Row],[Almacén de Retiro]]),"")</f>
        <v>FARGOLINE</v>
      </c>
      <c r="S142" s="11">
        <f>IFERROR(IF(MARÍTIMOS[[#This Row],[Etapa Retiro - Cita]]="","",MARÍTIMOS[[#This Row],[Etapa Retiro - Cita]]),"")</f>
        <v>46241.625</v>
      </c>
      <c r="T142" s="11">
        <f>IFERROR(IF(MARÍTIMOS[[#This Row],[Etapa Retiro - Llegada]]="","",MARÍTIMOS[[#This Row],[Etapa Retiro - Llegada]]),"")</f>
        <v>46241.720138888886</v>
      </c>
      <c r="U142" s="11">
        <f>IFERROR(IF(MARÍTIMOS[[#This Row],[Etapa Retiro - Ingreso]]="","",MARÍTIMOS[[#This Row],[Etapa Retiro - Ingreso]]),"")</f>
        <v>46241.728472222225</v>
      </c>
      <c r="V142" s="11">
        <f>IFERROR(IF(MARÍTIMOS[[#This Row],[Etapa Retiro - Atención]]="","",MARÍTIMOS[[#This Row],[Etapa Retiro - Atención]]),"")</f>
        <v>46241.763888888891</v>
      </c>
      <c r="W142" s="11">
        <f>IFERROR(IF(MARÍTIMOS[[#This Row],[Etapa Retiro - Salida]]="","",MARÍTIMOS[[#This Row],[Etapa Retiro - Salida]]),"")</f>
        <v>46241.805555555555</v>
      </c>
      <c r="X142" s="11">
        <f>IFERROR(IF(MARÍTIMOS[[#This Row],[Etapa Retiro - Inicio de Ruta]]="","",MARÍTIMOS[[#This Row],[Etapa Retiro - Inicio de Ruta]]),"")</f>
        <v>46242.181944444441</v>
      </c>
      <c r="Y142" s="11">
        <f>IFERROR(IF(MARÍTIMOS[[#This Row],[Hora de Posicionamiento]]="","",MARÍTIMOS[[#This Row],[Hora de Carga]]+MARÍTIMOS[[#This Row],[Hora de Posicionamiento]]),"")</f>
        <v>0.5</v>
      </c>
      <c r="Z142" s="11">
        <f>IFERROR(IF(MARÍTIMOS[[#This Row],[Etapa Despacho -  Llegada]]="","",MARÍTIMOS[[#This Row],[Etapa Despacho -  Llegada]]),"")</f>
        <v>46242.581250000003</v>
      </c>
      <c r="AA142" s="11">
        <f>IFERROR(IF(MARÍTIMOS[[#This Row],[Etapa Despacho -  Registro]]="","",MARÍTIMOS[[#This Row],[Etapa Despacho -  Registro]]),"")</f>
        <v>46242.635416666664</v>
      </c>
      <c r="AB142" s="11">
        <f>IFERROR(IF(MARÍTIMOS[[#This Row],[Inspección Externa]]="","",MARÍTIMOS[[#This Row],[Inspección Externa]]),"")</f>
        <v>46242.64166666667</v>
      </c>
      <c r="AC142" s="11">
        <f>IFERROR(IF(MARÍTIMOS[[#This Row],[Etapa Despacho -  Inicio de Carga]]="","",MARÍTIMOS[[#This Row],[Etapa Despacho -  Inicio de Carga]]),"")</f>
        <v>46242.673611111109</v>
      </c>
      <c r="AD142" s="11">
        <f>IFERROR(IF(MARÍTIMOS[[#This Row],[Etapa Despacho -  Fin de Carga]]="","",MARÍTIMOS[[#This Row],[Etapa Despacho -  Fin de Carga]]),"")</f>
        <v>46242.74722222222</v>
      </c>
      <c r="AE142" s="11">
        <f>IFERROR(IF(MARÍTIMOS[[#This Row],[Etapa Despacho -  Salida]]="","",MARÍTIMOS[[#This Row],[Etapa Despacho -  Salida]]),"")</f>
        <v>46242.756249999999</v>
      </c>
      <c r="AF142" s="2" t="str">
        <f>IFERROR(IF(MARÍTIMOS[[#This Row],[Puerto de Embarque]]="","",MARÍTIMOS[[#This Row],[Puerto de Embarque]]),"")</f>
        <v>Callao</v>
      </c>
      <c r="AG142" s="2" t="str">
        <f>IFERROR(IF(MARÍTIMOS[[#This Row],[Almacén de Ingreso]]="","",MARÍTIMOS[[#This Row],[Almacén de Ingreso]]),"")</f>
        <v>DPW</v>
      </c>
      <c r="AH142" s="11">
        <f>IFERROR(IF(MARÍTIMOS[[#This Row],[Etapa Ingreso - Cita]]="","",MARÍTIMOS[[#This Row],[Etapa Ingreso - Cita]]),"")</f>
        <v>46243.583333333336</v>
      </c>
      <c r="AI142" s="11">
        <f>IFERROR(IF(MARÍTIMOS[[#This Row],[Etapa Ingreso - Llegada]]="","",MARÍTIMOS[[#This Row],[Etapa Ingreso - Llegada]]),"")</f>
        <v>46243.57708333333</v>
      </c>
      <c r="AJ142" s="11">
        <f>IFERROR(IF(MARÍTIMOS[[#This Row],[Etapa Ingreso - Ingeso]]="","",MARÍTIMOS[[#This Row],[Etapa Ingreso - Ingeso]]),"")</f>
        <v>46243.618750000001</v>
      </c>
      <c r="AK142" s="11">
        <f>IFERROR(IF(MARÍTIMOS[[#This Row],[Etapa Ingreso - Atención]]="","",MARÍTIMOS[[#This Row],[Etapa Ingreso - Atención]]),"")</f>
        <v>46243.645833333336</v>
      </c>
      <c r="AL142" s="11">
        <f>IFERROR(IF(MARÍTIMOS[[#This Row],[Etapa Ingreso - Salida]]="","",MARÍTIMOS[[#This Row],[Etapa Ingreso - Salida]]),"")</f>
        <v>46243.659722222219</v>
      </c>
      <c r="AM142" s="2">
        <f>IFERROR(IF(MARÍTIMOS[[#This Row],[FCL]]="","",MARÍTIMOS[[#This Row],[FCL]]),"")</f>
        <v>1</v>
      </c>
      <c r="AN1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2" s="5">
        <f>IFERROR(OLDBD[[#This Row],[Llegada a packing]]-OLDBD[[#This Row],[Inicio de Ruta]],"")</f>
        <v>0.39930555556202307</v>
      </c>
      <c r="AQ142" s="6">
        <f>IFERROR(OLDBD[[#This Row],[Inicio de Ruta]]-OLDBD[[#This Row],[Salida de almacén de retiro]],"")</f>
        <v>0.37638888888614019</v>
      </c>
      <c r="AR1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2" s="9">
        <f>IFERROR(OLDBD[[#This Row],[Ingreso Packing]]-OLDBD[[#This Row],[Registro en Packing]],"")</f>
        <v>6.2500000058207661E-3</v>
      </c>
      <c r="AV142" s="9">
        <f>IFERROR(OLDBD[[#This Row],[Ingreso Packing]]-OLDBD[[#This Row],[Llegada a packing]],"")</f>
        <v>6.0416666667151731E-2</v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2" s="5">
        <f>IFERROR(OLDBD[[#This Row],[Llegada Almacén de Ingreso]]-OLDBD[[#This Row],[Salida Packing]],"")</f>
        <v>0.82083333333139308</v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2" s="45" t="s">
        <v>181</v>
      </c>
      <c r="BB142" s="53" t="str">
        <f>IFERROR(IF(MARÍTIMOS[[#This Row],[Estatus]]="","",MARÍTIMOS[[#This Row],[Estatus]]),"")</f>
        <v>Confirmado</v>
      </c>
      <c r="BC142" s="45"/>
      <c r="BD142" s="52">
        <f>IFERROR(OLDBD[[#This Row],[Salida de almacén de retiro]]-OLDBD[[#This Row],[Ingreso Almacén de retiro]],"")</f>
        <v>7.7083333329937886E-2</v>
      </c>
      <c r="BE142" s="52">
        <f>IFERROR(OLDBD[[#This Row],[Fin de Carga]]-OLDBD[[#This Row],[Inicio de Carga]],"")</f>
        <v>7.3611111110949423E-2</v>
      </c>
    </row>
    <row r="143" spans="1:57" x14ac:dyDescent="0.35">
      <c r="A143" s="1"/>
      <c r="B143" s="1">
        <f>IFERROR(IF(MARÍTIMOS[[#This Row],[PP]]="","",MARÍTIMOS[[#This Row],[PP]]),"")</f>
        <v>32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RH-0432</v>
      </c>
      <c r="E143" s="1"/>
      <c r="F143" s="2" t="str">
        <f>IFERROR(IF(MARÍTIMOS[[#This Row],[Transportista]]="","",MARÍTIMOS[[#This Row],[Transportista]]),"")</f>
        <v>LIP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>BENLOB E.I.R.L.</v>
      </c>
      <c r="I143" s="2">
        <f>IFERROR(IF(MARÍTIMOS[[#This Row],[RUC]]="","",MARÍTIMOS[[#This Row],[RUC]]),"")</f>
        <v>20608586238</v>
      </c>
      <c r="J143" s="2" t="str">
        <f>IFERROR(IF(MARÍTIMOS[[#This Row],[Placa Tracto]]="","",MARÍTIMOS[[#This Row],[Placa Tracto]]),"")</f>
        <v>BMD-798</v>
      </c>
      <c r="K143" s="2" t="str">
        <f>IFERROR(IF(MARÍTIMOS[[#This Row],[Placa Carreta]]="","",MARÍTIMOS[[#This Row],[Placa Carreta]]),"")</f>
        <v>AZJ-971</v>
      </c>
      <c r="L143" s="46" t="str">
        <f>IFERROR(IF(MARÍTIMOS[[#This Row],[Conductor]]="","",MARÍTIMOS[[#This Row],[Conductor]]),"")</f>
        <v>RUMICHE FIESTAS MELANIO ANTONIO</v>
      </c>
      <c r="M143" s="2" t="str">
        <f>IFERROR(IF(MARÍTIMOS[[#This Row],[Licencia]]="","",MARÍTIMOS[[#This Row],[Licencia]]),"")</f>
        <v>Q25826470</v>
      </c>
      <c r="N143" s="2" t="str">
        <f>IFERROR(IF(MARÍTIMOS[[#This Row],[Número de Contacto]]="","",MARÍTIMOS[[#This Row],[Número de Contacto]]),"")</f>
        <v/>
      </c>
      <c r="O143" s="10">
        <f>IFERROR(IF(MARÍTIMOS[[#This Row],[Booking|AWB|CRT]]="","",MARÍTIMOS[[#This Row],[Booking|AWB|CRT]]),"")</f>
        <v>6461853430</v>
      </c>
      <c r="P143" s="2" t="str">
        <f>IFERROR(IF(MARÍTIMOS[[#This Row],[Contenedor]]="","",MARÍTIMOS[[#This Row],[Contenedor]]),"")</f>
        <v>FBIU5316617</v>
      </c>
      <c r="Q143" s="2" t="str">
        <f>IFERROR(IF(MARÍTIMOS[[#This Row],[Puerto de Retiro]]="","",MARÍTIMOS[[#This Row],[Puerto de Retiro]]),"")</f>
        <v>CALLAO</v>
      </c>
      <c r="R143" s="2" t="str">
        <f>IFERROR(IF(MARÍTIMOS[[#This Row],[Almacén de Retiro]]="","",MARÍTIMOS[[#This Row],[Almacén de Retiro]]),"")</f>
        <v>FARGOLINE</v>
      </c>
      <c r="S143" s="11">
        <f>IFERROR(IF(MARÍTIMOS[[#This Row],[Etapa Retiro - Cita]]="","",MARÍTIMOS[[#This Row],[Etapa Retiro - Cita]]),"")</f>
        <v>46243.666666666664</v>
      </c>
      <c r="T143" s="11">
        <f>IFERROR(IF(MARÍTIMOS[[#This Row],[Etapa Retiro - Llegada]]="","",MARÍTIMOS[[#This Row],[Etapa Retiro - Llegada]]),"")</f>
        <v>46243.722222222219</v>
      </c>
      <c r="U143" s="11">
        <f>IFERROR(IF(MARÍTIMOS[[#This Row],[Etapa Retiro - Ingreso]]="","",MARÍTIMOS[[#This Row],[Etapa Retiro - Ingreso]]),"")</f>
        <v>46243.729166666664</v>
      </c>
      <c r="V143" s="11">
        <f>IFERROR(IF(MARÍTIMOS[[#This Row],[Etapa Retiro - Atención]]="","",MARÍTIMOS[[#This Row],[Etapa Retiro - Atención]]),"")</f>
        <v>46243.732638888891</v>
      </c>
      <c r="W143" s="11">
        <f>IFERROR(IF(MARÍTIMOS[[#This Row],[Etapa Retiro - Salida]]="","",MARÍTIMOS[[#This Row],[Etapa Retiro - Salida]]),"")</f>
        <v>46243.799305555556</v>
      </c>
      <c r="X143" s="11">
        <f>IFERROR(IF(MARÍTIMOS[[#This Row],[Etapa Retiro - Inicio de Ruta]]="","",MARÍTIMOS[[#This Row],[Etapa Retiro - Inicio de Ruta]]),"")</f>
        <v>46244.111805555556</v>
      </c>
      <c r="Y143" s="11">
        <f>IFERROR(IF(MARÍTIMOS[[#This Row],[Hora de Posicionamiento]]="","",MARÍTIMOS[[#This Row],[Hora de Carga]]+MARÍTIMOS[[#This Row],[Hora de Posicionamiento]]),"")</f>
        <v>0.5</v>
      </c>
      <c r="Z143" s="11">
        <f>IFERROR(IF(MARÍTIMOS[[#This Row],[Etapa Despacho -  Llegada]]="","",MARÍTIMOS[[#This Row],[Etapa Despacho -  Llegada]]),"")</f>
        <v>46244.537499999999</v>
      </c>
      <c r="AA143" s="11">
        <f>IFERROR(IF(MARÍTIMOS[[#This Row],[Etapa Despacho -  Registro]]="","",MARÍTIMOS[[#This Row],[Etapa Despacho -  Registro]]),"")</f>
        <v>46244.548611111109</v>
      </c>
      <c r="AB143" s="11">
        <f>IFERROR(IF(MARÍTIMOS[[#This Row],[Inspección Externa]]="","",MARÍTIMOS[[#This Row],[Inspección Externa]]),"")</f>
        <v>46244.555555555555</v>
      </c>
      <c r="AC143" s="11">
        <f>IFERROR(IF(MARÍTIMOS[[#This Row],[Etapa Despacho -  Inicio de Carga]]="","",MARÍTIMOS[[#This Row],[Etapa Despacho -  Inicio de Carga]]),"")</f>
        <v>46244.561111111114</v>
      </c>
      <c r="AD143" s="11">
        <f>IFERROR(IF(MARÍTIMOS[[#This Row],[Etapa Despacho -  Fin de Carga]]="","",MARÍTIMOS[[#This Row],[Etapa Despacho -  Fin de Carga]]),"")</f>
        <v>46244.746527777781</v>
      </c>
      <c r="AE143" s="11">
        <f>IFERROR(IF(MARÍTIMOS[[#This Row],[Etapa Despacho -  Salida]]="","",MARÍTIMOS[[#This Row],[Etapa Despacho -  Salida]]),"")</f>
        <v>46244.791666666664</v>
      </c>
      <c r="AF143" s="2" t="str">
        <f>IFERROR(IF(MARÍTIMOS[[#This Row],[Puerto de Embarque]]="","",MARÍTIMOS[[#This Row],[Puerto de Embarque]]),"")</f>
        <v>CALLAO</v>
      </c>
      <c r="AG143" s="2" t="str">
        <f>IFERROR(IF(MARÍTIMOS[[#This Row],[Almacén de Ingreso]]="","",MARÍTIMOS[[#This Row],[Almacén de Ingreso]]),"")</f>
        <v>DPW</v>
      </c>
      <c r="AH143" s="11">
        <f>IFERROR(IF(MARÍTIMOS[[#This Row],[Etapa Ingreso - Cita]]="","",MARÍTIMOS[[#This Row],[Etapa Ingreso - Cita]]),"")</f>
        <v>46245.541666666664</v>
      </c>
      <c r="AI143" s="11">
        <f>IFERROR(IF(MARÍTIMOS[[#This Row],[Etapa Ingreso - Llegada]]="","",MARÍTIMOS[[#This Row],[Etapa Ingreso - Llegada]]),"")</f>
        <v>46245.520138888889</v>
      </c>
      <c r="AJ143" s="11">
        <f>IFERROR(IF(MARÍTIMOS[[#This Row],[Etapa Ingreso - Ingeso]]="","",MARÍTIMOS[[#This Row],[Etapa Ingreso - Ingeso]]),"")</f>
        <v>46245.521527777775</v>
      </c>
      <c r="AK143" s="11">
        <f>IFERROR(IF(MARÍTIMOS[[#This Row],[Etapa Ingreso - Atención]]="","",MARÍTIMOS[[#This Row],[Etapa Ingreso - Atención]]),"")</f>
        <v>46245.636111111111</v>
      </c>
      <c r="AL143" s="11">
        <f>IFERROR(IF(MARÍTIMOS[[#This Row],[Etapa Ingreso - Salida]]="","",MARÍTIMOS[[#This Row],[Etapa Ingreso - Salida]]),"")</f>
        <v>46245.665277777778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>
        <f>IFERROR(OLDBD[[#This Row],[Llegada a packing]]-OLDBD[[#This Row],[Inicio de Ruta]],"")</f>
        <v>0.4256944444423425</v>
      </c>
      <c r="AQ143" s="6">
        <f>IFERROR(OLDBD[[#This Row],[Inicio de Ruta]]-OLDBD[[#This Row],[Salida de almacén de retiro]],"")</f>
        <v>0.3125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3" s="9">
        <f>IFERROR(OLDBD[[#This Row],[Ingreso Packing]]-OLDBD[[#This Row],[Registro en Packing]],"")</f>
        <v>6.9444444452528842E-3</v>
      </c>
      <c r="AV143" s="9">
        <f>IFERROR(OLDBD[[#This Row],[Ingreso Packing]]-OLDBD[[#This Row],[Llegada a packing]],"")</f>
        <v>1.8055555556202307E-2</v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3" s="5">
        <f>IFERROR(OLDBD[[#This Row],[Llegada Almacén de Ingreso]]-OLDBD[[#This Row],[Salida Packing]],"")</f>
        <v>0.72847222222480923</v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5" t="s">
        <v>181</v>
      </c>
      <c r="BB143" s="53" t="str">
        <f>IFERROR(IF(MARÍTIMOS[[#This Row],[Estatus]]="","",MARÍTIMOS[[#This Row],[Estatus]]),"")</f>
        <v>Confirmado</v>
      </c>
      <c r="BC143" s="45"/>
      <c r="BD143" s="52">
        <f>IFERROR(OLDBD[[#This Row],[Salida de almacén de retiro]]-OLDBD[[#This Row],[Ingreso Almacén de retiro]],"")</f>
        <v>7.013888889196096E-2</v>
      </c>
      <c r="BE143" s="52">
        <f>IFERROR(OLDBD[[#This Row],[Fin de Carga]]-OLDBD[[#This Row],[Inicio de Carga]],"")</f>
        <v>0.18541666666715173</v>
      </c>
    </row>
    <row r="144" spans="1:57" x14ac:dyDescent="0.35">
      <c r="A144" s="1"/>
      <c r="B144" s="1">
        <f>IFERROR(IF(MARÍTIMOS[[#This Row],[PP]]="","",MARÍTIMOS[[#This Row],[PP]]),"")</f>
        <v>32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RH-0451</v>
      </c>
      <c r="E144" s="1"/>
      <c r="F144" s="2" t="str">
        <f>IFERROR(IF(MARÍTIMOS[[#This Row],[Transportista]]="","",MARÍTIMOS[[#This Row],[Transportista]]),"")</f>
        <v>LIP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>RVR AGRO S.R.L</v>
      </c>
      <c r="I144" s="2">
        <f>IFERROR(IF(MARÍTIMOS[[#This Row],[RUC]]="","",MARÍTIMOS[[#This Row],[RUC]]),"")</f>
        <v>20535747424</v>
      </c>
      <c r="J144" s="2" t="str">
        <f>IFERROR(IF(MARÍTIMOS[[#This Row],[Placa Tracto]]="","",MARÍTIMOS[[#This Row],[Placa Tracto]]),"")</f>
        <v>BPR-716</v>
      </c>
      <c r="K144" s="2" t="str">
        <f>IFERROR(IF(MARÍTIMOS[[#This Row],[Placa Carreta]]="","",MARÍTIMOS[[#This Row],[Placa Carreta]]),"")</f>
        <v>BBS-982</v>
      </c>
      <c r="L144" s="46" t="str">
        <f>IFERROR(IF(MARÍTIMOS[[#This Row],[Conductor]]="","",MARÍTIMOS[[#This Row],[Conductor]]),"")</f>
        <v>SOTELO BRAVO MIGUEL ANGEL</v>
      </c>
      <c r="M144" s="2" t="str">
        <f>IFERROR(IF(MARÍTIMOS[[#This Row],[Licencia]]="","",MARÍTIMOS[[#This Row],[Licencia]]),"")</f>
        <v>R25423621</v>
      </c>
      <c r="N144" s="2" t="str">
        <f>IFERROR(IF(MARÍTIMOS[[#This Row],[Número de Contacto]]="","",MARÍTIMOS[[#This Row],[Número de Contacto]]),"")</f>
        <v/>
      </c>
      <c r="O144" s="10">
        <f>IFERROR(IF(MARÍTIMOS[[#This Row],[Booking|AWB|CRT]]="","",MARÍTIMOS[[#This Row],[Booking|AWB|CRT]]),"")</f>
        <v>6462050480</v>
      </c>
      <c r="P144" s="2" t="str">
        <f>IFERROR(IF(MARÍTIMOS[[#This Row],[Contenedor]]="","",MARÍTIMOS[[#This Row],[Contenedor]]),"")</f>
        <v>OERU4250157</v>
      </c>
      <c r="Q144" s="2" t="str">
        <f>IFERROR(IF(MARÍTIMOS[[#This Row],[Puerto de Retiro]]="","",MARÍTIMOS[[#This Row],[Puerto de Retiro]]),"")</f>
        <v>CALLAO</v>
      </c>
      <c r="R144" s="2" t="str">
        <f>IFERROR(IF(MARÍTIMOS[[#This Row],[Almacén de Retiro]]="","",MARÍTIMOS[[#This Row],[Almacén de Retiro]]),"")</f>
        <v>FARGOLINE</v>
      </c>
      <c r="S144" s="11">
        <f>IFERROR(IF(MARÍTIMOS[[#This Row],[Etapa Retiro - Cita]]="","",MARÍTIMOS[[#This Row],[Etapa Retiro - Cita]]),"")</f>
        <v>46243.666666666664</v>
      </c>
      <c r="T144" s="11">
        <f>IFERROR(IF(MARÍTIMOS[[#This Row],[Etapa Retiro - Llegada]]="","",MARÍTIMOS[[#This Row],[Etapa Retiro - Llegada]]),"")</f>
        <v>46243.734027777777</v>
      </c>
      <c r="U144" s="11">
        <f>IFERROR(IF(MARÍTIMOS[[#This Row],[Etapa Retiro - Ingreso]]="","",MARÍTIMOS[[#This Row],[Etapa Retiro - Ingreso]]),"")</f>
        <v>46243.739583333336</v>
      </c>
      <c r="V144" s="11">
        <f>IFERROR(IF(MARÍTIMOS[[#This Row],[Etapa Retiro - Atención]]="","",MARÍTIMOS[[#This Row],[Etapa Retiro - Atención]]),"")</f>
        <v>46243.793055555558</v>
      </c>
      <c r="W144" s="11">
        <f>IFERROR(IF(MARÍTIMOS[[#This Row],[Etapa Retiro - Salida]]="","",MARÍTIMOS[[#This Row],[Etapa Retiro - Salida]]),"")</f>
        <v>46243.806944444441</v>
      </c>
      <c r="X144" s="11">
        <f>IFERROR(IF(MARÍTIMOS[[#This Row],[Etapa Retiro - Inicio de Ruta]]="","",MARÍTIMOS[[#This Row],[Etapa Retiro - Inicio de Ruta]]),"")</f>
        <v>46244.111805555556</v>
      </c>
      <c r="Y144" s="11">
        <f>IFERROR(IF(MARÍTIMOS[[#This Row],[Hora de Posicionamiento]]="","",MARÍTIMOS[[#This Row],[Hora de Carga]]+MARÍTIMOS[[#This Row],[Hora de Posicionamiento]]),"")</f>
        <v>0.5</v>
      </c>
      <c r="Z144" s="11">
        <f>IFERROR(IF(MARÍTIMOS[[#This Row],[Etapa Despacho -  Llegada]]="","",MARÍTIMOS[[#This Row],[Etapa Despacho -  Llegada]]),"")</f>
        <v>46244.429166666669</v>
      </c>
      <c r="AA144" s="11">
        <f>IFERROR(IF(MARÍTIMOS[[#This Row],[Etapa Despacho -  Registro]]="","",MARÍTIMOS[[#This Row],[Etapa Despacho -  Registro]]),"")</f>
        <v>46244.458333333336</v>
      </c>
      <c r="AB144" s="11">
        <f>IFERROR(IF(MARÍTIMOS[[#This Row],[Inspección Externa]]="","",MARÍTIMOS[[#This Row],[Inspección Externa]]),"")</f>
        <v>46244.462500000001</v>
      </c>
      <c r="AC144" s="11">
        <f>IFERROR(IF(MARÍTIMOS[[#This Row],[Etapa Despacho -  Inicio de Carga]]="","",MARÍTIMOS[[#This Row],[Etapa Despacho -  Inicio de Carga]]),"")</f>
        <v>46244.47152777778</v>
      </c>
      <c r="AD144" s="11">
        <f>IFERROR(IF(MARÍTIMOS[[#This Row],[Etapa Despacho -  Fin de Carga]]="","",MARÍTIMOS[[#This Row],[Etapa Despacho -  Fin de Carga]]),"")</f>
        <v>46244.754166666666</v>
      </c>
      <c r="AE144" s="11">
        <f>IFERROR(IF(MARÍTIMOS[[#This Row],[Etapa Despacho -  Salida]]="","",MARÍTIMOS[[#This Row],[Etapa Despacho -  Salida]]),"")</f>
        <v>46244.776388888888</v>
      </c>
      <c r="AF144" s="2" t="str">
        <f>IFERROR(IF(MARÍTIMOS[[#This Row],[Puerto de Embarque]]="","",MARÍTIMOS[[#This Row],[Puerto de Embarque]]),"")</f>
        <v>CHANCAY</v>
      </c>
      <c r="AG144" s="2" t="str">
        <f>IFERROR(IF(MARÍTIMOS[[#This Row],[Almacén de Ingreso]]="","",MARÍTIMOS[[#This Row],[Almacén de Ingreso]]),"")</f>
        <v>CSPCP</v>
      </c>
      <c r="AH144" s="11">
        <f>IFERROR(IF(MARÍTIMOS[[#This Row],[Etapa Ingreso - Cita]]="","",MARÍTIMOS[[#This Row],[Etapa Ingreso - Cita]]),"")</f>
        <v>46245.541666666664</v>
      </c>
      <c r="AI144" s="11">
        <f>IFERROR(IF(MARÍTIMOS[[#This Row],[Etapa Ingreso - Llegada]]="","",MARÍTIMOS[[#This Row],[Etapa Ingreso - Llegada]]),"")</f>
        <v>46245.518750000003</v>
      </c>
      <c r="AJ144" s="11">
        <f>IFERROR(IF(MARÍTIMOS[[#This Row],[Etapa Ingreso - Ingeso]]="","",MARÍTIMOS[[#This Row],[Etapa Ingreso - Ingeso]]),"")</f>
        <v>46245.520833333336</v>
      </c>
      <c r="AK144" s="11">
        <f>IFERROR(IF(MARÍTIMOS[[#This Row],[Etapa Ingreso - Atención]]="","",MARÍTIMOS[[#This Row],[Etapa Ingreso - Atención]]),"")</f>
        <v>46245.541666666664</v>
      </c>
      <c r="AL144" s="11">
        <f>IFERROR(IF(MARÍTIMOS[[#This Row],[Etapa Ingreso - Salida]]="","",MARÍTIMOS[[#This Row],[Etapa Ingreso - Salida]]),"")</f>
        <v>46245.554166666669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>
        <f>IFERROR(OLDBD[[#This Row],[Llegada a packing]]-OLDBD[[#This Row],[Inicio de Ruta]],"")</f>
        <v>0.31736111111240461</v>
      </c>
      <c r="AQ144" s="6">
        <f>IFERROR(OLDBD[[#This Row],[Inicio de Ruta]]-OLDBD[[#This Row],[Salida de almacén de retiro]],"")</f>
        <v>0.304861111115315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4" s="9">
        <f>IFERROR(OLDBD[[#This Row],[Ingreso Packing]]-OLDBD[[#This Row],[Registro en Packing]],"")</f>
        <v>4.166666665696539E-3</v>
      </c>
      <c r="AV144" s="9">
        <f>IFERROR(OLDBD[[#This Row],[Ingreso Packing]]-OLDBD[[#This Row],[Llegada a packing]],"")</f>
        <v>3.3333333332848269E-2</v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44" s="5">
        <f>IFERROR(OLDBD[[#This Row],[Llegada Almacén de Ingreso]]-OLDBD[[#This Row],[Salida Packing]],"")</f>
        <v>0.742361111115315</v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4" s="45" t="s">
        <v>181</v>
      </c>
      <c r="BB144" s="53" t="str">
        <f>IFERROR(IF(MARÍTIMOS[[#This Row],[Estatus]]="","",MARÍTIMOS[[#This Row],[Estatus]]),"")</f>
        <v>Confirmado</v>
      </c>
      <c r="BC144" s="45"/>
      <c r="BD144" s="52">
        <f>IFERROR(OLDBD[[#This Row],[Salida de almacén de retiro]]-OLDBD[[#This Row],[Ingreso Almacén de retiro]],"")</f>
        <v>6.7361111105128657E-2</v>
      </c>
      <c r="BE144" s="52">
        <f>IFERROR(OLDBD[[#This Row],[Fin de Carga]]-OLDBD[[#This Row],[Inicio de Carga]],"")</f>
        <v>0.28263888888614019</v>
      </c>
    </row>
    <row r="145" spans="1:57" x14ac:dyDescent="0.35">
      <c r="A145" s="1"/>
      <c r="B145" s="1">
        <f>IFERROR(IF(MARÍTIMOS[[#This Row],[PP]]="","",MARÍTIMOS[[#This Row],[PP]]),"")</f>
        <v>33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RH-0472</v>
      </c>
      <c r="E145" s="1"/>
      <c r="F145" s="2" t="str">
        <f>IFERROR(IF(MARÍTIMOS[[#This Row],[Transportista]]="","",MARÍTIMOS[[#This Row],[Transportista]]),"")</f>
        <v>LIP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>TRANSPORTES CORRECAMINOS DEL PERU S.A.C</v>
      </c>
      <c r="I145" s="2">
        <f>IFERROR(IF(MARÍTIMOS[[#This Row],[RUC]]="","",MARÍTIMOS[[#This Row],[RUC]]),"")</f>
        <v>20609163632</v>
      </c>
      <c r="J145" s="2" t="str">
        <f>IFERROR(IF(MARÍTIMOS[[#This Row],[Placa Tracto]]="","",MARÍTIMOS[[#This Row],[Placa Tracto]]),"")</f>
        <v>BPJ-889</v>
      </c>
      <c r="K145" s="2" t="str">
        <f>IFERROR(IF(MARÍTIMOS[[#This Row],[Placa Carreta]]="","",MARÍTIMOS[[#This Row],[Placa Carreta]]),"")</f>
        <v>C2B-989</v>
      </c>
      <c r="L145" s="46" t="str">
        <f>IFERROR(IF(MARÍTIMOS[[#This Row],[Conductor]]="","",MARÍTIMOS[[#This Row],[Conductor]]),"")</f>
        <v>HUAMANI PALOMINO EDGAR FREDY</v>
      </c>
      <c r="M145" s="2" t="str">
        <f>IFERROR(IF(MARÍTIMOS[[#This Row],[Licencia]]="","",MARÍTIMOS[[#This Row],[Licencia]]),"")</f>
        <v>Q40736385</v>
      </c>
      <c r="N145" s="2" t="str">
        <f>IFERROR(IF(MARÍTIMOS[[#This Row],[Número de Contacto]]="","",MARÍTIMOS[[#This Row],[Número de Contacto]]),"")</f>
        <v/>
      </c>
      <c r="O145" s="10">
        <f>IFERROR(IF(MARÍTIMOS[[#This Row],[Booking|AWB|CRT]]="","",MARÍTIMOS[[#This Row],[Booking|AWB|CRT]]),"")</f>
        <v>6462784790</v>
      </c>
      <c r="P145" s="2" t="str">
        <f>IFERROR(IF(MARÍTIMOS[[#This Row],[Contenedor]]="","",MARÍTIMOS[[#This Row],[Contenedor]]),"")</f>
        <v>FBIU5743434</v>
      </c>
      <c r="Q145" s="2" t="str">
        <f>IFERROR(IF(MARÍTIMOS[[#This Row],[Puerto de Retiro]]="","",MARÍTIMOS[[#This Row],[Puerto de Retiro]]),"")</f>
        <v>CHANCAY</v>
      </c>
      <c r="R145" s="2" t="str">
        <f>IFERROR(IF(MARÍTIMOS[[#This Row],[Almacén de Retiro]]="","",MARÍTIMOS[[#This Row],[Almacén de Retiro]]),"")</f>
        <v>CSPCP</v>
      </c>
      <c r="S145" s="11">
        <f>IFERROR(IF(MARÍTIMOS[[#This Row],[Etapa Retiro - Cita]]="","",MARÍTIMOS[[#This Row],[Etapa Retiro - Cita]]),"")</f>
        <v>46245.708333333336</v>
      </c>
      <c r="T145" s="11">
        <f>IFERROR(IF(MARÍTIMOS[[#This Row],[Etapa Retiro - Llegada]]="","",MARÍTIMOS[[#This Row],[Etapa Retiro - Llegada]]),"")</f>
        <v>46245.752083333333</v>
      </c>
      <c r="U145" s="11">
        <f>IFERROR(IF(MARÍTIMOS[[#This Row],[Etapa Retiro - Ingreso]]="","",MARÍTIMOS[[#This Row],[Etapa Retiro - Ingreso]]),"")</f>
        <v>46245.759722222225</v>
      </c>
      <c r="V145" s="11">
        <f>IFERROR(IF(MARÍTIMOS[[#This Row],[Etapa Retiro - Atención]]="","",MARÍTIMOS[[#This Row],[Etapa Retiro - Atención]]),"")</f>
        <v>46245.786111111112</v>
      </c>
      <c r="W145" s="11">
        <f>IFERROR(IF(MARÍTIMOS[[#This Row],[Etapa Retiro - Salida]]="","",MARÍTIMOS[[#This Row],[Etapa Retiro - Salida]]),"")</f>
        <v>46245.832638888889</v>
      </c>
      <c r="X145" s="11">
        <f>IFERROR(IF(MARÍTIMOS[[#This Row],[Etapa Retiro - Inicio de Ruta]]="","",MARÍTIMOS[[#This Row],[Etapa Retiro - Inicio de Ruta]]),"")</f>
        <v>46244.066666666666</v>
      </c>
      <c r="Y145" s="11">
        <f>IFERROR(IF(MARÍTIMOS[[#This Row],[Hora de Posicionamiento]]="","",MARÍTIMOS[[#This Row],[Hora de Carga]]+MARÍTIMOS[[#This Row],[Hora de Posicionamiento]]),"")</f>
        <v>0.5</v>
      </c>
      <c r="Z145" s="11">
        <f>IFERROR(IF(MARÍTIMOS[[#This Row],[Etapa Despacho -  Llegada]]="","",MARÍTIMOS[[#This Row],[Etapa Despacho -  Llegada]]),"")</f>
        <v>46246.458333333336</v>
      </c>
      <c r="AA145" s="11">
        <f>IFERROR(IF(MARÍTIMOS[[#This Row],[Etapa Despacho -  Registro]]="","",MARÍTIMOS[[#This Row],[Etapa Despacho -  Registro]]),"")</f>
        <v>46246.482638888891</v>
      </c>
      <c r="AB145" s="11">
        <f>IFERROR(IF(MARÍTIMOS[[#This Row],[Inspección Externa]]="","",MARÍTIMOS[[#This Row],[Inspección Externa]]),"")</f>
        <v>46246.490972222222</v>
      </c>
      <c r="AC145" s="11">
        <f>IFERROR(IF(MARÍTIMOS[[#This Row],[Etapa Despacho -  Inicio de Carga]]="","",MARÍTIMOS[[#This Row],[Etapa Despacho -  Inicio de Carga]]),"")</f>
        <v>46246.497916666667</v>
      </c>
      <c r="AD145" s="11">
        <f>IFERROR(IF(MARÍTIMOS[[#This Row],[Etapa Despacho -  Fin de Carga]]="","",MARÍTIMOS[[#This Row],[Etapa Despacho -  Fin de Carga]]),"")</f>
        <v>46246.666666666664</v>
      </c>
      <c r="AE145" s="11">
        <f>IFERROR(IF(MARÍTIMOS[[#This Row],[Etapa Despacho -  Salida]]="","",MARÍTIMOS[[#This Row],[Etapa Despacho -  Salida]]),"")</f>
        <v>46246.677777777775</v>
      </c>
      <c r="AF145" s="2" t="str">
        <f>IFERROR(IF(MARÍTIMOS[[#This Row],[Puerto de Embarque]]="","",MARÍTIMOS[[#This Row],[Puerto de Embarque]]),"")</f>
        <v>CHANCAY</v>
      </c>
      <c r="AG145" s="2" t="str">
        <f>IFERROR(IF(MARÍTIMOS[[#This Row],[Almacén de Ingreso]]="","",MARÍTIMOS[[#This Row],[Almacén de Ingreso]]),"")</f>
        <v>CSPCP</v>
      </c>
      <c r="AH145" s="11">
        <f>IFERROR(IF(MARÍTIMOS[[#This Row],[Etapa Ingreso - Cita]]="","",MARÍTIMOS[[#This Row],[Etapa Ingreso - Cita]]),"")</f>
        <v>46247.375</v>
      </c>
      <c r="AI145" s="11">
        <f>IFERROR(IF(MARÍTIMOS[[#This Row],[Etapa Ingreso - Llegada]]="","",MARÍTIMOS[[#This Row],[Etapa Ingreso - Llegada]]),"")</f>
        <v>46247.361111111109</v>
      </c>
      <c r="AJ145" s="11">
        <f>IFERROR(IF(MARÍTIMOS[[#This Row],[Etapa Ingreso - Ingeso]]="","",MARÍTIMOS[[#This Row],[Etapa Ingreso - Ingeso]]),"")</f>
        <v>46247.362500000003</v>
      </c>
      <c r="AK145" s="11">
        <f>IFERROR(IF(MARÍTIMOS[[#This Row],[Etapa Ingreso - Atención]]="","",MARÍTIMOS[[#This Row],[Etapa Ingreso - Atención]]),"")</f>
        <v>46247.377083333333</v>
      </c>
      <c r="AL145" s="11">
        <f>IFERROR(IF(MARÍTIMOS[[#This Row],[Etapa Ingreso - Salida]]="","",MARÍTIMOS[[#This Row],[Etapa Ingreso - Salida]]),"")</f>
        <v>46247.394444444442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5" s="5">
        <f>IFERROR(OLDBD[[#This Row],[Llegada a packing]]-OLDBD[[#This Row],[Inicio de Ruta]],"")</f>
        <v>2.3916666666700621</v>
      </c>
      <c r="AQ145" s="6">
        <f>IFERROR(OLDBD[[#This Row],[Inicio de Ruta]]-OLDBD[[#This Row],[Salida de almacén de retiro]],"")</f>
        <v>-1.765972222223354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5" s="9">
        <f>IFERROR(OLDBD[[#This Row],[Ingreso Packing]]-OLDBD[[#This Row],[Registro en Packing]],"")</f>
        <v>8.333333331393078E-3</v>
      </c>
      <c r="AV145" s="9">
        <f>IFERROR(OLDBD[[#This Row],[Ingreso Packing]]-OLDBD[[#This Row],[Llegada a packing]],"")</f>
        <v>3.2638888886140194E-2</v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5" s="5">
        <f>IFERROR(OLDBD[[#This Row],[Llegada Almacén de Ingreso]]-OLDBD[[#This Row],[Salida Packing]],"")</f>
        <v>0.68333333333430346</v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5" s="45" t="s">
        <v>181</v>
      </c>
      <c r="BB145" s="53" t="str">
        <f>IFERROR(IF(MARÍTIMOS[[#This Row],[Estatus]]="","",MARÍTIMOS[[#This Row],[Estatus]]),"")</f>
        <v>Confirmado</v>
      </c>
      <c r="BC145" s="45"/>
      <c r="BD145" s="52">
        <f>IFERROR(OLDBD[[#This Row],[Salida de almacén de retiro]]-OLDBD[[#This Row],[Ingreso Almacén de retiro]],"")</f>
        <v>7.2916666664241347E-2</v>
      </c>
      <c r="BE145" s="52">
        <f>IFERROR(OLDBD[[#This Row],[Fin de Carga]]-OLDBD[[#This Row],[Inicio de Carga]],"")</f>
        <v>0.16874999999708962</v>
      </c>
    </row>
    <row r="146" spans="1:57" x14ac:dyDescent="0.35">
      <c r="A146" s="1"/>
      <c r="B146" s="1">
        <f>IFERROR(IF(MARÍTIMOS[[#This Row],[PP]]="","",MARÍTIMOS[[#This Row],[PP]]),"")</f>
        <v>33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RH-0473</v>
      </c>
      <c r="E146" s="1"/>
      <c r="F146" s="2" t="str">
        <f>IFERROR(IF(MARÍTIMOS[[#This Row],[Transportista]]="","",MARÍTIMOS[[#This Row],[Transportista]]),"")</f>
        <v>LIP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>LOGISTICA INTERMODAL DEL PERU S.A.C.</v>
      </c>
      <c r="I146" s="2">
        <f>IFERROR(IF(MARÍTIMOS[[#This Row],[RUC]]="","",MARÍTIMOS[[#This Row],[RUC]]),"")</f>
        <v>20513040718</v>
      </c>
      <c r="J146" s="2" t="str">
        <f>IFERROR(IF(MARÍTIMOS[[#This Row],[Placa Tracto]]="","",MARÍTIMOS[[#This Row],[Placa Tracto]]),"")</f>
        <v>AMP-767</v>
      </c>
      <c r="K146" s="2" t="str">
        <f>IFERROR(IF(MARÍTIMOS[[#This Row],[Placa Carreta]]="","",MARÍTIMOS[[#This Row],[Placa Carreta]]),"")</f>
        <v>AZL-971</v>
      </c>
      <c r="L146" s="46" t="str">
        <f>IFERROR(IF(MARÍTIMOS[[#This Row],[Conductor]]="","",MARÍTIMOS[[#This Row],[Conductor]]),"")</f>
        <v>POPAYAN DOMINGUEZ OSCAR CANTO</v>
      </c>
      <c r="M146" s="2" t="str">
        <f>IFERROR(IF(MARÍTIMOS[[#This Row],[Licencia]]="","",MARÍTIMOS[[#This Row],[Licencia]]),"")</f>
        <v>Q32110321</v>
      </c>
      <c r="N146" s="2" t="str">
        <f>IFERROR(IF(MARÍTIMOS[[#This Row],[Número de Contacto]]="","",MARÍTIMOS[[#This Row],[Número de Contacto]]),"")</f>
        <v/>
      </c>
      <c r="O146" s="10">
        <f>IFERROR(IF(MARÍTIMOS[[#This Row],[Booking|AWB|CRT]]="","",MARÍTIMOS[[#This Row],[Booking|AWB|CRT]]),"")</f>
        <v>6462784530</v>
      </c>
      <c r="P146" s="2" t="str">
        <f>IFERROR(IF(MARÍTIMOS[[#This Row],[Contenedor]]="","",MARÍTIMOS[[#This Row],[Contenedor]]),"")</f>
        <v>FBIU5657634</v>
      </c>
      <c r="Q146" s="2" t="str">
        <f>IFERROR(IF(MARÍTIMOS[[#This Row],[Puerto de Retiro]]="","",MARÍTIMOS[[#This Row],[Puerto de Retiro]]),"")</f>
        <v>CHANCAY</v>
      </c>
      <c r="R146" s="2" t="str">
        <f>IFERROR(IF(MARÍTIMOS[[#This Row],[Almacén de Retiro]]="","",MARÍTIMOS[[#This Row],[Almacén de Retiro]]),"")</f>
        <v>CSPCP</v>
      </c>
      <c r="S146" s="11">
        <f>IFERROR(IF(MARÍTIMOS[[#This Row],[Etapa Retiro - Cita]]="","",MARÍTIMOS[[#This Row],[Etapa Retiro - Cita]]),"")</f>
        <v>46245.708333333336</v>
      </c>
      <c r="T146" s="11">
        <f>IFERROR(IF(MARÍTIMOS[[#This Row],[Etapa Retiro - Llegada]]="","",MARÍTIMOS[[#This Row],[Etapa Retiro - Llegada]]),"")</f>
        <v>46245.722222222219</v>
      </c>
      <c r="U146" s="11">
        <f>IFERROR(IF(MARÍTIMOS[[#This Row],[Etapa Retiro - Ingreso]]="","",MARÍTIMOS[[#This Row],[Etapa Retiro - Ingreso]]),"")</f>
        <v>46245.749305555553</v>
      </c>
      <c r="V146" s="11">
        <f>IFERROR(IF(MARÍTIMOS[[#This Row],[Etapa Retiro - Atención]]="","",MARÍTIMOS[[#This Row],[Etapa Retiro - Atención]]),"")</f>
        <v>46245.753472222219</v>
      </c>
      <c r="W146" s="11">
        <f>IFERROR(IF(MARÍTIMOS[[#This Row],[Etapa Retiro - Salida]]="","",MARÍTIMOS[[#This Row],[Etapa Retiro - Salida]]),"")</f>
        <v>46245.811111111114</v>
      </c>
      <c r="X146" s="11">
        <f>IFERROR(IF(MARÍTIMOS[[#This Row],[Etapa Retiro - Inicio de Ruta]]="","",MARÍTIMOS[[#This Row],[Etapa Retiro - Inicio de Ruta]]),"")</f>
        <v>46245.8125</v>
      </c>
      <c r="Y146" s="11">
        <f>IFERROR(IF(MARÍTIMOS[[#This Row],[Hora de Posicionamiento]]="","",MARÍTIMOS[[#This Row],[Hora de Carga]]+MARÍTIMOS[[#This Row],[Hora de Posicionamiento]]),"")</f>
        <v>0.58333333333333337</v>
      </c>
      <c r="Z146" s="11">
        <f>IFERROR(IF(MARÍTIMOS[[#This Row],[Etapa Despacho -  Llegada]]="","",MARÍTIMOS[[#This Row],[Etapa Despacho -  Llegada]]),"")</f>
        <v>46246.470833333333</v>
      </c>
      <c r="AA146" s="11">
        <f>IFERROR(IF(MARÍTIMOS[[#This Row],[Etapa Despacho -  Registro]]="","",MARÍTIMOS[[#This Row],[Etapa Despacho -  Registro]]),"")</f>
        <v>46246.474999999999</v>
      </c>
      <c r="AB146" s="11">
        <f>IFERROR(IF(MARÍTIMOS[[#This Row],[Inspección Externa]]="","",MARÍTIMOS[[#This Row],[Inspección Externa]]),"")</f>
        <v>46246.476388888892</v>
      </c>
      <c r="AC146" s="11">
        <f>IFERROR(IF(MARÍTIMOS[[#This Row],[Etapa Despacho -  Inicio de Carga]]="","",MARÍTIMOS[[#This Row],[Etapa Despacho -  Inicio de Carga]]),"")</f>
        <v>46246.479166666664</v>
      </c>
      <c r="AD146" s="11">
        <f>IFERROR(IF(MARÍTIMOS[[#This Row],[Etapa Despacho -  Fin de Carga]]="","",MARÍTIMOS[[#This Row],[Etapa Despacho -  Fin de Carga]]),"")</f>
        <v>46246.679166666669</v>
      </c>
      <c r="AE146" s="11">
        <f>IFERROR(IF(MARÍTIMOS[[#This Row],[Etapa Despacho -  Salida]]="","",MARÍTIMOS[[#This Row],[Etapa Despacho -  Salida]]),"")</f>
        <v>46246.694444444445</v>
      </c>
      <c r="AF146" s="2" t="str">
        <f>IFERROR(IF(MARÍTIMOS[[#This Row],[Puerto de Embarque]]="","",MARÍTIMOS[[#This Row],[Puerto de Embarque]]),"")</f>
        <v>CHANCAY</v>
      </c>
      <c r="AG146" s="2" t="str">
        <f>IFERROR(IF(MARÍTIMOS[[#This Row],[Almacén de Ingreso]]="","",MARÍTIMOS[[#This Row],[Almacén de Ingreso]]),"")</f>
        <v>CSPCP</v>
      </c>
      <c r="AH146" s="11">
        <f>IFERROR(IF(MARÍTIMOS[[#This Row],[Etapa Ingreso - Cita]]="","",MARÍTIMOS[[#This Row],[Etapa Ingreso - Cita]]),"")</f>
        <v>46247.375</v>
      </c>
      <c r="AI146" s="11">
        <f>IFERROR(IF(MARÍTIMOS[[#This Row],[Etapa Ingreso - Llegada]]="","",MARÍTIMOS[[#This Row],[Etapa Ingreso - Llegada]]),"")</f>
        <v>46247.36041666667</v>
      </c>
      <c r="AJ146" s="11">
        <f>IFERROR(IF(MARÍTIMOS[[#This Row],[Etapa Ingreso - Ingeso]]="","",MARÍTIMOS[[#This Row],[Etapa Ingreso - Ingeso]]),"")</f>
        <v>46247.400694444441</v>
      </c>
      <c r="AK146" s="11">
        <f>IFERROR(IF(MARÍTIMOS[[#This Row],[Etapa Ingreso - Atención]]="","",MARÍTIMOS[[#This Row],[Etapa Ingreso - Atención]]),"")</f>
        <v>46247.57916666667</v>
      </c>
      <c r="AL146" s="11">
        <f>IFERROR(IF(MARÍTIMOS[[#This Row],[Etapa Ingreso - Salida]]="","",MARÍTIMOS[[#This Row],[Etapa Ingreso - Salida]]),"")</f>
        <v>46247.61041666667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6" s="5">
        <f>IFERROR(OLDBD[[#This Row],[Llegada a packing]]-OLDBD[[#This Row],[Inicio de Ruta]],"")</f>
        <v>0.65833333333284827</v>
      </c>
      <c r="AQ146" s="6">
        <f>IFERROR(OLDBD[[#This Row],[Inicio de Ruta]]-OLDBD[[#This Row],[Salida de almacén de retiro]],"")</f>
        <v>1.3888888861401938E-3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6" s="9">
        <f>IFERROR(OLDBD[[#This Row],[Ingreso Packing]]-OLDBD[[#This Row],[Registro en Packing]],"")</f>
        <v>1.3888888934161514E-3</v>
      </c>
      <c r="AV146" s="9">
        <f>IFERROR(OLDBD[[#This Row],[Ingreso Packing]]-OLDBD[[#This Row],[Llegada a packing]],"")</f>
        <v>5.5555555591126904E-3</v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6" s="5">
        <f>IFERROR(OLDBD[[#This Row],[Llegada Almacén de Ingreso]]-OLDBD[[#This Row],[Salida Packing]],"")</f>
        <v>0.66597222222480923</v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6" s="45" t="s">
        <v>181</v>
      </c>
      <c r="BB146" s="53" t="str">
        <f>IFERROR(IF(MARÍTIMOS[[#This Row],[Estatus]]="","",MARÍTIMOS[[#This Row],[Estatus]]),"")</f>
        <v>Confirmado</v>
      </c>
      <c r="BC146" s="45"/>
      <c r="BD146" s="52">
        <f>IFERROR(OLDBD[[#This Row],[Salida de almacén de retiro]]-OLDBD[[#This Row],[Ingreso Almacén de retiro]],"")</f>
        <v>6.1805555560567882E-2</v>
      </c>
      <c r="BE146" s="52">
        <f>IFERROR(OLDBD[[#This Row],[Fin de Carga]]-OLDBD[[#This Row],[Inicio de Carga]],"")</f>
        <v>0.20000000000436557</v>
      </c>
    </row>
    <row r="147" spans="1:57" x14ac:dyDescent="0.35">
      <c r="A147" s="1"/>
      <c r="B147" s="1">
        <f>IFERROR(IF(MARÍTIMOS[[#This Row],[PP]]="","",MARÍTIMOS[[#This Row],[PP]]),"")</f>
        <v>22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RH-0001</v>
      </c>
      <c r="E147" s="1"/>
      <c r="F147" s="2" t="str">
        <f>IFERROR(IF(MARÍTIMOS[[#This Row],[Transportista]]="","",MARÍTIMOS[[#This Row],[Transportista]]),"")</f>
        <v>LIP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 xml:space="preserve">LOGISTICA INTERMODAL DEL PERU S.A.C.
</v>
      </c>
      <c r="I147" s="2">
        <f>IFERROR(IF(MARÍTIMOS[[#This Row],[RUC]]="","",MARÍTIMOS[[#This Row],[RUC]]),"")</f>
        <v>20513040718</v>
      </c>
      <c r="J147" s="2" t="str">
        <f>IFERROR(IF(MARÍTIMOS[[#This Row],[Placa Tracto]]="","",MARÍTIMOS[[#This Row],[Placa Tracto]]),"")</f>
        <v>BMU-724</v>
      </c>
      <c r="K147" s="2" t="str">
        <f>IFERROR(IF(MARÍTIMOS[[#This Row],[Placa Carreta]]="","",MARÍTIMOS[[#This Row],[Placa Carreta]]),"")</f>
        <v>A2G-970</v>
      </c>
      <c r="L147" s="46" t="str">
        <f>IFERROR(IF(MARÍTIMOS[[#This Row],[Conductor]]="","",MARÍTIMOS[[#This Row],[Conductor]]),"")</f>
        <v>ALVA MORALES MARCO ANTONIO</v>
      </c>
      <c r="M147" s="2" t="str">
        <f>IFERROR(IF(MARÍTIMOS[[#This Row],[Licencia]]="","",MARÍTIMOS[[#This Row],[Licencia]]),"")</f>
        <v>Q25566860</v>
      </c>
      <c r="N147" s="2" t="str">
        <f>IFERROR(IF(MARÍTIMOS[[#This Row],[Número de Contacto]]="","",MARÍTIMOS[[#This Row],[Número de Contacto]]),"")</f>
        <v>932 208 104</v>
      </c>
      <c r="O147" s="10" t="str">
        <f>IFERROR(IF(MARÍTIMOS[[#This Row],[Booking|AWB|CRT]]="","",MARÍTIMOS[[#This Row],[Booking|AWB|CRT]]),"")</f>
        <v>MBM250067088</v>
      </c>
      <c r="P147" s="2" t="str">
        <f>IFERROR(IF(MARÍTIMOS[[#This Row],[Contenedor]]="","",MARÍTIMOS[[#This Row],[Contenedor]]),"")</f>
        <v>SEGU9325135</v>
      </c>
      <c r="Q147" s="2" t="str">
        <f>IFERROR(IF(MARÍTIMOS[[#This Row],[Puerto de Retiro]]="","",MARÍTIMOS[[#This Row],[Puerto de Retiro]]),"")</f>
        <v>PAITA</v>
      </c>
      <c r="R147" s="2" t="str">
        <f>IFERROR(IF(MARÍTIMOS[[#This Row],[Almacén de Retiro]]="","",MARÍTIMOS[[#This Row],[Almacén de Retiro]]),"")</f>
        <v>MACROMAR</v>
      </c>
      <c r="S147" s="11">
        <f>IFERROR(IF(MARÍTIMOS[[#This Row],[Etapa Retiro - Cita]]="","",MARÍTIMOS[[#This Row],[Etapa Retiro - Cita]]),"")</f>
        <v>46168.916666666664</v>
      </c>
      <c r="T147" s="11">
        <f>IFERROR(IF(MARÍTIMOS[[#This Row],[Etapa Retiro - Llegada]]="","",MARÍTIMOS[[#This Row],[Etapa Retiro - Llegada]]),"")</f>
        <v>46168.947916666664</v>
      </c>
      <c r="U147" s="11">
        <f>IFERROR(IF(MARÍTIMOS[[#This Row],[Etapa Retiro - Ingreso]]="","",MARÍTIMOS[[#This Row],[Etapa Retiro - Ingreso]]),"")</f>
        <v>46168.957638888889</v>
      </c>
      <c r="V147" s="11">
        <f>IFERROR(IF(MARÍTIMOS[[#This Row],[Etapa Retiro - Atención]]="","",MARÍTIMOS[[#This Row],[Etapa Retiro - Atención]]),"")</f>
        <v>46168.965277777781</v>
      </c>
      <c r="W147" s="11">
        <f>IFERROR(IF(MARÍTIMOS[[#This Row],[Etapa Retiro - Salida]]="","",MARÍTIMOS[[#This Row],[Etapa Retiro - Salida]]),"")</f>
        <v>46169.011111111111</v>
      </c>
      <c r="X147" s="11">
        <f>IFERROR(IF(MARÍTIMOS[[#This Row],[Etapa Retiro - Inicio de Ruta]]="","",MARÍTIMOS[[#This Row],[Etapa Retiro - Inicio de Ruta]]),"")</f>
        <v>46169.052777777775</v>
      </c>
      <c r="Y147" s="11">
        <f>IFERROR(IF(MARÍTIMOS[[#This Row],[Hora de Posicionamiento]]="","",MARÍTIMOS[[#This Row],[Hora de Carga]]+MARÍTIMOS[[#This Row],[Hora de Posicionamiento]]),"")</f>
        <v>0.75</v>
      </c>
      <c r="Z147" s="11">
        <f>IFERROR(IF(MARÍTIMOS[[#This Row],[Etapa Despacho -  Llegada]]="","",MARÍTIMOS[[#This Row],[Etapa Despacho -  Llegada]]),"")</f>
        <v>46169.647222222222</v>
      </c>
      <c r="AA147" s="11">
        <f>IFERROR(IF(MARÍTIMOS[[#This Row],[Etapa Despacho -  Registro]]="","",MARÍTIMOS[[#This Row],[Etapa Despacho -  Registro]]),"")</f>
        <v>46169.648611111108</v>
      </c>
      <c r="AB147" s="11">
        <f>IFERROR(IF(MARÍTIMOS[[#This Row],[Inspección Externa]]="","",MARÍTIMOS[[#This Row],[Inspección Externa]]),"")</f>
        <v>46169.654166666667</v>
      </c>
      <c r="AC147" s="11">
        <f>IFERROR(IF(MARÍTIMOS[[#This Row],[Etapa Despacho -  Inicio de Carga]]="","",MARÍTIMOS[[#This Row],[Etapa Despacho -  Inicio de Carga]]),"")</f>
        <v>46169.661111111112</v>
      </c>
      <c r="AD147" s="11">
        <f>IFERROR(IF(MARÍTIMOS[[#This Row],[Etapa Despacho -  Fin de Carga]]="","",MARÍTIMOS[[#This Row],[Etapa Despacho -  Fin de Carga]]),"")</f>
        <v>46171.631249999999</v>
      </c>
      <c r="AE147" s="11">
        <f>IFERROR(IF(MARÍTIMOS[[#This Row],[Etapa Despacho -  Salida]]="","",MARÍTIMOS[[#This Row],[Etapa Despacho -  Salida]]),"")</f>
        <v>46171.638194444444</v>
      </c>
      <c r="AF147" s="2" t="str">
        <f>IFERROR(IF(MARÍTIMOS[[#This Row],[Puerto de Embarque]]="","",MARÍTIMOS[[#This Row],[Puerto de Embarque]]),"")</f>
        <v>Paita</v>
      </c>
      <c r="AG147" s="2" t="str">
        <f>IFERROR(IF(MARÍTIMOS[[#This Row],[Almacén de Ingreso]]="","",MARÍTIMOS[[#This Row],[Almacén de Ingreso]]),"")</f>
        <v>TPE</v>
      </c>
      <c r="AH147" s="11">
        <f>IFERROR(IF(MARÍTIMOS[[#This Row],[Etapa Ingreso - Cita]]="","",MARÍTIMOS[[#This Row],[Etapa Ingreso - Cita]]),"")</f>
        <v>46172.458333333336</v>
      </c>
      <c r="AI147" s="11">
        <f>IFERROR(IF(MARÍTIMOS[[#This Row],[Etapa Ingreso - Llegada]]="","",MARÍTIMOS[[#This Row],[Etapa Ingreso - Llegada]]),"")</f>
        <v>46172.493055555555</v>
      </c>
      <c r="AJ147" s="11">
        <f>IFERROR(IF(MARÍTIMOS[[#This Row],[Etapa Ingreso - Ingeso]]="","",MARÍTIMOS[[#This Row],[Etapa Ingreso - Ingeso]]),"")</f>
        <v>46172.506249999999</v>
      </c>
      <c r="AK147" s="11">
        <f>IFERROR(IF(MARÍTIMOS[[#This Row],[Etapa Ingreso - Atención]]="","",MARÍTIMOS[[#This Row],[Etapa Ingreso - Atención]]),"")</f>
        <v>46172.512499999997</v>
      </c>
      <c r="AL147" s="11">
        <f>IFERROR(IF(MARÍTIMOS[[#This Row],[Etapa Ingreso - Salida]]="","",MARÍTIMOS[[#This Row],[Etapa Ingreso - Salida]]),"")</f>
        <v>46172.519444444442</v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7" s="5">
        <f>IFERROR(OLDBD[[#This Row],[Llegada a packing]]-OLDBD[[#This Row],[Inicio de Ruta]],"")</f>
        <v>0.59444444444670808</v>
      </c>
      <c r="AQ147" s="6">
        <f>IFERROR(OLDBD[[#This Row],[Inicio de Ruta]]-OLDBD[[#This Row],[Salida de almacén de retiro]],"")</f>
        <v>4.1666666664241347E-2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7" s="9">
        <f>IFERROR(OLDBD[[#This Row],[Ingreso Packing]]-OLDBD[[#This Row],[Registro en Packing]],"")</f>
        <v>5.5555555591126904E-3</v>
      </c>
      <c r="AV147" s="9">
        <f>IFERROR(OLDBD[[#This Row],[Ingreso Packing]]-OLDBD[[#This Row],[Llegada a packing]],"")</f>
        <v>6.9444444452528842E-3</v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47" s="5">
        <f>IFERROR(OLDBD[[#This Row],[Llegada Almacén de Ingreso]]-OLDBD[[#This Row],[Salida Packing]],"")</f>
        <v>0.85486111111094942</v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7" s="45" t="s">
        <v>181</v>
      </c>
      <c r="BB147" s="53" t="str">
        <f>IFERROR(IF(MARÍTIMOS[[#This Row],[Estatus]]="","",MARÍTIMOS[[#This Row],[Estatus]]),"")</f>
        <v>Confirmado</v>
      </c>
      <c r="BC147" s="45"/>
      <c r="BD147" s="52">
        <f>IFERROR(OLDBD[[#This Row],[Salida de almacén de retiro]]-OLDBD[[#This Row],[Ingreso Almacén de retiro]],"")</f>
        <v>5.3472222221898846E-2</v>
      </c>
      <c r="BE147" s="52">
        <f>IFERROR(OLDBD[[#This Row],[Fin de Carga]]-OLDBD[[#This Row],[Inicio de Carga]],"")</f>
        <v>1.9701388888861402</v>
      </c>
    </row>
    <row r="148" spans="1:57" x14ac:dyDescent="0.35">
      <c r="A148" s="1"/>
      <c r="B148" s="1">
        <f>IFERROR(IF(MARÍTIMOS[[#This Row],[PP]]="","",MARÍTIMOS[[#This Row],[PP]]),"")</f>
        <v>22</v>
      </c>
      <c r="C148" s="1" t="str">
        <f>IFERROR(IF(MARÍTIMOS[[#This Row],[Sede]]="","",MARÍTIMOS[[#This Row],[Sede]]),"")</f>
        <v>Chao</v>
      </c>
      <c r="D148" s="1" t="str">
        <f>IFERROR(IF(MARÍTIMOS[[#This Row],[Instruction]]="","",MARÍTIMOS[[#This Row],[Instruction]]),"")</f>
        <v>RH-0011</v>
      </c>
      <c r="E148" s="1"/>
      <c r="F148" s="2" t="str">
        <f>IFERROR(IF(MARÍTIMOS[[#This Row],[Transportista]]="","",MARÍTIMOS[[#This Row],[Transportista]]),"")</f>
        <v>LIP</v>
      </c>
      <c r="G148" s="2" t="str">
        <f>IFERROR(IF(MARÍTIMOS[[#This Row],[Tercero]]="","",MARÍTIMOS[[#This Row],[Tercero]]),"")</f>
        <v>NO</v>
      </c>
      <c r="H148" s="2" t="str">
        <f>IFERROR(IF(MARÍTIMOS[[#This Row],[Razón Social]]="","",MARÍTIMOS[[#This Row],[Razón Social]]),"")</f>
        <v xml:space="preserve">LOGISTICA INTERMODAL DEL PERU S.A.C.
</v>
      </c>
      <c r="I148" s="2">
        <f>IFERROR(IF(MARÍTIMOS[[#This Row],[RUC]]="","",MARÍTIMOS[[#This Row],[RUC]]),"")</f>
        <v>20513040718</v>
      </c>
      <c r="J148" s="2" t="str">
        <f>IFERROR(IF(MARÍTIMOS[[#This Row],[Placa Tracto]]="","",MARÍTIMOS[[#This Row],[Placa Tracto]]),"")</f>
        <v>BBK-835</v>
      </c>
      <c r="K148" s="2" t="str">
        <f>IFERROR(IF(MARÍTIMOS[[#This Row],[Placa Carreta]]="","",MARÍTIMOS[[#This Row],[Placa Carreta]]),"")</f>
        <v>AKN-992</v>
      </c>
      <c r="L148" s="46" t="str">
        <f>IFERROR(IF(MARÍTIMOS[[#This Row],[Conductor]]="","",MARÍTIMOS[[#This Row],[Conductor]]),"")</f>
        <v>CASTILLO ALVAREZ CESAR HUGO</v>
      </c>
      <c r="M148" s="2" t="str">
        <f>IFERROR(IF(MARÍTIMOS[[#This Row],[Licencia]]="","",MARÍTIMOS[[#This Row],[Licencia]]),"")</f>
        <v>Q25858072</v>
      </c>
      <c r="N148" s="2" t="str">
        <f>IFERROR(IF(MARÍTIMOS[[#This Row],[Número de Contacto]]="","",MARÍTIMOS[[#This Row],[Número de Contacto]]),"")</f>
        <v>940 126 735</v>
      </c>
      <c r="O148" s="10" t="str">
        <f>IFERROR(IF(MARÍTIMOS[[#This Row],[Booking|AWB|CRT]]="","",MARÍTIMOS[[#This Row],[Booking|AWB|CRT]]),"")</f>
        <v>PER9089919A</v>
      </c>
      <c r="P148" s="2" t="str">
        <f>IFERROR(IF(MARÍTIMOS[[#This Row],[Contenedor]]="","",MARÍTIMOS[[#This Row],[Contenedor]]),"")</f>
        <v>BMOU9893760</v>
      </c>
      <c r="Q148" s="2" t="str">
        <f>IFERROR(IF(MARÍTIMOS[[#This Row],[Puerto de Retiro]]="","",MARÍTIMOS[[#This Row],[Puerto de Retiro]]),"")</f>
        <v>PAITA</v>
      </c>
      <c r="R148" s="2" t="str">
        <f>IFERROR(IF(MARÍTIMOS[[#This Row],[Almacén de Retiro]]="","",MARÍTIMOS[[#This Row],[Almacén de Retiro]]),"")</f>
        <v>DPW</v>
      </c>
      <c r="S148" s="11">
        <f>IFERROR(IF(MARÍTIMOS[[#This Row],[Etapa Retiro - Cita]]="","",MARÍTIMOS[[#This Row],[Etapa Retiro - Cita]]),"")</f>
        <v>46173.583333333336</v>
      </c>
      <c r="T148" s="11">
        <f>IFERROR(IF(MARÍTIMOS[[#This Row],[Etapa Retiro - Llegada]]="","",MARÍTIMOS[[#This Row],[Etapa Retiro - Llegada]]),"")</f>
        <v>46173.594444444447</v>
      </c>
      <c r="U148" s="11">
        <f>IFERROR(IF(MARÍTIMOS[[#This Row],[Etapa Retiro - Ingreso]]="","",MARÍTIMOS[[#This Row],[Etapa Retiro - Ingreso]]),"")</f>
        <v>46173.611111111109</v>
      </c>
      <c r="V148" s="11">
        <f>IFERROR(IF(MARÍTIMOS[[#This Row],[Etapa Retiro - Atención]]="","",MARÍTIMOS[[#This Row],[Etapa Retiro - Atención]]),"")</f>
        <v>46173.615277777775</v>
      </c>
      <c r="W148" s="11">
        <f>IFERROR(IF(MARÍTIMOS[[#This Row],[Etapa Retiro - Salida]]="","",MARÍTIMOS[[#This Row],[Etapa Retiro - Salida]]),"")</f>
        <v>46173.668055555558</v>
      </c>
      <c r="X148" s="11">
        <f>IFERROR(IF(MARÍTIMOS[[#This Row],[Etapa Retiro - Inicio de Ruta]]="","",MARÍTIMOS[[#This Row],[Etapa Retiro - Inicio de Ruta]]),"")</f>
        <v>46173.709722222222</v>
      </c>
      <c r="Y148" s="11">
        <f>IFERROR(IF(MARÍTIMOS[[#This Row],[Hora de Posicionamiento]]="","",MARÍTIMOS[[#This Row],[Hora de Carga]]+MARÍTIMOS[[#This Row],[Hora de Posicionamiento]]),"")</f>
        <v>1.1666666666666665</v>
      </c>
      <c r="Z148" s="11">
        <f>IFERROR(IF(MARÍTIMOS[[#This Row],[Etapa Despacho -  Llegada]]="","",MARÍTIMOS[[#This Row],[Etapa Despacho -  Llegada]]),"")</f>
        <v>46174.594444444447</v>
      </c>
      <c r="AA148" s="11">
        <f>IFERROR(IF(MARÍTIMOS[[#This Row],[Etapa Despacho -  Registro]]="","",MARÍTIMOS[[#This Row],[Etapa Despacho -  Registro]]),"")</f>
        <v>46174.595833333333</v>
      </c>
      <c r="AB148" s="11">
        <f>IFERROR(IF(MARÍTIMOS[[#This Row],[Inspección Externa]]="","",MARÍTIMOS[[#This Row],[Inspección Externa]]),"")</f>
        <v>46174.607638888891</v>
      </c>
      <c r="AC148" s="11">
        <f>IFERROR(IF(MARÍTIMOS[[#This Row],[Etapa Despacho -  Inicio de Carga]]="","",MARÍTIMOS[[#This Row],[Etapa Despacho -  Inicio de Carga]]),"")</f>
        <v>46174.680555555555</v>
      </c>
      <c r="AD148" s="11">
        <f>IFERROR(IF(MARÍTIMOS[[#This Row],[Etapa Despacho -  Fin de Carga]]="","",MARÍTIMOS[[#This Row],[Etapa Despacho -  Fin de Carga]]),"")</f>
        <v>46174.712500000001</v>
      </c>
      <c r="AE148" s="11">
        <f>IFERROR(IF(MARÍTIMOS[[#This Row],[Etapa Despacho -  Salida]]="","",MARÍTIMOS[[#This Row],[Etapa Despacho -  Salida]]),"")</f>
        <v>46174.799305555556</v>
      </c>
      <c r="AF148" s="2" t="str">
        <f>IFERROR(IF(MARÍTIMOS[[#This Row],[Puerto de Embarque]]="","",MARÍTIMOS[[#This Row],[Puerto de Embarque]]),"")</f>
        <v>Paita</v>
      </c>
      <c r="AG148" s="2" t="str">
        <f>IFERROR(IF(MARÍTIMOS[[#This Row],[Almacén de Ingreso]]="","",MARÍTIMOS[[#This Row],[Almacén de Ingreso]]),"")</f>
        <v>TPE</v>
      </c>
      <c r="AH148" s="11">
        <f>IFERROR(IF(MARÍTIMOS[[#This Row],[Etapa Ingreso - Cita]]="","",MARÍTIMOS[[#This Row],[Etapa Ingreso - Cita]]),"")</f>
        <v>46175.5</v>
      </c>
      <c r="AI148" s="11">
        <f>IFERROR(IF(MARÍTIMOS[[#This Row],[Etapa Ingreso - Llegada]]="","",MARÍTIMOS[[#This Row],[Etapa Ingreso - Llegada]]),"")</f>
        <v>46175.491666666669</v>
      </c>
      <c r="AJ148" s="11">
        <f>IFERROR(IF(MARÍTIMOS[[#This Row],[Etapa Ingreso - Ingeso]]="","",MARÍTIMOS[[#This Row],[Etapa Ingreso - Ingeso]]),"")</f>
        <v>46175.494444444441</v>
      </c>
      <c r="AK148" s="11">
        <f>IFERROR(IF(MARÍTIMOS[[#This Row],[Etapa Ingreso - Atención]]="","",MARÍTIMOS[[#This Row],[Etapa Ingreso - Atención]]),"")</f>
        <v>46175.497916666667</v>
      </c>
      <c r="AL148" s="11">
        <f>IFERROR(IF(MARÍTIMOS[[#This Row],[Etapa Ingreso - Salida]]="","",MARÍTIMOS[[#This Row],[Etapa Ingreso - Salida]]),"")</f>
        <v>46175.505555555559</v>
      </c>
      <c r="AM148" s="2">
        <f>IFERROR(IF(MARÍTIMOS[[#This Row],[FCL]]="","",MARÍTIMOS[[#This Row],[FCL]]),"")</f>
        <v>1</v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8" s="5">
        <f>IFERROR(OLDBD[[#This Row],[Llegada a packing]]-OLDBD[[#This Row],[Inicio de Ruta]],"")</f>
        <v>0.88472222222480923</v>
      </c>
      <c r="AQ148" s="6">
        <f>IFERROR(OLDBD[[#This Row],[Inicio de Ruta]]-OLDBD[[#This Row],[Salida de almacén de retiro]],"")</f>
        <v>4.1666666664241347E-2</v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8" s="9">
        <f>IFERROR(OLDBD[[#This Row],[Ingreso Packing]]-OLDBD[[#This Row],[Registro en Packing]],"")</f>
        <v>1.1805555557657499E-2</v>
      </c>
      <c r="AV148" s="9">
        <f>IFERROR(OLDBD[[#This Row],[Ingreso Packing]]-OLDBD[[#This Row],[Llegada a packing]],"")</f>
        <v>1.3194444443797693E-2</v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48" s="5">
        <f>IFERROR(OLDBD[[#This Row],[Llegada Almacén de Ingreso]]-OLDBD[[#This Row],[Salida Packing]],"")</f>
        <v>0.69236111111240461</v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8" s="45" t="s">
        <v>181</v>
      </c>
      <c r="BB148" s="53" t="str">
        <f>IFERROR(IF(MARÍTIMOS[[#This Row],[Estatus]]="","",MARÍTIMOS[[#This Row],[Estatus]]),"")</f>
        <v>Confirmado</v>
      </c>
      <c r="BC148" s="45"/>
      <c r="BD148" s="52">
        <f>IFERROR(OLDBD[[#This Row],[Salida de almacén de retiro]]-OLDBD[[#This Row],[Ingreso Almacén de retiro]],"")</f>
        <v>5.6944444448163267E-2</v>
      </c>
      <c r="BE148" s="52">
        <f>IFERROR(OLDBD[[#This Row],[Fin de Carga]]-OLDBD[[#This Row],[Inicio de Carga]],"")</f>
        <v>3.1944444446708076E-2</v>
      </c>
    </row>
    <row r="149" spans="1:57" x14ac:dyDescent="0.35">
      <c r="A149" s="1"/>
      <c r="B149" s="1">
        <f>IFERROR(IF(MARÍTIMOS[[#This Row],[PP]]="","",MARÍTIMOS[[#This Row],[PP]]),"")</f>
        <v>22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RH-0014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NO</v>
      </c>
      <c r="H149" s="2" t="str">
        <f>IFERROR(IF(MARÍTIMOS[[#This Row],[Razón Social]]="","",MARÍTIMOS[[#This Row],[Razón Social]]),"")</f>
        <v xml:space="preserve">LOGISTICA INTERMODAL DEL PERU S.A.C.
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BBG-864</v>
      </c>
      <c r="K149" s="2" t="str">
        <f>IFERROR(IF(MARÍTIMOS[[#This Row],[Placa Carreta]]="","",MARÍTIMOS[[#This Row],[Placa Carreta]]),"")</f>
        <v>AMZ-980</v>
      </c>
      <c r="L149" s="46" t="str">
        <f>IFERROR(IF(MARÍTIMOS[[#This Row],[Conductor]]="","",MARÍTIMOS[[#This Row],[Conductor]]),"")</f>
        <v>CHIROQUE BOCANEGRA NAZARENO</v>
      </c>
      <c r="M149" s="2" t="str">
        <f>IFERROR(IF(MARÍTIMOS[[#This Row],[Licencia]]="","",MARÍTIMOS[[#This Row],[Licencia]]),"")</f>
        <v>Q43200665</v>
      </c>
      <c r="N149" s="2" t="str">
        <f>IFERROR(IF(MARÍTIMOS[[#This Row],[Número de Contacto]]="","",MARÍTIMOS[[#This Row],[Número de Contacto]]),"")</f>
        <v>963 895 385</v>
      </c>
      <c r="O149" s="10" t="str">
        <f>IFERROR(IF(MARÍTIMOS[[#This Row],[Booking|AWB|CRT]]="","",MARÍTIMOS[[#This Row],[Booking|AWB|CRT]]),"")</f>
        <v>PER9094721A</v>
      </c>
      <c r="P149" s="2" t="str">
        <f>IFERROR(IF(MARÍTIMOS[[#This Row],[Contenedor]]="","",MARÍTIMOS[[#This Row],[Contenedor]]),"")</f>
        <v>SZLU9302534</v>
      </c>
      <c r="Q149" s="2" t="str">
        <f>IFERROR(IF(MARÍTIMOS[[#This Row],[Puerto de Retiro]]="","",MARÍTIMOS[[#This Row],[Puerto de Retiro]]),"")</f>
        <v>PAITA</v>
      </c>
      <c r="R149" s="2" t="str">
        <f>IFERROR(IF(MARÍTIMOS[[#This Row],[Almacén de Retiro]]="","",MARÍTIMOS[[#This Row],[Almacén de Retiro]]),"")</f>
        <v>DPW</v>
      </c>
      <c r="S149" s="11">
        <f>IFERROR(IF(MARÍTIMOS[[#This Row],[Etapa Retiro - Cita]]="","",MARÍTIMOS[[#This Row],[Etapa Retiro - Cita]]),"")</f>
        <v>46174.5</v>
      </c>
      <c r="T149" s="11">
        <f>IFERROR(IF(MARÍTIMOS[[#This Row],[Etapa Retiro - Llegada]]="","",MARÍTIMOS[[#This Row],[Etapa Retiro - Llegada]]),"")</f>
        <v>46174.517361111109</v>
      </c>
      <c r="U149" s="11">
        <f>IFERROR(IF(MARÍTIMOS[[#This Row],[Etapa Retiro - Ingreso]]="","",MARÍTIMOS[[#This Row],[Etapa Retiro - Ingreso]]),"")</f>
        <v>46174.521527777775</v>
      </c>
      <c r="V149" s="11">
        <f>IFERROR(IF(MARÍTIMOS[[#This Row],[Etapa Retiro - Atención]]="","",MARÍTIMOS[[#This Row],[Etapa Retiro - Atención]]),"")</f>
        <v>46174.52847222222</v>
      </c>
      <c r="W149" s="11">
        <f>IFERROR(IF(MARÍTIMOS[[#This Row],[Etapa Retiro - Salida]]="","",MARÍTIMOS[[#This Row],[Etapa Retiro - Salida]]),"")</f>
        <v>46174.569444444445</v>
      </c>
      <c r="X149" s="11">
        <f>IFERROR(IF(MARÍTIMOS[[#This Row],[Etapa Retiro - Inicio de Ruta]]="","",MARÍTIMOS[[#This Row],[Etapa Retiro - Inicio de Ruta]]),"")</f>
        <v>46174.611111111109</v>
      </c>
      <c r="Y149" s="11">
        <f>IFERROR(IF(MARÍTIMOS[[#This Row],[Hora de Posicionamiento]]="","",MARÍTIMOS[[#This Row],[Hora de Carga]]+MARÍTIMOS[[#This Row],[Hora de Posicionamiento]]),"")</f>
        <v>0.75</v>
      </c>
      <c r="Z149" s="11">
        <f>IFERROR(IF(MARÍTIMOS[[#This Row],[Etapa Despacho -  Llegada]]="","",MARÍTIMOS[[#This Row],[Etapa Despacho -  Llegada]]),"")</f>
        <v>46175.40625</v>
      </c>
      <c r="AA149" s="11">
        <f>IFERROR(IF(MARÍTIMOS[[#This Row],[Etapa Despacho -  Registro]]="","",MARÍTIMOS[[#This Row],[Etapa Despacho -  Registro]]),"")</f>
        <v>46175.406944444447</v>
      </c>
      <c r="AB149" s="11">
        <f>IFERROR(IF(MARÍTIMOS[[#This Row],[Inspección Externa]]="","",MARÍTIMOS[[#This Row],[Inspección Externa]]),"")</f>
        <v>46175.417361111111</v>
      </c>
      <c r="AC149" s="11">
        <f>IFERROR(IF(MARÍTIMOS[[#This Row],[Etapa Despacho -  Inicio de Carga]]="","",MARÍTIMOS[[#This Row],[Etapa Despacho -  Inicio de Carga]]),"")</f>
        <v>46175.541666666664</v>
      </c>
      <c r="AD149" s="11">
        <f>IFERROR(IF(MARÍTIMOS[[#This Row],[Etapa Despacho -  Fin de Carga]]="","",MARÍTIMOS[[#This Row],[Etapa Despacho -  Fin de Carga]]),"")</f>
        <v>46175.556250000001</v>
      </c>
      <c r="AE149" s="11">
        <f>IFERROR(IF(MARÍTIMOS[[#This Row],[Etapa Despacho -  Salida]]="","",MARÍTIMOS[[#This Row],[Etapa Despacho -  Salida]]),"")</f>
        <v>46175.604861111111</v>
      </c>
      <c r="AF149" s="2" t="str">
        <f>IFERROR(IF(MARÍTIMOS[[#This Row],[Puerto de Embarque]]="","",MARÍTIMOS[[#This Row],[Puerto de Embarque]]),"")</f>
        <v>Paita</v>
      </c>
      <c r="AG149" s="2" t="str">
        <f>IFERROR(IF(MARÍTIMOS[[#This Row],[Almacén de Ingreso]]="","",MARÍTIMOS[[#This Row],[Almacén de Ingreso]]),"")</f>
        <v>TPE</v>
      </c>
      <c r="AH149" s="11">
        <f>IFERROR(IF(MARÍTIMOS[[#This Row],[Etapa Ingreso - Cita]]="","",MARÍTIMOS[[#This Row],[Etapa Ingreso - Cita]]),"")</f>
        <v>46176.416666666664</v>
      </c>
      <c r="AI149" s="11">
        <f>IFERROR(IF(MARÍTIMOS[[#This Row],[Etapa Ingreso - Llegada]]="","",MARÍTIMOS[[#This Row],[Etapa Ingreso - Llegada]]),"")</f>
        <v>46176.418055555558</v>
      </c>
      <c r="AJ149" s="11">
        <f>IFERROR(IF(MARÍTIMOS[[#This Row],[Etapa Ingreso - Ingeso]]="","",MARÍTIMOS[[#This Row],[Etapa Ingreso - Ingeso]]),"")</f>
        <v>46176.42083333333</v>
      </c>
      <c r="AK149" s="11">
        <f>IFERROR(IF(MARÍTIMOS[[#This Row],[Etapa Ingreso - Atención]]="","",MARÍTIMOS[[#This Row],[Etapa Ingreso - Atención]]),"")</f>
        <v>46176.424305555556</v>
      </c>
      <c r="AL149" s="11">
        <f>IFERROR(IF(MARÍTIMOS[[#This Row],[Etapa Ingreso - Salida]]="","",MARÍTIMOS[[#This Row],[Etapa Ingreso - Salida]]),"")</f>
        <v>46176.441666666666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9" s="5">
        <f>IFERROR(OLDBD[[#This Row],[Llegada a packing]]-OLDBD[[#This Row],[Inicio de Ruta]],"")</f>
        <v>0.79513888889050577</v>
      </c>
      <c r="AQ149" s="6">
        <f>IFERROR(OLDBD[[#This Row],[Inicio de Ruta]]-OLDBD[[#This Row],[Salida de almacén de retiro]],"")</f>
        <v>4.1666666664241347E-2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9" s="9">
        <f>IFERROR(OLDBD[[#This Row],[Ingreso Packing]]-OLDBD[[#This Row],[Registro en Packing]],"")</f>
        <v>1.0416666664241347E-2</v>
      </c>
      <c r="AV149" s="9">
        <f>IFERROR(OLDBD[[#This Row],[Ingreso Packing]]-OLDBD[[#This Row],[Llegada a packing]],"")</f>
        <v>1.1111111110949423E-2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9" s="5">
        <f>IFERROR(OLDBD[[#This Row],[Llegada Almacén de Ingreso]]-OLDBD[[#This Row],[Salida Packing]],"")</f>
        <v>0.81319444444670808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5" t="s">
        <v>181</v>
      </c>
      <c r="BB149" s="53" t="str">
        <f>IFERROR(IF(MARÍTIMOS[[#This Row],[Estatus]]="","",MARÍTIMOS[[#This Row],[Estatus]]),"")</f>
        <v>Confirmado</v>
      </c>
      <c r="BC149" s="45"/>
      <c r="BD149" s="52">
        <f>IFERROR(OLDBD[[#This Row],[Salida de almacén de retiro]]-OLDBD[[#This Row],[Ingreso Almacén de retiro]],"")</f>
        <v>4.7916666670062114E-2</v>
      </c>
      <c r="BE149" s="52">
        <f>IFERROR(OLDBD[[#This Row],[Fin de Carga]]-OLDBD[[#This Row],[Inicio de Carga]],"")</f>
        <v>1.4583333337213844E-2</v>
      </c>
    </row>
    <row r="150" spans="1:57" x14ac:dyDescent="0.35">
      <c r="A150" s="1"/>
      <c r="B150" s="1">
        <f>IFERROR(IF(MARÍTIMOS[[#This Row],[PP]]="","",MARÍTIMOS[[#This Row],[PP]]),"")</f>
        <v>23</v>
      </c>
      <c r="C150" s="1" t="str">
        <f>IFERROR(IF(MARÍTIMOS[[#This Row],[Sede]]="","",MARÍTIMOS[[#This Row],[Sede]]),"")</f>
        <v>Chao</v>
      </c>
      <c r="D150" s="1" t="str">
        <f>IFERROR(IF(MARÍTIMOS[[#This Row],[Instruction]]="","",MARÍTIMOS[[#This Row],[Instruction]]),"")</f>
        <v>RH-0028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NO</v>
      </c>
      <c r="H150" s="2" t="str">
        <f>IFERROR(IF(MARÍTIMOS[[#This Row],[Razón Social]]="","",MARÍTIMOS[[#This Row],[Razón Social]]),"")</f>
        <v xml:space="preserve">LOGISTICA INTERMODAL DEL PERU S.A.C.
</v>
      </c>
      <c r="I150" s="2">
        <f>IFERROR(IF(MARÍTIMOS[[#This Row],[RUC]]="","",MARÍTIMOS[[#This Row],[RUC]]),"")</f>
        <v>20513040718</v>
      </c>
      <c r="J150" s="2" t="str">
        <f>IFERROR(IF(MARÍTIMOS[[#This Row],[Placa Tracto]]="","",MARÍTIMOS[[#This Row],[Placa Tracto]]),"")</f>
        <v>BBG-864</v>
      </c>
      <c r="K150" s="2" t="str">
        <f>IFERROR(IF(MARÍTIMOS[[#This Row],[Placa Carreta]]="","",MARÍTIMOS[[#This Row],[Placa Carreta]]),"")</f>
        <v>AMZ-980</v>
      </c>
      <c r="L150" s="46" t="str">
        <f>IFERROR(IF(MARÍTIMOS[[#This Row],[Conductor]]="","",MARÍTIMOS[[#This Row],[Conductor]]),"")</f>
        <v>DIOSES MIRANDA WILLIAM ARTURO</v>
      </c>
      <c r="M150" s="2" t="str">
        <f>IFERROR(IF(MARÍTIMOS[[#This Row],[Licencia]]="","",MARÍTIMOS[[#This Row],[Licencia]]),"")</f>
        <v>B03508313</v>
      </c>
      <c r="N150" s="2" t="str">
        <f>IFERROR(IF(MARÍTIMOS[[#This Row],[Número de Contacto]]="","",MARÍTIMOS[[#This Row],[Número de Contacto]]),"")</f>
        <v>920 494 359</v>
      </c>
      <c r="O150" s="10" t="str">
        <f>IFERROR(IF(MARÍTIMOS[[#This Row],[Booking|AWB|CRT]]="","",MARÍTIMOS[[#This Row],[Booking|AWB|CRT]]),"")</f>
        <v>PER9099496A</v>
      </c>
      <c r="P150" s="2" t="str">
        <f>IFERROR(IF(MARÍTIMOS[[#This Row],[Contenedor]]="","",MARÍTIMOS[[#This Row],[Contenedor]]),"")</f>
        <v>SEKU9424169</v>
      </c>
      <c r="Q150" s="2" t="str">
        <f>IFERROR(IF(MARÍTIMOS[[#This Row],[Puerto de Retiro]]="","",MARÍTIMOS[[#This Row],[Puerto de Retiro]]),"")</f>
        <v>PAITA</v>
      </c>
      <c r="R150" s="2" t="str">
        <f>IFERROR(IF(MARÍTIMOS[[#This Row],[Almacén de Retiro]]="","",MARÍTIMOS[[#This Row],[Almacén de Retiro]]),"")</f>
        <v>DPW</v>
      </c>
      <c r="S150" s="11">
        <f>IFERROR(IF(MARÍTIMOS[[#This Row],[Etapa Retiro - Cita]]="","",MARÍTIMOS[[#This Row],[Etapa Retiro - Cita]]),"")</f>
        <v>46181.5</v>
      </c>
      <c r="T150" s="11">
        <f>IFERROR(IF(MARÍTIMOS[[#This Row],[Etapa Retiro - Llegada]]="","",MARÍTIMOS[[#This Row],[Etapa Retiro - Llegada]]),"")</f>
        <v>46181.513194444444</v>
      </c>
      <c r="U150" s="11">
        <f>IFERROR(IF(MARÍTIMOS[[#This Row],[Etapa Retiro - Ingreso]]="","",MARÍTIMOS[[#This Row],[Etapa Retiro - Ingreso]]),"")</f>
        <v>46181.614583333336</v>
      </c>
      <c r="V150" s="11">
        <f>IFERROR(IF(MARÍTIMOS[[#This Row],[Etapa Retiro - Atención]]="","",MARÍTIMOS[[#This Row],[Etapa Retiro - Atención]]),"")</f>
        <v>46181.621527777781</v>
      </c>
      <c r="W150" s="11">
        <f>IFERROR(IF(MARÍTIMOS[[#This Row],[Etapa Retiro - Salida]]="","",MARÍTIMOS[[#This Row],[Etapa Retiro - Salida]]),"")</f>
        <v>46181.677083333336</v>
      </c>
      <c r="X150" s="11">
        <f>IFERROR(IF(MARÍTIMOS[[#This Row],[Etapa Retiro - Inicio de Ruta]]="","",MARÍTIMOS[[#This Row],[Etapa Retiro - Inicio de Ruta]]),"")</f>
        <v>46181.71875</v>
      </c>
      <c r="Y150" s="11">
        <f>IFERROR(IF(MARÍTIMOS[[#This Row],[Hora de Posicionamiento]]="","",MARÍTIMOS[[#This Row],[Hora de Carga]]+MARÍTIMOS[[#This Row],[Hora de Posicionamiento]]),"")</f>
        <v>0.75</v>
      </c>
      <c r="Z150" s="11">
        <f>IFERROR(IF(MARÍTIMOS[[#This Row],[Etapa Despacho -  Llegada]]="","",MARÍTIMOS[[#This Row],[Etapa Despacho -  Llegada]]),"")</f>
        <v>46182.432638888888</v>
      </c>
      <c r="AA150" s="11">
        <f>IFERROR(IF(MARÍTIMOS[[#This Row],[Etapa Despacho -  Registro]]="","",MARÍTIMOS[[#This Row],[Etapa Despacho -  Registro]]),"")</f>
        <v>46182.433333333334</v>
      </c>
      <c r="AB150" s="11">
        <f>IFERROR(IF(MARÍTIMOS[[#This Row],[Inspección Externa]]="","",MARÍTIMOS[[#This Row],[Inspección Externa]]),"")</f>
        <v>46182.439583333333</v>
      </c>
      <c r="AC150" s="11">
        <f>IFERROR(IF(MARÍTIMOS[[#This Row],[Etapa Despacho -  Inicio de Carga]]="","",MARÍTIMOS[[#This Row],[Etapa Despacho -  Inicio de Carga]]),"")</f>
        <v>46182.446527777778</v>
      </c>
      <c r="AD150" s="11">
        <f>IFERROR(IF(MARÍTIMOS[[#This Row],[Etapa Despacho -  Fin de Carga]]="","",MARÍTIMOS[[#This Row],[Etapa Despacho -  Fin de Carga]]),"")</f>
        <v>46182.59652777778</v>
      </c>
      <c r="AE150" s="11">
        <f>IFERROR(IF(MARÍTIMOS[[#This Row],[Etapa Despacho -  Salida]]="","",MARÍTIMOS[[#This Row],[Etapa Despacho -  Salida]]),"")</f>
        <v>46182.603472222225</v>
      </c>
      <c r="AF150" s="2" t="str">
        <f>IFERROR(IF(MARÍTIMOS[[#This Row],[Puerto de Embarque]]="","",MARÍTIMOS[[#This Row],[Puerto de Embarque]]),"")</f>
        <v>Paita</v>
      </c>
      <c r="AG150" s="2" t="str">
        <f>IFERROR(IF(MARÍTIMOS[[#This Row],[Almacén de Ingreso]]="","",MARÍTIMOS[[#This Row],[Almacén de Ingreso]]),"")</f>
        <v>TPE</v>
      </c>
      <c r="AH150" s="11">
        <f>IFERROR(IF(MARÍTIMOS[[#This Row],[Etapa Ingreso - Cita]]="","",MARÍTIMOS[[#This Row],[Etapa Ingreso - Cita]]),"")</f>
        <v>46183.333333333336</v>
      </c>
      <c r="AI150" s="11">
        <f>IFERROR(IF(MARÍTIMOS[[#This Row],[Etapa Ingreso - Llegada]]="","",MARÍTIMOS[[#This Row],[Etapa Ingreso - Llegada]]),"")</f>
        <v>46183.345138888886</v>
      </c>
      <c r="AJ150" s="11">
        <f>IFERROR(IF(MARÍTIMOS[[#This Row],[Etapa Ingreso - Ingeso]]="","",MARÍTIMOS[[#This Row],[Etapa Ingreso - Ingeso]]),"")</f>
        <v>46183.351388888892</v>
      </c>
      <c r="AK150" s="11">
        <f>IFERROR(IF(MARÍTIMOS[[#This Row],[Etapa Ingreso - Atención]]="","",MARÍTIMOS[[#This Row],[Etapa Ingreso - Atención]]),"")</f>
        <v>46183.35833333333</v>
      </c>
      <c r="AL150" s="11">
        <f>IFERROR(IF(MARÍTIMOS[[#This Row],[Etapa Ingreso - Salida]]="","",MARÍTIMOS[[#This Row],[Etapa Ingreso - Salida]]),"")</f>
        <v>46183.361111111109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0" s="5">
        <f>IFERROR(OLDBD[[#This Row],[Llegada a packing]]-OLDBD[[#This Row],[Inicio de Ruta]],"")</f>
        <v>0.71388888888759539</v>
      </c>
      <c r="AQ150" s="6">
        <f>IFERROR(OLDBD[[#This Row],[Inicio de Ruta]]-OLDBD[[#This Row],[Salida de almacén de retiro]],"")</f>
        <v>4.1666666664241347E-2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6.2499999985448085E-3</v>
      </c>
      <c r="AV150" s="9">
        <f>IFERROR(OLDBD[[#This Row],[Ingreso Packing]]-OLDBD[[#This Row],[Llegada a packing]],"")</f>
        <v>6.9444444452528842E-3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0" s="5">
        <f>IFERROR(OLDBD[[#This Row],[Llegada Almacén de Ingreso]]-OLDBD[[#This Row],[Salida Packing]],"")</f>
        <v>0.74166666666133096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5" t="s">
        <v>181</v>
      </c>
      <c r="BB150" s="53" t="str">
        <f>IFERROR(IF(MARÍTIMOS[[#This Row],[Estatus]]="","",MARÍTIMOS[[#This Row],[Estatus]]),"")</f>
        <v>Confirmado</v>
      </c>
      <c r="BC150" s="45"/>
      <c r="BD150" s="52">
        <f>IFERROR(OLDBD[[#This Row],[Salida de almacén de retiro]]-OLDBD[[#This Row],[Ingreso Almacén de retiro]],"")</f>
        <v>6.25E-2</v>
      </c>
      <c r="BE150" s="52">
        <f>IFERROR(OLDBD[[#This Row],[Fin de Carga]]-OLDBD[[#This Row],[Inicio de Carga]],"")</f>
        <v>0.15000000000145519</v>
      </c>
    </row>
    <row r="151" spans="1:57" x14ac:dyDescent="0.35">
      <c r="A151" s="1"/>
      <c r="B151" s="1">
        <f>IFERROR(IF(MARÍTIMOS[[#This Row],[PP]]="","",MARÍTIMOS[[#This Row],[PP]]),"")</f>
        <v>24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RH-0050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NO</v>
      </c>
      <c r="H151" s="2" t="str">
        <f>IFERROR(IF(MARÍTIMOS[[#This Row],[Razón Social]]="","",MARÍTIMOS[[#This Row],[Razón Social]]),"")</f>
        <v xml:space="preserve">LOGISTICA INTERMODAL DEL PERU S.A.C.
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BBG-864</v>
      </c>
      <c r="K151" s="2" t="str">
        <f>IFERROR(IF(MARÍTIMOS[[#This Row],[Placa Carreta]]="","",MARÍTIMOS[[#This Row],[Placa Carreta]]),"")</f>
        <v>AMZ-980</v>
      </c>
      <c r="L151" s="46" t="str">
        <f>IFERROR(IF(MARÍTIMOS[[#This Row],[Conductor]]="","",MARÍTIMOS[[#This Row],[Conductor]]),"")</f>
        <v>DIOSES MIRANDA WILLIAM ARTURO</v>
      </c>
      <c r="M151" s="2" t="str">
        <f>IFERROR(IF(MARÍTIMOS[[#This Row],[Licencia]]="","",MARÍTIMOS[[#This Row],[Licencia]]),"")</f>
        <v>B03508313</v>
      </c>
      <c r="N151" s="2" t="str">
        <f>IFERROR(IF(MARÍTIMOS[[#This Row],[Número de Contacto]]="","",MARÍTIMOS[[#This Row],[Número de Contacto]]),"")</f>
        <v>920 494 359</v>
      </c>
      <c r="O151" s="10" t="str">
        <f>IFERROR(IF(MARÍTIMOS[[#This Row],[Booking|AWB|CRT]]="","",MARÍTIMOS[[#This Row],[Booking|AWB|CRT]]),"")</f>
        <v>MBM250067089</v>
      </c>
      <c r="P151" s="2" t="str">
        <f>IFERROR(IF(MARÍTIMOS[[#This Row],[Contenedor]]="","",MARÍTIMOS[[#This Row],[Contenedor]]),"")</f>
        <v>CXRU1529150</v>
      </c>
      <c r="Q151" s="2" t="str">
        <f>IFERROR(IF(MARÍTIMOS[[#This Row],[Puerto de Retiro]]="","",MARÍTIMOS[[#This Row],[Puerto de Retiro]]),"")</f>
        <v>PAITA</v>
      </c>
      <c r="R151" s="2" t="str">
        <f>IFERROR(IF(MARÍTIMOS[[#This Row],[Almacén de Retiro]]="","",MARÍTIMOS[[#This Row],[Almacén de Retiro]]),"")</f>
        <v>MACROMAR</v>
      </c>
      <c r="S151" s="11">
        <f>IFERROR(IF(MARÍTIMOS[[#This Row],[Etapa Retiro - Cita]]="","",MARÍTIMOS[[#This Row],[Etapa Retiro - Cita]]),"")</f>
        <v>46183.666666666664</v>
      </c>
      <c r="T151" s="11">
        <f>IFERROR(IF(MARÍTIMOS[[#This Row],[Etapa Retiro - Llegada]]="","",MARÍTIMOS[[#This Row],[Etapa Retiro - Llegada]]),"")</f>
        <v>46183.7</v>
      </c>
      <c r="U151" s="11">
        <f>IFERROR(IF(MARÍTIMOS[[#This Row],[Etapa Retiro - Ingreso]]="","",MARÍTIMOS[[#This Row],[Etapa Retiro - Ingreso]]),"")</f>
        <v>46183.708333333336</v>
      </c>
      <c r="V151" s="11">
        <f>IFERROR(IF(MARÍTIMOS[[#This Row],[Etapa Retiro - Atención]]="","",MARÍTIMOS[[#This Row],[Etapa Retiro - Atención]]),"")</f>
        <v>46183.715277777781</v>
      </c>
      <c r="W151" s="11">
        <f>IFERROR(IF(MARÍTIMOS[[#This Row],[Etapa Retiro - Salida]]="","",MARÍTIMOS[[#This Row],[Etapa Retiro - Salida]]),"")</f>
        <v>46183.777777777781</v>
      </c>
      <c r="X151" s="11">
        <f>IFERROR(IF(MARÍTIMOS[[#This Row],[Etapa Retiro - Inicio de Ruta]]="","",MARÍTIMOS[[#This Row],[Etapa Retiro - Inicio de Ruta]]),"")</f>
        <v>46183.819444444445</v>
      </c>
      <c r="Y151" s="11">
        <f>IFERROR(IF(MARÍTIMOS[[#This Row],[Hora de Posicionamiento]]="","",MARÍTIMOS[[#This Row],[Hora de Carga]]+MARÍTIMOS[[#This Row],[Hora de Posicionamiento]]),"")</f>
        <v>0.75</v>
      </c>
      <c r="Z151" s="11">
        <f>IFERROR(IF(MARÍTIMOS[[#This Row],[Etapa Despacho -  Llegada]]="","",MARÍTIMOS[[#This Row],[Etapa Despacho -  Llegada]]),"")</f>
        <v>46184.51666666667</v>
      </c>
      <c r="AA151" s="11">
        <f>IFERROR(IF(MARÍTIMOS[[#This Row],[Etapa Despacho -  Registro]]="","",MARÍTIMOS[[#This Row],[Etapa Despacho -  Registro]]),"")</f>
        <v>46184.519444444442</v>
      </c>
      <c r="AB151" s="11">
        <f>IFERROR(IF(MARÍTIMOS[[#This Row],[Inspección Externa]]="","",MARÍTIMOS[[#This Row],[Inspección Externa]]),"")</f>
        <v>46184.520833333336</v>
      </c>
      <c r="AC151" s="11">
        <f>IFERROR(IF(MARÍTIMOS[[#This Row],[Etapa Despacho -  Inicio de Carga]]="","",MARÍTIMOS[[#This Row],[Etapa Despacho -  Inicio de Carga]]),"")</f>
        <v>46184.523611111108</v>
      </c>
      <c r="AD151" s="11">
        <f>IFERROR(IF(MARÍTIMOS[[#This Row],[Etapa Despacho -  Fin de Carga]]="","",MARÍTIMOS[[#This Row],[Etapa Despacho -  Fin de Carga]]),"")</f>
        <v>46185.55</v>
      </c>
      <c r="AE151" s="11">
        <f>IFERROR(IF(MARÍTIMOS[[#This Row],[Etapa Despacho -  Salida]]="","",MARÍTIMOS[[#This Row],[Etapa Despacho -  Salida]]),"")</f>
        <v>46185.554166666669</v>
      </c>
      <c r="AF151" s="2" t="str">
        <f>IFERROR(IF(MARÍTIMOS[[#This Row],[Puerto de Embarque]]="","",MARÍTIMOS[[#This Row],[Puerto de Embarque]]),"")</f>
        <v>Paita</v>
      </c>
      <c r="AG151" s="2" t="str">
        <f>IFERROR(IF(MARÍTIMOS[[#This Row],[Almacén de Ingreso]]="","",MARÍTIMOS[[#This Row],[Almacén de Ingreso]]),"")</f>
        <v>TPE</v>
      </c>
      <c r="AH151" s="11">
        <f>IFERROR(IF(MARÍTIMOS[[#This Row],[Etapa Ingreso - Cita]]="","",MARÍTIMOS[[#This Row],[Etapa Ingreso - Cita]]),"")</f>
        <v>46186.375</v>
      </c>
      <c r="AI151" s="11">
        <f>IFERROR(IF(MARÍTIMOS[[#This Row],[Etapa Ingreso - Llegada]]="","",MARÍTIMOS[[#This Row],[Etapa Ingreso - Llegada]]),"")</f>
        <v>46186.361111111109</v>
      </c>
      <c r="AJ151" s="11">
        <f>IFERROR(IF(MARÍTIMOS[[#This Row],[Etapa Ingreso - Ingeso]]="","",MARÍTIMOS[[#This Row],[Etapa Ingreso - Ingeso]]),"")</f>
        <v>46186.366666666669</v>
      </c>
      <c r="AK151" s="11">
        <f>IFERROR(IF(MARÍTIMOS[[#This Row],[Etapa Ingreso - Atención]]="","",MARÍTIMOS[[#This Row],[Etapa Ingreso - Atención]]),"")</f>
        <v>46186.368055555555</v>
      </c>
      <c r="AL151" s="11">
        <f>IFERROR(IF(MARÍTIMOS[[#This Row],[Etapa Ingreso - Salida]]="","",MARÍTIMOS[[#This Row],[Etapa Ingreso - Salida]]),"")</f>
        <v>46186.371527777781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1" s="5">
        <f>IFERROR(OLDBD[[#This Row],[Llegada a packing]]-OLDBD[[#This Row],[Inicio de Ruta]],"")</f>
        <v>0.69722222222480923</v>
      </c>
      <c r="AQ151" s="6">
        <f>IFERROR(OLDBD[[#This Row],[Inicio de Ruta]]-OLDBD[[#This Row],[Salida de almacén de retiro]],"")</f>
        <v>4.1666666664241347E-2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1" s="9">
        <f>IFERROR(OLDBD[[#This Row],[Ingreso Packing]]-OLDBD[[#This Row],[Registro en Packing]],"")</f>
        <v>1.3888888934161514E-3</v>
      </c>
      <c r="AV151" s="9">
        <f>IFERROR(OLDBD[[#This Row],[Ingreso Packing]]-OLDBD[[#This Row],[Llegada a packing]],"")</f>
        <v>4.166666665696539E-3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1" s="5">
        <f>IFERROR(OLDBD[[#This Row],[Llegada Almacén de Ingreso]]-OLDBD[[#This Row],[Salida Packing]],"")</f>
        <v>0.80694444444088731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5" t="s">
        <v>181</v>
      </c>
      <c r="BB151" s="53" t="str">
        <f>IFERROR(IF(MARÍTIMOS[[#This Row],[Estatus]]="","",MARÍTIMOS[[#This Row],[Estatus]]),"")</f>
        <v>Confirmado</v>
      </c>
      <c r="BC151" s="45"/>
      <c r="BD151" s="52">
        <f>IFERROR(OLDBD[[#This Row],[Salida de almacén de retiro]]-OLDBD[[#This Row],[Ingreso Almacén de retiro]],"")</f>
        <v>6.9444444445252884E-2</v>
      </c>
      <c r="BE151" s="52">
        <f>IFERROR(OLDBD[[#This Row],[Fin de Carga]]-OLDBD[[#This Row],[Inicio de Carga]],"")</f>
        <v>1.0263888888948713</v>
      </c>
    </row>
    <row r="152" spans="1:57" x14ac:dyDescent="0.35">
      <c r="A152" s="1"/>
      <c r="B152" s="1">
        <f>IFERROR(IF(MARÍTIMOS[[#This Row],[PP]]="","",MARÍTIMOS[[#This Row],[PP]]),"")</f>
        <v>25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RH-0071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 xml:space="preserve">LOGISTICA INTERMODAL DEL PERU S.A.C.
</v>
      </c>
      <c r="I152" s="2">
        <f>IFERROR(IF(MARÍTIMOS[[#This Row],[RUC]]="","",MARÍTIMOS[[#This Row],[RUC]]),"")</f>
        <v>20513040718</v>
      </c>
      <c r="J152" s="2" t="str">
        <f>IFERROR(IF(MARÍTIMOS[[#This Row],[Placa Tracto]]="","",MARÍTIMOS[[#This Row],[Placa Tracto]]),"")</f>
        <v>ASO-911</v>
      </c>
      <c r="K152" s="2" t="str">
        <f>IFERROR(IF(MARÍTIMOS[[#This Row],[Placa Carreta]]="","",MARÍTIMOS[[#This Row],[Placa Carreta]]),"")</f>
        <v>ADF-995</v>
      </c>
      <c r="L152" s="46" t="str">
        <f>IFERROR(IF(MARÍTIMOS[[#This Row],[Conductor]]="","",MARÍTIMOS[[#This Row],[Conductor]]),"")</f>
        <v>HUAYAMA GARCIA FRANK ANTONIO</v>
      </c>
      <c r="M152" s="2" t="str">
        <f>IFERROR(IF(MARÍTIMOS[[#This Row],[Licencia]]="","",MARÍTIMOS[[#This Row],[Licencia]]),"")</f>
        <v>B47436868</v>
      </c>
      <c r="N152" s="2" t="str">
        <f>IFERROR(IF(MARÍTIMOS[[#This Row],[Número de Contacto]]="","",MARÍTIMOS[[#This Row],[Número de Contacto]]),"")</f>
        <v>920 494 111</v>
      </c>
      <c r="O152" s="10" t="str">
        <f>IFERROR(IF(MARÍTIMOS[[#This Row],[Booking|AWB|CRT]]="","",MARÍTIMOS[[#This Row],[Booking|AWB|CRT]]),"")</f>
        <v>MBM250067090</v>
      </c>
      <c r="P152" s="2" t="str">
        <f>IFERROR(IF(MARÍTIMOS[[#This Row],[Contenedor]]="","",MARÍTIMOS[[#This Row],[Contenedor]]),"")</f>
        <v>TCLU1374512</v>
      </c>
      <c r="Q152" s="2" t="str">
        <f>IFERROR(IF(MARÍTIMOS[[#This Row],[Puerto de Retiro]]="","",MARÍTIMOS[[#This Row],[Puerto de Retiro]]),"")</f>
        <v>PAITA</v>
      </c>
      <c r="R152" s="2" t="str">
        <f>IFERROR(IF(MARÍTIMOS[[#This Row],[Almacén de Retiro]]="","",MARÍTIMOS[[#This Row],[Almacén de Retiro]]),"")</f>
        <v>DPW</v>
      </c>
      <c r="S152" s="11">
        <f>IFERROR(IF(MARÍTIMOS[[#This Row],[Etapa Retiro - Cita]]="","",MARÍTIMOS[[#This Row],[Etapa Retiro - Cita]]),"")</f>
        <v>46191.458333333336</v>
      </c>
      <c r="T152" s="11">
        <f>IFERROR(IF(MARÍTIMOS[[#This Row],[Etapa Retiro - Llegada]]="","",MARÍTIMOS[[#This Row],[Etapa Retiro - Llegada]]),"")</f>
        <v>46191.491666666669</v>
      </c>
      <c r="U152" s="11">
        <f>IFERROR(IF(MARÍTIMOS[[#This Row],[Etapa Retiro - Ingreso]]="","",MARÍTIMOS[[#This Row],[Etapa Retiro - Ingreso]]),"")</f>
        <v>46191.495138888888</v>
      </c>
      <c r="V152" s="11">
        <f>IFERROR(IF(MARÍTIMOS[[#This Row],[Etapa Retiro - Atención]]="","",MARÍTIMOS[[#This Row],[Etapa Retiro - Atención]]),"")</f>
        <v>46191.5</v>
      </c>
      <c r="W152" s="11">
        <f>IFERROR(IF(MARÍTIMOS[[#This Row],[Etapa Retiro - Salida]]="","",MARÍTIMOS[[#This Row],[Etapa Retiro - Salida]]),"")</f>
        <v>46191.592361111114</v>
      </c>
      <c r="X152" s="11">
        <f>IFERROR(IF(MARÍTIMOS[[#This Row],[Etapa Retiro - Inicio de Ruta]]="","",MARÍTIMOS[[#This Row],[Etapa Retiro - Inicio de Ruta]]),"")</f>
        <v>46191.634027777778</v>
      </c>
      <c r="Y152" s="11">
        <f>IFERROR(IF(MARÍTIMOS[[#This Row],[Hora de Posicionamiento]]="","",MARÍTIMOS[[#This Row],[Hora de Carga]]+MARÍTIMOS[[#This Row],[Hora de Posicionamiento]]),"")</f>
        <v>0.75</v>
      </c>
      <c r="Z152" s="11">
        <f>IFERROR(IF(MARÍTIMOS[[#This Row],[Etapa Despacho -  Llegada]]="","",MARÍTIMOS[[#This Row],[Etapa Despacho -  Llegada]]),"")</f>
        <v>46192.333333333336</v>
      </c>
      <c r="AA152" s="11">
        <f>IFERROR(IF(MARÍTIMOS[[#This Row],[Etapa Despacho -  Registro]]="","",MARÍTIMOS[[#This Row],[Etapa Despacho -  Registro]]),"")</f>
        <v>46192.340277777781</v>
      </c>
      <c r="AB152" s="11">
        <f>IFERROR(IF(MARÍTIMOS[[#This Row],[Inspección Externa]]="","",MARÍTIMOS[[#This Row],[Inspección Externa]]),"")</f>
        <v>46192.347222222219</v>
      </c>
      <c r="AC152" s="11">
        <f>IFERROR(IF(MARÍTIMOS[[#This Row],[Etapa Despacho -  Inicio de Carga]]="","",MARÍTIMOS[[#This Row],[Etapa Despacho -  Inicio de Carga]]),"")</f>
        <v>46192.354166666664</v>
      </c>
      <c r="AD152" s="11">
        <f>IFERROR(IF(MARÍTIMOS[[#This Row],[Etapa Despacho -  Fin de Carga]]="","",MARÍTIMOS[[#This Row],[Etapa Despacho -  Fin de Carga]]),"")</f>
        <v>46192.658333333333</v>
      </c>
      <c r="AE152" s="11">
        <f>IFERROR(IF(MARÍTIMOS[[#This Row],[Etapa Despacho -  Salida]]="","",MARÍTIMOS[[#This Row],[Etapa Despacho -  Salida]]),"")</f>
        <v>46192.665277777778</v>
      </c>
      <c r="AF152" s="2" t="str">
        <f>IFERROR(IF(MARÍTIMOS[[#This Row],[Puerto de Embarque]]="","",MARÍTIMOS[[#This Row],[Puerto de Embarque]]),"")</f>
        <v>Paita</v>
      </c>
      <c r="AG152" s="2" t="str">
        <f>IFERROR(IF(MARÍTIMOS[[#This Row],[Almacén de Ingreso]]="","",MARÍTIMOS[[#This Row],[Almacén de Ingreso]]),"")</f>
        <v>TPE</v>
      </c>
      <c r="AH152" s="11">
        <f>IFERROR(IF(MARÍTIMOS[[#This Row],[Etapa Ingreso - Cita]]="","",MARÍTIMOS[[#This Row],[Etapa Ingreso - Cita]]),"")</f>
        <v>46193.333333333336</v>
      </c>
      <c r="AI152" s="11">
        <f>IFERROR(IF(MARÍTIMOS[[#This Row],[Etapa Ingreso - Llegada]]="","",MARÍTIMOS[[#This Row],[Etapa Ingreso - Llegada]]),"")</f>
        <v>46193.351388888892</v>
      </c>
      <c r="AJ152" s="11">
        <f>IFERROR(IF(MARÍTIMOS[[#This Row],[Etapa Ingreso - Ingeso]]="","",MARÍTIMOS[[#This Row],[Etapa Ingreso - Ingeso]]),"")</f>
        <v>46193.361111111109</v>
      </c>
      <c r="AK152" s="11">
        <f>IFERROR(IF(MARÍTIMOS[[#This Row],[Etapa Ingreso - Atención]]="","",MARÍTIMOS[[#This Row],[Etapa Ingreso - Atención]]),"")</f>
        <v>46193.362500000003</v>
      </c>
      <c r="AL152" s="11">
        <f>IFERROR(IF(MARÍTIMOS[[#This Row],[Etapa Ingreso - Salida]]="","",MARÍTIMOS[[#This Row],[Etapa Ingreso - Salida]]),"")</f>
        <v>46193.368055555555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2" s="5">
        <f>IFERROR(OLDBD[[#This Row],[Llegada a packing]]-OLDBD[[#This Row],[Inicio de Ruta]],"")</f>
        <v>0.6993055555576575</v>
      </c>
      <c r="AQ152" s="6">
        <f>IFERROR(OLDBD[[#This Row],[Inicio de Ruta]]-OLDBD[[#This Row],[Salida de almacén de retiro]],"")</f>
        <v>4.1666666664241347E-2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6.9444444379769266E-3</v>
      </c>
      <c r="AV152" s="9">
        <f>IFERROR(OLDBD[[#This Row],[Ingreso Packing]]-OLDBD[[#This Row],[Llegada a packing]],"")</f>
        <v>1.3888888883229811E-2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2" s="5">
        <f>IFERROR(OLDBD[[#This Row],[Llegada Almacén de Ingreso]]-OLDBD[[#This Row],[Salida Packing]],"")</f>
        <v>0.68611111111385981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5" t="s">
        <v>181</v>
      </c>
      <c r="BB152" s="53" t="str">
        <f>IFERROR(IF(MARÍTIMOS[[#This Row],[Estatus]]="","",MARÍTIMOS[[#This Row],[Estatus]]),"")</f>
        <v>Confirmado</v>
      </c>
      <c r="BC152" s="45"/>
      <c r="BD152" s="52">
        <f>IFERROR(OLDBD[[#This Row],[Salida de almacén de retiro]]-OLDBD[[#This Row],[Ingreso Almacén de retiro]],"")</f>
        <v>9.7222222226264421E-2</v>
      </c>
      <c r="BE152" s="52">
        <f>IFERROR(OLDBD[[#This Row],[Fin de Carga]]-OLDBD[[#This Row],[Inicio de Carga]],"")</f>
        <v>0.30416666666860692</v>
      </c>
    </row>
    <row r="153" spans="1:57" x14ac:dyDescent="0.35">
      <c r="A153" s="1"/>
      <c r="B153" s="1">
        <f>IFERROR(IF(MARÍTIMOS[[#This Row],[PP]]="","",MARÍTIMOS[[#This Row],[PP]]),"")</f>
        <v>26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RH-0090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 xml:space="preserve">LOGISTICA INTERMODAL DEL PERU S.A.C.
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BHG-947</v>
      </c>
      <c r="K153" s="2" t="str">
        <f>IFERROR(IF(MARÍTIMOS[[#This Row],[Placa Carreta]]="","",MARÍTIMOS[[#This Row],[Placa Carreta]]),"")</f>
        <v>AZL-985</v>
      </c>
      <c r="L153" s="46" t="str">
        <f>IFERROR(IF(MARÍTIMOS[[#This Row],[Conductor]]="","",MARÍTIMOS[[#This Row],[Conductor]]),"")</f>
        <v>CHIROQUE BOCANEGRA NAZARENO</v>
      </c>
      <c r="M153" s="2" t="str">
        <f>IFERROR(IF(MARÍTIMOS[[#This Row],[Licencia]]="","",MARÍTIMOS[[#This Row],[Licencia]]),"")</f>
        <v>Q43200665</v>
      </c>
      <c r="N153" s="2" t="str">
        <f>IFERROR(IF(MARÍTIMOS[[#This Row],[Número de Contacto]]="","",MARÍTIMOS[[#This Row],[Número de Contacto]]),"")</f>
        <v>963 895 385</v>
      </c>
      <c r="O153" s="10" t="str">
        <f>IFERROR(IF(MARÍTIMOS[[#This Row],[Booking|AWB|CRT]]="","",MARÍTIMOS[[#This Row],[Booking|AWB|CRT]]),"")</f>
        <v>MBM250067093</v>
      </c>
      <c r="P153" s="2" t="str">
        <f>IFERROR(IF(MARÍTIMOS[[#This Row],[Contenedor]]="","",MARÍTIMOS[[#This Row],[Contenedor]]),"")</f>
        <v>TCLU1344415</v>
      </c>
      <c r="Q153" s="2" t="str">
        <f>IFERROR(IF(MARÍTIMOS[[#This Row],[Puerto de Retiro]]="","",MARÍTIMOS[[#This Row],[Puerto de Retiro]]),"")</f>
        <v>PAITA</v>
      </c>
      <c r="R153" s="2" t="str">
        <f>IFERROR(IF(MARÍTIMOS[[#This Row],[Almacén de Retiro]]="","",MARÍTIMOS[[#This Row],[Almacén de Retiro]]),"")</f>
        <v>MACROMAR</v>
      </c>
      <c r="S153" s="11">
        <f>IFERROR(IF(MARÍTIMOS[[#This Row],[Etapa Retiro - Cita]]="","",MARÍTIMOS[[#This Row],[Etapa Retiro - Cita]]),"")</f>
        <v>46198.458333333336</v>
      </c>
      <c r="T153" s="11">
        <f>IFERROR(IF(MARÍTIMOS[[#This Row],[Etapa Retiro - Llegada]]="","",MARÍTIMOS[[#This Row],[Etapa Retiro - Llegada]]),"")</f>
        <v>46198.456944444442</v>
      </c>
      <c r="U153" s="11">
        <f>IFERROR(IF(MARÍTIMOS[[#This Row],[Etapa Retiro - Ingreso]]="","",MARÍTIMOS[[#This Row],[Etapa Retiro - Ingreso]]),"")</f>
        <v>46198.458333333336</v>
      </c>
      <c r="V153" s="11">
        <f>IFERROR(IF(MARÍTIMOS[[#This Row],[Etapa Retiro - Atención]]="","",MARÍTIMOS[[#This Row],[Etapa Retiro - Atención]]),"")</f>
        <v>46198.463194444441</v>
      </c>
      <c r="W153" s="11">
        <f>IFERROR(IF(MARÍTIMOS[[#This Row],[Etapa Retiro - Salida]]="","",MARÍTIMOS[[#This Row],[Etapa Retiro - Salida]]),"")</f>
        <v>46198.532638888886</v>
      </c>
      <c r="X153" s="11">
        <f>IFERROR(IF(MARÍTIMOS[[#This Row],[Etapa Retiro - Inicio de Ruta]]="","",MARÍTIMOS[[#This Row],[Etapa Retiro - Inicio de Ruta]]),"")</f>
        <v>46198.576388888891</v>
      </c>
      <c r="Y153" s="11">
        <f>IFERROR(IF(MARÍTIMOS[[#This Row],[Hora de Posicionamiento]]="","",MARÍTIMOS[[#This Row],[Hora de Carga]]+MARÍTIMOS[[#This Row],[Hora de Posicionamiento]]),"")</f>
        <v>0.75</v>
      </c>
      <c r="Z153" s="11">
        <f>IFERROR(IF(MARÍTIMOS[[#This Row],[Etapa Despacho -  Llegada]]="","",MARÍTIMOS[[#This Row],[Etapa Despacho -  Llegada]]),"")</f>
        <v>46199.351388888892</v>
      </c>
      <c r="AA153" s="11">
        <f>IFERROR(IF(MARÍTIMOS[[#This Row],[Etapa Despacho -  Registro]]="","",MARÍTIMOS[[#This Row],[Etapa Despacho -  Registro]]),"")</f>
        <v>46199.354166666664</v>
      </c>
      <c r="AB153" s="11">
        <f>IFERROR(IF(MARÍTIMOS[[#This Row],[Inspección Externa]]="","",MARÍTIMOS[[#This Row],[Inspección Externa]]),"")</f>
        <v>46199.479166666664</v>
      </c>
      <c r="AC153" s="11">
        <f>IFERROR(IF(MARÍTIMOS[[#This Row],[Etapa Despacho -  Inicio de Carga]]="","",MARÍTIMOS[[#This Row],[Etapa Despacho -  Inicio de Carga]]),"")</f>
        <v>46199.5</v>
      </c>
      <c r="AD153" s="11">
        <f>IFERROR(IF(MARÍTIMOS[[#This Row],[Etapa Despacho -  Fin de Carga]]="","",MARÍTIMOS[[#This Row],[Etapa Despacho -  Fin de Carga]]),"")</f>
        <v>46199.555555555555</v>
      </c>
      <c r="AE153" s="11">
        <f>IFERROR(IF(MARÍTIMOS[[#This Row],[Etapa Despacho -  Salida]]="","",MARÍTIMOS[[#This Row],[Etapa Despacho -  Salida]]),"")</f>
        <v>46199.557638888888</v>
      </c>
      <c r="AF153" s="2" t="str">
        <f>IFERROR(IF(MARÍTIMOS[[#This Row],[Puerto de Embarque]]="","",MARÍTIMOS[[#This Row],[Puerto de Embarque]]),"")</f>
        <v>Paita</v>
      </c>
      <c r="AG153" s="2" t="str">
        <f>IFERROR(IF(MARÍTIMOS[[#This Row],[Almacén de Ingreso]]="","",MARÍTIMOS[[#This Row],[Almacén de Ingreso]]),"")</f>
        <v>TPE</v>
      </c>
      <c r="AH153" s="11">
        <f>IFERROR(IF(MARÍTIMOS[[#This Row],[Etapa Ingreso - Cita]]="","",MARÍTIMOS[[#This Row],[Etapa Ingreso - Cita]]),"")</f>
        <v>46200.291666666664</v>
      </c>
      <c r="AI153" s="11">
        <f>IFERROR(IF(MARÍTIMOS[[#This Row],[Etapa Ingreso - Llegada]]="","",MARÍTIMOS[[#This Row],[Etapa Ingreso - Llegada]]),"")</f>
        <v>46200.262499999997</v>
      </c>
      <c r="AJ153" s="11">
        <f>IFERROR(IF(MARÍTIMOS[[#This Row],[Etapa Ingreso - Ingeso]]="","",MARÍTIMOS[[#This Row],[Etapa Ingreso - Ingeso]]),"")</f>
        <v>46200.263888888891</v>
      </c>
      <c r="AK153" s="11">
        <f>IFERROR(IF(MARÍTIMOS[[#This Row],[Etapa Ingreso - Atención]]="","",MARÍTIMOS[[#This Row],[Etapa Ingreso - Atención]]),"")</f>
        <v>46200.267361111109</v>
      </c>
      <c r="AL153" s="11">
        <f>IFERROR(IF(MARÍTIMOS[[#This Row],[Etapa Ingreso - Salida]]="","",MARÍTIMOS[[#This Row],[Etapa Ingreso - Salida]]),"")</f>
        <v>46200.272916666669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3" s="5">
        <f>IFERROR(OLDBD[[#This Row],[Llegada a packing]]-OLDBD[[#This Row],[Inicio de Ruta]],"")</f>
        <v>0.77500000000145519</v>
      </c>
      <c r="AQ153" s="6">
        <f>IFERROR(OLDBD[[#This Row],[Inicio de Ruta]]-OLDBD[[#This Row],[Salida de almacén de retiro]],"")</f>
        <v>4.3750000004365575E-2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3" s="9">
        <f>IFERROR(OLDBD[[#This Row],[Ingreso Packing]]-OLDBD[[#This Row],[Registro en Packing]],"")</f>
        <v>0.125</v>
      </c>
      <c r="AV153" s="9">
        <f>IFERROR(OLDBD[[#This Row],[Ingreso Packing]]-OLDBD[[#This Row],[Llegada a packing]],"")</f>
        <v>0.12777777777228039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3" s="5">
        <f>IFERROR(OLDBD[[#This Row],[Llegada Almacén de Ingreso]]-OLDBD[[#This Row],[Salida Packing]],"")</f>
        <v>0.70486111110949423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3" s="45" t="s">
        <v>181</v>
      </c>
      <c r="BB153" s="53" t="str">
        <f>IFERROR(IF(MARÍTIMOS[[#This Row],[Estatus]]="","",MARÍTIMOS[[#This Row],[Estatus]]),"")</f>
        <v>Confirmado</v>
      </c>
      <c r="BC153" s="45"/>
      <c r="BD153" s="52">
        <f>IFERROR(OLDBD[[#This Row],[Salida de almacén de retiro]]-OLDBD[[#This Row],[Ingreso Almacén de retiro]],"")</f>
        <v>7.4305555550381541E-2</v>
      </c>
      <c r="BE153" s="52">
        <f>IFERROR(OLDBD[[#This Row],[Fin de Carga]]-OLDBD[[#This Row],[Inicio de Carga]],"")</f>
        <v>5.5555555554747116E-2</v>
      </c>
    </row>
    <row r="154" spans="1:57" x14ac:dyDescent="0.35">
      <c r="A154" s="1"/>
      <c r="B154" s="1">
        <f>IFERROR(IF(MARÍTIMOS[[#This Row],[PP]]="","",MARÍTIMOS[[#This Row],[PP]]),"")</f>
        <v>27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RH-0091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 xml:space="preserve">LOGISTICA INTERMODAL DEL PERU S.A.C.
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ASO-911</v>
      </c>
      <c r="K154" s="2" t="str">
        <f>IFERROR(IF(MARÍTIMOS[[#This Row],[Placa Carreta]]="","",MARÍTIMOS[[#This Row],[Placa Carreta]]),"")</f>
        <v>ADF-995</v>
      </c>
      <c r="L154" s="46" t="str">
        <f>IFERROR(IF(MARÍTIMOS[[#This Row],[Conductor]]="","",MARÍTIMOS[[#This Row],[Conductor]]),"")</f>
        <v>HUAYAMA GARCIA FRANK ANTONIO</v>
      </c>
      <c r="M154" s="2" t="str">
        <f>IFERROR(IF(MARÍTIMOS[[#This Row],[Licencia]]="","",MARÍTIMOS[[#This Row],[Licencia]]),"")</f>
        <v>B47436868</v>
      </c>
      <c r="N154" s="2" t="str">
        <f>IFERROR(IF(MARÍTIMOS[[#This Row],[Número de Contacto]]="","",MARÍTIMOS[[#This Row],[Número de Contacto]]),"")</f>
        <v>963 069 655</v>
      </c>
      <c r="O154" s="10" t="str">
        <f>IFERROR(IF(MARÍTIMOS[[#This Row],[Booking|AWB|CRT]]="","",MARÍTIMOS[[#This Row],[Booking|AWB|CRT]]),"")</f>
        <v>MBM250067094</v>
      </c>
      <c r="P154" s="2" t="str">
        <f>IFERROR(IF(MARÍTIMOS[[#This Row],[Contenedor]]="","",MARÍTIMOS[[#This Row],[Contenedor]]),"")</f>
        <v>CXRU1637508</v>
      </c>
      <c r="Q154" s="2" t="str">
        <f>IFERROR(IF(MARÍTIMOS[[#This Row],[Puerto de Retiro]]="","",MARÍTIMOS[[#This Row],[Puerto de Retiro]]),"")</f>
        <v>PAITA</v>
      </c>
      <c r="R154" s="2" t="str">
        <f>IFERROR(IF(MARÍTIMOS[[#This Row],[Almacén de Retiro]]="","",MARÍTIMOS[[#This Row],[Almacén de Retiro]]),"")</f>
        <v>MACROMAR</v>
      </c>
      <c r="S154" s="11">
        <f>IFERROR(IF(MARÍTIMOS[[#This Row],[Etapa Retiro - Cita]]="","",MARÍTIMOS[[#This Row],[Etapa Retiro - Cita]]),"")</f>
        <v>46198.458333333336</v>
      </c>
      <c r="T154" s="11">
        <f>IFERROR(IF(MARÍTIMOS[[#This Row],[Etapa Retiro - Llegada]]="","",MARÍTIMOS[[#This Row],[Etapa Retiro - Llegada]]),"")</f>
        <v>46198.445138888892</v>
      </c>
      <c r="U154" s="11">
        <f>IFERROR(IF(MARÍTIMOS[[#This Row],[Etapa Retiro - Ingreso]]="","",MARÍTIMOS[[#This Row],[Etapa Retiro - Ingreso]]),"")</f>
        <v>46198.45416666667</v>
      </c>
      <c r="V154" s="11">
        <f>IFERROR(IF(MARÍTIMOS[[#This Row],[Etapa Retiro - Atención]]="","",MARÍTIMOS[[#This Row],[Etapa Retiro - Atención]]),"")</f>
        <v>46198.481944444444</v>
      </c>
      <c r="W154" s="11">
        <f>IFERROR(IF(MARÍTIMOS[[#This Row],[Etapa Retiro - Salida]]="","",MARÍTIMOS[[#This Row],[Etapa Retiro - Salida]]),"")</f>
        <v>46198.513888888891</v>
      </c>
      <c r="X154" s="11">
        <f>IFERROR(IF(MARÍTIMOS[[#This Row],[Etapa Retiro - Inicio de Ruta]]="","",MARÍTIMOS[[#This Row],[Etapa Retiro - Inicio de Ruta]]),"")</f>
        <v>46198.555555555555</v>
      </c>
      <c r="Y154" s="11">
        <f>IFERROR(IF(MARÍTIMOS[[#This Row],[Hora de Posicionamiento]]="","",MARÍTIMOS[[#This Row],[Hora de Carga]]+MARÍTIMOS[[#This Row],[Hora de Posicionamiento]]),"")</f>
        <v>0.75</v>
      </c>
      <c r="Z154" s="11">
        <f>IFERROR(IF(MARÍTIMOS[[#This Row],[Etapa Despacho -  Llegada]]="","",MARÍTIMOS[[#This Row],[Etapa Despacho -  Llegada]]),"")</f>
        <v>46199.31527777778</v>
      </c>
      <c r="AA154" s="11">
        <f>IFERROR(IF(MARÍTIMOS[[#This Row],[Etapa Despacho -  Registro]]="","",MARÍTIMOS[[#This Row],[Etapa Despacho -  Registro]]),"")</f>
        <v>46199.318055555559</v>
      </c>
      <c r="AB154" s="11">
        <f>IFERROR(IF(MARÍTIMOS[[#This Row],[Inspección Externa]]="","",MARÍTIMOS[[#This Row],[Inspección Externa]]),"")</f>
        <v>46199.604166666664</v>
      </c>
      <c r="AC154" s="11">
        <f>IFERROR(IF(MARÍTIMOS[[#This Row],[Etapa Despacho -  Inicio de Carga]]="","",MARÍTIMOS[[#This Row],[Etapa Despacho -  Inicio de Carga]]),"")</f>
        <v>46199.645833333336</v>
      </c>
      <c r="AD154" s="11">
        <f>IFERROR(IF(MARÍTIMOS[[#This Row],[Etapa Despacho -  Fin de Carga]]="","",MARÍTIMOS[[#This Row],[Etapa Despacho -  Fin de Carga]]),"")</f>
        <v>46199.690972222219</v>
      </c>
      <c r="AE154" s="11">
        <f>IFERROR(IF(MARÍTIMOS[[#This Row],[Etapa Despacho -  Salida]]="","",MARÍTIMOS[[#This Row],[Etapa Despacho -  Salida]]),"")</f>
        <v>46199.694444444445</v>
      </c>
      <c r="AF154" s="2" t="str">
        <f>IFERROR(IF(MARÍTIMOS[[#This Row],[Puerto de Embarque]]="","",MARÍTIMOS[[#This Row],[Puerto de Embarque]]),"")</f>
        <v>Paita</v>
      </c>
      <c r="AG154" s="2" t="str">
        <f>IFERROR(IF(MARÍTIMOS[[#This Row],[Almacén de Ingreso]]="","",MARÍTIMOS[[#This Row],[Almacén de Ingreso]]),"")</f>
        <v>TPE</v>
      </c>
      <c r="AH154" s="11">
        <f>IFERROR(IF(MARÍTIMOS[[#This Row],[Etapa Ingreso - Cita]]="","",MARÍTIMOS[[#This Row],[Etapa Ingreso - Cita]]),"")</f>
        <v>46200.25</v>
      </c>
      <c r="AI154" s="11">
        <f>IFERROR(IF(MARÍTIMOS[[#This Row],[Etapa Ingreso - Llegada]]="","",MARÍTIMOS[[#This Row],[Etapa Ingreso - Llegada]]),"")</f>
        <v>46200.222916666666</v>
      </c>
      <c r="AJ154" s="11">
        <f>IFERROR(IF(MARÍTIMOS[[#This Row],[Etapa Ingreso - Ingeso]]="","",MARÍTIMOS[[#This Row],[Etapa Ingreso - Ingeso]]),"")</f>
        <v>46200.227083333331</v>
      </c>
      <c r="AK154" s="11">
        <f>IFERROR(IF(MARÍTIMOS[[#This Row],[Etapa Ingreso - Atención]]="","",MARÍTIMOS[[#This Row],[Etapa Ingreso - Atención]]),"")</f>
        <v>46200.229166666664</v>
      </c>
      <c r="AL154" s="11">
        <f>IFERROR(IF(MARÍTIMOS[[#This Row],[Etapa Ingreso - Salida]]="","",MARÍTIMOS[[#This Row],[Etapa Ingreso - Salida]]),"")</f>
        <v>46200.239583333336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4" s="5">
        <f>IFERROR(OLDBD[[#This Row],[Llegada a packing]]-OLDBD[[#This Row],[Inicio de Ruta]],"")</f>
        <v>0.75972222222480923</v>
      </c>
      <c r="AQ154" s="6">
        <f>IFERROR(OLDBD[[#This Row],[Inicio de Ruta]]-OLDBD[[#This Row],[Salida de almacén de retiro]],"")</f>
        <v>4.1666666664241347E-2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4" s="9">
        <f>IFERROR(OLDBD[[#This Row],[Ingreso Packing]]-OLDBD[[#This Row],[Registro en Packing]],"")</f>
        <v>0.28611111110512866</v>
      </c>
      <c r="AV154" s="9">
        <f>IFERROR(OLDBD[[#This Row],[Ingreso Packing]]-OLDBD[[#This Row],[Llegada a packing]],"")</f>
        <v>0.288888888884685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4" s="5">
        <f>IFERROR(OLDBD[[#This Row],[Llegada Almacén de Ingreso]]-OLDBD[[#This Row],[Salida Packing]],"")</f>
        <v>0.52847222222044365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4" s="45" t="s">
        <v>181</v>
      </c>
      <c r="BB154" s="53" t="str">
        <f>IFERROR(IF(MARÍTIMOS[[#This Row],[Estatus]]="","",MARÍTIMOS[[#This Row],[Estatus]]),"")</f>
        <v>Confirmado</v>
      </c>
      <c r="BC154" s="45"/>
      <c r="BD154" s="52">
        <f>IFERROR(OLDBD[[#This Row],[Salida de almacén de retiro]]-OLDBD[[#This Row],[Ingreso Almacén de retiro]],"")</f>
        <v>5.9722222220443655E-2</v>
      </c>
      <c r="BE154" s="52">
        <f>IFERROR(OLDBD[[#This Row],[Fin de Carga]]-OLDBD[[#This Row],[Inicio de Carga]],"")</f>
        <v>4.5138888883229811E-2</v>
      </c>
    </row>
    <row r="155" spans="1:57" x14ac:dyDescent="0.35">
      <c r="A155" s="1"/>
      <c r="B155" s="1">
        <f>IFERROR(IF(MARÍTIMOS[[#This Row],[PP]]="","",MARÍTIMOS[[#This Row],[PP]]),"")</f>
        <v>27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RH-0122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 xml:space="preserve">LOGISTICA INTERMODAL DEL PERU S.A.C.
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AXD-842</v>
      </c>
      <c r="K155" s="2" t="str">
        <f>IFERROR(IF(MARÍTIMOS[[#This Row],[Placa Carreta]]="","",MARÍTIMOS[[#This Row],[Placa Carreta]]),"")</f>
        <v>ATW-991</v>
      </c>
      <c r="L155" s="46" t="str">
        <f>IFERROR(IF(MARÍTIMOS[[#This Row],[Conductor]]="","",MARÍTIMOS[[#This Row],[Conductor]]),"")</f>
        <v>CRUZ GARRO JORGE PORFIRIO</v>
      </c>
      <c r="M155" s="2" t="str">
        <f>IFERROR(IF(MARÍTIMOS[[#This Row],[Licencia]]="","",MARÍTIMOS[[#This Row],[Licencia]]),"")</f>
        <v>D42478220</v>
      </c>
      <c r="N155" s="2" t="str">
        <f>IFERROR(IF(MARÍTIMOS[[#This Row],[Número de Contacto]]="","",MARÍTIMOS[[#This Row],[Número de Contacto]]),"")</f>
        <v>964 069 655</v>
      </c>
      <c r="O155" s="10" t="str">
        <f>IFERROR(IF(MARÍTIMOS[[#This Row],[Booking|AWB|CRT]]="","",MARÍTIMOS[[#This Row],[Booking|AWB|CRT]]),"")</f>
        <v>MBM250067096</v>
      </c>
      <c r="P155" s="2" t="str">
        <f>IFERROR(IF(MARÍTIMOS[[#This Row],[Contenedor]]="","",MARÍTIMOS[[#This Row],[Contenedor]]),"")</f>
        <v>FDDU2545847</v>
      </c>
      <c r="Q155" s="2" t="str">
        <f>IFERROR(IF(MARÍTIMOS[[#This Row],[Puerto de Retiro]]="","",MARÍTIMOS[[#This Row],[Puerto de Retiro]]),"")</f>
        <v>PAITA</v>
      </c>
      <c r="R155" s="2" t="str">
        <f>IFERROR(IF(MARÍTIMOS[[#This Row],[Almacén de Retiro]]="","",MARÍTIMOS[[#This Row],[Almacén de Retiro]]),"")</f>
        <v>MACROMAR</v>
      </c>
      <c r="S155" s="11">
        <f>IFERROR(IF(MARÍTIMOS[[#This Row],[Etapa Retiro - Cita]]="","",MARÍTIMOS[[#This Row],[Etapa Retiro - Cita]]),"")</f>
        <v>46205.458333333336</v>
      </c>
      <c r="T155" s="11">
        <f>IFERROR(IF(MARÍTIMOS[[#This Row],[Etapa Retiro - Llegada]]="","",MARÍTIMOS[[#This Row],[Etapa Retiro - Llegada]]),"")</f>
        <v>46205.495833333334</v>
      </c>
      <c r="U155" s="11">
        <f>IFERROR(IF(MARÍTIMOS[[#This Row],[Etapa Retiro - Ingreso]]="","",MARÍTIMOS[[#This Row],[Etapa Retiro - Ingreso]]),"")</f>
        <v>46205.513194444444</v>
      </c>
      <c r="V155" s="11">
        <f>IFERROR(IF(MARÍTIMOS[[#This Row],[Etapa Retiro - Atención]]="","",MARÍTIMOS[[#This Row],[Etapa Retiro - Atención]]),"")</f>
        <v>46205.520833333336</v>
      </c>
      <c r="W155" s="11">
        <f>IFERROR(IF(MARÍTIMOS[[#This Row],[Etapa Retiro - Salida]]="","",MARÍTIMOS[[#This Row],[Etapa Retiro - Salida]]),"")</f>
        <v>46205.595833333333</v>
      </c>
      <c r="X155" s="11">
        <f>IFERROR(IF(MARÍTIMOS[[#This Row],[Etapa Retiro - Inicio de Ruta]]="","",MARÍTIMOS[[#This Row],[Etapa Retiro - Inicio de Ruta]]),"")</f>
        <v>46205.637499999997</v>
      </c>
      <c r="Y155" s="11">
        <f>IFERROR(IF(MARÍTIMOS[[#This Row],[Hora de Posicionamiento]]="","",MARÍTIMOS[[#This Row],[Hora de Carga]]+MARÍTIMOS[[#This Row],[Hora de Posicionamiento]]),"")</f>
        <v>0.75</v>
      </c>
      <c r="Z155" s="11">
        <f>IFERROR(IF(MARÍTIMOS[[#This Row],[Etapa Despacho -  Llegada]]="","",MARÍTIMOS[[#This Row],[Etapa Despacho -  Llegada]]),"")</f>
        <v>46206.375</v>
      </c>
      <c r="AA155" s="11">
        <f>IFERROR(IF(MARÍTIMOS[[#This Row],[Etapa Despacho -  Registro]]="","",MARÍTIMOS[[#This Row],[Etapa Despacho -  Registro]]),"")</f>
        <v>46206.381944444445</v>
      </c>
      <c r="AB155" s="11">
        <f>IFERROR(IF(MARÍTIMOS[[#This Row],[Inspección Externa]]="","",MARÍTIMOS[[#This Row],[Inspección Externa]]),"")</f>
        <v>46206.395833333336</v>
      </c>
      <c r="AC155" s="11">
        <f>IFERROR(IF(MARÍTIMOS[[#This Row],[Etapa Despacho -  Inicio de Carga]]="","",MARÍTIMOS[[#This Row],[Etapa Despacho -  Inicio de Carga]]),"")</f>
        <v>46206.4375</v>
      </c>
      <c r="AD155" s="11">
        <f>IFERROR(IF(MARÍTIMOS[[#This Row],[Etapa Despacho -  Fin de Carga]]="","",MARÍTIMOS[[#This Row],[Etapa Despacho -  Fin de Carga]]),"")</f>
        <v>46206.566666666666</v>
      </c>
      <c r="AE155" s="11">
        <f>IFERROR(IF(MARÍTIMOS[[#This Row],[Etapa Despacho -  Salida]]="","",MARÍTIMOS[[#This Row],[Etapa Despacho -  Salida]]),"")</f>
        <v>46206.573611111111</v>
      </c>
      <c r="AF155" s="2" t="str">
        <f>IFERROR(IF(MARÍTIMOS[[#This Row],[Puerto de Embarque]]="","",MARÍTIMOS[[#This Row],[Puerto de Embarque]]),"")</f>
        <v>Paita</v>
      </c>
      <c r="AG155" s="2" t="str">
        <f>IFERROR(IF(MARÍTIMOS[[#This Row],[Almacén de Ingreso]]="","",MARÍTIMOS[[#This Row],[Almacén de Ingreso]]),"")</f>
        <v>TPE</v>
      </c>
      <c r="AH155" s="11">
        <f>IFERROR(IF(MARÍTIMOS[[#This Row],[Etapa Ingreso - Cita]]="","",MARÍTIMOS[[#This Row],[Etapa Ingreso - Cita]]),"")</f>
        <v>46207.291666666664</v>
      </c>
      <c r="AI155" s="11">
        <f>IFERROR(IF(MARÍTIMOS[[#This Row],[Etapa Ingreso - Llegada]]="","",MARÍTIMOS[[#This Row],[Etapa Ingreso - Llegada]]),"")</f>
        <v>46207.294444444444</v>
      </c>
      <c r="AJ155" s="11">
        <f>IFERROR(IF(MARÍTIMOS[[#This Row],[Etapa Ingreso - Ingeso]]="","",MARÍTIMOS[[#This Row],[Etapa Ingreso - Ingeso]]),"")</f>
        <v>46207.299305555556</v>
      </c>
      <c r="AK155" s="11">
        <f>IFERROR(IF(MARÍTIMOS[[#This Row],[Etapa Ingreso - Atención]]="","",MARÍTIMOS[[#This Row],[Etapa Ingreso - Atención]]),"")</f>
        <v>46207.306250000001</v>
      </c>
      <c r="AL155" s="11">
        <f>IFERROR(IF(MARÍTIMOS[[#This Row],[Etapa Ingreso - Salida]]="","",MARÍTIMOS[[#This Row],[Etapa Ingreso - Salida]]),"")</f>
        <v>46207.304166666669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5" s="5">
        <f>IFERROR(OLDBD[[#This Row],[Llegada a packing]]-OLDBD[[#This Row],[Inicio de Ruta]],"")</f>
        <v>0.73750000000291038</v>
      </c>
      <c r="AQ155" s="6">
        <f>IFERROR(OLDBD[[#This Row],[Inicio de Ruta]]-OLDBD[[#This Row],[Salida de almacén de retiro]],"")</f>
        <v>4.1666666664241347E-2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5" s="9">
        <f>IFERROR(OLDBD[[#This Row],[Ingreso Packing]]-OLDBD[[#This Row],[Registro en Packing]],"")</f>
        <v>1.3888888890505768E-2</v>
      </c>
      <c r="AV155" s="9">
        <f>IFERROR(OLDBD[[#This Row],[Ingreso Packing]]-OLDBD[[#This Row],[Llegada a packing]],"")</f>
        <v>2.0833333335758653E-2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5" s="5">
        <f>IFERROR(OLDBD[[#This Row],[Llegada Almacén de Ingreso]]-OLDBD[[#This Row],[Salida Packing]],"")</f>
        <v>0.72083333333284827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5" s="45" t="s">
        <v>181</v>
      </c>
      <c r="BB155" s="53" t="str">
        <f>IFERROR(IF(MARÍTIMOS[[#This Row],[Estatus]]="","",MARÍTIMOS[[#This Row],[Estatus]]),"")</f>
        <v>Confirmado</v>
      </c>
      <c r="BC155" s="45"/>
      <c r="BD155" s="52">
        <f>IFERROR(OLDBD[[#This Row],[Salida de almacén de retiro]]-OLDBD[[#This Row],[Ingreso Almacén de retiro]],"")</f>
        <v>8.2638888889050577E-2</v>
      </c>
      <c r="BE155" s="52">
        <f>IFERROR(OLDBD[[#This Row],[Fin de Carga]]-OLDBD[[#This Row],[Inicio de Carga]],"")</f>
        <v>0.12916666666569654</v>
      </c>
    </row>
    <row r="156" spans="1:57" x14ac:dyDescent="0.35">
      <c r="A156" s="1"/>
      <c r="B156" s="1">
        <f>IFERROR(IF(MARÍTIMOS[[#This Row],[PP]]="","",MARÍTIMOS[[#This Row],[PP]]),"")</f>
        <v>27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RH-0123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NO</v>
      </c>
      <c r="H156" s="2" t="str">
        <f>IFERROR(IF(MARÍTIMOS[[#This Row],[Razón Social]]="","",MARÍTIMOS[[#This Row],[Razón Social]]),"")</f>
        <v xml:space="preserve">LOGISTICA INTERMODAL DEL PERU S.A.C.
</v>
      </c>
      <c r="I156" s="2">
        <f>IFERROR(IF(MARÍTIMOS[[#This Row],[RUC]]="","",MARÍTIMOS[[#This Row],[RUC]]),"")</f>
        <v>20513040718</v>
      </c>
      <c r="J156" s="2" t="str">
        <f>IFERROR(IF(MARÍTIMOS[[#This Row],[Placa Tracto]]="","",MARÍTIMOS[[#This Row],[Placa Tracto]]),"")</f>
        <v>BBH-709</v>
      </c>
      <c r="K156" s="2" t="str">
        <f>IFERROR(IF(MARÍTIMOS[[#This Row],[Placa Carreta]]="","",MARÍTIMOS[[#This Row],[Placa Carreta]]),"")</f>
        <v>AMY-988</v>
      </c>
      <c r="L156" s="46" t="str">
        <f>IFERROR(IF(MARÍTIMOS[[#This Row],[Conductor]]="","",MARÍTIMOS[[#This Row],[Conductor]]),"")</f>
        <v>ANTON JIMENEZ FRANKLYN RANDHOLP</v>
      </c>
      <c r="M156" s="2" t="str">
        <f>IFERROR(IF(MARÍTIMOS[[#This Row],[Licencia]]="","",MARÍTIMOS[[#This Row],[Licencia]]),"")</f>
        <v>B71707591</v>
      </c>
      <c r="N156" s="2" t="str">
        <f>IFERROR(IF(MARÍTIMOS[[#This Row],[Número de Contacto]]="","",MARÍTIMOS[[#This Row],[Número de Contacto]]),"")</f>
        <v>965 069 655</v>
      </c>
      <c r="O156" s="10" t="str">
        <f>IFERROR(IF(MARÍTIMOS[[#This Row],[Booking|AWB|CRT]]="","",MARÍTIMOS[[#This Row],[Booking|AWB|CRT]]),"")</f>
        <v>MBM250067097</v>
      </c>
      <c r="P156" s="2" t="str">
        <f>IFERROR(IF(MARÍTIMOS[[#This Row],[Contenedor]]="","",MARÍTIMOS[[#This Row],[Contenedor]]),"")</f>
        <v>FDDU2542350</v>
      </c>
      <c r="Q156" s="2" t="str">
        <f>IFERROR(IF(MARÍTIMOS[[#This Row],[Puerto de Retiro]]="","",MARÍTIMOS[[#This Row],[Puerto de Retiro]]),"")</f>
        <v>PAITA</v>
      </c>
      <c r="R156" s="2" t="str">
        <f>IFERROR(IF(MARÍTIMOS[[#This Row],[Almacén de Retiro]]="","",MARÍTIMOS[[#This Row],[Almacén de Retiro]]),"")</f>
        <v>MACROMAR</v>
      </c>
      <c r="S156" s="11">
        <f>IFERROR(IF(MARÍTIMOS[[#This Row],[Etapa Retiro - Cita]]="","",MARÍTIMOS[[#This Row],[Etapa Retiro - Cita]]),"")</f>
        <v>46205.541666666664</v>
      </c>
      <c r="T156" s="11">
        <f>IFERROR(IF(MARÍTIMOS[[#This Row],[Etapa Retiro - Llegada]]="","",MARÍTIMOS[[#This Row],[Etapa Retiro - Llegada]]),"")</f>
        <v>46205.565972222219</v>
      </c>
      <c r="U156" s="11">
        <f>IFERROR(IF(MARÍTIMOS[[#This Row],[Etapa Retiro - Ingreso]]="","",MARÍTIMOS[[#This Row],[Etapa Retiro - Ingreso]]),"")</f>
        <v>46205.598611111112</v>
      </c>
      <c r="V156" s="11">
        <f>IFERROR(IF(MARÍTIMOS[[#This Row],[Etapa Retiro - Atención]]="","",MARÍTIMOS[[#This Row],[Etapa Retiro - Atención]]),"")</f>
        <v>46205.605555555558</v>
      </c>
      <c r="W156" s="11">
        <f>IFERROR(IF(MARÍTIMOS[[#This Row],[Etapa Retiro - Salida]]="","",MARÍTIMOS[[#This Row],[Etapa Retiro - Salida]]),"")</f>
        <v>46205.661111111112</v>
      </c>
      <c r="X156" s="11">
        <f>IFERROR(IF(MARÍTIMOS[[#This Row],[Etapa Retiro - Inicio de Ruta]]="","",MARÍTIMOS[[#This Row],[Etapa Retiro - Inicio de Ruta]]),"")</f>
        <v>46205.708333333336</v>
      </c>
      <c r="Y156" s="11">
        <f>IFERROR(IF(MARÍTIMOS[[#This Row],[Hora de Posicionamiento]]="","",MARÍTIMOS[[#This Row],[Hora de Carga]]+MARÍTIMOS[[#This Row],[Hora de Posicionamiento]]),"")</f>
        <v>1.0833333333333335</v>
      </c>
      <c r="Z156" s="11">
        <f>IFERROR(IF(MARÍTIMOS[[#This Row],[Etapa Despacho -  Llegada]]="","",MARÍTIMOS[[#This Row],[Etapa Despacho -  Llegada]]),"")</f>
        <v>46206.375</v>
      </c>
      <c r="AA156" s="11">
        <f>IFERROR(IF(MARÍTIMOS[[#This Row],[Etapa Despacho -  Registro]]="","",MARÍTIMOS[[#This Row],[Etapa Despacho -  Registro]]),"")</f>
        <v>46206.381944444445</v>
      </c>
      <c r="AB156" s="11">
        <f>IFERROR(IF(MARÍTIMOS[[#This Row],[Inspección Externa]]="","",MARÍTIMOS[[#This Row],[Inspección Externa]]),"")</f>
        <v>46206.395833333336</v>
      </c>
      <c r="AC156" s="11">
        <f>IFERROR(IF(MARÍTIMOS[[#This Row],[Etapa Despacho -  Inicio de Carga]]="","",MARÍTIMOS[[#This Row],[Etapa Despacho -  Inicio de Carga]]),"")</f>
        <v>46206.4375</v>
      </c>
      <c r="AD156" s="11">
        <f>IFERROR(IF(MARÍTIMOS[[#This Row],[Etapa Despacho -  Fin de Carga]]="","",MARÍTIMOS[[#This Row],[Etapa Despacho -  Fin de Carga]]),"")</f>
        <v>46206.659722222219</v>
      </c>
      <c r="AE156" s="11">
        <f>IFERROR(IF(MARÍTIMOS[[#This Row],[Etapa Despacho -  Salida]]="","",MARÍTIMOS[[#This Row],[Etapa Despacho -  Salida]]),"")</f>
        <v>46206.671527777777</v>
      </c>
      <c r="AF156" s="2" t="str">
        <f>IFERROR(IF(MARÍTIMOS[[#This Row],[Puerto de Embarque]]="","",MARÍTIMOS[[#This Row],[Puerto de Embarque]]),"")</f>
        <v>Paita</v>
      </c>
      <c r="AG156" s="2" t="str">
        <f>IFERROR(IF(MARÍTIMOS[[#This Row],[Almacén de Ingreso]]="","",MARÍTIMOS[[#This Row],[Almacén de Ingreso]]),"")</f>
        <v>TPE</v>
      </c>
      <c r="AH156" s="11">
        <f>IFERROR(IF(MARÍTIMOS[[#This Row],[Etapa Ingreso - Cita]]="","",MARÍTIMOS[[#This Row],[Etapa Ingreso - Cita]]),"")</f>
        <v>46207.375</v>
      </c>
      <c r="AI156" s="11">
        <f>IFERROR(IF(MARÍTIMOS[[#This Row],[Etapa Ingreso - Llegada]]="","",MARÍTIMOS[[#This Row],[Etapa Ingreso - Llegada]]),"")</f>
        <v>46207.402777777781</v>
      </c>
      <c r="AJ156" s="11">
        <f>IFERROR(IF(MARÍTIMOS[[#This Row],[Etapa Ingreso - Ingeso]]="","",MARÍTIMOS[[#This Row],[Etapa Ingreso - Ingeso]]),"")</f>
        <v>46207.42083333333</v>
      </c>
      <c r="AK156" s="11">
        <f>IFERROR(IF(MARÍTIMOS[[#This Row],[Etapa Ingreso - Atención]]="","",MARÍTIMOS[[#This Row],[Etapa Ingreso - Atención]]),"")</f>
        <v>46207.427777777775</v>
      </c>
      <c r="AL156" s="11">
        <f>IFERROR(IF(MARÍTIMOS[[#This Row],[Etapa Ingreso - Salida]]="","",MARÍTIMOS[[#This Row],[Etapa Ingreso - Salida]]),"")</f>
        <v>46207.446527777778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6" s="5">
        <f>IFERROR(OLDBD[[#This Row],[Llegada a packing]]-OLDBD[[#This Row],[Inicio de Ruta]],"")</f>
        <v>0.66666666666424135</v>
      </c>
      <c r="AQ156" s="6">
        <f>IFERROR(OLDBD[[#This Row],[Inicio de Ruta]]-OLDBD[[#This Row],[Salida de almacén de retiro]],"")</f>
        <v>4.7222222223354038E-2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6" s="9">
        <f>IFERROR(OLDBD[[#This Row],[Ingreso Packing]]-OLDBD[[#This Row],[Registro en Packing]],"")</f>
        <v>1.3888888890505768E-2</v>
      </c>
      <c r="AV156" s="9">
        <f>IFERROR(OLDBD[[#This Row],[Ingreso Packing]]-OLDBD[[#This Row],[Llegada a packing]],"")</f>
        <v>2.0833333335758653E-2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6" s="5">
        <f>IFERROR(OLDBD[[#This Row],[Llegada Almacén de Ingreso]]-OLDBD[[#This Row],[Salida Packing]],"")</f>
        <v>0.73125000000436557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6" s="45" t="s">
        <v>181</v>
      </c>
      <c r="BB156" s="53" t="str">
        <f>IFERROR(IF(MARÍTIMOS[[#This Row],[Estatus]]="","",MARÍTIMOS[[#This Row],[Estatus]]),"")</f>
        <v>Confirmado</v>
      </c>
      <c r="BC156" s="45"/>
      <c r="BD156" s="52">
        <f>IFERROR(OLDBD[[#This Row],[Salida de almacén de retiro]]-OLDBD[[#This Row],[Ingreso Almacén de retiro]],"")</f>
        <v>6.25E-2</v>
      </c>
      <c r="BE156" s="52">
        <f>IFERROR(OLDBD[[#This Row],[Fin de Carga]]-OLDBD[[#This Row],[Inicio de Carga]],"")</f>
        <v>0.22222222221898846</v>
      </c>
    </row>
    <row r="157" spans="1:57" x14ac:dyDescent="0.35">
      <c r="A157" s="1"/>
      <c r="B157" s="1">
        <f>IFERROR(IF(MARÍTIMOS[[#This Row],[PP]]="","",MARÍTIMOS[[#This Row],[PP]]),"")</f>
        <v>27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RH-0124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 xml:space="preserve">LOGISTICA INTERMODAL DEL PERU S.A.C.
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APU-757</v>
      </c>
      <c r="K157" s="2" t="str">
        <f>IFERROR(IF(MARÍTIMOS[[#This Row],[Placa Carreta]]="","",MARÍTIMOS[[#This Row],[Placa Carreta]]),"")</f>
        <v>ARQ-991</v>
      </c>
      <c r="L157" s="46" t="str">
        <f>IFERROR(IF(MARÍTIMOS[[#This Row],[Conductor]]="","",MARÍTIMOS[[#This Row],[Conductor]]),"")</f>
        <v>SANDOVAL RAMOS LUIS</v>
      </c>
      <c r="M157" s="2" t="str">
        <f>IFERROR(IF(MARÍTIMOS[[#This Row],[Licencia]]="","",MARÍTIMOS[[#This Row],[Licencia]]),"")</f>
        <v>Q40848242</v>
      </c>
      <c r="N157" s="2" t="str">
        <f>IFERROR(IF(MARÍTIMOS[[#This Row],[Número de Contacto]]="","",MARÍTIMOS[[#This Row],[Número de Contacto]]),"")</f>
        <v>966 069 655</v>
      </c>
      <c r="O157" s="10" t="str">
        <f>IFERROR(IF(MARÍTIMOS[[#This Row],[Booking|AWB|CRT]]="","",MARÍTIMOS[[#This Row],[Booking|AWB|CRT]]),"")</f>
        <v>PER9133087A</v>
      </c>
      <c r="P157" s="2" t="str">
        <f>IFERROR(IF(MARÍTIMOS[[#This Row],[Contenedor]]="","",MARÍTIMOS[[#This Row],[Contenedor]]),"")</f>
        <v>SZLU5019399</v>
      </c>
      <c r="Q157" s="2" t="str">
        <f>IFERROR(IF(MARÍTIMOS[[#This Row],[Puerto de Retiro]]="","",MARÍTIMOS[[#This Row],[Puerto de Retiro]]),"")</f>
        <v>PAITA</v>
      </c>
      <c r="R157" s="2" t="str">
        <f>IFERROR(IF(MARÍTIMOS[[#This Row],[Almacén de Retiro]]="","",MARÍTIMOS[[#This Row],[Almacén de Retiro]]),"")</f>
        <v>MACROMAR</v>
      </c>
      <c r="S157" s="11">
        <f>IFERROR(IF(MARÍTIMOS[[#This Row],[Etapa Retiro - Cita]]="","",MARÍTIMOS[[#This Row],[Etapa Retiro - Cita]]),"")</f>
        <v>46208.416666666664</v>
      </c>
      <c r="T157" s="11">
        <f>IFERROR(IF(MARÍTIMOS[[#This Row],[Etapa Retiro - Llegada]]="","",MARÍTIMOS[[#This Row],[Etapa Retiro - Llegada]]),"")</f>
        <v>46208.430555555555</v>
      </c>
      <c r="U157" s="11">
        <f>IFERROR(IF(MARÍTIMOS[[#This Row],[Etapa Retiro - Ingreso]]="","",MARÍTIMOS[[#This Row],[Etapa Retiro - Ingreso]]),"")</f>
        <v>46208.492361111108</v>
      </c>
      <c r="V157" s="11">
        <f>IFERROR(IF(MARÍTIMOS[[#This Row],[Etapa Retiro - Atención]]="","",MARÍTIMOS[[#This Row],[Etapa Retiro - Atención]]),"")</f>
        <v>46208.499305555553</v>
      </c>
      <c r="W157" s="11">
        <f>IFERROR(IF(MARÍTIMOS[[#This Row],[Etapa Retiro - Salida]]="","",MARÍTIMOS[[#This Row],[Etapa Retiro - Salida]]),"")</f>
        <v>46208.549305555556</v>
      </c>
      <c r="X157" s="11">
        <f>IFERROR(IF(MARÍTIMOS[[#This Row],[Etapa Retiro - Inicio de Ruta]]="","",MARÍTIMOS[[#This Row],[Etapa Retiro - Inicio de Ruta]]),"")</f>
        <v>46208.59097222222</v>
      </c>
      <c r="Y157" s="11">
        <f>IFERROR(IF(MARÍTIMOS[[#This Row],[Hora de Posicionamiento]]="","",MARÍTIMOS[[#This Row],[Hora de Carga]]+MARÍTIMOS[[#This Row],[Hora de Posicionamiento]]),"")</f>
        <v>0.75</v>
      </c>
      <c r="Z157" s="11">
        <f>IFERROR(IF(MARÍTIMOS[[#This Row],[Etapa Despacho -  Llegada]]="","",MARÍTIMOS[[#This Row],[Etapa Despacho -  Llegada]]),"")</f>
        <v>46209.448611111111</v>
      </c>
      <c r="AA157" s="11">
        <f>IFERROR(IF(MARÍTIMOS[[#This Row],[Etapa Despacho -  Registro]]="","",MARÍTIMOS[[#This Row],[Etapa Despacho -  Registro]]),"")</f>
        <v>46209.455555555556</v>
      </c>
      <c r="AB157" s="11">
        <f>IFERROR(IF(MARÍTIMOS[[#This Row],[Inspección Externa]]="","",MARÍTIMOS[[#This Row],[Inspección Externa]]),"")</f>
        <v>46209.469444444447</v>
      </c>
      <c r="AC157" s="11">
        <f>IFERROR(IF(MARÍTIMOS[[#This Row],[Etapa Despacho -  Inicio de Carga]]="","",MARÍTIMOS[[#This Row],[Etapa Despacho -  Inicio de Carga]]),"")</f>
        <v>46209.511111111111</v>
      </c>
      <c r="AD157" s="11">
        <f>IFERROR(IF(MARÍTIMOS[[#This Row],[Etapa Despacho -  Fin de Carga]]="","",MARÍTIMOS[[#This Row],[Etapa Despacho -  Fin de Carga]]),"")</f>
        <v>46209.75</v>
      </c>
      <c r="AE157" s="11">
        <f>IFERROR(IF(MARÍTIMOS[[#This Row],[Etapa Despacho -  Salida]]="","",MARÍTIMOS[[#This Row],[Etapa Despacho -  Salida]]),"")</f>
        <v>46209.768055555556</v>
      </c>
      <c r="AF157" s="2" t="str">
        <f>IFERROR(IF(MARÍTIMOS[[#This Row],[Puerto de Embarque]]="","",MARÍTIMOS[[#This Row],[Puerto de Embarque]]),"")</f>
        <v>Paita</v>
      </c>
      <c r="AG157" s="2" t="str">
        <f>IFERROR(IF(MARÍTIMOS[[#This Row],[Almacén de Ingreso]]="","",MARÍTIMOS[[#This Row],[Almacén de Ingreso]]),"")</f>
        <v>TPE</v>
      </c>
      <c r="AH157" s="11">
        <f>IFERROR(IF(MARÍTIMOS[[#This Row],[Etapa Ingreso - Cita]]="","",MARÍTIMOS[[#This Row],[Etapa Ingreso - Cita]]),"")</f>
        <v>46210.458333333336</v>
      </c>
      <c r="AI157" s="11">
        <f>IFERROR(IF(MARÍTIMOS[[#This Row],[Etapa Ingreso - Llegada]]="","",MARÍTIMOS[[#This Row],[Etapa Ingreso - Llegada]]),"")</f>
        <v>46210.46597222222</v>
      </c>
      <c r="AJ157" s="11">
        <f>IFERROR(IF(MARÍTIMOS[[#This Row],[Etapa Ingreso - Ingeso]]="","",MARÍTIMOS[[#This Row],[Etapa Ingreso - Ingeso]]),"")</f>
        <v>46210.469444444447</v>
      </c>
      <c r="AK157" s="11">
        <f>IFERROR(IF(MARÍTIMOS[[#This Row],[Etapa Ingreso - Atención]]="","",MARÍTIMOS[[#This Row],[Etapa Ingreso - Atención]]),"")</f>
        <v>46210.472222222219</v>
      </c>
      <c r="AL157" s="11">
        <f>IFERROR(IF(MARÍTIMOS[[#This Row],[Etapa Ingreso - Salida]]="","",MARÍTIMOS[[#This Row],[Etapa Ingreso - Salida]]),"")</f>
        <v>46210.474305555559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7" s="5">
        <f>IFERROR(OLDBD[[#This Row],[Llegada a packing]]-OLDBD[[#This Row],[Inicio de Ruta]],"")</f>
        <v>0.85763888889050577</v>
      </c>
      <c r="AQ157" s="6">
        <f>IFERROR(OLDBD[[#This Row],[Inicio de Ruta]]-OLDBD[[#This Row],[Salida de almacén de retiro]],"")</f>
        <v>4.1666666664241347E-2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7" s="9">
        <f>IFERROR(OLDBD[[#This Row],[Ingreso Packing]]-OLDBD[[#This Row],[Registro en Packing]],"")</f>
        <v>1.3888888890505768E-2</v>
      </c>
      <c r="AV157" s="9">
        <f>IFERROR(OLDBD[[#This Row],[Ingreso Packing]]-OLDBD[[#This Row],[Llegada a packing]],"")</f>
        <v>2.0833333335758653E-2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7" s="5">
        <f>IFERROR(OLDBD[[#This Row],[Llegada Almacén de Ingreso]]-OLDBD[[#This Row],[Salida Packing]],"")</f>
        <v>0.69791666666424135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7" s="45" t="s">
        <v>181</v>
      </c>
      <c r="BB157" s="53" t="str">
        <f>IFERROR(IF(MARÍTIMOS[[#This Row],[Estatus]]="","",MARÍTIMOS[[#This Row],[Estatus]]),"")</f>
        <v>Confirmado</v>
      </c>
      <c r="BC157" s="45"/>
      <c r="BD157" s="52">
        <f>IFERROR(OLDBD[[#This Row],[Salida de almacén de retiro]]-OLDBD[[#This Row],[Ingreso Almacén de retiro]],"")</f>
        <v>5.6944444448163267E-2</v>
      </c>
      <c r="BE157" s="52">
        <f>IFERROR(OLDBD[[#This Row],[Fin de Carga]]-OLDBD[[#This Row],[Inicio de Carga]],"")</f>
        <v>0.23888888888905058</v>
      </c>
    </row>
    <row r="158" spans="1:57" x14ac:dyDescent="0.35">
      <c r="A158" s="1"/>
      <c r="B158" s="1">
        <f>IFERROR(IF(MARÍTIMOS[[#This Row],[PP]]="","",MARÍTIMOS[[#This Row],[PP]]),"")</f>
        <v>27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RH-0126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 xml:space="preserve">LOGISTICA INTERMODAL DEL PERU S.A.C.
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AYN-818</v>
      </c>
      <c r="K158" s="2" t="str">
        <f>IFERROR(IF(MARÍTIMOS[[#This Row],[Placa Carreta]]="","",MARÍTIMOS[[#This Row],[Placa Carreta]]),"")</f>
        <v>AVY-986</v>
      </c>
      <c r="L158" s="46" t="str">
        <f>IFERROR(IF(MARÍTIMOS[[#This Row],[Conductor]]="","",MARÍTIMOS[[#This Row],[Conductor]]),"")</f>
        <v>CHERO MARRERO EDGAR ALFREDO</v>
      </c>
      <c r="M158" s="2" t="str">
        <f>IFERROR(IF(MARÍTIMOS[[#This Row],[Licencia]]="","",MARÍTIMOS[[#This Row],[Licencia]]),"")</f>
        <v>D19242591</v>
      </c>
      <c r="N158" s="2" t="str">
        <f>IFERROR(IF(MARÍTIMOS[[#This Row],[Número de Contacto]]="","",MARÍTIMOS[[#This Row],[Número de Contacto]]),"")</f>
        <v>967 069 655</v>
      </c>
      <c r="O158" s="10" t="str">
        <f>IFERROR(IF(MARÍTIMOS[[#This Row],[Booking|AWB|CRT]]="","",MARÍTIMOS[[#This Row],[Booking|AWB|CRT]]),"")</f>
        <v>PER9133090A</v>
      </c>
      <c r="P158" s="2" t="str">
        <f>IFERROR(IF(MARÍTIMOS[[#This Row],[Contenedor]]="","",MARÍTIMOS[[#This Row],[Contenedor]]),"")</f>
        <v>SZLU5019892</v>
      </c>
      <c r="Q158" s="2" t="str">
        <f>IFERROR(IF(MARÍTIMOS[[#This Row],[Puerto de Retiro]]="","",MARÍTIMOS[[#This Row],[Puerto de Retiro]]),"")</f>
        <v>PAITA</v>
      </c>
      <c r="R158" s="2" t="str">
        <f>IFERROR(IF(MARÍTIMOS[[#This Row],[Almacén de Retiro]]="","",MARÍTIMOS[[#This Row],[Almacén de Retiro]]),"")</f>
        <v>MACROMAR</v>
      </c>
      <c r="S158" s="11">
        <f>IFERROR(IF(MARÍTIMOS[[#This Row],[Etapa Retiro - Cita]]="","",MARÍTIMOS[[#This Row],[Etapa Retiro - Cita]]),"")</f>
        <v>46208.416666666664</v>
      </c>
      <c r="T158" s="11">
        <f>IFERROR(IF(MARÍTIMOS[[#This Row],[Etapa Retiro - Llegada]]="","",MARÍTIMOS[[#This Row],[Etapa Retiro - Llegada]]),"")</f>
        <v>46208.452777777777</v>
      </c>
      <c r="U158" s="11">
        <f>IFERROR(IF(MARÍTIMOS[[#This Row],[Etapa Retiro - Ingreso]]="","",MARÍTIMOS[[#This Row],[Etapa Retiro - Ingreso]]),"")</f>
        <v>46208.520138888889</v>
      </c>
      <c r="V158" s="11">
        <f>IFERROR(IF(MARÍTIMOS[[#This Row],[Etapa Retiro - Atención]]="","",MARÍTIMOS[[#This Row],[Etapa Retiro - Atención]]),"")</f>
        <v>46208.527083333334</v>
      </c>
      <c r="W158" s="11">
        <f>IFERROR(IF(MARÍTIMOS[[#This Row],[Etapa Retiro - Salida]]="","",MARÍTIMOS[[#This Row],[Etapa Retiro - Salida]]),"")</f>
        <v>46208.54791666667</v>
      </c>
      <c r="X158" s="11">
        <f>IFERROR(IF(MARÍTIMOS[[#This Row],[Etapa Retiro - Inicio de Ruta]]="","",MARÍTIMOS[[#This Row],[Etapa Retiro - Inicio de Ruta]]),"")</f>
        <v>46208.589583333334</v>
      </c>
      <c r="Y158" s="11">
        <f>IFERROR(IF(MARÍTIMOS[[#This Row],[Hora de Posicionamiento]]="","",MARÍTIMOS[[#This Row],[Hora de Carga]]+MARÍTIMOS[[#This Row],[Hora de Posicionamiento]]),"")</f>
        <v>0.75</v>
      </c>
      <c r="Z158" s="11">
        <f>IFERROR(IF(MARÍTIMOS[[#This Row],[Etapa Despacho -  Llegada]]="","",MARÍTIMOS[[#This Row],[Etapa Despacho -  Llegada]]),"")</f>
        <v>46209.448611111111</v>
      </c>
      <c r="AA158" s="11">
        <f>IFERROR(IF(MARÍTIMOS[[#This Row],[Etapa Despacho -  Registro]]="","",MARÍTIMOS[[#This Row],[Etapa Despacho -  Registro]]),"")</f>
        <v>46209.455555555556</v>
      </c>
      <c r="AB158" s="11">
        <f>IFERROR(IF(MARÍTIMOS[[#This Row],[Inspección Externa]]="","",MARÍTIMOS[[#This Row],[Inspección Externa]]),"")</f>
        <v>46209.469444444447</v>
      </c>
      <c r="AC158" s="11">
        <f>IFERROR(IF(MARÍTIMOS[[#This Row],[Etapa Despacho -  Inicio de Carga]]="","",MARÍTIMOS[[#This Row],[Etapa Despacho -  Inicio de Carga]]),"")</f>
        <v>46209.511111111111</v>
      </c>
      <c r="AD158" s="11">
        <f>IFERROR(IF(MARÍTIMOS[[#This Row],[Etapa Despacho -  Fin de Carga]]="","",MARÍTIMOS[[#This Row],[Etapa Despacho -  Fin de Carga]]),"")</f>
        <v>46209.729166666664</v>
      </c>
      <c r="AE158" s="11">
        <f>IFERROR(IF(MARÍTIMOS[[#This Row],[Etapa Despacho -  Salida]]="","",MARÍTIMOS[[#This Row],[Etapa Despacho -  Salida]]),"")</f>
        <v>46209.747916666667</v>
      </c>
      <c r="AF158" s="2" t="str">
        <f>IFERROR(IF(MARÍTIMOS[[#This Row],[Puerto de Embarque]]="","",MARÍTIMOS[[#This Row],[Puerto de Embarque]]),"")</f>
        <v>Paita</v>
      </c>
      <c r="AG158" s="2" t="str">
        <f>IFERROR(IF(MARÍTIMOS[[#This Row],[Almacén de Ingreso]]="","",MARÍTIMOS[[#This Row],[Almacén de Ingreso]]),"")</f>
        <v>TPE</v>
      </c>
      <c r="AH158" s="11">
        <f>IFERROR(IF(MARÍTIMOS[[#This Row],[Etapa Ingreso - Cita]]="","",MARÍTIMOS[[#This Row],[Etapa Ingreso - Cita]]),"")</f>
        <v>46210.458333333336</v>
      </c>
      <c r="AI158" s="11">
        <f>IFERROR(IF(MARÍTIMOS[[#This Row],[Etapa Ingreso - Llegada]]="","",MARÍTIMOS[[#This Row],[Etapa Ingreso - Llegada]]),"")</f>
        <v>46210.479166666664</v>
      </c>
      <c r="AJ158" s="11">
        <f>IFERROR(IF(MARÍTIMOS[[#This Row],[Etapa Ingreso - Ingeso]]="","",MARÍTIMOS[[#This Row],[Etapa Ingreso - Ingeso]]),"")</f>
        <v>46210.48541666667</v>
      </c>
      <c r="AK158" s="11">
        <f>IFERROR(IF(MARÍTIMOS[[#This Row],[Etapa Ingreso - Atención]]="","",MARÍTIMOS[[#This Row],[Etapa Ingreso - Atención]]),"")</f>
        <v>46210.489583333336</v>
      </c>
      <c r="AL158" s="11">
        <f>IFERROR(IF(MARÍTIMOS[[#This Row],[Etapa Ingreso - Salida]]="","",MARÍTIMOS[[#This Row],[Etapa Ingreso - Salida]]),"")</f>
        <v>46210.496527777781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8" s="5">
        <f>IFERROR(OLDBD[[#This Row],[Llegada a packing]]-OLDBD[[#This Row],[Inicio de Ruta]],"")</f>
        <v>0.85902777777664596</v>
      </c>
      <c r="AQ158" s="6">
        <f>IFERROR(OLDBD[[#This Row],[Inicio de Ruta]]-OLDBD[[#This Row],[Salida de almacén de retiro]],"")</f>
        <v>4.1666666664241347E-2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8" s="9">
        <f>IFERROR(OLDBD[[#This Row],[Ingreso Packing]]-OLDBD[[#This Row],[Registro en Packing]],"")</f>
        <v>1.3888888890505768E-2</v>
      </c>
      <c r="AV158" s="9">
        <f>IFERROR(OLDBD[[#This Row],[Ingreso Packing]]-OLDBD[[#This Row],[Llegada a packing]],"")</f>
        <v>2.0833333335758653E-2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8" s="5">
        <f>IFERROR(OLDBD[[#This Row],[Llegada Almacén de Ingreso]]-OLDBD[[#This Row],[Salida Packing]],"")</f>
        <v>0.73124999999708962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8" s="45" t="s">
        <v>181</v>
      </c>
      <c r="BB158" s="53" t="str">
        <f>IFERROR(IF(MARÍTIMOS[[#This Row],[Estatus]]="","",MARÍTIMOS[[#This Row],[Estatus]]),"")</f>
        <v>Confirmado</v>
      </c>
      <c r="BC158" s="45"/>
      <c r="BD158" s="52">
        <f>IFERROR(OLDBD[[#This Row],[Salida de almacén de retiro]]-OLDBD[[#This Row],[Ingreso Almacén de retiro]],"")</f>
        <v>2.7777777781011537E-2</v>
      </c>
      <c r="BE158" s="52">
        <f>IFERROR(OLDBD[[#This Row],[Fin de Carga]]-OLDBD[[#This Row],[Inicio de Carga]],"")</f>
        <v>0.21805555555329192</v>
      </c>
    </row>
    <row r="159" spans="1:57" x14ac:dyDescent="0.35">
      <c r="A159" s="1"/>
      <c r="B159" s="1">
        <f>IFERROR(IF(MARÍTIMOS[[#This Row],[PP]]="","",MARÍTIMOS[[#This Row],[PP]]),"")</f>
        <v>27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RH-0125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 xml:space="preserve">LOGISTICA INTERMODAL DEL PERU S.A.C.
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BBG-864</v>
      </c>
      <c r="K159" s="2" t="str">
        <f>IFERROR(IF(MARÍTIMOS[[#This Row],[Placa Carreta]]="","",MARÍTIMOS[[#This Row],[Placa Carreta]]),"")</f>
        <v>AMZ-980</v>
      </c>
      <c r="L159" s="46" t="str">
        <f>IFERROR(IF(MARÍTIMOS[[#This Row],[Conductor]]="","",MARÍTIMOS[[#This Row],[Conductor]]),"")</f>
        <v>DIOSES MIRANDA WILLIAM ARTURO</v>
      </c>
      <c r="M159" s="2" t="str">
        <f>IFERROR(IF(MARÍTIMOS[[#This Row],[Licencia]]="","",MARÍTIMOS[[#This Row],[Licencia]]),"")</f>
        <v>B03508313</v>
      </c>
      <c r="N159" s="2" t="str">
        <f>IFERROR(IF(MARÍTIMOS[[#This Row],[Número de Contacto]]="","",MARÍTIMOS[[#This Row],[Número de Contacto]]),"")</f>
        <v>968 069 655</v>
      </c>
      <c r="O159" s="10" t="str">
        <f>IFERROR(IF(MARÍTIMOS[[#This Row],[Booking|AWB|CRT]]="","",MARÍTIMOS[[#This Row],[Booking|AWB|CRT]]),"")</f>
        <v>PER9133089A</v>
      </c>
      <c r="P159" s="2" t="str">
        <f>IFERROR(IF(MARÍTIMOS[[#This Row],[Contenedor]]="","",MARÍTIMOS[[#This Row],[Contenedor]]),"")</f>
        <v>CAAU4163258</v>
      </c>
      <c r="Q159" s="2" t="str">
        <f>IFERROR(IF(MARÍTIMOS[[#This Row],[Puerto de Retiro]]="","",MARÍTIMOS[[#This Row],[Puerto de Retiro]]),"")</f>
        <v>PAITA</v>
      </c>
      <c r="R159" s="2" t="str">
        <f>IFERROR(IF(MARÍTIMOS[[#This Row],[Almacén de Retiro]]="","",MARÍTIMOS[[#This Row],[Almacén de Retiro]]),"")</f>
        <v>MACROMAR</v>
      </c>
      <c r="S159" s="11">
        <f>IFERROR(IF(MARÍTIMOS[[#This Row],[Etapa Retiro - Cita]]="","",MARÍTIMOS[[#This Row],[Etapa Retiro - Cita]]),"")</f>
        <v>46209.458333333336</v>
      </c>
      <c r="T159" s="11">
        <f>IFERROR(IF(MARÍTIMOS[[#This Row],[Etapa Retiro - Llegada]]="","",MARÍTIMOS[[#This Row],[Etapa Retiro - Llegada]]),"")</f>
        <v>46209.475694444445</v>
      </c>
      <c r="U159" s="11">
        <f>IFERROR(IF(MARÍTIMOS[[#This Row],[Etapa Retiro - Ingreso]]="","",MARÍTIMOS[[#This Row],[Etapa Retiro - Ingreso]]),"")</f>
        <v>46209.503472222219</v>
      </c>
      <c r="V159" s="11">
        <f>IFERROR(IF(MARÍTIMOS[[#This Row],[Etapa Retiro - Atención]]="","",MARÍTIMOS[[#This Row],[Etapa Retiro - Atención]]),"")</f>
        <v>46209.517361111109</v>
      </c>
      <c r="W159" s="11">
        <f>IFERROR(IF(MARÍTIMOS[[#This Row],[Etapa Retiro - Salida]]="","",MARÍTIMOS[[#This Row],[Etapa Retiro - Salida]]),"")</f>
        <v>46209.654861111114</v>
      </c>
      <c r="X159" s="11">
        <f>IFERROR(IF(MARÍTIMOS[[#This Row],[Etapa Retiro - Inicio de Ruta]]="","",MARÍTIMOS[[#This Row],[Etapa Retiro - Inicio de Ruta]]),"")</f>
        <v>46209.696527777778</v>
      </c>
      <c r="Y159" s="11">
        <f>IFERROR(IF(MARÍTIMOS[[#This Row],[Hora de Posicionamiento]]="","",MARÍTIMOS[[#This Row],[Hora de Carga]]+MARÍTIMOS[[#This Row],[Hora de Posicionamiento]]),"")</f>
        <v>0.75</v>
      </c>
      <c r="Z159" s="11">
        <f>IFERROR(IF(MARÍTIMOS[[#This Row],[Etapa Despacho -  Llegada]]="","",MARÍTIMOS[[#This Row],[Etapa Despacho -  Llegada]]),"")</f>
        <v>46210.395833333336</v>
      </c>
      <c r="AA159" s="11">
        <f>IFERROR(IF(MARÍTIMOS[[#This Row],[Etapa Despacho -  Registro]]="","",MARÍTIMOS[[#This Row],[Etapa Despacho -  Registro]]),"")</f>
        <v>46210.402777777781</v>
      </c>
      <c r="AB159" s="11">
        <f>IFERROR(IF(MARÍTIMOS[[#This Row],[Inspección Externa]]="","",MARÍTIMOS[[#This Row],[Inspección Externa]]),"")</f>
        <v>46210.416666666664</v>
      </c>
      <c r="AC159" s="11">
        <f>IFERROR(IF(MARÍTIMOS[[#This Row],[Etapa Despacho -  Inicio de Carga]]="","",MARÍTIMOS[[#This Row],[Etapa Despacho -  Inicio de Carga]]),"")</f>
        <v>46210.458333333336</v>
      </c>
      <c r="AD159" s="11">
        <f>IFERROR(IF(MARÍTIMOS[[#This Row],[Etapa Despacho -  Fin de Carga]]="","",MARÍTIMOS[[#This Row],[Etapa Despacho -  Fin de Carga]]),"")</f>
        <v>46210.583333333336</v>
      </c>
      <c r="AE159" s="11">
        <f>IFERROR(IF(MARÍTIMOS[[#This Row],[Etapa Despacho -  Salida]]="","",MARÍTIMOS[[#This Row],[Etapa Despacho -  Salida]]),"")</f>
        <v>46210.609027777777</v>
      </c>
      <c r="AF159" s="2" t="str">
        <f>IFERROR(IF(MARÍTIMOS[[#This Row],[Puerto de Embarque]]="","",MARÍTIMOS[[#This Row],[Puerto de Embarque]]),"")</f>
        <v>Paita</v>
      </c>
      <c r="AG159" s="2" t="str">
        <f>IFERROR(IF(MARÍTIMOS[[#This Row],[Almacén de Ingreso]]="","",MARÍTIMOS[[#This Row],[Almacén de Ingreso]]),"")</f>
        <v>TPE</v>
      </c>
      <c r="AH159" s="11">
        <f>IFERROR(IF(MARÍTIMOS[[#This Row],[Etapa Ingreso - Cita]]="","",MARÍTIMOS[[#This Row],[Etapa Ingreso - Cita]]),"")</f>
        <v>46211.458333333336</v>
      </c>
      <c r="AI159" s="11">
        <f>IFERROR(IF(MARÍTIMOS[[#This Row],[Etapa Ingreso - Llegada]]="","",MARÍTIMOS[[#This Row],[Etapa Ingreso - Llegada]]),"")</f>
        <v>46211.463888888888</v>
      </c>
      <c r="AJ159" s="11">
        <f>IFERROR(IF(MARÍTIMOS[[#This Row],[Etapa Ingreso - Ingeso]]="","",MARÍTIMOS[[#This Row],[Etapa Ingreso - Ingeso]]),"")</f>
        <v>46211.469444444447</v>
      </c>
      <c r="AK159" s="11">
        <f>IFERROR(IF(MARÍTIMOS[[#This Row],[Etapa Ingreso - Atención]]="","",MARÍTIMOS[[#This Row],[Etapa Ingreso - Atención]]),"")</f>
        <v>46211.47152777778</v>
      </c>
      <c r="AL159" s="11">
        <f>IFERROR(IF(MARÍTIMOS[[#This Row],[Etapa Ingreso - Salida]]="","",MARÍTIMOS[[#This Row],[Etapa Ingreso - Salida]]),"")</f>
        <v>46211.473611111112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9" s="5">
        <f>IFERROR(OLDBD[[#This Row],[Llegada a packing]]-OLDBD[[#This Row],[Inicio de Ruta]],"")</f>
        <v>0.6993055555576575</v>
      </c>
      <c r="AQ159" s="6">
        <f>IFERROR(OLDBD[[#This Row],[Inicio de Ruta]]-OLDBD[[#This Row],[Salida de almacén de retiro]],"")</f>
        <v>4.1666666664241347E-2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1.3888888883229811E-2</v>
      </c>
      <c r="AV159" s="9">
        <f>IFERROR(OLDBD[[#This Row],[Ingreso Packing]]-OLDBD[[#This Row],[Llegada a packing]],"")</f>
        <v>2.0833333328482695E-2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9" s="5">
        <f>IFERROR(OLDBD[[#This Row],[Llegada Almacén de Ingreso]]-OLDBD[[#This Row],[Salida Packing]],"")</f>
        <v>0.85486111111094942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5" t="s">
        <v>181</v>
      </c>
      <c r="BB159" s="53" t="str">
        <f>IFERROR(IF(MARÍTIMOS[[#This Row],[Estatus]]="","",MARÍTIMOS[[#This Row],[Estatus]]),"")</f>
        <v>Confirmado</v>
      </c>
      <c r="BC159" s="45"/>
      <c r="BD159" s="52">
        <f>IFERROR(OLDBD[[#This Row],[Salida de almacén de retiro]]-OLDBD[[#This Row],[Ingreso Almacén de retiro]],"")</f>
        <v>0.15138888889487134</v>
      </c>
      <c r="BE159" s="52">
        <f>IFERROR(OLDBD[[#This Row],[Fin de Carga]]-OLDBD[[#This Row],[Inicio de Carga]],"")</f>
        <v>0.125</v>
      </c>
    </row>
    <row r="160" spans="1:57" x14ac:dyDescent="0.35">
      <c r="A160" s="1"/>
      <c r="B160" s="1">
        <f>IFERROR(IF(MARÍTIMOS[[#This Row],[PP]]="","",MARÍTIMOS[[#This Row],[PP]]),"")</f>
        <v>28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RH-0151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NO</v>
      </c>
      <c r="H160" s="2" t="str">
        <f>IFERROR(IF(MARÍTIMOS[[#This Row],[Razón Social]]="","",MARÍTIMOS[[#This Row],[Razón Social]]),"")</f>
        <v>LOGISTICA INTERMODAL DEL PERU S.A.C.</v>
      </c>
      <c r="I160" s="2">
        <f>IFERROR(IF(MARÍTIMOS[[#This Row],[RUC]]="","",MARÍTIMOS[[#This Row],[RUC]]),"")</f>
        <v>20513040718</v>
      </c>
      <c r="J160" s="2" t="str">
        <f>IFERROR(IF(MARÍTIMOS[[#This Row],[Placa Tracto]]="","",MARÍTIMOS[[#This Row],[Placa Tracto]]),"")</f>
        <v>BBG-825</v>
      </c>
      <c r="K160" s="2" t="str">
        <f>IFERROR(IF(MARÍTIMOS[[#This Row],[Placa Carreta]]="","",MARÍTIMOS[[#This Row],[Placa Carreta]]),"")</f>
        <v>ANA-974</v>
      </c>
      <c r="L160" s="46" t="str">
        <f>IFERROR(IF(MARÍTIMOS[[#This Row],[Conductor]]="","",MARÍTIMOS[[#This Row],[Conductor]]),"")</f>
        <v>TAVARA SOLIS PAUL MARLON</v>
      </c>
      <c r="M160" s="2" t="str">
        <f>IFERROR(IF(MARÍTIMOS[[#This Row],[Licencia]]="","",MARÍTIMOS[[#This Row],[Licencia]]),"")</f>
        <v>C17625579</v>
      </c>
      <c r="N160" s="2" t="str">
        <f>IFERROR(IF(MARÍTIMOS[[#This Row],[Número de Contacto]]="","",MARÍTIMOS[[#This Row],[Número de Contacto]]),"")</f>
        <v>969 069 655</v>
      </c>
      <c r="O160" s="10" t="str">
        <f>IFERROR(IF(MARÍTIMOS[[#This Row],[Booking|AWB|CRT]]="","",MARÍTIMOS[[#This Row],[Booking|AWB|CRT]]),"")</f>
        <v>MBM250067099</v>
      </c>
      <c r="P160" s="2" t="str">
        <f>IFERROR(IF(MARÍTIMOS[[#This Row],[Contenedor]]="","",MARÍTIMOS[[#This Row],[Contenedor]]),"")</f>
        <v>FDDU2543886</v>
      </c>
      <c r="Q160" s="2" t="str">
        <f>IFERROR(IF(MARÍTIMOS[[#This Row],[Puerto de Retiro]]="","",MARÍTIMOS[[#This Row],[Puerto de Retiro]]),"")</f>
        <v>PAITA</v>
      </c>
      <c r="R160" s="2" t="str">
        <f>IFERROR(IF(MARÍTIMOS[[#This Row],[Almacén de Retiro]]="","",MARÍTIMOS[[#This Row],[Almacén de Retiro]]),"")</f>
        <v>MACROMAR</v>
      </c>
      <c r="S160" s="11">
        <f>IFERROR(IF(MARÍTIMOS[[#This Row],[Etapa Retiro - Cita]]="","",MARÍTIMOS[[#This Row],[Etapa Retiro - Cita]]),"")</f>
        <v>46211.541666666664</v>
      </c>
      <c r="T160" s="11">
        <f>IFERROR(IF(MARÍTIMOS[[#This Row],[Etapa Retiro - Llegada]]="","",MARÍTIMOS[[#This Row],[Etapa Retiro - Llegada]]),"")</f>
        <v>46211.546527777777</v>
      </c>
      <c r="U160" s="11">
        <f>IFERROR(IF(MARÍTIMOS[[#This Row],[Etapa Retiro - Ingreso]]="","",MARÍTIMOS[[#This Row],[Etapa Retiro - Ingreso]]),"")</f>
        <v>46211.605555555558</v>
      </c>
      <c r="V160" s="11">
        <f>IFERROR(IF(MARÍTIMOS[[#This Row],[Etapa Retiro - Atención]]="","",MARÍTIMOS[[#This Row],[Etapa Retiro - Atención]]),"")</f>
        <v>46211.625</v>
      </c>
      <c r="W160" s="11">
        <f>IFERROR(IF(MARÍTIMOS[[#This Row],[Etapa Retiro - Salida]]="","",MARÍTIMOS[[#This Row],[Etapa Retiro - Salida]]),"")</f>
        <v>46211.638888888891</v>
      </c>
      <c r="X160" s="11">
        <f>IFERROR(IF(MARÍTIMOS[[#This Row],[Etapa Retiro - Inicio de Ruta]]="","",MARÍTIMOS[[#This Row],[Etapa Retiro - Inicio de Ruta]]),"")</f>
        <v>46211.680555555555</v>
      </c>
      <c r="Y160" s="11">
        <f>IFERROR(IF(MARÍTIMOS[[#This Row],[Hora de Posicionamiento]]="","",MARÍTIMOS[[#This Row],[Hora de Carga]]+MARÍTIMOS[[#This Row],[Hora de Posicionamiento]]),"")</f>
        <v>0.75</v>
      </c>
      <c r="Z160" s="11">
        <f>IFERROR(IF(MARÍTIMOS[[#This Row],[Etapa Despacho -  Llegada]]="","",MARÍTIMOS[[#This Row],[Etapa Despacho -  Llegada]]),"")</f>
        <v>46212.359722222223</v>
      </c>
      <c r="AA160" s="11">
        <f>IFERROR(IF(MARÍTIMOS[[#This Row],[Etapa Despacho -  Registro]]="","",MARÍTIMOS[[#This Row],[Etapa Despacho -  Registro]]),"")</f>
        <v>46212.368055555555</v>
      </c>
      <c r="AB160" s="11">
        <f>IFERROR(IF(MARÍTIMOS[[#This Row],[Inspección Externa]]="","",MARÍTIMOS[[#This Row],[Inspección Externa]]),"")</f>
        <v>46212.381944444445</v>
      </c>
      <c r="AC160" s="11">
        <f>IFERROR(IF(MARÍTIMOS[[#This Row],[Etapa Despacho -  Inicio de Carga]]="","",MARÍTIMOS[[#This Row],[Etapa Despacho -  Inicio de Carga]]),"")</f>
        <v>46212.423611111109</v>
      </c>
      <c r="AD160" s="11">
        <f>IFERROR(IF(MARÍTIMOS[[#This Row],[Etapa Despacho -  Fin de Carga]]="","",MARÍTIMOS[[#This Row],[Etapa Despacho -  Fin de Carga]]),"")</f>
        <v>46212.604166666664</v>
      </c>
      <c r="AE160" s="11">
        <f>IFERROR(IF(MARÍTIMOS[[#This Row],[Etapa Despacho -  Salida]]="","",MARÍTIMOS[[#This Row],[Etapa Despacho -  Salida]]),"")</f>
        <v>46212.619444444441</v>
      </c>
      <c r="AF160" s="2" t="str">
        <f>IFERROR(IF(MARÍTIMOS[[#This Row],[Puerto de Embarque]]="","",MARÍTIMOS[[#This Row],[Puerto de Embarque]]),"")</f>
        <v>Paita</v>
      </c>
      <c r="AG160" s="2" t="str">
        <f>IFERROR(IF(MARÍTIMOS[[#This Row],[Almacén de Ingreso]]="","",MARÍTIMOS[[#This Row],[Almacén de Ingreso]]),"")</f>
        <v>TPE</v>
      </c>
      <c r="AH160" s="11">
        <f>IFERROR(IF(MARÍTIMOS[[#This Row],[Etapa Ingreso - Cita]]="","",MARÍTIMOS[[#This Row],[Etapa Ingreso - Cita]]),"")</f>
        <v>46213.416666666664</v>
      </c>
      <c r="AI160" s="11">
        <f>IFERROR(IF(MARÍTIMOS[[#This Row],[Etapa Ingreso - Llegada]]="","",MARÍTIMOS[[#This Row],[Etapa Ingreso - Llegada]]),"")</f>
        <v>46213.436805555553</v>
      </c>
      <c r="AJ160" s="11">
        <f>IFERROR(IF(MARÍTIMOS[[#This Row],[Etapa Ingreso - Ingeso]]="","",MARÍTIMOS[[#This Row],[Etapa Ingreso - Ingeso]]),"")</f>
        <v>46213.445833333331</v>
      </c>
      <c r="AK160" s="11">
        <f>IFERROR(IF(MARÍTIMOS[[#This Row],[Etapa Ingreso - Atención]]="","",MARÍTIMOS[[#This Row],[Etapa Ingreso - Atención]]),"")</f>
        <v>46213.489583333336</v>
      </c>
      <c r="AL160" s="11">
        <f>IFERROR(IF(MARÍTIMOS[[#This Row],[Etapa Ingreso - Salida]]="","",MARÍTIMOS[[#This Row],[Etapa Ingreso - Salida]]),"")</f>
        <v>46213.492361111108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0.67916666666860692</v>
      </c>
      <c r="AQ160" s="6">
        <f>IFERROR(OLDBD[[#This Row],[Inicio de Ruta]]-OLDBD[[#This Row],[Salida de almacén de retiro]],"")</f>
        <v>4.1666666664241347E-2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1.3888888890505768E-2</v>
      </c>
      <c r="AV160" s="9">
        <f>IFERROR(OLDBD[[#This Row],[Ingreso Packing]]-OLDBD[[#This Row],[Llegada a packing]],"")</f>
        <v>2.2222222221898846E-2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0" s="5">
        <f>IFERROR(OLDBD[[#This Row],[Llegada Almacén de Ingreso]]-OLDBD[[#This Row],[Salida Packing]],"")</f>
        <v>0.81736111111240461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5" t="s">
        <v>181</v>
      </c>
      <c r="BB160" s="53" t="str">
        <f>IFERROR(IF(MARÍTIMOS[[#This Row],[Estatus]]="","",MARÍTIMOS[[#This Row],[Estatus]]),"")</f>
        <v>Confirmado</v>
      </c>
      <c r="BC160" s="45"/>
      <c r="BD160" s="52">
        <f>IFERROR(OLDBD[[#This Row],[Salida de almacén de retiro]]-OLDBD[[#This Row],[Ingreso Almacén de retiro]],"")</f>
        <v>3.3333333332848269E-2</v>
      </c>
      <c r="BE160" s="52">
        <f>IFERROR(OLDBD[[#This Row],[Fin de Carga]]-OLDBD[[#This Row],[Inicio de Carga]],"")</f>
        <v>0.18055555555474712</v>
      </c>
    </row>
    <row r="161" spans="1:57" x14ac:dyDescent="0.35">
      <c r="A161" s="1"/>
      <c r="B161" s="1">
        <f>IFERROR(IF(MARÍTIMOS[[#This Row],[PP]]="","",MARÍTIMOS[[#This Row],[PP]]),"")</f>
        <v>28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RH-0152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NO</v>
      </c>
      <c r="H161" s="2" t="str">
        <f>IFERROR(IF(MARÍTIMOS[[#This Row],[Razón Social]]="","",MARÍTIMOS[[#This Row],[Razón Social]]),"")</f>
        <v>LOGISTICA INTERMODAL DEL PERU S.A.C.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ASO-792</v>
      </c>
      <c r="K161" s="2" t="str">
        <f>IFERROR(IF(MARÍTIMOS[[#This Row],[Placa Carreta]]="","",MARÍTIMOS[[#This Row],[Placa Carreta]]),"")</f>
        <v>AKA-993</v>
      </c>
      <c r="L161" s="46" t="str">
        <f>IFERROR(IF(MARÍTIMOS[[#This Row],[Conductor]]="","",MARÍTIMOS[[#This Row],[Conductor]]),"")</f>
        <v>MEDINA OLAYA JOSE LUIS</v>
      </c>
      <c r="M161" s="2" t="str">
        <f>IFERROR(IF(MARÍTIMOS[[#This Row],[Licencia]]="","",MARÍTIMOS[[#This Row],[Licencia]]),"")</f>
        <v>B44001820</v>
      </c>
      <c r="N161" s="2" t="str">
        <f>IFERROR(IF(MARÍTIMOS[[#This Row],[Número de Contacto]]="","",MARÍTIMOS[[#This Row],[Número de Contacto]]),"")</f>
        <v>970 069 655</v>
      </c>
      <c r="O161" s="10" t="str">
        <f>IFERROR(IF(MARÍTIMOS[[#This Row],[Booking|AWB|CRT]]="","",MARÍTIMOS[[#This Row],[Booking|AWB|CRT]]),"")</f>
        <v>MBM250067100</v>
      </c>
      <c r="P161" s="2" t="str">
        <f>IFERROR(IF(MARÍTIMOS[[#This Row],[Contenedor]]="","",MARÍTIMOS[[#This Row],[Contenedor]]),"")</f>
        <v>SEKU9368609</v>
      </c>
      <c r="Q161" s="2" t="str">
        <f>IFERROR(IF(MARÍTIMOS[[#This Row],[Puerto de Retiro]]="","",MARÍTIMOS[[#This Row],[Puerto de Retiro]]),"")</f>
        <v>PAITA</v>
      </c>
      <c r="R161" s="2" t="str">
        <f>IFERROR(IF(MARÍTIMOS[[#This Row],[Almacén de Retiro]]="","",MARÍTIMOS[[#This Row],[Almacén de Retiro]]),"")</f>
        <v>MACROMAR</v>
      </c>
      <c r="S161" s="11">
        <f>IFERROR(IF(MARÍTIMOS[[#This Row],[Etapa Retiro - Cita]]="","",MARÍTIMOS[[#This Row],[Etapa Retiro - Cita]]),"")</f>
        <v>46211.791666666664</v>
      </c>
      <c r="T161" s="11">
        <f>IFERROR(IF(MARÍTIMOS[[#This Row],[Etapa Retiro - Llegada]]="","",MARÍTIMOS[[#This Row],[Etapa Retiro - Llegada]]),"")</f>
        <v>46211.792361111111</v>
      </c>
      <c r="U161" s="11">
        <f>IFERROR(IF(MARÍTIMOS[[#This Row],[Etapa Retiro - Ingreso]]="","",MARÍTIMOS[[#This Row],[Etapa Retiro - Ingreso]]),"")</f>
        <v>46211.810416666667</v>
      </c>
      <c r="V161" s="11">
        <f>IFERROR(IF(MARÍTIMOS[[#This Row],[Etapa Retiro - Atención]]="","",MARÍTIMOS[[#This Row],[Etapa Retiro - Atención]]),"")</f>
        <v>46211.833333333336</v>
      </c>
      <c r="W161" s="11">
        <f>IFERROR(IF(MARÍTIMOS[[#This Row],[Etapa Retiro - Salida]]="","",MARÍTIMOS[[#This Row],[Etapa Retiro - Salida]]),"")</f>
        <v>46211.869444444441</v>
      </c>
      <c r="X161" s="11">
        <f>IFERROR(IF(MARÍTIMOS[[#This Row],[Etapa Retiro - Inicio de Ruta]]="","",MARÍTIMOS[[#This Row],[Etapa Retiro - Inicio de Ruta]]),"")</f>
        <v>46211.875</v>
      </c>
      <c r="Y161" s="11">
        <f>IFERROR(IF(MARÍTIMOS[[#This Row],[Hora de Posicionamiento]]="","",MARÍTIMOS[[#This Row],[Hora de Carga]]+MARÍTIMOS[[#This Row],[Hora de Posicionamiento]]),"")</f>
        <v>0.75</v>
      </c>
      <c r="Z161" s="11">
        <f>IFERROR(IF(MARÍTIMOS[[#This Row],[Etapa Despacho -  Llegada]]="","",MARÍTIMOS[[#This Row],[Etapa Despacho -  Llegada]]),"")</f>
        <v>46213.193749999999</v>
      </c>
      <c r="AA161" s="11">
        <f>IFERROR(IF(MARÍTIMOS[[#This Row],[Etapa Despacho -  Registro]]="","",MARÍTIMOS[[#This Row],[Etapa Despacho -  Registro]]),"")</f>
        <v>46213.201388888891</v>
      </c>
      <c r="AB161" s="11">
        <f>IFERROR(IF(MARÍTIMOS[[#This Row],[Inspección Externa]]="","",MARÍTIMOS[[#This Row],[Inspección Externa]]),"")</f>
        <v>46213.215277777781</v>
      </c>
      <c r="AC161" s="11">
        <f>IFERROR(IF(MARÍTIMOS[[#This Row],[Etapa Despacho -  Inicio de Carga]]="","",MARÍTIMOS[[#This Row],[Etapa Despacho -  Inicio de Carga]]),"")</f>
        <v>46213.256944444445</v>
      </c>
      <c r="AD161" s="11">
        <f>IFERROR(IF(MARÍTIMOS[[#This Row],[Etapa Despacho -  Fin de Carga]]="","",MARÍTIMOS[[#This Row],[Etapa Despacho -  Fin de Carga]]),"")</f>
        <v>46213.5</v>
      </c>
      <c r="AE161" s="11">
        <f>IFERROR(IF(MARÍTIMOS[[#This Row],[Etapa Despacho -  Salida]]="","",MARÍTIMOS[[#This Row],[Etapa Despacho -  Salida]]),"")</f>
        <v>46213.525694444441</v>
      </c>
      <c r="AF161" s="2" t="str">
        <f>IFERROR(IF(MARÍTIMOS[[#This Row],[Puerto de Embarque]]="","",MARÍTIMOS[[#This Row],[Puerto de Embarque]]),"")</f>
        <v>Paita</v>
      </c>
      <c r="AG161" s="2" t="str">
        <f>IFERROR(IF(MARÍTIMOS[[#This Row],[Almacén de Ingreso]]="","",MARÍTIMOS[[#This Row],[Almacén de Ingreso]]),"")</f>
        <v>TPE</v>
      </c>
      <c r="AH161" s="11">
        <f>IFERROR(IF(MARÍTIMOS[[#This Row],[Etapa Ingreso - Cita]]="","",MARÍTIMOS[[#This Row],[Etapa Ingreso - Cita]]),"")</f>
        <v>46214.333333333336</v>
      </c>
      <c r="AI161" s="11">
        <f>IFERROR(IF(MARÍTIMOS[[#This Row],[Etapa Ingreso - Llegada]]="","",MARÍTIMOS[[#This Row],[Etapa Ingreso - Llegada]]),"")</f>
        <v>46214.334722222222</v>
      </c>
      <c r="AJ161" s="11">
        <f>IFERROR(IF(MARÍTIMOS[[#This Row],[Etapa Ingreso - Ingeso]]="","",MARÍTIMOS[[#This Row],[Etapa Ingreso - Ingeso]]),"")</f>
        <v>46214.343055555553</v>
      </c>
      <c r="AK161" s="11">
        <f>IFERROR(IF(MARÍTIMOS[[#This Row],[Etapa Ingreso - Atención]]="","",MARÍTIMOS[[#This Row],[Etapa Ingreso - Atención]]),"")</f>
        <v>46214.333333333336</v>
      </c>
      <c r="AL161" s="11">
        <f>IFERROR(IF(MARÍTIMOS[[#This Row],[Etapa Ingreso - Salida]]="","",MARÍTIMOS[[#This Row],[Etapa Ingreso - Salida]]),"")</f>
        <v>46214.350694444445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1" s="5">
        <f>IFERROR(OLDBD[[#This Row],[Llegada a packing]]-OLDBD[[#This Row],[Inicio de Ruta]],"")</f>
        <v>1.3187499999985448</v>
      </c>
      <c r="AQ161" s="6">
        <f>IFERROR(OLDBD[[#This Row],[Inicio de Ruta]]-OLDBD[[#This Row],[Salida de almacén de retiro]],"")</f>
        <v>5.5555555591126904E-3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1.3888888890505768E-2</v>
      </c>
      <c r="AV161" s="9">
        <f>IFERROR(OLDBD[[#This Row],[Ingreso Packing]]-OLDBD[[#This Row],[Llegada a packing]],"")</f>
        <v>2.1527777782466728E-2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1" s="5">
        <f>IFERROR(OLDBD[[#This Row],[Llegada Almacén de Ingreso]]-OLDBD[[#This Row],[Salida Packing]],"")</f>
        <v>0.80902777778101154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5" t="s">
        <v>181</v>
      </c>
      <c r="BB161" s="53" t="str">
        <f>IFERROR(IF(MARÍTIMOS[[#This Row],[Estatus]]="","",MARÍTIMOS[[#This Row],[Estatus]]),"")</f>
        <v>Confirmado</v>
      </c>
      <c r="BC161" s="45"/>
      <c r="BD161" s="52">
        <f>IFERROR(OLDBD[[#This Row],[Salida de almacén de retiro]]-OLDBD[[#This Row],[Ingreso Almacén de retiro]],"")</f>
        <v>5.9027777773735579E-2</v>
      </c>
      <c r="BE161" s="52">
        <f>IFERROR(OLDBD[[#This Row],[Fin de Carga]]-OLDBD[[#This Row],[Inicio de Carga]],"")</f>
        <v>0.24305555555474712</v>
      </c>
    </row>
    <row r="162" spans="1:57" x14ac:dyDescent="0.35">
      <c r="A162" s="1"/>
      <c r="B162" s="1">
        <f>IFERROR(IF(MARÍTIMOS[[#This Row],[PP]]="","",MARÍTIMOS[[#This Row],[PP]]),"")</f>
        <v>28</v>
      </c>
      <c r="C162" s="1" t="str">
        <f>IFERROR(IF(MARÍTIMOS[[#This Row],[Sede]]="","",MARÍTIMOS[[#This Row],[Sede]]),"")</f>
        <v>Olmos</v>
      </c>
      <c r="D162" s="1" t="str">
        <f>IFERROR(IF(MARÍTIMOS[[#This Row],[Instruction]]="","",MARÍTIMOS[[#This Row],[Instruction]]),"")</f>
        <v>RH-0153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NO</v>
      </c>
      <c r="H162" s="2" t="str">
        <f>IFERROR(IF(MARÍTIMOS[[#This Row],[Razón Social]]="","",MARÍTIMOS[[#This Row],[Razón Social]]),"")</f>
        <v>LOGISTICA INTERMODAL DEL PERU S.A.C.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ASO-911</v>
      </c>
      <c r="K162" s="2" t="str">
        <f>IFERROR(IF(MARÍTIMOS[[#This Row],[Placa Carreta]]="","",MARÍTIMOS[[#This Row],[Placa Carreta]]),"")</f>
        <v>ADF-995</v>
      </c>
      <c r="L162" s="46" t="str">
        <f>IFERROR(IF(MARÍTIMOS[[#This Row],[Conductor]]="","",MARÍTIMOS[[#This Row],[Conductor]]),"")</f>
        <v>CASTILLO ALVAREZ CESAR HUGO</v>
      </c>
      <c r="M162" s="2" t="str">
        <f>IFERROR(IF(MARÍTIMOS[[#This Row],[Licencia]]="","",MARÍTIMOS[[#This Row],[Licencia]]),"")</f>
        <v>Q25858072</v>
      </c>
      <c r="N162" s="2" t="str">
        <f>IFERROR(IF(MARÍTIMOS[[#This Row],[Número de Contacto]]="","",MARÍTIMOS[[#This Row],[Número de Contacto]]),"")</f>
        <v>971 069 655</v>
      </c>
      <c r="O162" s="10" t="str">
        <f>IFERROR(IF(MARÍTIMOS[[#This Row],[Booking|AWB|CRT]]="","",MARÍTIMOS[[#This Row],[Booking|AWB|CRT]]),"")</f>
        <v>MBM250067098</v>
      </c>
      <c r="P162" s="2" t="str">
        <f>IFERROR(IF(MARÍTIMOS[[#This Row],[Contenedor]]="","",MARÍTIMOS[[#This Row],[Contenedor]]),"")</f>
        <v>SEKU9365071</v>
      </c>
      <c r="Q162" s="2" t="str">
        <f>IFERROR(IF(MARÍTIMOS[[#This Row],[Puerto de Retiro]]="","",MARÍTIMOS[[#This Row],[Puerto de Retiro]]),"")</f>
        <v>PAITA</v>
      </c>
      <c r="R162" s="2" t="str">
        <f>IFERROR(IF(MARÍTIMOS[[#This Row],[Almacén de Retiro]]="","",MARÍTIMOS[[#This Row],[Almacén de Retiro]]),"")</f>
        <v>MACROMAR</v>
      </c>
      <c r="S162" s="11">
        <f>IFERROR(IF(MARÍTIMOS[[#This Row],[Etapa Retiro - Cita]]="","",MARÍTIMOS[[#This Row],[Etapa Retiro - Cita]]),"")</f>
        <v>46211.666666666664</v>
      </c>
      <c r="T162" s="11">
        <f>IFERROR(IF(MARÍTIMOS[[#This Row],[Etapa Retiro - Llegada]]="","",MARÍTIMOS[[#This Row],[Etapa Retiro - Llegada]]),"")</f>
        <v>46211.70416666667</v>
      </c>
      <c r="U162" s="11">
        <f>IFERROR(IF(MARÍTIMOS[[#This Row],[Etapa Retiro - Ingreso]]="","",MARÍTIMOS[[#This Row],[Etapa Retiro - Ingreso]]),"")</f>
        <v>46211.729166666664</v>
      </c>
      <c r="V162" s="11">
        <f>IFERROR(IF(MARÍTIMOS[[#This Row],[Etapa Retiro - Atención]]="","",MARÍTIMOS[[#This Row],[Etapa Retiro - Atención]]),"")</f>
        <v>46211.75</v>
      </c>
      <c r="W162" s="11">
        <f>IFERROR(IF(MARÍTIMOS[[#This Row],[Etapa Retiro - Salida]]="","",MARÍTIMOS[[#This Row],[Etapa Retiro - Salida]]),"")</f>
        <v>46211.793749999997</v>
      </c>
      <c r="X162" s="11">
        <f>IFERROR(IF(MARÍTIMOS[[#This Row],[Etapa Retiro - Inicio de Ruta]]="","",MARÍTIMOS[[#This Row],[Etapa Retiro - Inicio de Ruta]]),"")</f>
        <v>46211.833333333336</v>
      </c>
      <c r="Y162" s="11">
        <f>IFERROR(IF(MARÍTIMOS[[#This Row],[Hora de Posicionamiento]]="","",MARÍTIMOS[[#This Row],[Hora de Carga]]+MARÍTIMOS[[#This Row],[Hora de Posicionamiento]]),"")</f>
        <v>0.75</v>
      </c>
      <c r="Z162" s="11">
        <f>IFERROR(IF(MARÍTIMOS[[#This Row],[Etapa Despacho -  Llegada]]="","",MARÍTIMOS[[#This Row],[Etapa Despacho -  Llegada]]),"")</f>
        <v>46212.385416666664</v>
      </c>
      <c r="AA162" s="11">
        <f>IFERROR(IF(MARÍTIMOS[[#This Row],[Etapa Despacho -  Registro]]="","",MARÍTIMOS[[#This Row],[Etapa Despacho -  Registro]]),"")</f>
        <v>46212.392361111109</v>
      </c>
      <c r="AB162" s="11">
        <f>IFERROR(IF(MARÍTIMOS[[#This Row],[Inspección Externa]]="","",MARÍTIMOS[[#This Row],[Inspección Externa]]),"")</f>
        <v>46212.40625</v>
      </c>
      <c r="AC162" s="11">
        <f>IFERROR(IF(MARÍTIMOS[[#This Row],[Etapa Despacho -  Inicio de Carga]]="","",MARÍTIMOS[[#This Row],[Etapa Despacho -  Inicio de Carga]]),"")</f>
        <v>46212.447916666664</v>
      </c>
      <c r="AD162" s="11">
        <f>IFERROR(IF(MARÍTIMOS[[#This Row],[Etapa Despacho -  Fin de Carga]]="","",MARÍTIMOS[[#This Row],[Etapa Despacho -  Fin de Carga]]),"")</f>
        <v>46213.625</v>
      </c>
      <c r="AE162" s="11">
        <f>IFERROR(IF(MARÍTIMOS[[#This Row],[Etapa Despacho -  Salida]]="","",MARÍTIMOS[[#This Row],[Etapa Despacho -  Salida]]),"")</f>
        <v>46213.645833333336</v>
      </c>
      <c r="AF162" s="2" t="str">
        <f>IFERROR(IF(MARÍTIMOS[[#This Row],[Puerto de Embarque]]="","",MARÍTIMOS[[#This Row],[Puerto de Embarque]]),"")</f>
        <v>Paita</v>
      </c>
      <c r="AG162" s="2" t="str">
        <f>IFERROR(IF(MARÍTIMOS[[#This Row],[Almacén de Ingreso]]="","",MARÍTIMOS[[#This Row],[Almacén de Ingreso]]),"")</f>
        <v>TPE</v>
      </c>
      <c r="AH162" s="11">
        <f>IFERROR(IF(MARÍTIMOS[[#This Row],[Etapa Ingreso - Cita]]="","",MARÍTIMOS[[#This Row],[Etapa Ingreso - Cita]]),"")</f>
        <v>46214.375</v>
      </c>
      <c r="AI162" s="11">
        <f>IFERROR(IF(MARÍTIMOS[[#This Row],[Etapa Ingreso - Llegada]]="","",MARÍTIMOS[[#This Row],[Etapa Ingreso - Llegada]]),"")</f>
        <v>46214.38958333333</v>
      </c>
      <c r="AJ162" s="11">
        <f>IFERROR(IF(MARÍTIMOS[[#This Row],[Etapa Ingreso - Ingeso]]="","",MARÍTIMOS[[#This Row],[Etapa Ingreso - Ingeso]]),"")</f>
        <v>46214.394444444442</v>
      </c>
      <c r="AK162" s="11">
        <f>IFERROR(IF(MARÍTIMOS[[#This Row],[Etapa Ingreso - Atención]]="","",MARÍTIMOS[[#This Row],[Etapa Ingreso - Atención]]),"")</f>
        <v>46214.399305555555</v>
      </c>
      <c r="AL162" s="11">
        <f>IFERROR(IF(MARÍTIMOS[[#This Row],[Etapa Ingreso - Salida]]="","",MARÍTIMOS[[#This Row],[Etapa Ingreso - Salida]]),"")</f>
        <v>46214.40347222222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2" s="5">
        <f>IFERROR(OLDBD[[#This Row],[Llegada a packing]]-OLDBD[[#This Row],[Inicio de Ruta]],"")</f>
        <v>0.55208333332848269</v>
      </c>
      <c r="AQ162" s="6">
        <f>IFERROR(OLDBD[[#This Row],[Inicio de Ruta]]-OLDBD[[#This Row],[Salida de almacén de retiro]],"")</f>
        <v>3.9583333338669036E-2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2" s="9">
        <f>IFERROR(OLDBD[[#This Row],[Ingreso Packing]]-OLDBD[[#This Row],[Registro en Packing]],"")</f>
        <v>1.3888888890505768E-2</v>
      </c>
      <c r="AV162" s="9">
        <f>IFERROR(OLDBD[[#This Row],[Ingreso Packing]]-OLDBD[[#This Row],[Llegada a packing]],"")</f>
        <v>2.0833333335758653E-2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2" s="5">
        <f>IFERROR(OLDBD[[#This Row],[Llegada Almacén de Ingreso]]-OLDBD[[#This Row],[Salida Packing]],"")</f>
        <v>0.74374999999417923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5" t="s">
        <v>181</v>
      </c>
      <c r="BB162" s="53" t="str">
        <f>IFERROR(IF(MARÍTIMOS[[#This Row],[Estatus]]="","",MARÍTIMOS[[#This Row],[Estatus]]),"")</f>
        <v>Confirmado</v>
      </c>
      <c r="BC162" s="45"/>
      <c r="BD162" s="52">
        <f>IFERROR(OLDBD[[#This Row],[Salida de almacén de retiro]]-OLDBD[[#This Row],[Ingreso Almacén de retiro]],"")</f>
        <v>6.4583333332848269E-2</v>
      </c>
      <c r="BE162" s="52">
        <f>IFERROR(OLDBD[[#This Row],[Fin de Carga]]-OLDBD[[#This Row],[Inicio de Carga]],"")</f>
        <v>1.1770833333357587</v>
      </c>
    </row>
    <row r="163" spans="1:57" x14ac:dyDescent="0.35">
      <c r="A163" s="1"/>
      <c r="B163" s="1">
        <f>IFERROR(IF(MARÍTIMOS[[#This Row],[PP]]="","",MARÍTIMOS[[#This Row],[PP]]),"")</f>
        <v>28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RH-0154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 xml:space="preserve">LOGISTICA INTERMODAL DEL PERU S.A.C.
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AZH-828</v>
      </c>
      <c r="K163" s="2" t="str">
        <f>IFERROR(IF(MARÍTIMOS[[#This Row],[Placa Carreta]]="","",MARÍTIMOS[[#This Row],[Placa Carreta]]),"")</f>
        <v>AXO-972</v>
      </c>
      <c r="L163" s="46" t="str">
        <f>IFERROR(IF(MARÍTIMOS[[#This Row],[Conductor]]="","",MARÍTIMOS[[#This Row],[Conductor]]),"")</f>
        <v>VARGAS BARRIENTOS JESUS GERMAN</v>
      </c>
      <c r="M163" s="2" t="str">
        <f>IFERROR(IF(MARÍTIMOS[[#This Row],[Licencia]]="","",MARÍTIMOS[[#This Row],[Licencia]]),"")</f>
        <v>B72766316</v>
      </c>
      <c r="N163" s="2" t="str">
        <f>IFERROR(IF(MARÍTIMOS[[#This Row],[Número de Contacto]]="","",MARÍTIMOS[[#This Row],[Número de Contacto]]),"")</f>
        <v>954 015 437</v>
      </c>
      <c r="O163" s="10" t="str">
        <f>IFERROR(IF(MARÍTIMOS[[#This Row],[Booking|AWB|CRT]]="","",MARÍTIMOS[[#This Row],[Booking|AWB|CRT]]),"")</f>
        <v>BN79045</v>
      </c>
      <c r="P163" s="2" t="str">
        <f>IFERROR(IF(MARÍTIMOS[[#This Row],[Contenedor]]="","",MARÍTIMOS[[#This Row],[Contenedor]]),"")</f>
        <v>TEMU9489109</v>
      </c>
      <c r="Q163" s="2" t="str">
        <f>IFERROR(IF(MARÍTIMOS[[#This Row],[Puerto de Retiro]]="","",MARÍTIMOS[[#This Row],[Puerto de Retiro]]),"")</f>
        <v>PAITA</v>
      </c>
      <c r="R163" s="2" t="str">
        <f>IFERROR(IF(MARÍTIMOS[[#This Row],[Almacén de Retiro]]="","",MARÍTIMOS[[#This Row],[Almacén de Retiro]]),"")</f>
        <v>DPW</v>
      </c>
      <c r="S163" s="11">
        <f>IFERROR(IF(MARÍTIMOS[[#This Row],[Etapa Retiro - Cita]]="","",MARÍTIMOS[[#This Row],[Etapa Retiro - Cita]]),"")</f>
        <v>46215.625</v>
      </c>
      <c r="T163" s="11">
        <f>IFERROR(IF(MARÍTIMOS[[#This Row],[Etapa Retiro - Llegada]]="","",MARÍTIMOS[[#This Row],[Etapa Retiro - Llegada]]),"")</f>
        <v>46215.633333333331</v>
      </c>
      <c r="U163" s="11">
        <f>IFERROR(IF(MARÍTIMOS[[#This Row],[Etapa Retiro - Ingreso]]="","",MARÍTIMOS[[#This Row],[Etapa Retiro - Ingreso]]),"")</f>
        <v>46215.673611111109</v>
      </c>
      <c r="V163" s="11">
        <f>IFERROR(IF(MARÍTIMOS[[#This Row],[Etapa Retiro - Atención]]="","",MARÍTIMOS[[#This Row],[Etapa Retiro - Atención]]),"")</f>
        <v>46215.694444444445</v>
      </c>
      <c r="W163" s="11">
        <f>IFERROR(IF(MARÍTIMOS[[#This Row],[Etapa Retiro - Salida]]="","",MARÍTIMOS[[#This Row],[Etapa Retiro - Salida]]),"")</f>
        <v>46215.729861111111</v>
      </c>
      <c r="X163" s="11">
        <f>IFERROR(IF(MARÍTIMOS[[#This Row],[Etapa Retiro - Inicio de Ruta]]="","",MARÍTIMOS[[#This Row],[Etapa Retiro - Inicio de Ruta]]),"")</f>
        <v>46215.770833333336</v>
      </c>
      <c r="Y163" s="11">
        <f>IFERROR(IF(MARÍTIMOS[[#This Row],[Hora de Posicionamiento]]="","",MARÍTIMOS[[#This Row],[Hora de Carga]]+MARÍTIMOS[[#This Row],[Hora de Posicionamiento]]),"")</f>
        <v>0.75</v>
      </c>
      <c r="Z163" s="11">
        <f>IFERROR(IF(MARÍTIMOS[[#This Row],[Etapa Despacho -  Llegada]]="","",MARÍTIMOS[[#This Row],[Etapa Despacho -  Llegada]]),"")</f>
        <v>46216.454861111109</v>
      </c>
      <c r="AA163" s="11">
        <f>IFERROR(IF(MARÍTIMOS[[#This Row],[Etapa Despacho -  Registro]]="","",MARÍTIMOS[[#This Row],[Etapa Despacho -  Registro]]),"")</f>
        <v>46216.458333333336</v>
      </c>
      <c r="AB163" s="11">
        <f>IFERROR(IF(MARÍTIMOS[[#This Row],[Inspección Externa]]="","",MARÍTIMOS[[#This Row],[Inspección Externa]]),"")</f>
        <v>46216.479166666664</v>
      </c>
      <c r="AC163" s="11">
        <f>IFERROR(IF(MARÍTIMOS[[#This Row],[Etapa Despacho -  Inicio de Carga]]="","",MARÍTIMOS[[#This Row],[Etapa Despacho -  Inicio de Carga]]),"")</f>
        <v>46216.520833333336</v>
      </c>
      <c r="AD163" s="11">
        <f>IFERROR(IF(MARÍTIMOS[[#This Row],[Etapa Despacho -  Fin de Carga]]="","",MARÍTIMOS[[#This Row],[Etapa Despacho -  Fin de Carga]]),"")</f>
        <v>46216.854166666664</v>
      </c>
      <c r="AE163" s="11">
        <f>IFERROR(IF(MARÍTIMOS[[#This Row],[Etapa Despacho -  Salida]]="","",MARÍTIMOS[[#This Row],[Etapa Despacho -  Salida]]),"")</f>
        <v>46216.877083333333</v>
      </c>
      <c r="AF163" s="2" t="str">
        <f>IFERROR(IF(MARÍTIMOS[[#This Row],[Puerto de Embarque]]="","",MARÍTIMOS[[#This Row],[Puerto de Embarque]]),"")</f>
        <v>Paita</v>
      </c>
      <c r="AG163" s="2" t="str">
        <f>IFERROR(IF(MARÍTIMOS[[#This Row],[Almacén de Ingreso]]="","",MARÍTIMOS[[#This Row],[Almacén de Ingreso]]),"")</f>
        <v>TPE</v>
      </c>
      <c r="AH163" s="11">
        <f>IFERROR(IF(MARÍTIMOS[[#This Row],[Etapa Ingreso - Cita]]="","",MARÍTIMOS[[#This Row],[Etapa Ingreso - Cita]]),"")</f>
        <v>46217.583333333336</v>
      </c>
      <c r="AI163" s="11">
        <f>IFERROR(IF(MARÍTIMOS[[#This Row],[Etapa Ingreso - Llegada]]="","",MARÍTIMOS[[#This Row],[Etapa Ingreso - Llegada]]),"")</f>
        <v>46217.593055555553</v>
      </c>
      <c r="AJ163" s="11">
        <f>IFERROR(IF(MARÍTIMOS[[#This Row],[Etapa Ingreso - Ingeso]]="","",MARÍTIMOS[[#This Row],[Etapa Ingreso - Ingeso]]),"")</f>
        <v>46217.59652777778</v>
      </c>
      <c r="AK163" s="11">
        <f>IFERROR(IF(MARÍTIMOS[[#This Row],[Etapa Ingreso - Atención]]="","",MARÍTIMOS[[#This Row],[Etapa Ingreso - Atención]]),"")</f>
        <v>46217.604166666664</v>
      </c>
      <c r="AL163" s="11">
        <f>IFERROR(IF(MARÍTIMOS[[#This Row],[Etapa Ingreso - Salida]]="","",MARÍTIMOS[[#This Row],[Etapa Ingreso - Salida]]),"")</f>
        <v>46217.625694444447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3" s="5">
        <f>IFERROR(OLDBD[[#This Row],[Llegada a packing]]-OLDBD[[#This Row],[Inicio de Ruta]],"")</f>
        <v>0.68402777777373558</v>
      </c>
      <c r="AQ163" s="6">
        <f>IFERROR(OLDBD[[#This Row],[Inicio de Ruta]]-OLDBD[[#This Row],[Salida de almacén de retiro]],"")</f>
        <v>4.0972222224809229E-2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2.0833333328482695E-2</v>
      </c>
      <c r="AV163" s="9">
        <f>IFERROR(OLDBD[[#This Row],[Ingreso Packing]]-OLDBD[[#This Row],[Llegada a packing]],"")</f>
        <v>2.4305555554747116E-2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3" s="5">
        <f>IFERROR(OLDBD[[#This Row],[Llegada Almacén de Ingreso]]-OLDBD[[#This Row],[Salida Packing]],"")</f>
        <v>0.71597222222044365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5" t="s">
        <v>181</v>
      </c>
      <c r="BB163" s="53" t="str">
        <f>IFERROR(IF(MARÍTIMOS[[#This Row],[Estatus]]="","",MARÍTIMOS[[#This Row],[Estatus]]),"")</f>
        <v>Confirmado</v>
      </c>
      <c r="BC163" s="45"/>
      <c r="BD163" s="52">
        <f>IFERROR(OLDBD[[#This Row],[Salida de almacén de retiro]]-OLDBD[[#This Row],[Ingreso Almacén de retiro]],"")</f>
        <v>5.6250000001455192E-2</v>
      </c>
      <c r="BE163" s="52">
        <f>IFERROR(OLDBD[[#This Row],[Fin de Carga]]-OLDBD[[#This Row],[Inicio de Carga]],"")</f>
        <v>0.33333333332848269</v>
      </c>
    </row>
    <row r="164" spans="1:57" x14ac:dyDescent="0.35">
      <c r="A164" s="1"/>
      <c r="B164" s="1">
        <f>IFERROR(IF(MARÍTIMOS[[#This Row],[PP]]="","",MARÍTIMOS[[#This Row],[PP]]),"")</f>
        <v>28</v>
      </c>
      <c r="C164" s="1" t="str">
        <f>IFERROR(IF(MARÍTIMOS[[#This Row],[Sede]]="","",MARÍTIMOS[[#This Row],[Sede]]),"")</f>
        <v>Chao</v>
      </c>
      <c r="D164" s="1" t="str">
        <f>IFERROR(IF(MARÍTIMOS[[#This Row],[Instruction]]="","",MARÍTIMOS[[#This Row],[Instruction]]),"")</f>
        <v>RH-0164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 xml:space="preserve">LOGISTICA INTERMODAL DEL PERU S.A.C.
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BFJ-853</v>
      </c>
      <c r="K164" s="2" t="str">
        <f>IFERROR(IF(MARÍTIMOS[[#This Row],[Placa Carreta]]="","",MARÍTIMOS[[#This Row],[Placa Carreta]]),"")</f>
        <v>AZR-979</v>
      </c>
      <c r="L164" s="46" t="str">
        <f>IFERROR(IF(MARÍTIMOS[[#This Row],[Conductor]]="","",MARÍTIMOS[[#This Row],[Conductor]]),"")</f>
        <v>FIESTAS SAAVEDRA AYRTON ALAIN</v>
      </c>
      <c r="M164" s="2" t="str">
        <f>IFERROR(IF(MARÍTIMOS[[#This Row],[Licencia]]="","",MARÍTIMOS[[#This Row],[Licencia]]),"")</f>
        <v>Q46579910</v>
      </c>
      <c r="N164" s="2" t="str">
        <f>IFERROR(IF(MARÍTIMOS[[#This Row],[Número de Contacto]]="","",MARÍTIMOS[[#This Row],[Número de Contacto]]),"")</f>
        <v>972 069 655</v>
      </c>
      <c r="O164" s="10" t="str">
        <f>IFERROR(IF(MARÍTIMOS[[#This Row],[Booking|AWB|CRT]]="","",MARÍTIMOS[[#This Row],[Booking|AWB|CRT]]),"")</f>
        <v>PER9140106A</v>
      </c>
      <c r="P164" s="2" t="str">
        <f>IFERROR(IF(MARÍTIMOS[[#This Row],[Contenedor]]="","",MARÍTIMOS[[#This Row],[Contenedor]]),"")</f>
        <v>CAAU4079023</v>
      </c>
      <c r="Q164" s="2" t="str">
        <f>IFERROR(IF(MARÍTIMOS[[#This Row],[Puerto de Retiro]]="","",MARÍTIMOS[[#This Row],[Puerto de Retiro]]),"")</f>
        <v>PAITA</v>
      </c>
      <c r="R164" s="2" t="str">
        <f>IFERROR(IF(MARÍTIMOS[[#This Row],[Almacén de Retiro]]="","",MARÍTIMOS[[#This Row],[Almacén de Retiro]]),"")</f>
        <v>DPW</v>
      </c>
      <c r="S164" s="11" t="str">
        <f>IFERROR(IF(MARÍTIMOS[[#This Row],[Etapa Retiro - Cita]]="","",MARÍTIMOS[[#This Row],[Etapa Retiro - Cita]]),"")</f>
        <v/>
      </c>
      <c r="T164" s="11">
        <f>IFERROR(IF(MARÍTIMOS[[#This Row],[Etapa Retiro - Llegada]]="","",MARÍTIMOS[[#This Row],[Etapa Retiro - Llegada]]),"")</f>
        <v>46215.564583333333</v>
      </c>
      <c r="U164" s="11">
        <f>IFERROR(IF(MARÍTIMOS[[#This Row],[Etapa Retiro - Ingreso]]="","",MARÍTIMOS[[#This Row],[Etapa Retiro - Ingreso]]),"")</f>
        <v>46215.620138888888</v>
      </c>
      <c r="V164" s="11">
        <f>IFERROR(IF(MARÍTIMOS[[#This Row],[Etapa Retiro - Atención]]="","",MARÍTIMOS[[#This Row],[Etapa Retiro - Atención]]),"")</f>
        <v>46215.638888888891</v>
      </c>
      <c r="W164" s="11">
        <f>IFERROR(IF(MARÍTIMOS[[#This Row],[Etapa Retiro - Salida]]="","",MARÍTIMOS[[#This Row],[Etapa Retiro - Salida]]),"")</f>
        <v>46215.661805555559</v>
      </c>
      <c r="X164" s="11">
        <f>IFERROR(IF(MARÍTIMOS[[#This Row],[Etapa Retiro - Inicio de Ruta]]="","",MARÍTIMOS[[#This Row],[Etapa Retiro - Inicio de Ruta]]),"")</f>
        <v>46215.708333333336</v>
      </c>
      <c r="Y164" s="11">
        <f>IFERROR(IF(MARÍTIMOS[[#This Row],[Hora de Posicionamiento]]="","",MARÍTIMOS[[#This Row],[Hora de Carga]]+MARÍTIMOS[[#This Row],[Hora de Posicionamiento]]),"")</f>
        <v>0.75</v>
      </c>
      <c r="Z164" s="11">
        <f>IFERROR(IF(MARÍTIMOS[[#This Row],[Etapa Despacho -  Llegada]]="","",MARÍTIMOS[[#This Row],[Etapa Despacho -  Llegada]]),"")</f>
        <v>46216.561111111114</v>
      </c>
      <c r="AA164" s="11">
        <f>IFERROR(IF(MARÍTIMOS[[#This Row],[Etapa Despacho -  Registro]]="","",MARÍTIMOS[[#This Row],[Etapa Despacho -  Registro]]),"")</f>
        <v>46216.565972222219</v>
      </c>
      <c r="AB164" s="11">
        <f>IFERROR(IF(MARÍTIMOS[[#This Row],[Inspección Externa]]="","",MARÍTIMOS[[#This Row],[Inspección Externa]]),"")</f>
        <v>46216.583333333336</v>
      </c>
      <c r="AC164" s="11">
        <f>IFERROR(IF(MARÍTIMOS[[#This Row],[Etapa Despacho -  Inicio de Carga]]="","",MARÍTIMOS[[#This Row],[Etapa Despacho -  Inicio de Carga]]),"")</f>
        <v>46216.625</v>
      </c>
      <c r="AD164" s="11">
        <f>IFERROR(IF(MARÍTIMOS[[#This Row],[Etapa Despacho -  Fin de Carga]]="","",MARÍTIMOS[[#This Row],[Etapa Despacho -  Fin de Carga]]),"")</f>
        <v>46216.864583333336</v>
      </c>
      <c r="AE164" s="11">
        <f>IFERROR(IF(MARÍTIMOS[[#This Row],[Etapa Despacho -  Salida]]="","",MARÍTIMOS[[#This Row],[Etapa Despacho -  Salida]]),"")</f>
        <v>46216.883333333331</v>
      </c>
      <c r="AF164" s="2" t="str">
        <f>IFERROR(IF(MARÍTIMOS[[#This Row],[Puerto de Embarque]]="","",MARÍTIMOS[[#This Row],[Puerto de Embarque]]),"")</f>
        <v>Paita</v>
      </c>
      <c r="AG164" s="2" t="str">
        <f>IFERROR(IF(MARÍTIMOS[[#This Row],[Almacén de Ingreso]]="","",MARÍTIMOS[[#This Row],[Almacén de Ingreso]]),"")</f>
        <v>TPE</v>
      </c>
      <c r="AH164" s="11">
        <f>IFERROR(IF(MARÍTIMOS[[#This Row],[Etapa Ingreso - Cita]]="","",MARÍTIMOS[[#This Row],[Etapa Ingreso - Cita]]),"")</f>
        <v>46217.541666666664</v>
      </c>
      <c r="AI164" s="11">
        <f>IFERROR(IF(MARÍTIMOS[[#This Row],[Etapa Ingreso - Llegada]]="","",MARÍTIMOS[[#This Row],[Etapa Ingreso - Llegada]]),"")</f>
        <v>46217.581944444442</v>
      </c>
      <c r="AJ164" s="11">
        <f>IFERROR(IF(MARÍTIMOS[[#This Row],[Etapa Ingreso - Ingeso]]="","",MARÍTIMOS[[#This Row],[Etapa Ingreso - Ingeso]]),"")</f>
        <v>46217.584027777775</v>
      </c>
      <c r="AK164" s="11">
        <f>IFERROR(IF(MARÍTIMOS[[#This Row],[Etapa Ingreso - Atención]]="","",MARÍTIMOS[[#This Row],[Etapa Ingreso - Atención]]),"")</f>
        <v>46217.590277777781</v>
      </c>
      <c r="AL164" s="11">
        <f>IFERROR(IF(MARÍTIMOS[[#This Row],[Etapa Ingreso - Salida]]="","",MARÍTIMOS[[#This Row],[Etapa Ingreso - Salida]]),"")</f>
        <v>46217.597916666666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4" s="5">
        <f>IFERROR(OLDBD[[#This Row],[Llegada a packing]]-OLDBD[[#This Row],[Inicio de Ruta]],"")</f>
        <v>0.85277777777810115</v>
      </c>
      <c r="AQ164" s="6">
        <f>IFERROR(OLDBD[[#This Row],[Inicio de Ruta]]-OLDBD[[#This Row],[Salida de almacén de retiro]],"")</f>
        <v>4.6527777776645962E-2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1.7361111116770189E-2</v>
      </c>
      <c r="AV164" s="9">
        <f>IFERROR(OLDBD[[#This Row],[Ingreso Packing]]-OLDBD[[#This Row],[Llegada a packing]],"")</f>
        <v>2.2222222221898846E-2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4" s="5">
        <f>IFERROR(OLDBD[[#This Row],[Llegada Almacén de Ingreso]]-OLDBD[[#This Row],[Salida Packing]],"")</f>
        <v>0.69861111111094942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5" t="s">
        <v>181</v>
      </c>
      <c r="BB164" s="53" t="str">
        <f>IFERROR(IF(MARÍTIMOS[[#This Row],[Estatus]]="","",MARÍTIMOS[[#This Row],[Estatus]]),"")</f>
        <v>Confirmado</v>
      </c>
      <c r="BC164" s="45"/>
      <c r="BD164" s="52">
        <f>IFERROR(OLDBD[[#This Row],[Salida de almacén de retiro]]-OLDBD[[#This Row],[Ingreso Almacén de retiro]],"")</f>
        <v>4.1666666671517305E-2</v>
      </c>
      <c r="BE164" s="52">
        <f>IFERROR(OLDBD[[#This Row],[Fin de Carga]]-OLDBD[[#This Row],[Inicio de Carga]],"")</f>
        <v>0.23958333333575865</v>
      </c>
    </row>
    <row r="165" spans="1:57" x14ac:dyDescent="0.35">
      <c r="A165" s="1"/>
      <c r="B165" s="1">
        <f>IFERROR(IF(MARÍTIMOS[[#This Row],[PP]]="","",MARÍTIMOS[[#This Row],[PP]]),"")</f>
        <v>28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RH-0159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NO</v>
      </c>
      <c r="H165" s="2" t="str">
        <f>IFERROR(IF(MARÍTIMOS[[#This Row],[Razón Social]]="","",MARÍTIMOS[[#This Row],[Razón Social]]),"")</f>
        <v xml:space="preserve">LOGISTICA INTERMODAL DEL PERU S.A.C.
</v>
      </c>
      <c r="I165" s="2">
        <f>IFERROR(IF(MARÍTIMOS[[#This Row],[RUC]]="","",MARÍTIMOS[[#This Row],[RUC]]),"")</f>
        <v>20513040718</v>
      </c>
      <c r="J165" s="2" t="str">
        <f>IFERROR(IF(MARÍTIMOS[[#This Row],[Placa Tracto]]="","",MARÍTIMOS[[#This Row],[Placa Tracto]]),"")</f>
        <v>BBG-864</v>
      </c>
      <c r="K165" s="2" t="str">
        <f>IFERROR(IF(MARÍTIMOS[[#This Row],[Placa Carreta]]="","",MARÍTIMOS[[#This Row],[Placa Carreta]]),"")</f>
        <v>AMZ-980</v>
      </c>
      <c r="L165" s="46" t="str">
        <f>IFERROR(IF(MARÍTIMOS[[#This Row],[Conductor]]="","",MARÍTIMOS[[#This Row],[Conductor]]),"")</f>
        <v>DIOSES MIRANDA WILLIAM ARTURO</v>
      </c>
      <c r="M165" s="2" t="str">
        <f>IFERROR(IF(MARÍTIMOS[[#This Row],[Licencia]]="","",MARÍTIMOS[[#This Row],[Licencia]]),"")</f>
        <v>B03508313</v>
      </c>
      <c r="N165" s="2" t="str">
        <f>IFERROR(IF(MARÍTIMOS[[#This Row],[Número de Contacto]]="","",MARÍTIMOS[[#This Row],[Número de Contacto]]),"")</f>
        <v>955 015 437</v>
      </c>
      <c r="O165" s="10" t="str">
        <f>IFERROR(IF(MARÍTIMOS[[#This Row],[Booking|AWB|CRT]]="","",MARÍTIMOS[[#This Row],[Booking|AWB|CRT]]),"")</f>
        <v>PER9139502A</v>
      </c>
      <c r="P165" s="2" t="str">
        <f>IFERROR(IF(MARÍTIMOS[[#This Row],[Contenedor]]="","",MARÍTIMOS[[#This Row],[Contenedor]]),"")</f>
        <v>GCXU8016686</v>
      </c>
      <c r="Q165" s="2" t="str">
        <f>IFERROR(IF(MARÍTIMOS[[#This Row],[Puerto de Retiro]]="","",MARÍTIMOS[[#This Row],[Puerto de Retiro]]),"")</f>
        <v>PAITA</v>
      </c>
      <c r="R165" s="2" t="str">
        <f>IFERROR(IF(MARÍTIMOS[[#This Row],[Almacén de Retiro]]="","",MARÍTIMOS[[#This Row],[Almacén de Retiro]]),"")</f>
        <v>DPW</v>
      </c>
      <c r="S165" s="11">
        <f>IFERROR(IF(MARÍTIMOS[[#This Row],[Etapa Retiro - Cita]]="","",MARÍTIMOS[[#This Row],[Etapa Retiro - Cita]]),"")</f>
        <v>46215.5</v>
      </c>
      <c r="T165" s="11">
        <f>IFERROR(IF(MARÍTIMOS[[#This Row],[Etapa Retiro - Llegada]]="","",MARÍTIMOS[[#This Row],[Etapa Retiro - Llegada]]),"")</f>
        <v>46215.518750000003</v>
      </c>
      <c r="U165" s="11">
        <f>IFERROR(IF(MARÍTIMOS[[#This Row],[Etapa Retiro - Ingreso]]="","",MARÍTIMOS[[#This Row],[Etapa Retiro - Ingreso]]),"")</f>
        <v>46215.525000000001</v>
      </c>
      <c r="V165" s="11">
        <f>IFERROR(IF(MARÍTIMOS[[#This Row],[Etapa Retiro - Atención]]="","",MARÍTIMOS[[#This Row],[Etapa Retiro - Atención]]),"")</f>
        <v>46215.541666666664</v>
      </c>
      <c r="W165" s="11">
        <f>IFERROR(IF(MARÍTIMOS[[#This Row],[Etapa Retiro - Salida]]="","",MARÍTIMOS[[#This Row],[Etapa Retiro - Salida]]),"")</f>
        <v>46215.59097222222</v>
      </c>
      <c r="X165" s="11">
        <f>IFERROR(IF(MARÍTIMOS[[#This Row],[Etapa Retiro - Inicio de Ruta]]="","",MARÍTIMOS[[#This Row],[Etapa Retiro - Inicio de Ruta]]),"")</f>
        <v>46215.625</v>
      </c>
      <c r="Y165" s="11">
        <f>IFERROR(IF(MARÍTIMOS[[#This Row],[Hora de Posicionamiento]]="","",MARÍTIMOS[[#This Row],[Hora de Carga]]+MARÍTIMOS[[#This Row],[Hora de Posicionamiento]]),"")</f>
        <v>0.75</v>
      </c>
      <c r="Z165" s="11">
        <f>IFERROR(IF(MARÍTIMOS[[#This Row],[Etapa Despacho -  Llegada]]="","",MARÍTIMOS[[#This Row],[Etapa Despacho -  Llegada]]),"")</f>
        <v>46216.440972222219</v>
      </c>
      <c r="AA165" s="11">
        <f>IFERROR(IF(MARÍTIMOS[[#This Row],[Etapa Despacho -  Registro]]="","",MARÍTIMOS[[#This Row],[Etapa Despacho -  Registro]]),"")</f>
        <v>46216.444444444445</v>
      </c>
      <c r="AB165" s="11">
        <f>IFERROR(IF(MARÍTIMOS[[#This Row],[Inspección Externa]]="","",MARÍTIMOS[[#This Row],[Inspección Externa]]),"")</f>
        <v>46216.458333333336</v>
      </c>
      <c r="AC165" s="11">
        <f>IFERROR(IF(MARÍTIMOS[[#This Row],[Etapa Despacho -  Inicio de Carga]]="","",MARÍTIMOS[[#This Row],[Etapa Despacho -  Inicio de Carga]]),"")</f>
        <v>46216.5</v>
      </c>
      <c r="AD165" s="11">
        <f>IFERROR(IF(MARÍTIMOS[[#This Row],[Etapa Despacho -  Fin de Carga]]="","",MARÍTIMOS[[#This Row],[Etapa Despacho -  Fin de Carga]]),"")</f>
        <v>46216.854166666664</v>
      </c>
      <c r="AE165" s="11">
        <f>IFERROR(IF(MARÍTIMOS[[#This Row],[Etapa Despacho -  Salida]]="","",MARÍTIMOS[[#This Row],[Etapa Despacho -  Salida]]),"")</f>
        <v>46216.87777777778</v>
      </c>
      <c r="AF165" s="2" t="str">
        <f>IFERROR(IF(MARÍTIMOS[[#This Row],[Puerto de Embarque]]="","",MARÍTIMOS[[#This Row],[Puerto de Embarque]]),"")</f>
        <v>Paita</v>
      </c>
      <c r="AG165" s="2" t="str">
        <f>IFERROR(IF(MARÍTIMOS[[#This Row],[Almacén de Ingreso]]="","",MARÍTIMOS[[#This Row],[Almacén de Ingreso]]),"")</f>
        <v>TPE</v>
      </c>
      <c r="AH165" s="11">
        <f>IFERROR(IF(MARÍTIMOS[[#This Row],[Etapa Ingreso - Cita]]="","",MARÍTIMOS[[#This Row],[Etapa Ingreso - Cita]]),"")</f>
        <v>46217.583333333336</v>
      </c>
      <c r="AI165" s="11">
        <f>IFERROR(IF(MARÍTIMOS[[#This Row],[Etapa Ingreso - Llegada]]="","",MARÍTIMOS[[#This Row],[Etapa Ingreso - Llegada]]),"")</f>
        <v>46217.618055555555</v>
      </c>
      <c r="AJ165" s="11">
        <f>IFERROR(IF(MARÍTIMOS[[#This Row],[Etapa Ingreso - Ingeso]]="","",MARÍTIMOS[[#This Row],[Etapa Ingreso - Ingeso]]),"")</f>
        <v>46217.623611111114</v>
      </c>
      <c r="AK165" s="11">
        <f>IFERROR(IF(MARÍTIMOS[[#This Row],[Etapa Ingreso - Atención]]="","",MARÍTIMOS[[#This Row],[Etapa Ingreso - Atención]]),"")</f>
        <v>46217.628472222219</v>
      </c>
      <c r="AL165" s="11">
        <f>IFERROR(IF(MARÍTIMOS[[#This Row],[Etapa Ingreso - Salida]]="","",MARÍTIMOS[[#This Row],[Etapa Ingreso - Salida]]),"")</f>
        <v>46217.65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5" s="5">
        <f>IFERROR(OLDBD[[#This Row],[Llegada a packing]]-OLDBD[[#This Row],[Inicio de Ruta]],"")</f>
        <v>0.81597222221898846</v>
      </c>
      <c r="AQ165" s="6">
        <f>IFERROR(OLDBD[[#This Row],[Inicio de Ruta]]-OLDBD[[#This Row],[Salida de almacén de retiro]],"")</f>
        <v>3.4027777779556345E-2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1.3888888890505768E-2</v>
      </c>
      <c r="AV165" s="9">
        <f>IFERROR(OLDBD[[#This Row],[Ingreso Packing]]-OLDBD[[#This Row],[Llegada a packing]],"")</f>
        <v>1.7361111116770189E-2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5" s="5">
        <f>IFERROR(OLDBD[[#This Row],[Llegada Almacén de Ingreso]]-OLDBD[[#This Row],[Salida Packing]],"")</f>
        <v>0.74027777777519077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5" t="s">
        <v>181</v>
      </c>
      <c r="BB165" s="53" t="str">
        <f>IFERROR(IF(MARÍTIMOS[[#This Row],[Estatus]]="","",MARÍTIMOS[[#This Row],[Estatus]]),"")</f>
        <v>Confirmado</v>
      </c>
      <c r="BC165" s="45"/>
      <c r="BD165" s="52">
        <f>IFERROR(OLDBD[[#This Row],[Salida de almacén de retiro]]-OLDBD[[#This Row],[Ingreso Almacén de retiro]],"")</f>
        <v>6.5972222218988463E-2</v>
      </c>
      <c r="BE165" s="52">
        <f>IFERROR(OLDBD[[#This Row],[Fin de Carga]]-OLDBD[[#This Row],[Inicio de Carga]],"")</f>
        <v>0.35416666666424135</v>
      </c>
    </row>
    <row r="166" spans="1:57" x14ac:dyDescent="0.35">
      <c r="A166" s="1"/>
      <c r="B166" s="1">
        <f>IFERROR(IF(MARÍTIMOS[[#This Row],[PP]]="","",MARÍTIMOS[[#This Row],[PP]]),"")</f>
        <v>28</v>
      </c>
      <c r="C166" s="1" t="str">
        <f>IFERROR(IF(MARÍTIMOS[[#This Row],[Sede]]="","",MARÍTIMOS[[#This Row],[Sede]]),"")</f>
        <v>Chao</v>
      </c>
      <c r="D166" s="1" t="str">
        <f>IFERROR(IF(MARÍTIMOS[[#This Row],[Instruction]]="","",MARÍTIMOS[[#This Row],[Instruction]]),"")</f>
        <v>RH-0174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 xml:space="preserve">LOGISTICA INTERMODAL DEL PERU S.A.C.
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ASO-792</v>
      </c>
      <c r="K166" s="2" t="str">
        <f>IFERROR(IF(MARÍTIMOS[[#This Row],[Placa Carreta]]="","",MARÍTIMOS[[#This Row],[Placa Carreta]]),"")</f>
        <v>AKA-993</v>
      </c>
      <c r="L166" s="46" t="str">
        <f>IFERROR(IF(MARÍTIMOS[[#This Row],[Conductor]]="","",MARÍTIMOS[[#This Row],[Conductor]]),"")</f>
        <v>MEDINA OLAYA JOSE LUIS</v>
      </c>
      <c r="M166" s="2" t="str">
        <f>IFERROR(IF(MARÍTIMOS[[#This Row],[Licencia]]="","",MARÍTIMOS[[#This Row],[Licencia]]),"")</f>
        <v>B44001820</v>
      </c>
      <c r="N166" s="2" t="str">
        <f>IFERROR(IF(MARÍTIMOS[[#This Row],[Número de Contacto]]="","",MARÍTIMOS[[#This Row],[Número de Contacto]]),"")</f>
        <v>973 069 655</v>
      </c>
      <c r="O166" s="10" t="str">
        <f>IFERROR(IF(MARÍTIMOS[[#This Row],[Booking|AWB|CRT]]="","",MARÍTIMOS[[#This Row],[Booking|AWB|CRT]]),"")</f>
        <v>PER9144543A</v>
      </c>
      <c r="P166" s="2" t="str">
        <f>IFERROR(IF(MARÍTIMOS[[#This Row],[Contenedor]]="","",MARÍTIMOS[[#This Row],[Contenedor]]),"")</f>
        <v>CAAU4167628</v>
      </c>
      <c r="Q166" s="2" t="str">
        <f>IFERROR(IF(MARÍTIMOS[[#This Row],[Puerto de Retiro]]="","",MARÍTIMOS[[#This Row],[Puerto de Retiro]]),"")</f>
        <v>PAITA</v>
      </c>
      <c r="R166" s="2" t="str">
        <f>IFERROR(IF(MARÍTIMOS[[#This Row],[Almacén de Retiro]]="","",MARÍTIMOS[[#This Row],[Almacén de Retiro]]),"")</f>
        <v>DPW</v>
      </c>
      <c r="S166" s="11">
        <f>IFERROR(IF(MARÍTIMOS[[#This Row],[Etapa Retiro - Cita]]="","",MARÍTIMOS[[#This Row],[Etapa Retiro - Cita]]),"")</f>
        <v>46215.583333333336</v>
      </c>
      <c r="T166" s="11">
        <f>IFERROR(IF(MARÍTIMOS[[#This Row],[Etapa Retiro - Llegada]]="","",MARÍTIMOS[[#This Row],[Etapa Retiro - Llegada]]),"")</f>
        <v>46215.607638888891</v>
      </c>
      <c r="U166" s="11">
        <f>IFERROR(IF(MARÍTIMOS[[#This Row],[Etapa Retiro - Ingreso]]="","",MARÍTIMOS[[#This Row],[Etapa Retiro - Ingreso]]),"")</f>
        <v>46215.616666666669</v>
      </c>
      <c r="V166" s="11">
        <f>IFERROR(IF(MARÍTIMOS[[#This Row],[Etapa Retiro - Atención]]="","",MARÍTIMOS[[#This Row],[Etapa Retiro - Atención]]),"")</f>
        <v>46215.635416666664</v>
      </c>
      <c r="W166" s="11">
        <f>IFERROR(IF(MARÍTIMOS[[#This Row],[Etapa Retiro - Salida]]="","",MARÍTIMOS[[#This Row],[Etapa Retiro - Salida]]),"")</f>
        <v>46215.65625</v>
      </c>
      <c r="X166" s="11">
        <f>IFERROR(IF(MARÍTIMOS[[#This Row],[Etapa Retiro - Inicio de Ruta]]="","",MARÍTIMOS[[#This Row],[Etapa Retiro - Inicio de Ruta]]),"")</f>
        <v>46215.697916666664</v>
      </c>
      <c r="Y166" s="11">
        <f>IFERROR(IF(MARÍTIMOS[[#This Row],[Hora de Posicionamiento]]="","",MARÍTIMOS[[#This Row],[Hora de Carga]]+MARÍTIMOS[[#This Row],[Hora de Posicionamiento]]),"")</f>
        <v>0.75</v>
      </c>
      <c r="Z166" s="11">
        <f>IFERROR(IF(MARÍTIMOS[[#This Row],[Etapa Despacho -  Llegada]]="","",MARÍTIMOS[[#This Row],[Etapa Despacho -  Llegada]]),"")</f>
        <v>46216.4375</v>
      </c>
      <c r="AA166" s="11">
        <f>IFERROR(IF(MARÍTIMOS[[#This Row],[Etapa Despacho -  Registro]]="","",MARÍTIMOS[[#This Row],[Etapa Despacho -  Registro]]),"")</f>
        <v>46216.444444444445</v>
      </c>
      <c r="AB166" s="11">
        <f>IFERROR(IF(MARÍTIMOS[[#This Row],[Inspección Externa]]="","",MARÍTIMOS[[#This Row],[Inspección Externa]]),"")</f>
        <v>46216.413888888892</v>
      </c>
      <c r="AC166" s="11">
        <f>IFERROR(IF(MARÍTIMOS[[#This Row],[Etapa Despacho -  Inicio de Carga]]="","",MARÍTIMOS[[#This Row],[Etapa Despacho -  Inicio de Carga]]),"")</f>
        <v>46216.458333333336</v>
      </c>
      <c r="AD166" s="11">
        <f>IFERROR(IF(MARÍTIMOS[[#This Row],[Etapa Despacho -  Fin de Carga]]="","",MARÍTIMOS[[#This Row],[Etapa Despacho -  Fin de Carga]]),"")</f>
        <v>46216.875</v>
      </c>
      <c r="AE166" s="11">
        <f>IFERROR(IF(MARÍTIMOS[[#This Row],[Etapa Despacho -  Salida]]="","",MARÍTIMOS[[#This Row],[Etapa Despacho -  Salida]]),"")</f>
        <v>46216.898611111108</v>
      </c>
      <c r="AF166" s="2" t="str">
        <f>IFERROR(IF(MARÍTIMOS[[#This Row],[Puerto de Embarque]]="","",MARÍTIMOS[[#This Row],[Puerto de Embarque]]),"")</f>
        <v>Paita</v>
      </c>
      <c r="AG166" s="2" t="str">
        <f>IFERROR(IF(MARÍTIMOS[[#This Row],[Almacén de Ingreso]]="","",MARÍTIMOS[[#This Row],[Almacén de Ingreso]]),"")</f>
        <v>TPE</v>
      </c>
      <c r="AH166" s="11">
        <f>IFERROR(IF(MARÍTIMOS[[#This Row],[Etapa Ingreso - Cita]]="","",MARÍTIMOS[[#This Row],[Etapa Ingreso - Cita]]),"")</f>
        <v>46217.708333333336</v>
      </c>
      <c r="AI166" s="11">
        <f>IFERROR(IF(MARÍTIMOS[[#This Row],[Etapa Ingreso - Llegada]]="","",MARÍTIMOS[[#This Row],[Etapa Ingreso - Llegada]]),"")</f>
        <v>46217.73333333333</v>
      </c>
      <c r="AJ166" s="11">
        <f>IFERROR(IF(MARÍTIMOS[[#This Row],[Etapa Ingreso - Ingeso]]="","",MARÍTIMOS[[#This Row],[Etapa Ingreso - Ingeso]]),"")</f>
        <v>46217.736111111109</v>
      </c>
      <c r="AK166" s="11">
        <f>IFERROR(IF(MARÍTIMOS[[#This Row],[Etapa Ingreso - Atención]]="","",MARÍTIMOS[[#This Row],[Etapa Ingreso - Atención]]),"")</f>
        <v>46217.743055555555</v>
      </c>
      <c r="AL166" s="11">
        <f>IFERROR(IF(MARÍTIMOS[[#This Row],[Etapa Ingreso - Salida]]="","",MARÍTIMOS[[#This Row],[Etapa Ingreso - Salida]]),"")</f>
        <v>46217.75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6" s="5">
        <f>IFERROR(OLDBD[[#This Row],[Llegada a packing]]-OLDBD[[#This Row],[Inicio de Ruta]],"")</f>
        <v>0.73958333333575865</v>
      </c>
      <c r="AQ166" s="6">
        <f>IFERROR(OLDBD[[#This Row],[Inicio de Ruta]]-OLDBD[[#This Row],[Salida de almacén de retiro]],"")</f>
        <v>4.1666666664241347E-2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-3.0555555553291924E-2</v>
      </c>
      <c r="AV166" s="9">
        <f>IFERROR(OLDBD[[#This Row],[Ingreso Packing]]-OLDBD[[#This Row],[Llegada a packing]],"")</f>
        <v>-2.361111110803904E-2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6" s="5">
        <f>IFERROR(OLDBD[[#This Row],[Llegada Almacén de Ingreso]]-OLDBD[[#This Row],[Salida Packing]],"")</f>
        <v>0.83472222222189885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5" t="s">
        <v>181</v>
      </c>
      <c r="BB166" s="53" t="str">
        <f>IFERROR(IF(MARÍTIMOS[[#This Row],[Estatus]]="","",MARÍTIMOS[[#This Row],[Estatus]]),"")</f>
        <v>Confirmado</v>
      </c>
      <c r="BC166" s="45"/>
      <c r="BD166" s="52">
        <f>IFERROR(OLDBD[[#This Row],[Salida de almacén de retiro]]-OLDBD[[#This Row],[Ingreso Almacén de retiro]],"")</f>
        <v>3.9583333331393078E-2</v>
      </c>
      <c r="BE166" s="52">
        <f>IFERROR(OLDBD[[#This Row],[Fin de Carga]]-OLDBD[[#This Row],[Inicio de Carga]],"")</f>
        <v>0.41666666666424135</v>
      </c>
    </row>
    <row r="167" spans="1:57" x14ac:dyDescent="0.35">
      <c r="A167" s="1"/>
      <c r="B167" s="1">
        <f>IFERROR(IF(MARÍTIMOS[[#This Row],[PP]]="","",MARÍTIMOS[[#This Row],[PP]]),"")</f>
        <v>28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RH-0157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SI</v>
      </c>
      <c r="H167" s="2" t="str">
        <f>IFERROR(IF(MARÍTIMOS[[#This Row],[Razón Social]]="","",MARÍTIMOS[[#This Row],[Razón Social]]),"")</f>
        <v>TRANSCAR MATHEO SOCIEDAD ANONIMA CERRADA</v>
      </c>
      <c r="I167" s="2">
        <f>IFERROR(IF(MARÍTIMOS[[#This Row],[RUC]]="","",MARÍTIMOS[[#This Row],[RUC]]),"")</f>
        <v>20612886921</v>
      </c>
      <c r="J167" s="2" t="str">
        <f>IFERROR(IF(MARÍTIMOS[[#This Row],[Placa Tracto]]="","",MARÍTIMOS[[#This Row],[Placa Tracto]]),"")</f>
        <v>T9I-827</v>
      </c>
      <c r="K167" s="2" t="str">
        <f>IFERROR(IF(MARÍTIMOS[[#This Row],[Placa Carreta]]="","",MARÍTIMOS[[#This Row],[Placa Carreta]]),"")</f>
        <v>TOU-976</v>
      </c>
      <c r="L167" s="46" t="str">
        <f>IFERROR(IF(MARÍTIMOS[[#This Row],[Conductor]]="","",MARÍTIMOS[[#This Row],[Conductor]]),"")</f>
        <v>CRUZ ATO CARLOS DAVID</v>
      </c>
      <c r="M167" s="2" t="str">
        <f>IFERROR(IF(MARÍTIMOS[[#This Row],[Licencia]]="","",MARÍTIMOS[[#This Row],[Licencia]]),"")</f>
        <v>B03681030</v>
      </c>
      <c r="N167" s="2" t="str">
        <f>IFERROR(IF(MARÍTIMOS[[#This Row],[Número de Contacto]]="","",MARÍTIMOS[[#This Row],[Número de Contacto]]),"")</f>
        <v>956 015 437</v>
      </c>
      <c r="O167" s="10" t="str">
        <f>IFERROR(IF(MARÍTIMOS[[#This Row],[Booking|AWB|CRT]]="","",MARÍTIMOS[[#This Row],[Booking|AWB|CRT]]),"")</f>
        <v>PER9139505A</v>
      </c>
      <c r="P167" s="2" t="str">
        <f>IFERROR(IF(MARÍTIMOS[[#This Row],[Contenedor]]="","",MARÍTIMOS[[#This Row],[Contenedor]]),"")</f>
        <v>GCXU8024911</v>
      </c>
      <c r="Q167" s="2" t="str">
        <f>IFERROR(IF(MARÍTIMOS[[#This Row],[Puerto de Retiro]]="","",MARÍTIMOS[[#This Row],[Puerto de Retiro]]),"")</f>
        <v>PAITA</v>
      </c>
      <c r="R167" s="2" t="str">
        <f>IFERROR(IF(MARÍTIMOS[[#This Row],[Almacén de Retiro]]="","",MARÍTIMOS[[#This Row],[Almacén de Retiro]]),"")</f>
        <v>DPW</v>
      </c>
      <c r="S167" s="11">
        <f>IFERROR(IF(MARÍTIMOS[[#This Row],[Etapa Retiro - Cita]]="","",MARÍTIMOS[[#This Row],[Etapa Retiro - Cita]]),"")</f>
        <v>46216.458333333336</v>
      </c>
      <c r="T167" s="11">
        <f>IFERROR(IF(MARÍTIMOS[[#This Row],[Etapa Retiro - Llegada]]="","",MARÍTIMOS[[#This Row],[Etapa Retiro - Llegada]]),"")</f>
        <v>46216.470138888886</v>
      </c>
      <c r="U167" s="11">
        <f>IFERROR(IF(MARÍTIMOS[[#This Row],[Etapa Retiro - Ingreso]]="","",MARÍTIMOS[[#This Row],[Etapa Retiro - Ingreso]]),"")</f>
        <v>46216.473611111112</v>
      </c>
      <c r="V167" s="11">
        <f>IFERROR(IF(MARÍTIMOS[[#This Row],[Etapa Retiro - Atención]]="","",MARÍTIMOS[[#This Row],[Etapa Retiro - Atención]]),"")</f>
        <v>46216.5</v>
      </c>
      <c r="W167" s="11">
        <f>IFERROR(IF(MARÍTIMOS[[#This Row],[Etapa Retiro - Salida]]="","",MARÍTIMOS[[#This Row],[Etapa Retiro - Salida]]),"")</f>
        <v>46216.515277777777</v>
      </c>
      <c r="X167" s="11">
        <f>IFERROR(IF(MARÍTIMOS[[#This Row],[Etapa Retiro - Inicio de Ruta]]="","",MARÍTIMOS[[#This Row],[Etapa Retiro - Inicio de Ruta]]),"")</f>
        <v>46216.556944444441</v>
      </c>
      <c r="Y167" s="11">
        <f>IFERROR(IF(MARÍTIMOS[[#This Row],[Hora de Posicionamiento]]="","",MARÍTIMOS[[#This Row],[Hora de Carga]]+MARÍTIMOS[[#This Row],[Hora de Posicionamiento]]),"")</f>
        <v>0.75</v>
      </c>
      <c r="Z167" s="11">
        <f>IFERROR(IF(MARÍTIMOS[[#This Row],[Etapa Despacho -  Llegada]]="","",MARÍTIMOS[[#This Row],[Etapa Despacho -  Llegada]]),"")</f>
        <v>46217.341666666667</v>
      </c>
      <c r="AA167" s="11">
        <f>IFERROR(IF(MARÍTIMOS[[#This Row],[Etapa Despacho -  Registro]]="","",MARÍTIMOS[[#This Row],[Etapa Despacho -  Registro]]),"")</f>
        <v>46217.34375</v>
      </c>
      <c r="AB167" s="11">
        <f>IFERROR(IF(MARÍTIMOS[[#This Row],[Inspección Externa]]="","",MARÍTIMOS[[#This Row],[Inspección Externa]]),"")</f>
        <v>46217.364583333336</v>
      </c>
      <c r="AC167" s="11">
        <f>IFERROR(IF(MARÍTIMOS[[#This Row],[Etapa Despacho -  Inicio de Carga]]="","",MARÍTIMOS[[#This Row],[Etapa Despacho -  Inicio de Carga]]),"")</f>
        <v>46217.40625</v>
      </c>
      <c r="AD167" s="11">
        <f>IFERROR(IF(MARÍTIMOS[[#This Row],[Etapa Despacho -  Fin de Carga]]="","",MARÍTIMOS[[#This Row],[Etapa Despacho -  Fin de Carga]]),"")</f>
        <v>46217.5625</v>
      </c>
      <c r="AE167" s="11">
        <f>IFERROR(IF(MARÍTIMOS[[#This Row],[Etapa Despacho -  Salida]]="","",MARÍTIMOS[[#This Row],[Etapa Despacho -  Salida]]),"")</f>
        <v>46217.585416666669</v>
      </c>
      <c r="AF167" s="2" t="str">
        <f>IFERROR(IF(MARÍTIMOS[[#This Row],[Puerto de Embarque]]="","",MARÍTIMOS[[#This Row],[Puerto de Embarque]]),"")</f>
        <v>Paita</v>
      </c>
      <c r="AG167" s="2" t="str">
        <f>IFERROR(IF(MARÍTIMOS[[#This Row],[Almacén de Ingreso]]="","",MARÍTIMOS[[#This Row],[Almacén de Ingreso]]),"")</f>
        <v>TPE</v>
      </c>
      <c r="AH167" s="11">
        <f>IFERROR(IF(MARÍTIMOS[[#This Row],[Etapa Ingreso - Cita]]="","",MARÍTIMOS[[#This Row],[Etapa Ingreso - Cita]]),"")</f>
        <v>46218.208333333336</v>
      </c>
      <c r="AI167" s="11">
        <f>IFERROR(IF(MARÍTIMOS[[#This Row],[Etapa Ingreso - Llegada]]="","",MARÍTIMOS[[#This Row],[Etapa Ingreso - Llegada]]),"")</f>
        <v>46218.228472222225</v>
      </c>
      <c r="AJ167" s="11">
        <f>IFERROR(IF(MARÍTIMOS[[#This Row],[Etapa Ingreso - Ingeso]]="","",MARÍTIMOS[[#This Row],[Etapa Ingreso - Ingeso]]),"")</f>
        <v>46218.234027777777</v>
      </c>
      <c r="AK167" s="11">
        <f>IFERROR(IF(MARÍTIMOS[[#This Row],[Etapa Ingreso - Atención]]="","",MARÍTIMOS[[#This Row],[Etapa Ingreso - Atención]]),"")</f>
        <v>46218.237500000003</v>
      </c>
      <c r="AL167" s="11">
        <f>IFERROR(IF(MARÍTIMOS[[#This Row],[Etapa Ingreso - Salida]]="","",MARÍTIMOS[[#This Row],[Etapa Ingreso - Salida]]),"")</f>
        <v>46218.240972222222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7" s="5">
        <f>IFERROR(OLDBD[[#This Row],[Llegada a packing]]-OLDBD[[#This Row],[Inicio de Ruta]],"")</f>
        <v>0.78472222222626442</v>
      </c>
      <c r="AQ167" s="6">
        <f>IFERROR(OLDBD[[#This Row],[Inicio de Ruta]]-OLDBD[[#This Row],[Salida de almacén de retiro]],"")</f>
        <v>4.1666666664241347E-2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2.0833333335758653E-2</v>
      </c>
      <c r="AV167" s="9">
        <f>IFERROR(OLDBD[[#This Row],[Ingreso Packing]]-OLDBD[[#This Row],[Llegada a packing]],"")</f>
        <v>2.2916666668606922E-2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7" s="5">
        <f>IFERROR(OLDBD[[#This Row],[Llegada Almacén de Ingreso]]-OLDBD[[#This Row],[Salida Packing]],"")</f>
        <v>0.64305555555620231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5" t="s">
        <v>181</v>
      </c>
      <c r="BB167" s="53" t="str">
        <f>IFERROR(IF(MARÍTIMOS[[#This Row],[Estatus]]="","",MARÍTIMOS[[#This Row],[Estatus]]),"")</f>
        <v>Confirmado</v>
      </c>
      <c r="BC167" s="45"/>
      <c r="BD167" s="52">
        <f>IFERROR(OLDBD[[#This Row],[Salida de almacén de retiro]]-OLDBD[[#This Row],[Ingreso Almacén de retiro]],"")</f>
        <v>4.1666666664241347E-2</v>
      </c>
      <c r="BE167" s="52">
        <f>IFERROR(OLDBD[[#This Row],[Fin de Carga]]-OLDBD[[#This Row],[Inicio de Carga]],"")</f>
        <v>0.15625</v>
      </c>
    </row>
    <row r="168" spans="1:57" x14ac:dyDescent="0.35">
      <c r="A168" s="1"/>
      <c r="B168" s="1">
        <f>IFERROR(IF(MARÍTIMOS[[#This Row],[PP]]="","",MARÍTIMOS[[#This Row],[PP]]),"")</f>
        <v>28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RH-0165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 xml:space="preserve">LOGISTICA INTERMODAL DEL PERU S.A.C.
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APU-757</v>
      </c>
      <c r="K168" s="2" t="str">
        <f>IFERROR(IF(MARÍTIMOS[[#This Row],[Placa Carreta]]="","",MARÍTIMOS[[#This Row],[Placa Carreta]]),"")</f>
        <v>ARQ-991</v>
      </c>
      <c r="L168" s="46" t="str">
        <f>IFERROR(IF(MARÍTIMOS[[#This Row],[Conductor]]="","",MARÍTIMOS[[#This Row],[Conductor]]),"")</f>
        <v>SANDOVAL RAMOS LUIS</v>
      </c>
      <c r="M168" s="2" t="str">
        <f>IFERROR(IF(MARÍTIMOS[[#This Row],[Licencia]]="","",MARÍTIMOS[[#This Row],[Licencia]]),"")</f>
        <v>Q40848242</v>
      </c>
      <c r="N168" s="2" t="str">
        <f>IFERROR(IF(MARÍTIMOS[[#This Row],[Número de Contacto]]="","",MARÍTIMOS[[#This Row],[Número de Contacto]]),"")</f>
        <v>974 069 655</v>
      </c>
      <c r="O168" s="10" t="str">
        <f>IFERROR(IF(MARÍTIMOS[[#This Row],[Booking|AWB|CRT]]="","",MARÍTIMOS[[#This Row],[Booking|AWB|CRT]]),"")</f>
        <v>PER9140100A</v>
      </c>
      <c r="P168" s="2" t="str">
        <f>IFERROR(IF(MARÍTIMOS[[#This Row],[Contenedor]]="","",MARÍTIMOS[[#This Row],[Contenedor]]),"")</f>
        <v>GCXU8024172</v>
      </c>
      <c r="Q168" s="2" t="str">
        <f>IFERROR(IF(MARÍTIMOS[[#This Row],[Puerto de Retiro]]="","",MARÍTIMOS[[#This Row],[Puerto de Retiro]]),"")</f>
        <v>PAITA</v>
      </c>
      <c r="R168" s="2" t="str">
        <f>IFERROR(IF(MARÍTIMOS[[#This Row],[Almacén de Retiro]]="","",MARÍTIMOS[[#This Row],[Almacén de Retiro]]),"")</f>
        <v>DPW</v>
      </c>
      <c r="S168" s="11">
        <f>IFERROR(IF(MARÍTIMOS[[#This Row],[Etapa Retiro - Cita]]="","",MARÍTIMOS[[#This Row],[Etapa Retiro - Cita]]),"")</f>
        <v>46216.458333333336</v>
      </c>
      <c r="T168" s="11">
        <f>IFERROR(IF(MARÍTIMOS[[#This Row],[Etapa Retiro - Llegada]]="","",MARÍTIMOS[[#This Row],[Etapa Retiro - Llegada]]),"")</f>
        <v>46216.486111111109</v>
      </c>
      <c r="U168" s="11">
        <f>IFERROR(IF(MARÍTIMOS[[#This Row],[Etapa Retiro - Ingreso]]="","",MARÍTIMOS[[#This Row],[Etapa Retiro - Ingreso]]),"")</f>
        <v>46216.491666666669</v>
      </c>
      <c r="V168" s="11">
        <f>IFERROR(IF(MARÍTIMOS[[#This Row],[Etapa Retiro - Atención]]="","",MARÍTIMOS[[#This Row],[Etapa Retiro - Atención]]),"")</f>
        <v>46216.510416666664</v>
      </c>
      <c r="W168" s="11">
        <f>IFERROR(IF(MARÍTIMOS[[#This Row],[Etapa Retiro - Salida]]="","",MARÍTIMOS[[#This Row],[Etapa Retiro - Salida]]),"")</f>
        <v>46216.529861111114</v>
      </c>
      <c r="X168" s="11">
        <f>IFERROR(IF(MARÍTIMOS[[#This Row],[Etapa Retiro - Inicio de Ruta]]="","",MARÍTIMOS[[#This Row],[Etapa Retiro - Inicio de Ruta]]),"")</f>
        <v>46216.571527777778</v>
      </c>
      <c r="Y168" s="11">
        <f>IFERROR(IF(MARÍTIMOS[[#This Row],[Hora de Posicionamiento]]="","",MARÍTIMOS[[#This Row],[Hora de Carga]]+MARÍTIMOS[[#This Row],[Hora de Posicionamiento]]),"")</f>
        <v>0.75</v>
      </c>
      <c r="Z168" s="11">
        <f>IFERROR(IF(MARÍTIMOS[[#This Row],[Etapa Despacho -  Llegada]]="","",MARÍTIMOS[[#This Row],[Etapa Despacho -  Llegada]]),"")</f>
        <v>46217.411111111112</v>
      </c>
      <c r="AA168" s="11">
        <f>IFERROR(IF(MARÍTIMOS[[#This Row],[Etapa Despacho -  Registro]]="","",MARÍTIMOS[[#This Row],[Etapa Despacho -  Registro]]),"")</f>
        <v>46217.413194444445</v>
      </c>
      <c r="AB168" s="11">
        <f>IFERROR(IF(MARÍTIMOS[[#This Row],[Inspección Externa]]="","",MARÍTIMOS[[#This Row],[Inspección Externa]]),"")</f>
        <v>46217.4375</v>
      </c>
      <c r="AC168" s="11">
        <f>IFERROR(IF(MARÍTIMOS[[#This Row],[Etapa Despacho -  Inicio de Carga]]="","",MARÍTIMOS[[#This Row],[Etapa Despacho -  Inicio de Carga]]),"")</f>
        <v>46217.479166666664</v>
      </c>
      <c r="AD168" s="11">
        <f>IFERROR(IF(MARÍTIMOS[[#This Row],[Etapa Despacho -  Fin de Carga]]="","",MARÍTIMOS[[#This Row],[Etapa Despacho -  Fin de Carga]]),"")</f>
        <v>46217.5625</v>
      </c>
      <c r="AE168" s="11">
        <f>IFERROR(IF(MARÍTIMOS[[#This Row],[Etapa Despacho -  Salida]]="","",MARÍTIMOS[[#This Row],[Etapa Despacho -  Salida]]),"")</f>
        <v>46217.584027777775</v>
      </c>
      <c r="AF168" s="2" t="str">
        <f>IFERROR(IF(MARÍTIMOS[[#This Row],[Puerto de Embarque]]="","",MARÍTIMOS[[#This Row],[Puerto de Embarque]]),"")</f>
        <v>Paita</v>
      </c>
      <c r="AG168" s="2" t="str">
        <f>IFERROR(IF(MARÍTIMOS[[#This Row],[Almacén de Ingreso]]="","",MARÍTIMOS[[#This Row],[Almacén de Ingreso]]),"")</f>
        <v>TPE</v>
      </c>
      <c r="AH168" s="11">
        <f>IFERROR(IF(MARÍTIMOS[[#This Row],[Etapa Ingreso - Cita]]="","",MARÍTIMOS[[#This Row],[Etapa Ingreso - Cita]]),"")</f>
        <v>46218.333333333336</v>
      </c>
      <c r="AI168" s="11">
        <f>IFERROR(IF(MARÍTIMOS[[#This Row],[Etapa Ingreso - Llegada]]="","",MARÍTIMOS[[#This Row],[Etapa Ingreso - Llegada]]),"")</f>
        <v>46218.34097222222</v>
      </c>
      <c r="AJ168" s="11">
        <f>IFERROR(IF(MARÍTIMOS[[#This Row],[Etapa Ingreso - Ingeso]]="","",MARÍTIMOS[[#This Row],[Etapa Ingreso - Ingeso]]),"")</f>
        <v>46218.344444444447</v>
      </c>
      <c r="AK168" s="11">
        <f>IFERROR(IF(MARÍTIMOS[[#This Row],[Etapa Ingreso - Atención]]="","",MARÍTIMOS[[#This Row],[Etapa Ingreso - Atención]]),"")</f>
        <v>46218.347222222219</v>
      </c>
      <c r="AL168" s="11">
        <f>IFERROR(IF(MARÍTIMOS[[#This Row],[Etapa Ingreso - Salida]]="","",MARÍTIMOS[[#This Row],[Etapa Ingreso - Salida]]),"")</f>
        <v>46218.354861111111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0.83958333333430346</v>
      </c>
      <c r="AQ168" s="6">
        <f>IFERROR(OLDBD[[#This Row],[Inicio de Ruta]]-OLDBD[[#This Row],[Salida de almacén de retiro]],"")</f>
        <v>4.1666666664241347E-2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2.4305555554747116E-2</v>
      </c>
      <c r="AV168" s="9">
        <f>IFERROR(OLDBD[[#This Row],[Ingreso Packing]]-OLDBD[[#This Row],[Llegada a packing]],"")</f>
        <v>2.6388888887595385E-2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8" s="5">
        <f>IFERROR(OLDBD[[#This Row],[Llegada Almacén de Ingreso]]-OLDBD[[#This Row],[Salida Packing]],"")</f>
        <v>0.75694444444525288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5" t="s">
        <v>181</v>
      </c>
      <c r="BB168" s="53" t="str">
        <f>IFERROR(IF(MARÍTIMOS[[#This Row],[Estatus]]="","",MARÍTIMOS[[#This Row],[Estatus]]),"")</f>
        <v>Confirmado</v>
      </c>
      <c r="BC168" s="45"/>
      <c r="BD168" s="52">
        <f>IFERROR(OLDBD[[#This Row],[Salida de almacén de retiro]]-OLDBD[[#This Row],[Ingreso Almacén de retiro]],"")</f>
        <v>3.8194444445252884E-2</v>
      </c>
      <c r="BE168" s="52">
        <f>IFERROR(OLDBD[[#This Row],[Fin de Carga]]-OLDBD[[#This Row],[Inicio de Carga]],"")</f>
        <v>8.3333333335758653E-2</v>
      </c>
    </row>
    <row r="169" spans="1:57" x14ac:dyDescent="0.35">
      <c r="A169" s="1"/>
      <c r="B169" s="1">
        <f>IFERROR(IF(MARÍTIMOS[[#This Row],[PP]]="","",MARÍTIMOS[[#This Row],[PP]]),"")</f>
        <v>28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RH-0175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SI</v>
      </c>
      <c r="H169" s="2" t="str">
        <f>IFERROR(IF(MARÍTIMOS[[#This Row],[Razón Social]]="","",MARÍTIMOS[[#This Row],[Razón Social]]),"")</f>
        <v>TRANSCAR MATHEO SOCIEDAD ANONIMA CERRADA</v>
      </c>
      <c r="I169" s="2">
        <f>IFERROR(IF(MARÍTIMOS[[#This Row],[RUC]]="","",MARÍTIMOS[[#This Row],[RUC]]),"")</f>
        <v>20612886921</v>
      </c>
      <c r="J169" s="2" t="str">
        <f>IFERROR(IF(MARÍTIMOS[[#This Row],[Placa Tracto]]="","",MARÍTIMOS[[#This Row],[Placa Tracto]]),"")</f>
        <v>TAC-925</v>
      </c>
      <c r="K169" s="2" t="str">
        <f>IFERROR(IF(MARÍTIMOS[[#This Row],[Placa Carreta]]="","",MARÍTIMOS[[#This Row],[Placa Carreta]]),"")</f>
        <v>TOR-980</v>
      </c>
      <c r="L169" s="46" t="str">
        <f>IFERROR(IF(MARÍTIMOS[[#This Row],[Conductor]]="","",MARÍTIMOS[[#This Row],[Conductor]]),"")</f>
        <v>IPANAQUE GARCIA VALENTIN</v>
      </c>
      <c r="M169" s="2" t="str">
        <f>IFERROR(IF(MARÍTIMOS[[#This Row],[Licencia]]="","",MARÍTIMOS[[#This Row],[Licencia]]),"")</f>
        <v>B41789176</v>
      </c>
      <c r="N169" s="2" t="str">
        <f>IFERROR(IF(MARÍTIMOS[[#This Row],[Número de Contacto]]="","",MARÍTIMOS[[#This Row],[Número de Contacto]]),"")</f>
        <v>971 059 655</v>
      </c>
      <c r="O169" s="10" t="str">
        <f>IFERROR(IF(MARÍTIMOS[[#This Row],[Booking|AWB|CRT]]="","",MARÍTIMOS[[#This Row],[Booking|AWB|CRT]]),"")</f>
        <v>PER9144522A</v>
      </c>
      <c r="P169" s="2" t="str">
        <f>IFERROR(IF(MARÍTIMOS[[#This Row],[Contenedor]]="","",MARÍTIMOS[[#This Row],[Contenedor]]),"")</f>
        <v>CAAU4077627</v>
      </c>
      <c r="Q169" s="2" t="str">
        <f>IFERROR(IF(MARÍTIMOS[[#This Row],[Puerto de Retiro]]="","",MARÍTIMOS[[#This Row],[Puerto de Retiro]]),"")</f>
        <v>PAITA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46216.375</v>
      </c>
      <c r="T169" s="11">
        <f>IFERROR(IF(MARÍTIMOS[[#This Row],[Etapa Retiro - Llegada]]="","",MARÍTIMOS[[#This Row],[Etapa Retiro - Llegada]]),"")</f>
        <v>46216.4</v>
      </c>
      <c r="U169" s="11">
        <f>IFERROR(IF(MARÍTIMOS[[#This Row],[Etapa Retiro - Ingreso]]="","",MARÍTIMOS[[#This Row],[Etapa Retiro - Ingreso]]),"")</f>
        <v>46216.419444444444</v>
      </c>
      <c r="V169" s="11">
        <f>IFERROR(IF(MARÍTIMOS[[#This Row],[Etapa Retiro - Atención]]="","",MARÍTIMOS[[#This Row],[Etapa Retiro - Atención]]),"")</f>
        <v>46216.4375</v>
      </c>
      <c r="W169" s="11">
        <f>IFERROR(IF(MARÍTIMOS[[#This Row],[Etapa Retiro - Salida]]="","",MARÍTIMOS[[#This Row],[Etapa Retiro - Salida]]),"")</f>
        <v>46216.520138888889</v>
      </c>
      <c r="X169" s="11">
        <f>IFERROR(IF(MARÍTIMOS[[#This Row],[Etapa Retiro - Inicio de Ruta]]="","",MARÍTIMOS[[#This Row],[Etapa Retiro - Inicio de Ruta]]),"")</f>
        <v>46216.5625</v>
      </c>
      <c r="Y169" s="11">
        <f>IFERROR(IF(MARÍTIMOS[[#This Row],[Hora de Posicionamiento]]="","",MARÍTIMOS[[#This Row],[Hora de Carga]]+MARÍTIMOS[[#This Row],[Hora de Posicionamiento]]),"")</f>
        <v>0.75</v>
      </c>
      <c r="Z169" s="11">
        <f>IFERROR(IF(MARÍTIMOS[[#This Row],[Etapa Despacho -  Llegada]]="","",MARÍTIMOS[[#This Row],[Etapa Despacho -  Llegada]]),"")</f>
        <v>46217.340277777781</v>
      </c>
      <c r="AA169" s="11">
        <f>IFERROR(IF(MARÍTIMOS[[#This Row],[Etapa Despacho -  Registro]]="","",MARÍTIMOS[[#This Row],[Etapa Despacho -  Registro]]),"")</f>
        <v>46217.34375</v>
      </c>
      <c r="AB169" s="11">
        <f>IFERROR(IF(MARÍTIMOS[[#This Row],[Inspección Externa]]="","",MARÍTIMOS[[#This Row],[Inspección Externa]]),"")</f>
        <v>46217.364583333336</v>
      </c>
      <c r="AC169" s="11">
        <f>IFERROR(IF(MARÍTIMOS[[#This Row],[Etapa Despacho -  Inicio de Carga]]="","",MARÍTIMOS[[#This Row],[Etapa Despacho -  Inicio de Carga]]),"")</f>
        <v>46217.40625</v>
      </c>
      <c r="AD169" s="11">
        <f>IFERROR(IF(MARÍTIMOS[[#This Row],[Etapa Despacho -  Fin de Carga]]="","",MARÍTIMOS[[#This Row],[Etapa Despacho -  Fin de Carga]]),"")</f>
        <v>46217.541666666664</v>
      </c>
      <c r="AE169" s="11">
        <f>IFERROR(IF(MARÍTIMOS[[#This Row],[Etapa Despacho -  Salida]]="","",MARÍTIMOS[[#This Row],[Etapa Despacho -  Salida]]),"")</f>
        <v>46217.566666666666</v>
      </c>
      <c r="AF169" s="2" t="str">
        <f>IFERROR(IF(MARÍTIMOS[[#This Row],[Puerto de Embarque]]="","",MARÍTIMOS[[#This Row],[Puerto de Embarque]]),"")</f>
        <v>Paita</v>
      </c>
      <c r="AG169" s="2" t="str">
        <f>IFERROR(IF(MARÍTIMOS[[#This Row],[Almacén de Ingreso]]="","",MARÍTIMOS[[#This Row],[Almacén de Ingreso]]),"")</f>
        <v>TPE</v>
      </c>
      <c r="AH169" s="11">
        <f>IFERROR(IF(MARÍTIMOS[[#This Row],[Etapa Ingreso - Cita]]="","",MARÍTIMOS[[#This Row],[Etapa Ingreso - Cita]]),"")</f>
        <v>46218.166666666664</v>
      </c>
      <c r="AI169" s="11">
        <f>IFERROR(IF(MARÍTIMOS[[#This Row],[Etapa Ingreso - Llegada]]="","",MARÍTIMOS[[#This Row],[Etapa Ingreso - Llegada]]),"")</f>
        <v>46218.195833333331</v>
      </c>
      <c r="AJ169" s="11">
        <f>IFERROR(IF(MARÍTIMOS[[#This Row],[Etapa Ingreso - Ingeso]]="","",MARÍTIMOS[[#This Row],[Etapa Ingreso - Ingeso]]),"")</f>
        <v>46218.199305555558</v>
      </c>
      <c r="AK169" s="11">
        <f>IFERROR(IF(MARÍTIMOS[[#This Row],[Etapa Ingreso - Atención]]="","",MARÍTIMOS[[#This Row],[Etapa Ingreso - Atención]]),"")</f>
        <v>46218.201388888891</v>
      </c>
      <c r="AL169" s="11">
        <f>IFERROR(IF(MARÍTIMOS[[#This Row],[Etapa Ingreso - Salida]]="","",MARÍTIMOS[[#This Row],[Etapa Ingreso - Salida]]),"")</f>
        <v>46218.226388888892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69" s="5">
        <f>IFERROR(OLDBD[[#This Row],[Llegada a packing]]-OLDBD[[#This Row],[Inicio de Ruta]],"")</f>
        <v>0.77777777778101154</v>
      </c>
      <c r="AQ169" s="6">
        <f>IFERROR(OLDBD[[#This Row],[Inicio de Ruta]]-OLDBD[[#This Row],[Salida de almacén de retiro]],"")</f>
        <v>4.2361111110949423E-2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2.0833333335758653E-2</v>
      </c>
      <c r="AV169" s="9">
        <f>IFERROR(OLDBD[[#This Row],[Ingreso Packing]]-OLDBD[[#This Row],[Llegada a packing]],"")</f>
        <v>2.4305555554747116E-2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9" s="5">
        <f>IFERROR(OLDBD[[#This Row],[Llegada Almacén de Ingreso]]-OLDBD[[#This Row],[Salida Packing]],"")</f>
        <v>0.62916666666569654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5" t="s">
        <v>181</v>
      </c>
      <c r="BB169" s="53" t="str">
        <f>IFERROR(IF(MARÍTIMOS[[#This Row],[Estatus]]="","",MARÍTIMOS[[#This Row],[Estatus]]),"")</f>
        <v>Confirmado</v>
      </c>
      <c r="BC169" s="45"/>
      <c r="BD169" s="52">
        <f>IFERROR(OLDBD[[#This Row],[Salida de almacén de retiro]]-OLDBD[[#This Row],[Ingreso Almacén de retiro]],"")</f>
        <v>0.10069444444525288</v>
      </c>
      <c r="BE169" s="52">
        <f>IFERROR(OLDBD[[#This Row],[Fin de Carga]]-OLDBD[[#This Row],[Inicio de Carga]],"")</f>
        <v>0.13541666666424135</v>
      </c>
    </row>
    <row r="170" spans="1:57" x14ac:dyDescent="0.35">
      <c r="A170" s="1"/>
      <c r="B170" s="1">
        <f>IFERROR(IF(MARÍTIMOS[[#This Row],[PP]]="","",MARÍTIMOS[[#This Row],[PP]]),"")</f>
        <v>29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RH-0192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SI</v>
      </c>
      <c r="H170" s="2" t="str">
        <f>IFERROR(IF(MARÍTIMOS[[#This Row],[Razón Social]]="","",MARÍTIMOS[[#This Row],[Razón Social]]),"")</f>
        <v>TRANSPORTES JAAC S.A.C</v>
      </c>
      <c r="I170" s="2">
        <f>IFERROR(IF(MARÍTIMOS[[#This Row],[RUC]]="","",MARÍTIMOS[[#This Row],[RUC]]),"")</f>
        <v>20601962102</v>
      </c>
      <c r="J170" s="2" t="str">
        <f>IFERROR(IF(MARÍTIMOS[[#This Row],[Placa Tracto]]="","",MARÍTIMOS[[#This Row],[Placa Tracto]]),"")</f>
        <v>W3M-710</v>
      </c>
      <c r="K170" s="2" t="str">
        <f>IFERROR(IF(MARÍTIMOS[[#This Row],[Placa Carreta]]="","",MARÍTIMOS[[#This Row],[Placa Carreta]]),"")</f>
        <v>TKS-993</v>
      </c>
      <c r="L170" s="46" t="str">
        <f>IFERROR(IF(MARÍTIMOS[[#This Row],[Conductor]]="","",MARÍTIMOS[[#This Row],[Conductor]]),"")</f>
        <v>BARRIENTOS MIÑAN JUAN CHARLIE</v>
      </c>
      <c r="M170" s="2" t="str">
        <f>IFERROR(IF(MARÍTIMOS[[#This Row],[Licencia]]="","",MARÍTIMOS[[#This Row],[Licencia]]),"")</f>
        <v>B46376679</v>
      </c>
      <c r="N170" s="2" t="str">
        <f>IFERROR(IF(MARÍTIMOS[[#This Row],[Número de Contacto]]="","",MARÍTIMOS[[#This Row],[Número de Contacto]]),"")</f>
        <v>954 005 437</v>
      </c>
      <c r="O170" s="10" t="str">
        <f>IFERROR(IF(MARÍTIMOS[[#This Row],[Booking|AWB|CRT]]="","",MARÍTIMOS[[#This Row],[Booking|AWB|CRT]]),"")</f>
        <v>MBM250067101</v>
      </c>
      <c r="P170" s="2" t="str">
        <f>IFERROR(IF(MARÍTIMOS[[#This Row],[Contenedor]]="","",MARÍTIMOS[[#This Row],[Contenedor]]),"")</f>
        <v>FBIU5311770</v>
      </c>
      <c r="Q170" s="2" t="str">
        <f>IFERROR(IF(MARÍTIMOS[[#This Row],[Puerto de Retiro]]="","",MARÍTIMOS[[#This Row],[Puerto de Retiro]]),"")</f>
        <v>PAITA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46218.625</v>
      </c>
      <c r="T170" s="11">
        <f>IFERROR(IF(MARÍTIMOS[[#This Row],[Etapa Retiro - Llegada]]="","",MARÍTIMOS[[#This Row],[Etapa Retiro - Llegada]]),"")</f>
        <v>46218.640972222223</v>
      </c>
      <c r="U170" s="11">
        <f>IFERROR(IF(MARÍTIMOS[[#This Row],[Etapa Retiro - Ingreso]]="","",MARÍTIMOS[[#This Row],[Etapa Retiro - Ingreso]]),"")</f>
        <v>46218.675000000003</v>
      </c>
      <c r="V170" s="11">
        <f>IFERROR(IF(MARÍTIMOS[[#This Row],[Etapa Retiro - Atención]]="","",MARÍTIMOS[[#This Row],[Etapa Retiro - Atención]]),"")</f>
        <v>46218.681944444441</v>
      </c>
      <c r="W170" s="11">
        <f>IFERROR(IF(MARÍTIMOS[[#This Row],[Etapa Retiro - Salida]]="","",MARÍTIMOS[[#This Row],[Etapa Retiro - Salida]]),"")</f>
        <v>46218.770833333336</v>
      </c>
      <c r="X170" s="11">
        <f>IFERROR(IF(MARÍTIMOS[[#This Row],[Etapa Retiro - Inicio de Ruta]]="","",MARÍTIMOS[[#This Row],[Etapa Retiro - Inicio de Ruta]]),"")</f>
        <v>46218.8125</v>
      </c>
      <c r="Y170" s="11">
        <f>IFERROR(IF(MARÍTIMOS[[#This Row],[Hora de Posicionamiento]]="","",MARÍTIMOS[[#This Row],[Hora de Carga]]+MARÍTIMOS[[#This Row],[Hora de Posicionamiento]]),"")</f>
        <v>0.75</v>
      </c>
      <c r="Z170" s="11">
        <f>IFERROR(IF(MARÍTIMOS[[#This Row],[Etapa Despacho -  Llegada]]="","",MARÍTIMOS[[#This Row],[Etapa Despacho -  Llegada]]),"")</f>
        <v>46219.448611111111</v>
      </c>
      <c r="AA170" s="11">
        <f>IFERROR(IF(MARÍTIMOS[[#This Row],[Etapa Despacho -  Registro]]="","",MARÍTIMOS[[#This Row],[Etapa Despacho -  Registro]]),"")</f>
        <v>46219.455555555556</v>
      </c>
      <c r="AB170" s="11">
        <f>IFERROR(IF(MARÍTIMOS[[#This Row],[Inspección Externa]]="","",MARÍTIMOS[[#This Row],[Inspección Externa]]),"")</f>
        <v>46219.462500000001</v>
      </c>
      <c r="AC170" s="11">
        <f>IFERROR(IF(MARÍTIMOS[[#This Row],[Etapa Despacho -  Inicio de Carga]]="","",MARÍTIMOS[[#This Row],[Etapa Despacho -  Inicio de Carga]]),"")</f>
        <v>46219.48333333333</v>
      </c>
      <c r="AD170" s="11">
        <f>IFERROR(IF(MARÍTIMOS[[#This Row],[Etapa Despacho -  Fin de Carga]]="","",MARÍTIMOS[[#This Row],[Etapa Despacho -  Fin de Carga]]),"")</f>
        <v>46220.506944444445</v>
      </c>
      <c r="AE170" s="11">
        <f>IFERROR(IF(MARÍTIMOS[[#This Row],[Etapa Despacho -  Salida]]="","",MARÍTIMOS[[#This Row],[Etapa Despacho -  Salida]]),"")</f>
        <v>46220.513888888891</v>
      </c>
      <c r="AF170" s="2" t="str">
        <f>IFERROR(IF(MARÍTIMOS[[#This Row],[Puerto de Embarque]]="","",MARÍTIMOS[[#This Row],[Puerto de Embarque]]),"")</f>
        <v>Paita</v>
      </c>
      <c r="AG170" s="2" t="str">
        <f>IFERROR(IF(MARÍTIMOS[[#This Row],[Almacén de Ingreso]]="","",MARÍTIMOS[[#This Row],[Almacén de Ingreso]]),"")</f>
        <v>TPE</v>
      </c>
      <c r="AH170" s="11">
        <f>IFERROR(IF(MARÍTIMOS[[#This Row],[Etapa Ingreso - Cita]]="","",MARÍTIMOS[[#This Row],[Etapa Ingreso - Cita]]),"")</f>
        <v>46221.041666666664</v>
      </c>
      <c r="AI170" s="11">
        <f>IFERROR(IF(MARÍTIMOS[[#This Row],[Etapa Ingreso - Llegada]]="","",MARÍTIMOS[[#This Row],[Etapa Ingreso - Llegada]]),"")</f>
        <v>46221.083333333336</v>
      </c>
      <c r="AJ170" s="11">
        <f>IFERROR(IF(MARÍTIMOS[[#This Row],[Etapa Ingreso - Ingeso]]="","",MARÍTIMOS[[#This Row],[Etapa Ingreso - Ingeso]]),"")</f>
        <v>46221.092361111114</v>
      </c>
      <c r="AK170" s="11">
        <f>IFERROR(IF(MARÍTIMOS[[#This Row],[Etapa Ingreso - Atención]]="","",MARÍTIMOS[[#This Row],[Etapa Ingreso - Atención]]),"")</f>
        <v>46221.095833333333</v>
      </c>
      <c r="AL170" s="11">
        <f>IFERROR(IF(MARÍTIMOS[[#This Row],[Etapa Ingreso - Salida]]="","",MARÍTIMOS[[#This Row],[Etapa Ingreso - Salida]]),"")</f>
        <v>46221.102777777778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0" s="5">
        <f>IFERROR(OLDBD[[#This Row],[Llegada a packing]]-OLDBD[[#This Row],[Inicio de Ruta]],"")</f>
        <v>0.63611111111094942</v>
      </c>
      <c r="AQ170" s="6">
        <f>IFERROR(OLDBD[[#This Row],[Inicio de Ruta]]-OLDBD[[#This Row],[Salida de almacén de retiro]],"")</f>
        <v>4.1666666664241347E-2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6.9444444452528842E-3</v>
      </c>
      <c r="AV170" s="9">
        <f>IFERROR(OLDBD[[#This Row],[Ingreso Packing]]-OLDBD[[#This Row],[Llegada a packing]],"")</f>
        <v>1.3888888890505768E-2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0" s="5">
        <f>IFERROR(OLDBD[[#This Row],[Llegada Almacén de Ingreso]]-OLDBD[[#This Row],[Salida Packing]],"")</f>
        <v>0.56944444444525288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5" t="s">
        <v>181</v>
      </c>
      <c r="BB170" s="53" t="str">
        <f>IFERROR(IF(MARÍTIMOS[[#This Row],[Estatus]]="","",MARÍTIMOS[[#This Row],[Estatus]]),"")</f>
        <v>Confirmado</v>
      </c>
      <c r="BC170" s="45"/>
      <c r="BD170" s="52">
        <f>IFERROR(OLDBD[[#This Row],[Salida de almacén de retiro]]-OLDBD[[#This Row],[Ingreso Almacén de retiro]],"")</f>
        <v>9.5833333332848269E-2</v>
      </c>
      <c r="BE170" s="52">
        <f>IFERROR(OLDBD[[#This Row],[Fin de Carga]]-OLDBD[[#This Row],[Inicio de Carga]],"")</f>
        <v>1.023611111115315</v>
      </c>
    </row>
    <row r="171" spans="1:57" x14ac:dyDescent="0.35">
      <c r="A171" s="1"/>
      <c r="B171" s="1">
        <f>IFERROR(IF(MARÍTIMOS[[#This Row],[PP]]="","",MARÍTIMOS[[#This Row],[PP]]),"")</f>
        <v>29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RH-0190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NO</v>
      </c>
      <c r="H171" s="2" t="str">
        <f>IFERROR(IF(MARÍTIMOS[[#This Row],[Razón Social]]="","",MARÍTIMOS[[#This Row],[Razón Social]]),"")</f>
        <v xml:space="preserve">LOGISTICA INTERMODAL DEL PERU S.A.C.
</v>
      </c>
      <c r="I171" s="2">
        <f>IFERROR(IF(MARÍTIMOS[[#This Row],[RUC]]="","",MARÍTIMOS[[#This Row],[RUC]]),"")</f>
        <v>20513040718</v>
      </c>
      <c r="J171" s="2" t="str">
        <f>IFERROR(IF(MARÍTIMOS[[#This Row],[Placa Tracto]]="","",MARÍTIMOS[[#This Row],[Placa Tracto]]),"")</f>
        <v>APU-757</v>
      </c>
      <c r="K171" s="2" t="str">
        <f>IFERROR(IF(MARÍTIMOS[[#This Row],[Placa Carreta]]="","",MARÍTIMOS[[#This Row],[Placa Carreta]]),"")</f>
        <v>ARQ-991</v>
      </c>
      <c r="L171" s="46" t="str">
        <f>IFERROR(IF(MARÍTIMOS[[#This Row],[Conductor]]="","",MARÍTIMOS[[#This Row],[Conductor]]),"")</f>
        <v>SANDOVAL RAMOS LUIS</v>
      </c>
      <c r="M171" s="2" t="str">
        <f>IFERROR(IF(MARÍTIMOS[[#This Row],[Licencia]]="","",MARÍTIMOS[[#This Row],[Licencia]]),"")</f>
        <v>Q40848242</v>
      </c>
      <c r="N171" s="2" t="str">
        <f>IFERROR(IF(MARÍTIMOS[[#This Row],[Número de Contacto]]="","",MARÍTIMOS[[#This Row],[Número de Contacto]]),"")</f>
        <v>972 000 655</v>
      </c>
      <c r="O171" s="10" t="str">
        <f>IFERROR(IF(MARÍTIMOS[[#This Row],[Booking|AWB|CRT]]="","",MARÍTIMOS[[#This Row],[Booking|AWB|CRT]]),"")</f>
        <v>MBM250067103</v>
      </c>
      <c r="P171" s="2" t="str">
        <f>IFERROR(IF(MARÍTIMOS[[#This Row],[Contenedor]]="","",MARÍTIMOS[[#This Row],[Contenedor]]),"")</f>
        <v>FBIU5312967</v>
      </c>
      <c r="Q171" s="2" t="str">
        <f>IFERROR(IF(MARÍTIMOS[[#This Row],[Puerto de Retiro]]="","",MARÍTIMOS[[#This Row],[Puerto de Retiro]]),"")</f>
        <v>PAITA</v>
      </c>
      <c r="R171" s="2" t="str">
        <f>IFERROR(IF(MARÍTIMOS[[#This Row],[Almacén de Retiro]]="","",MARÍTIMOS[[#This Row],[Almacén de Retiro]]),"")</f>
        <v>MACROMAR</v>
      </c>
      <c r="S171" s="11">
        <f>IFERROR(IF(MARÍTIMOS[[#This Row],[Etapa Retiro - Cita]]="","",MARÍTIMOS[[#This Row],[Etapa Retiro - Cita]]),"")</f>
        <v>46218.666666666664</v>
      </c>
      <c r="T171" s="11">
        <f>IFERROR(IF(MARÍTIMOS[[#This Row],[Etapa Retiro - Llegada]]="","",MARÍTIMOS[[#This Row],[Etapa Retiro - Llegada]]),"")</f>
        <v>46218.683333333334</v>
      </c>
      <c r="U171" s="11">
        <f>IFERROR(IF(MARÍTIMOS[[#This Row],[Etapa Retiro - Ingreso]]="","",MARÍTIMOS[[#This Row],[Etapa Retiro - Ingreso]]),"")</f>
        <v>46218.724305555559</v>
      </c>
      <c r="V171" s="11">
        <f>IFERROR(IF(MARÍTIMOS[[#This Row],[Etapa Retiro - Atención]]="","",MARÍTIMOS[[#This Row],[Etapa Retiro - Atención]]),"")</f>
        <v>46218.731249999997</v>
      </c>
      <c r="W171" s="11">
        <f>IFERROR(IF(MARÍTIMOS[[#This Row],[Etapa Retiro - Salida]]="","",MARÍTIMOS[[#This Row],[Etapa Retiro - Salida]]),"")</f>
        <v>46218.797222222223</v>
      </c>
      <c r="X171" s="11">
        <f>IFERROR(IF(MARÍTIMOS[[#This Row],[Etapa Retiro - Inicio de Ruta]]="","",MARÍTIMOS[[#This Row],[Etapa Retiro - Inicio de Ruta]]),"")</f>
        <v>46218.838888888888</v>
      </c>
      <c r="Y171" s="11">
        <f>IFERROR(IF(MARÍTIMOS[[#This Row],[Hora de Posicionamiento]]="","",MARÍTIMOS[[#This Row],[Hora de Carga]]+MARÍTIMOS[[#This Row],[Hora de Posicionamiento]]),"")</f>
        <v>1.0833333333333335</v>
      </c>
      <c r="Z171" s="11">
        <f>IFERROR(IF(MARÍTIMOS[[#This Row],[Etapa Despacho -  Llegada]]="","",MARÍTIMOS[[#This Row],[Etapa Despacho -  Llegada]]),"")</f>
        <v>46219.523611111108</v>
      </c>
      <c r="AA171" s="11">
        <f>IFERROR(IF(MARÍTIMOS[[#This Row],[Etapa Despacho -  Registro]]="","",MARÍTIMOS[[#This Row],[Etapa Despacho -  Registro]]),"")</f>
        <v>46219.524305555555</v>
      </c>
      <c r="AB171" s="11">
        <f>IFERROR(IF(MARÍTIMOS[[#This Row],[Inspección Externa]]="","",MARÍTIMOS[[#This Row],[Inspección Externa]]),"")</f>
        <v>46219.621527777781</v>
      </c>
      <c r="AC171" s="11">
        <f>IFERROR(IF(MARÍTIMOS[[#This Row],[Etapa Despacho -  Inicio de Carga]]="","",MARÍTIMOS[[#This Row],[Etapa Despacho -  Inicio de Carga]]),"")</f>
        <v>46219.634027777778</v>
      </c>
      <c r="AD171" s="11">
        <f>IFERROR(IF(MARÍTIMOS[[#This Row],[Etapa Despacho -  Fin de Carga]]="","",MARÍTIMOS[[#This Row],[Etapa Despacho -  Fin de Carga]]),"")</f>
        <v>46219.686111111114</v>
      </c>
      <c r="AE171" s="11">
        <f>IFERROR(IF(MARÍTIMOS[[#This Row],[Etapa Despacho -  Salida]]="","",MARÍTIMOS[[#This Row],[Etapa Despacho -  Salida]]),"")</f>
        <v>46219.73541666667</v>
      </c>
      <c r="AF171" s="2" t="str">
        <f>IFERROR(IF(MARÍTIMOS[[#This Row],[Puerto de Embarque]]="","",MARÍTIMOS[[#This Row],[Puerto de Embarque]]),"")</f>
        <v>Paita</v>
      </c>
      <c r="AG171" s="2" t="str">
        <f>IFERROR(IF(MARÍTIMOS[[#This Row],[Almacén de Ingreso]]="","",MARÍTIMOS[[#This Row],[Almacén de Ingreso]]),"")</f>
        <v>TPE</v>
      </c>
      <c r="AH171" s="11">
        <f>IFERROR(IF(MARÍTIMOS[[#This Row],[Etapa Ingreso - Cita]]="","",MARÍTIMOS[[#This Row],[Etapa Ingreso - Cita]]),"")</f>
        <v>46220.791666666664</v>
      </c>
      <c r="AI171" s="11">
        <f>IFERROR(IF(MARÍTIMOS[[#This Row],[Etapa Ingreso - Llegada]]="","",MARÍTIMOS[[#This Row],[Etapa Ingreso - Llegada]]),"")</f>
        <v>46220.829861111109</v>
      </c>
      <c r="AJ171" s="11">
        <f>IFERROR(IF(MARÍTIMOS[[#This Row],[Etapa Ingreso - Ingeso]]="","",MARÍTIMOS[[#This Row],[Etapa Ingreso - Ingeso]]),"")</f>
        <v>46220.834722222222</v>
      </c>
      <c r="AK171" s="11">
        <f>IFERROR(IF(MARÍTIMOS[[#This Row],[Etapa Ingreso - Atención]]="","",MARÍTIMOS[[#This Row],[Etapa Ingreso - Atención]]),"")</f>
        <v>46220.841666666667</v>
      </c>
      <c r="AL171" s="11">
        <f>IFERROR(IF(MARÍTIMOS[[#This Row],[Etapa Ingreso - Salida]]="","",MARÍTIMOS[[#This Row],[Etapa Ingreso - Salida]]),"")</f>
        <v>46220.851388888892</v>
      </c>
      <c r="AM171" s="2">
        <f>IFERROR(IF(MARÍTIMOS[[#This Row],[FCL]]="","",MARÍTIMOS[[#This Row],[FCL]]),"")</f>
        <v>0.5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1" s="5">
        <f>IFERROR(OLDBD[[#This Row],[Llegada a packing]]-OLDBD[[#This Row],[Inicio de Ruta]],"")</f>
        <v>0.68472222222044365</v>
      </c>
      <c r="AQ171" s="6">
        <f>IFERROR(OLDBD[[#This Row],[Inicio de Ruta]]-OLDBD[[#This Row],[Salida de almacén de retiro]],"")</f>
        <v>4.1666666664241347E-2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9.7222222226264421E-2</v>
      </c>
      <c r="AV171" s="9">
        <f>IFERROR(OLDBD[[#This Row],[Ingreso Packing]]-OLDBD[[#This Row],[Llegada a packing]],"")</f>
        <v>9.7916666672972497E-2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1.0944444444394321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5" t="s">
        <v>181</v>
      </c>
      <c r="BB171" s="53" t="str">
        <f>IFERROR(IF(MARÍTIMOS[[#This Row],[Estatus]]="","",MARÍTIMOS[[#This Row],[Estatus]]),"")</f>
        <v>Confirmado</v>
      </c>
      <c r="BC171" s="45"/>
      <c r="BD171" s="52">
        <f>IFERROR(OLDBD[[#This Row],[Salida de almacén de retiro]]-OLDBD[[#This Row],[Ingreso Almacén de retiro]],"")</f>
        <v>7.2916666664241347E-2</v>
      </c>
      <c r="BE171" s="52">
        <f>IFERROR(OLDBD[[#This Row],[Fin de Carga]]-OLDBD[[#This Row],[Inicio de Carga]],"")</f>
        <v>5.2083333335758653E-2</v>
      </c>
    </row>
    <row r="172" spans="1:57" x14ac:dyDescent="0.35">
      <c r="A172" s="1"/>
      <c r="B172" s="1">
        <f>IFERROR(IF(MARÍTIMOS[[#This Row],[PP]]="","",MARÍTIMOS[[#This Row],[PP]]),"")</f>
        <v>29</v>
      </c>
      <c r="C172" s="1" t="str">
        <f>IFERROR(IF(MARÍTIMOS[[#This Row],[Sede]]="","",MARÍTIMOS[[#This Row],[Sede]]),"")</f>
        <v>Olmos</v>
      </c>
      <c r="D172" s="1" t="str">
        <f>IFERROR(IF(MARÍTIMOS[[#This Row],[Instruction]]="","",MARÍTIMOS[[#This Row],[Instruction]]),"")</f>
        <v>RH-0190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NO</v>
      </c>
      <c r="H172" s="2" t="str">
        <f>IFERROR(IF(MARÍTIMOS[[#This Row],[Razón Social]]="","",MARÍTIMOS[[#This Row],[Razón Social]]),"")</f>
        <v xml:space="preserve">LOGISTICA INTERMODAL DEL PERU S.A.C.
</v>
      </c>
      <c r="I172" s="2">
        <f>IFERROR(IF(MARÍTIMOS[[#This Row],[RUC]]="","",MARÍTIMOS[[#This Row],[RUC]]),"")</f>
        <v>20513040718</v>
      </c>
      <c r="J172" s="2" t="str">
        <f>IFERROR(IF(MARÍTIMOS[[#This Row],[Placa Tracto]]="","",MARÍTIMOS[[#This Row],[Placa Tracto]]),"")</f>
        <v>APU-757</v>
      </c>
      <c r="K172" s="2" t="str">
        <f>IFERROR(IF(MARÍTIMOS[[#This Row],[Placa Carreta]]="","",MARÍTIMOS[[#This Row],[Placa Carreta]]),"")</f>
        <v>ARQ-991</v>
      </c>
      <c r="L172" s="46" t="str">
        <f>IFERROR(IF(MARÍTIMOS[[#This Row],[Conductor]]="","",MARÍTIMOS[[#This Row],[Conductor]]),"")</f>
        <v>SANDOVAL RAMOS LUIS</v>
      </c>
      <c r="M172" s="2" t="str">
        <f>IFERROR(IF(MARÍTIMOS[[#This Row],[Licencia]]="","",MARÍTIMOS[[#This Row],[Licencia]]),"")</f>
        <v>Q40848242</v>
      </c>
      <c r="N172" s="2" t="str">
        <f>IFERROR(IF(MARÍTIMOS[[#This Row],[Número de Contacto]]="","",MARÍTIMOS[[#This Row],[Número de Contacto]]),"")</f>
        <v>975 069 655</v>
      </c>
      <c r="O172" s="10" t="str">
        <f>IFERROR(IF(MARÍTIMOS[[#This Row],[Booking|AWB|CRT]]="","",MARÍTIMOS[[#This Row],[Booking|AWB|CRT]]),"")</f>
        <v>MBM250067103</v>
      </c>
      <c r="P172" s="2" t="str">
        <f>IFERROR(IF(MARÍTIMOS[[#This Row],[Contenedor]]="","",MARÍTIMOS[[#This Row],[Contenedor]]),"")</f>
        <v>FBIU5312967</v>
      </c>
      <c r="Q172" s="2" t="str">
        <f>IFERROR(IF(MARÍTIMOS[[#This Row],[Puerto de Retiro]]="","",MARÍTIMOS[[#This Row],[Puerto de Retiro]]),"")</f>
        <v>PAITA</v>
      </c>
      <c r="R172" s="2" t="str">
        <f>IFERROR(IF(MARÍTIMOS[[#This Row],[Almacén de Retiro]]="","",MARÍTIMOS[[#This Row],[Almacén de Retiro]]),"")</f>
        <v>MACROMAR</v>
      </c>
      <c r="S172" s="11">
        <f>IFERROR(IF(MARÍTIMOS[[#This Row],[Etapa Retiro - Cita]]="","",MARÍTIMOS[[#This Row],[Etapa Retiro - Cita]]),"")</f>
        <v>46218.666666666664</v>
      </c>
      <c r="T172" s="11">
        <f>IFERROR(IF(MARÍTIMOS[[#This Row],[Etapa Retiro - Llegada]]="","",MARÍTIMOS[[#This Row],[Etapa Retiro - Llegada]]),"")</f>
        <v>46218.683333333334</v>
      </c>
      <c r="U172" s="11">
        <f>IFERROR(IF(MARÍTIMOS[[#This Row],[Etapa Retiro - Ingreso]]="","",MARÍTIMOS[[#This Row],[Etapa Retiro - Ingreso]]),"")</f>
        <v>46218.724305555559</v>
      </c>
      <c r="V172" s="11">
        <f>IFERROR(IF(MARÍTIMOS[[#This Row],[Etapa Retiro - Atención]]="","",MARÍTIMOS[[#This Row],[Etapa Retiro - Atención]]),"")</f>
        <v>46218.731249999997</v>
      </c>
      <c r="W172" s="11">
        <f>IFERROR(IF(MARÍTIMOS[[#This Row],[Etapa Retiro - Salida]]="","",MARÍTIMOS[[#This Row],[Etapa Retiro - Salida]]),"")</f>
        <v>46218.797222222223</v>
      </c>
      <c r="X172" s="11">
        <f>IFERROR(IF(MARÍTIMOS[[#This Row],[Etapa Retiro - Inicio de Ruta]]="","",MARÍTIMOS[[#This Row],[Etapa Retiro - Inicio de Ruta]]),"")</f>
        <v>46218.838888888888</v>
      </c>
      <c r="Y172" s="11">
        <f>IFERROR(IF(MARÍTIMOS[[#This Row],[Hora de Posicionamiento]]="","",MARÍTIMOS[[#This Row],[Hora de Carga]]+MARÍTIMOS[[#This Row],[Hora de Posicionamiento]]),"")</f>
        <v>0.75</v>
      </c>
      <c r="Z172" s="11">
        <f>IFERROR(IF(MARÍTIMOS[[#This Row],[Etapa Despacho -  Llegada]]="","",MARÍTIMOS[[#This Row],[Etapa Despacho -  Llegada]]),"")</f>
        <v>46220.507638888892</v>
      </c>
      <c r="AA172" s="11">
        <f>IFERROR(IF(MARÍTIMOS[[#This Row],[Etapa Despacho -  Registro]]="","",MARÍTIMOS[[#This Row],[Etapa Despacho -  Registro]]),"")</f>
        <v>46220.507638888892</v>
      </c>
      <c r="AB172" s="11">
        <f>IFERROR(IF(MARÍTIMOS[[#This Row],[Inspección Externa]]="","",MARÍTIMOS[[#This Row],[Inspección Externa]]),"")</f>
        <v>46220.53125</v>
      </c>
      <c r="AC172" s="11">
        <f>IFERROR(IF(MARÍTIMOS[[#This Row],[Etapa Despacho -  Inicio de Carga]]="","",MARÍTIMOS[[#This Row],[Etapa Despacho -  Inicio de Carga]]),"")</f>
        <v>46220.552777777775</v>
      </c>
      <c r="AD172" s="11">
        <f>IFERROR(IF(MARÍTIMOS[[#This Row],[Etapa Despacho -  Fin de Carga]]="","",MARÍTIMOS[[#This Row],[Etapa Despacho -  Fin de Carga]]),"")</f>
        <v>46220.576388888891</v>
      </c>
      <c r="AE172" s="11">
        <f>IFERROR(IF(MARÍTIMOS[[#This Row],[Etapa Despacho -  Salida]]="","",MARÍTIMOS[[#This Row],[Etapa Despacho -  Salida]]),"")</f>
        <v>46220.588194444441</v>
      </c>
      <c r="AF172" s="2" t="str">
        <f>IFERROR(IF(MARÍTIMOS[[#This Row],[Puerto de Embarque]]="","",MARÍTIMOS[[#This Row],[Puerto de Embarque]]),"")</f>
        <v>Paita</v>
      </c>
      <c r="AG172" s="2" t="str">
        <f>IFERROR(IF(MARÍTIMOS[[#This Row],[Almacén de Ingreso]]="","",MARÍTIMOS[[#This Row],[Almacén de Ingreso]]),"")</f>
        <v>TPE</v>
      </c>
      <c r="AH172" s="11">
        <f>IFERROR(IF(MARÍTIMOS[[#This Row],[Etapa Ingreso - Cita]]="","",MARÍTIMOS[[#This Row],[Etapa Ingreso - Cita]]),"")</f>
        <v>46220.791666666664</v>
      </c>
      <c r="AI172" s="11">
        <f>IFERROR(IF(MARÍTIMOS[[#This Row],[Etapa Ingreso - Llegada]]="","",MARÍTIMOS[[#This Row],[Etapa Ingreso - Llegada]]),"")</f>
        <v>46220.829861111109</v>
      </c>
      <c r="AJ172" s="11">
        <f>IFERROR(IF(MARÍTIMOS[[#This Row],[Etapa Ingreso - Ingeso]]="","",MARÍTIMOS[[#This Row],[Etapa Ingreso - Ingeso]]),"")</f>
        <v>46220.834722222222</v>
      </c>
      <c r="AK172" s="11">
        <f>IFERROR(IF(MARÍTIMOS[[#This Row],[Etapa Ingreso - Atención]]="","",MARÍTIMOS[[#This Row],[Etapa Ingreso - Atención]]),"")</f>
        <v>46220.841666666667</v>
      </c>
      <c r="AL172" s="11">
        <f>IFERROR(IF(MARÍTIMOS[[#This Row],[Etapa Ingreso - Salida]]="","",MARÍTIMOS[[#This Row],[Etapa Ingreso - Salida]]),"")</f>
        <v>46220.851388888892</v>
      </c>
      <c r="AM172" s="2">
        <f>IFERROR(IF(MARÍTIMOS[[#This Row],[FCL]]="","",MARÍTIMOS[[#This Row],[FCL]]),"")</f>
        <v>0.5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2" s="5">
        <f>IFERROR(OLDBD[[#This Row],[Llegada a packing]]-OLDBD[[#This Row],[Inicio de Ruta]],"")</f>
        <v>1.6687500000043656</v>
      </c>
      <c r="AQ172" s="6">
        <f>IFERROR(OLDBD[[#This Row],[Inicio de Ruta]]-OLDBD[[#This Row],[Salida de almacén de retiro]],"")</f>
        <v>4.1666666664241347E-2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2.361111110803904E-2</v>
      </c>
      <c r="AV172" s="9">
        <f>IFERROR(OLDBD[[#This Row],[Ingreso Packing]]-OLDBD[[#This Row],[Llegada a packing]],"")</f>
        <v>2.361111110803904E-2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2" s="5">
        <f>IFERROR(OLDBD[[#This Row],[Llegada Almacén de Ingreso]]-OLDBD[[#This Row],[Salida Packing]],"")</f>
        <v>0.24166666666860692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5" t="s">
        <v>181</v>
      </c>
      <c r="BB172" s="53" t="str">
        <f>IFERROR(IF(MARÍTIMOS[[#This Row],[Estatus]]="","",MARÍTIMOS[[#This Row],[Estatus]]),"")</f>
        <v>Confirmado</v>
      </c>
      <c r="BC172" s="45"/>
      <c r="BD172" s="52">
        <f>IFERROR(OLDBD[[#This Row],[Salida de almacén de retiro]]-OLDBD[[#This Row],[Ingreso Almacén de retiro]],"")</f>
        <v>7.2916666664241347E-2</v>
      </c>
      <c r="BE172" s="52">
        <f>IFERROR(OLDBD[[#This Row],[Fin de Carga]]-OLDBD[[#This Row],[Inicio de Carga]],"")</f>
        <v>2.3611111115314998E-2</v>
      </c>
    </row>
    <row r="173" spans="1:57" x14ac:dyDescent="0.35">
      <c r="A173" s="1"/>
      <c r="B173" s="1">
        <f>IFERROR(IF(MARÍTIMOS[[#This Row],[PP]]="","",MARÍTIMOS[[#This Row],[PP]]),"")</f>
        <v>29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RH-0191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SI</v>
      </c>
      <c r="H173" s="2" t="str">
        <f>IFERROR(IF(MARÍTIMOS[[#This Row],[Razón Social]]="","",MARÍTIMOS[[#This Row],[Razón Social]]),"")</f>
        <v>LOGISTICS TRANSPORT SOCIEDAD ANONIMA CERRAD</v>
      </c>
      <c r="I173" s="2">
        <f>IFERROR(IF(MARÍTIMOS[[#This Row],[RUC]]="","",MARÍTIMOS[[#This Row],[RUC]]),"")</f>
        <v>20614402246</v>
      </c>
      <c r="J173" s="2" t="str">
        <f>IFERROR(IF(MARÍTIMOS[[#This Row],[Placa Tracto]]="","",MARÍTIMOS[[#This Row],[Placa Tracto]]),"")</f>
        <v>D4J-829</v>
      </c>
      <c r="K173" s="2" t="str">
        <f>IFERROR(IF(MARÍTIMOS[[#This Row],[Placa Carreta]]="","",MARÍTIMOS[[#This Row],[Placa Carreta]]),"")</f>
        <v>TPD-978</v>
      </c>
      <c r="L173" s="46" t="str">
        <f>IFERROR(IF(MARÍTIMOS[[#This Row],[Conductor]]="","",MARÍTIMOS[[#This Row],[Conductor]]),"")</f>
        <v>CHIROQUE IMAN JOSE NICOLAS</v>
      </c>
      <c r="M173" s="2" t="str">
        <f>IFERROR(IF(MARÍTIMOS[[#This Row],[Licencia]]="","",MARÍTIMOS[[#This Row],[Licencia]]),"")</f>
        <v>C16578741</v>
      </c>
      <c r="N173" s="2" t="str">
        <f>IFERROR(IF(MARÍTIMOS[[#This Row],[Número de Contacto]]="","",MARÍTIMOS[[#This Row],[Número de Contacto]]),"")</f>
        <v>972 059 655</v>
      </c>
      <c r="O173" s="10" t="str">
        <f>IFERROR(IF(MARÍTIMOS[[#This Row],[Booking|AWB|CRT]]="","",MARÍTIMOS[[#This Row],[Booking|AWB|CRT]]),"")</f>
        <v>MBM250067102</v>
      </c>
      <c r="P173" s="2" t="str">
        <f>IFERROR(IF(MARÍTIMOS[[#This Row],[Contenedor]]="","",MARÍTIMOS[[#This Row],[Contenedor]]),"")</f>
        <v>FBIU5312400</v>
      </c>
      <c r="Q173" s="2" t="str">
        <f>IFERROR(IF(MARÍTIMOS[[#This Row],[Puerto de Retiro]]="","",MARÍTIMOS[[#This Row],[Puerto de Retiro]]),"")</f>
        <v>PAITA</v>
      </c>
      <c r="R173" s="2" t="str">
        <f>IFERROR(IF(MARÍTIMOS[[#This Row],[Almacén de Retiro]]="","",MARÍTIMOS[[#This Row],[Almacén de Retiro]]),"")</f>
        <v>MACROMAR</v>
      </c>
      <c r="S173" s="11">
        <f>IFERROR(IF(MARÍTIMOS[[#This Row],[Etapa Retiro - Cita]]="","",MARÍTIMOS[[#This Row],[Etapa Retiro - Cita]]),"")</f>
        <v>46219.583333333336</v>
      </c>
      <c r="T173" s="11">
        <f>IFERROR(IF(MARÍTIMOS[[#This Row],[Etapa Retiro - Llegada]]="","",MARÍTIMOS[[#This Row],[Etapa Retiro - Llegada]]),"")</f>
        <v>46219.576388888891</v>
      </c>
      <c r="U173" s="11">
        <f>IFERROR(IF(MARÍTIMOS[[#This Row],[Etapa Retiro - Ingreso]]="","",MARÍTIMOS[[#This Row],[Etapa Retiro - Ingreso]]),"")</f>
        <v>46219.603472222225</v>
      </c>
      <c r="V173" s="11">
        <f>IFERROR(IF(MARÍTIMOS[[#This Row],[Etapa Retiro - Atención]]="","",MARÍTIMOS[[#This Row],[Etapa Retiro - Atención]]),"")</f>
        <v>46219.605555555558</v>
      </c>
      <c r="W173" s="11">
        <f>IFERROR(IF(MARÍTIMOS[[#This Row],[Etapa Retiro - Salida]]="","",MARÍTIMOS[[#This Row],[Etapa Retiro - Salida]]),"")</f>
        <v>46220.61041666667</v>
      </c>
      <c r="X173" s="11">
        <f>IFERROR(IF(MARÍTIMOS[[#This Row],[Etapa Retiro - Inicio de Ruta]]="","",MARÍTIMOS[[#This Row],[Etapa Retiro - Inicio de Ruta]]),"")</f>
        <v>46220.708333333336</v>
      </c>
      <c r="Y173" s="11">
        <f>IFERROR(IF(MARÍTIMOS[[#This Row],[Hora de Posicionamiento]]="","",MARÍTIMOS[[#This Row],[Hora de Carga]]+MARÍTIMOS[[#This Row],[Hora de Posicionamiento]]),"")</f>
        <v>0.75</v>
      </c>
      <c r="Z173" s="11">
        <f>IFERROR(IF(MARÍTIMOS[[#This Row],[Etapa Despacho -  Llegada]]="","",MARÍTIMOS[[#This Row],[Etapa Despacho -  Llegada]]),"")</f>
        <v>46220.387499999997</v>
      </c>
      <c r="AA173" s="11">
        <f>IFERROR(IF(MARÍTIMOS[[#This Row],[Etapa Despacho -  Registro]]="","",MARÍTIMOS[[#This Row],[Etapa Despacho -  Registro]]),"")</f>
        <v>46220.388888888891</v>
      </c>
      <c r="AB173" s="11">
        <f>IFERROR(IF(MARÍTIMOS[[#This Row],[Inspección Externa]]="","",MARÍTIMOS[[#This Row],[Inspección Externa]]),"")</f>
        <v>46220.392361111109</v>
      </c>
      <c r="AC173" s="11">
        <f>IFERROR(IF(MARÍTIMOS[[#This Row],[Etapa Despacho -  Inicio de Carga]]="","",MARÍTIMOS[[#This Row],[Etapa Despacho -  Inicio de Carga]]),"")</f>
        <v>46220.520833333336</v>
      </c>
      <c r="AD173" s="11">
        <f>IFERROR(IF(MARÍTIMOS[[#This Row],[Etapa Despacho -  Fin de Carga]]="","",MARÍTIMOS[[#This Row],[Etapa Despacho -  Fin de Carga]]),"")</f>
        <v>46220.569444444445</v>
      </c>
      <c r="AE173" s="11">
        <f>IFERROR(IF(MARÍTIMOS[[#This Row],[Etapa Despacho -  Salida]]="","",MARÍTIMOS[[#This Row],[Etapa Despacho -  Salida]]),"")</f>
        <v>46220.61041666667</v>
      </c>
      <c r="AF173" s="2" t="str">
        <f>IFERROR(IF(MARÍTIMOS[[#This Row],[Puerto de Embarque]]="","",MARÍTIMOS[[#This Row],[Puerto de Embarque]]),"")</f>
        <v>Paita</v>
      </c>
      <c r="AG173" s="2" t="str">
        <f>IFERROR(IF(MARÍTIMOS[[#This Row],[Almacén de Ingreso]]="","",MARÍTIMOS[[#This Row],[Almacén de Ingreso]]),"")</f>
        <v>TPE</v>
      </c>
      <c r="AH173" s="11">
        <f>IFERROR(IF(MARÍTIMOS[[#This Row],[Etapa Ingreso - Cita]]="","",MARÍTIMOS[[#This Row],[Etapa Ingreso - Cita]]),"")</f>
        <v>46221.5</v>
      </c>
      <c r="AI173" s="11">
        <f>IFERROR(IF(MARÍTIMOS[[#This Row],[Etapa Ingreso - Llegada]]="","",MARÍTIMOS[[#This Row],[Etapa Ingreso - Llegada]]),"")</f>
        <v>46221.502083333333</v>
      </c>
      <c r="AJ173" s="11">
        <f>IFERROR(IF(MARÍTIMOS[[#This Row],[Etapa Ingreso - Ingeso]]="","",MARÍTIMOS[[#This Row],[Etapa Ingreso - Ingeso]]),"")</f>
        <v>46221.519444444442</v>
      </c>
      <c r="AK173" s="11">
        <f>IFERROR(IF(MARÍTIMOS[[#This Row],[Etapa Ingreso - Atención]]="","",MARÍTIMOS[[#This Row],[Etapa Ingreso - Atención]]),"")</f>
        <v>46221.524305555555</v>
      </c>
      <c r="AL173" s="11">
        <f>IFERROR(IF(MARÍTIMOS[[#This Row],[Etapa Ingreso - Salida]]="","",MARÍTIMOS[[#This Row],[Etapa Ingreso - Salida]]),"")</f>
        <v>46221.536111111112</v>
      </c>
      <c r="AM173" s="2">
        <f>IFERROR(IF(MARÍTIMOS[[#This Row],[FCL]]="","",MARÍTIMOS[[#This Row],[FCL]]),"")</f>
        <v>1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3" s="5">
        <f>IFERROR(OLDBD[[#This Row],[Llegada a packing]]-OLDBD[[#This Row],[Inicio de Ruta]],"")</f>
        <v>-0.32083333333866904</v>
      </c>
      <c r="AQ173" s="6">
        <f>IFERROR(OLDBD[[#This Row],[Inicio de Ruta]]-OLDBD[[#This Row],[Salida de almacén de retiro]],"")</f>
        <v>9.7916666665696539E-2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3" s="9">
        <f>IFERROR(OLDBD[[#This Row],[Ingreso Packing]]-OLDBD[[#This Row],[Registro en Packing]],"")</f>
        <v>3.4722222189884633E-3</v>
      </c>
      <c r="AV173" s="9">
        <f>IFERROR(OLDBD[[#This Row],[Ingreso Packing]]-OLDBD[[#This Row],[Llegada a packing]],"")</f>
        <v>4.8611111124046147E-3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3" s="5">
        <f>IFERROR(OLDBD[[#This Row],[Llegada Almacén de Ingreso]]-OLDBD[[#This Row],[Salida Packing]],"")</f>
        <v>0.89166666666278616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5" t="s">
        <v>181</v>
      </c>
      <c r="BB173" s="53" t="str">
        <f>IFERROR(IF(MARÍTIMOS[[#This Row],[Estatus]]="","",MARÍTIMOS[[#This Row],[Estatus]]),"")</f>
        <v>Confirmado</v>
      </c>
      <c r="BC173" s="45"/>
      <c r="BD173" s="52">
        <f>IFERROR(OLDBD[[#This Row],[Salida de almacén de retiro]]-OLDBD[[#This Row],[Ingreso Almacén de retiro]],"")</f>
        <v>1.0069444444452529</v>
      </c>
      <c r="BE173" s="52">
        <f>IFERROR(OLDBD[[#This Row],[Fin de Carga]]-OLDBD[[#This Row],[Inicio de Carga]],"")</f>
        <v>4.8611111109494232E-2</v>
      </c>
    </row>
    <row r="174" spans="1:57" x14ac:dyDescent="0.35">
      <c r="A174" s="1"/>
      <c r="B174" s="1">
        <f>IFERROR(IF(MARÍTIMOS[[#This Row],[PP]]="","",MARÍTIMOS[[#This Row],[PP]]),"")</f>
        <v>29</v>
      </c>
      <c r="C174" s="1" t="str">
        <f>IFERROR(IF(MARÍTIMOS[[#This Row],[Sede]]="","",MARÍTIMOS[[#This Row],[Sede]]),"")</f>
        <v>Chao</v>
      </c>
      <c r="D174" s="1" t="str">
        <f>IFERROR(IF(MARÍTIMOS[[#This Row],[Instruction]]="","",MARÍTIMOS[[#This Row],[Instruction]]),"")</f>
        <v>RH-0193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NO</v>
      </c>
      <c r="H174" s="2" t="str">
        <f>IFERROR(IF(MARÍTIMOS[[#This Row],[Razón Social]]="","",MARÍTIMOS[[#This Row],[Razón Social]]),"")</f>
        <v xml:space="preserve">LOGISTICA INTERMODAL DEL PERU S.A.C.
</v>
      </c>
      <c r="I174" s="2">
        <f>IFERROR(IF(MARÍTIMOS[[#This Row],[RUC]]="","",MARÍTIMOS[[#This Row],[RUC]]),"")</f>
        <v>20513040718</v>
      </c>
      <c r="J174" s="2" t="str">
        <f>IFERROR(IF(MARÍTIMOS[[#This Row],[Placa Tracto]]="","",MARÍTIMOS[[#This Row],[Placa Tracto]]),"")</f>
        <v>AYO-892</v>
      </c>
      <c r="K174" s="2" t="str">
        <f>IFERROR(IF(MARÍTIMOS[[#This Row],[Placa Carreta]]="","",MARÍTIMOS[[#This Row],[Placa Carreta]]),"")</f>
        <v>AJO-980</v>
      </c>
      <c r="L174" s="46" t="str">
        <f>IFERROR(IF(MARÍTIMOS[[#This Row],[Conductor]]="","",MARÍTIMOS[[#This Row],[Conductor]]),"")</f>
        <v>AVELLANEDA OTERO RENZO MARTIN</v>
      </c>
      <c r="M174" s="2" t="str">
        <f>IFERROR(IF(MARÍTIMOS[[#This Row],[Licencia]]="","",MARÍTIMOS[[#This Row],[Licencia]]),"")</f>
        <v>B40777868</v>
      </c>
      <c r="N174" s="2" t="str">
        <f>IFERROR(IF(MARÍTIMOS[[#This Row],[Número de Contacto]]="","",MARÍTIMOS[[#This Row],[Número de Contacto]]),"")</f>
        <v>955 005 437</v>
      </c>
      <c r="O174" s="10" t="str">
        <f>IFERROR(IF(MARÍTIMOS[[#This Row],[Booking|AWB|CRT]]="","",MARÍTIMOS[[#This Row],[Booking|AWB|CRT]]),"")</f>
        <v>BN79531</v>
      </c>
      <c r="P174" s="2" t="str">
        <f>IFERROR(IF(MARÍTIMOS[[#This Row],[Contenedor]]="","",MARÍTIMOS[[#This Row],[Contenedor]]),"")</f>
        <v>TEMU9595013</v>
      </c>
      <c r="Q174" s="2" t="str">
        <f>IFERROR(IF(MARÍTIMOS[[#This Row],[Puerto de Retiro]]="","",MARÍTIMOS[[#This Row],[Puerto de Retiro]]),"")</f>
        <v>PAITA</v>
      </c>
      <c r="R174" s="2" t="str">
        <f>IFERROR(IF(MARÍTIMOS[[#This Row],[Almacén de Retiro]]="","",MARÍTIMOS[[#This Row],[Almacén de Retiro]]),"")</f>
        <v>DPW</v>
      </c>
      <c r="S174" s="11">
        <f>IFERROR(IF(MARÍTIMOS[[#This Row],[Etapa Retiro - Cita]]="","",MARÍTIMOS[[#This Row],[Etapa Retiro - Cita]]),"")</f>
        <v>46222.416666666664</v>
      </c>
      <c r="T174" s="11">
        <f>IFERROR(IF(MARÍTIMOS[[#This Row],[Etapa Retiro - Llegada]]="","",MARÍTIMOS[[#This Row],[Etapa Retiro - Llegada]]),"")</f>
        <v>46222.439583333333</v>
      </c>
      <c r="U174" s="11">
        <f>IFERROR(IF(MARÍTIMOS[[#This Row],[Etapa Retiro - Ingreso]]="","",MARÍTIMOS[[#This Row],[Etapa Retiro - Ingreso]]),"")</f>
        <v>46222.449305555558</v>
      </c>
      <c r="V174" s="11">
        <f>IFERROR(IF(MARÍTIMOS[[#This Row],[Etapa Retiro - Atención]]="","",MARÍTIMOS[[#This Row],[Etapa Retiro - Atención]]),"")</f>
        <v>46222.451388888891</v>
      </c>
      <c r="W174" s="11">
        <f>IFERROR(IF(MARÍTIMOS[[#This Row],[Etapa Retiro - Salida]]="","",MARÍTIMOS[[#This Row],[Etapa Retiro - Salida]]),"")</f>
        <v>46222.515277777777</v>
      </c>
      <c r="X174" s="11">
        <f>IFERROR(IF(MARÍTIMOS[[#This Row],[Etapa Retiro - Inicio de Ruta]]="","",MARÍTIMOS[[#This Row],[Etapa Retiro - Inicio de Ruta]]),"")</f>
        <v>46220.75</v>
      </c>
      <c r="Y174" s="11">
        <f>IFERROR(IF(MARÍTIMOS[[#This Row],[Hora de Posicionamiento]]="","",MARÍTIMOS[[#This Row],[Hora de Carga]]+MARÍTIMOS[[#This Row],[Hora de Posicionamiento]]),"")</f>
        <v>0.75</v>
      </c>
      <c r="Z174" s="11">
        <f>IFERROR(IF(MARÍTIMOS[[#This Row],[Etapa Despacho -  Llegada]]="","",MARÍTIMOS[[#This Row],[Etapa Despacho -  Llegada]]),"")</f>
        <v>46223.397916666669</v>
      </c>
      <c r="AA174" s="11">
        <f>IFERROR(IF(MARÍTIMOS[[#This Row],[Etapa Despacho -  Registro]]="","",MARÍTIMOS[[#This Row],[Etapa Despacho -  Registro]]),"")</f>
        <v>46223.399305555555</v>
      </c>
      <c r="AB174" s="11">
        <f>IFERROR(IF(MARÍTIMOS[[#This Row],[Inspección Externa]]="","",MARÍTIMOS[[#This Row],[Inspección Externa]]),"")</f>
        <v>46223.402777777781</v>
      </c>
      <c r="AC174" s="11">
        <f>IFERROR(IF(MARÍTIMOS[[#This Row],[Etapa Despacho -  Inicio de Carga]]="","",MARÍTIMOS[[#This Row],[Etapa Despacho -  Inicio de Carga]]),"")</f>
        <v>46223.597222222219</v>
      </c>
      <c r="AD174" s="11">
        <f>IFERROR(IF(MARÍTIMOS[[#This Row],[Etapa Despacho -  Fin de Carga]]="","",MARÍTIMOS[[#This Row],[Etapa Despacho -  Fin de Carga]]),"")</f>
        <v>46223.659722222219</v>
      </c>
      <c r="AE174" s="11">
        <f>IFERROR(IF(MARÍTIMOS[[#This Row],[Etapa Despacho -  Salida]]="","",MARÍTIMOS[[#This Row],[Etapa Despacho -  Salida]]),"")</f>
        <v>46223.695833333331</v>
      </c>
      <c r="AF174" s="2" t="str">
        <f>IFERROR(IF(MARÍTIMOS[[#This Row],[Puerto de Embarque]]="","",MARÍTIMOS[[#This Row],[Puerto de Embarque]]),"")</f>
        <v>Paita</v>
      </c>
      <c r="AG174" s="2" t="str">
        <f>IFERROR(IF(MARÍTIMOS[[#This Row],[Almacén de Ingreso]]="","",MARÍTIMOS[[#This Row],[Almacén de Ingreso]]),"")</f>
        <v>TPE</v>
      </c>
      <c r="AH174" s="11">
        <f>IFERROR(IF(MARÍTIMOS[[#This Row],[Etapa Ingreso - Cita]]="","",MARÍTIMOS[[#This Row],[Etapa Ingreso - Cita]]),"")</f>
        <v>46224.541666666664</v>
      </c>
      <c r="AI174" s="11">
        <f>IFERROR(IF(MARÍTIMOS[[#This Row],[Etapa Ingreso - Llegada]]="","",MARÍTIMOS[[#This Row],[Etapa Ingreso - Llegada]]),"")</f>
        <v>46224.554861111108</v>
      </c>
      <c r="AJ174" s="11">
        <f>IFERROR(IF(MARÍTIMOS[[#This Row],[Etapa Ingreso - Ingeso]]="","",MARÍTIMOS[[#This Row],[Etapa Ingreso - Ingeso]]),"")</f>
        <v>46224.565972222219</v>
      </c>
      <c r="AK174" s="11">
        <f>IFERROR(IF(MARÍTIMOS[[#This Row],[Etapa Ingreso - Atención]]="","",MARÍTIMOS[[#This Row],[Etapa Ingreso - Atención]]),"")</f>
        <v>46224.569444444445</v>
      </c>
      <c r="AL174" s="11">
        <f>IFERROR(IF(MARÍTIMOS[[#This Row],[Etapa Ingreso - Salida]]="","",MARÍTIMOS[[#This Row],[Etapa Ingreso - Salida]]),"")</f>
        <v>46224.582638888889</v>
      </c>
      <c r="AM174" s="2">
        <f>IFERROR(IF(MARÍTIMOS[[#This Row],[FCL]]="","",MARÍTIMOS[[#This Row],[FCL]]),"")</f>
        <v>1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4" s="5">
        <f>IFERROR(OLDBD[[#This Row],[Llegada a packing]]-OLDBD[[#This Row],[Inicio de Ruta]],"")</f>
        <v>2.6479166666686069</v>
      </c>
      <c r="AQ174" s="6">
        <f>IFERROR(OLDBD[[#This Row],[Inicio de Ruta]]-OLDBD[[#This Row],[Salida de almacén de retiro]],"")</f>
        <v>-1.765277777776646</v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4" s="9">
        <f>IFERROR(OLDBD[[#This Row],[Ingreso Packing]]-OLDBD[[#This Row],[Registro en Packing]],"")</f>
        <v>3.4722222262644209E-3</v>
      </c>
      <c r="AV174" s="9">
        <f>IFERROR(OLDBD[[#This Row],[Ingreso Packing]]-OLDBD[[#This Row],[Llegada a packing]],"")</f>
        <v>4.8611111124046147E-3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4" s="5">
        <f>IFERROR(OLDBD[[#This Row],[Llegada Almacén de Ingreso]]-OLDBD[[#This Row],[Salida Packing]],"")</f>
        <v>0.85902777777664596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5" t="s">
        <v>181</v>
      </c>
      <c r="BB174" s="53" t="str">
        <f>IFERROR(IF(MARÍTIMOS[[#This Row],[Estatus]]="","",MARÍTIMOS[[#This Row],[Estatus]]),"")</f>
        <v>Confirmado</v>
      </c>
      <c r="BC174" s="45"/>
      <c r="BD174" s="52">
        <f>IFERROR(OLDBD[[#This Row],[Salida de almacén de retiro]]-OLDBD[[#This Row],[Ingreso Almacén de retiro]],"")</f>
        <v>6.5972222218988463E-2</v>
      </c>
      <c r="BE174" s="52">
        <f>IFERROR(OLDBD[[#This Row],[Fin de Carga]]-OLDBD[[#This Row],[Inicio de Carga]],"")</f>
        <v>6.25E-2</v>
      </c>
    </row>
    <row r="175" spans="1:57" x14ac:dyDescent="0.35">
      <c r="A175" s="1"/>
      <c r="B175" s="1">
        <f>IFERROR(IF(MARÍTIMOS[[#This Row],[PP]]="","",MARÍTIMOS[[#This Row],[PP]]),"")</f>
        <v>29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RH-0199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NO</v>
      </c>
      <c r="H175" s="2" t="str">
        <f>IFERROR(IF(MARÍTIMOS[[#This Row],[Razón Social]]="","",MARÍTIMOS[[#This Row],[Razón Social]]),"")</f>
        <v xml:space="preserve">LOGISTICA INTERMODAL DEL PERU S.A.C.
</v>
      </c>
      <c r="I175" s="2">
        <f>IFERROR(IF(MARÍTIMOS[[#This Row],[RUC]]="","",MARÍTIMOS[[#This Row],[RUC]]),"")</f>
        <v>20513040718</v>
      </c>
      <c r="J175" s="2" t="str">
        <f>IFERROR(IF(MARÍTIMOS[[#This Row],[Placa Tracto]]="","",MARÍTIMOS[[#This Row],[Placa Tracto]]),"")</f>
        <v>AYN-818</v>
      </c>
      <c r="K175" s="2" t="str">
        <f>IFERROR(IF(MARÍTIMOS[[#This Row],[Placa Carreta]]="","",MARÍTIMOS[[#This Row],[Placa Carreta]]),"")</f>
        <v>AVY-986</v>
      </c>
      <c r="L175" s="46" t="str">
        <f>IFERROR(IF(MARÍTIMOS[[#This Row],[Conductor]]="","",MARÍTIMOS[[#This Row],[Conductor]]),"")</f>
        <v>CHERO MARRERO EDGAR ALFREDO</v>
      </c>
      <c r="M175" s="2" t="str">
        <f>IFERROR(IF(MARÍTIMOS[[#This Row],[Licencia]]="","",MARÍTIMOS[[#This Row],[Licencia]]),"")</f>
        <v>D19242591</v>
      </c>
      <c r="N175" s="2" t="str">
        <f>IFERROR(IF(MARÍTIMOS[[#This Row],[Número de Contacto]]="","",MARÍTIMOS[[#This Row],[Número de Contacto]]),"")</f>
        <v>973 000 655</v>
      </c>
      <c r="O175" s="10" t="str">
        <f>IFERROR(IF(MARÍTIMOS[[#This Row],[Booking|AWB|CRT]]="","",MARÍTIMOS[[#This Row],[Booking|AWB|CRT]]),"")</f>
        <v>PER9150722A</v>
      </c>
      <c r="P175" s="2" t="str">
        <f>IFERROR(IF(MARÍTIMOS[[#This Row],[Contenedor]]="","",MARÍTIMOS[[#This Row],[Contenedor]]),"")</f>
        <v>CAAU4166391</v>
      </c>
      <c r="Q175" s="2" t="str">
        <f>IFERROR(IF(MARÍTIMOS[[#This Row],[Puerto de Retiro]]="","",MARÍTIMOS[[#This Row],[Puerto de Retiro]]),"")</f>
        <v>PAITA</v>
      </c>
      <c r="R175" s="2" t="str">
        <f>IFERROR(IF(MARÍTIMOS[[#This Row],[Almacén de Retiro]]="","",MARÍTIMOS[[#This Row],[Almacén de Retiro]]),"")</f>
        <v>DPW</v>
      </c>
      <c r="S175" s="11">
        <f>IFERROR(IF(MARÍTIMOS[[#This Row],[Etapa Retiro - Cita]]="","",MARÍTIMOS[[#This Row],[Etapa Retiro - Cita]]),"")</f>
        <v>46222.458333333336</v>
      </c>
      <c r="T175" s="11">
        <f>IFERROR(IF(MARÍTIMOS[[#This Row],[Etapa Retiro - Llegada]]="","",MARÍTIMOS[[#This Row],[Etapa Retiro - Llegada]]),"")</f>
        <v>46222.45</v>
      </c>
      <c r="U175" s="11">
        <f>IFERROR(IF(MARÍTIMOS[[#This Row],[Etapa Retiro - Ingreso]]="","",MARÍTIMOS[[#This Row],[Etapa Retiro - Ingreso]]),"")</f>
        <v>46222.46597222222</v>
      </c>
      <c r="V175" s="11">
        <f>IFERROR(IF(MARÍTIMOS[[#This Row],[Etapa Retiro - Atención]]="","",MARÍTIMOS[[#This Row],[Etapa Retiro - Atención]]),"")</f>
        <v>46222.46875</v>
      </c>
      <c r="W175" s="11">
        <f>IFERROR(IF(MARÍTIMOS[[#This Row],[Etapa Retiro - Salida]]="","",MARÍTIMOS[[#This Row],[Etapa Retiro - Salida]]),"")</f>
        <v>46222.536805555559</v>
      </c>
      <c r="X175" s="11">
        <f>IFERROR(IF(MARÍTIMOS[[#This Row],[Etapa Retiro - Inicio de Ruta]]="","",MARÍTIMOS[[#This Row],[Etapa Retiro - Inicio de Ruta]]),"")</f>
        <v>46222.791666666664</v>
      </c>
      <c r="Y175" s="11">
        <f>IFERROR(IF(MARÍTIMOS[[#This Row],[Hora de Posicionamiento]]="","",MARÍTIMOS[[#This Row],[Hora de Carga]]+MARÍTIMOS[[#This Row],[Hora de Posicionamiento]]),"")</f>
        <v>0.75</v>
      </c>
      <c r="Z175" s="11">
        <f>IFERROR(IF(MARÍTIMOS[[#This Row],[Etapa Despacho -  Llegada]]="","",MARÍTIMOS[[#This Row],[Etapa Despacho -  Llegada]]),"")</f>
        <v>46223.395833333336</v>
      </c>
      <c r="AA175" s="11">
        <f>IFERROR(IF(MARÍTIMOS[[#This Row],[Etapa Despacho -  Registro]]="","",MARÍTIMOS[[#This Row],[Etapa Despacho -  Registro]]),"")</f>
        <v>46223.399305555555</v>
      </c>
      <c r="AB175" s="11">
        <f>IFERROR(IF(MARÍTIMOS[[#This Row],[Inspección Externa]]="","",MARÍTIMOS[[#This Row],[Inspección Externa]]),"")</f>
        <v>46223.402777777781</v>
      </c>
      <c r="AC175" s="11">
        <f>IFERROR(IF(MARÍTIMOS[[#This Row],[Etapa Despacho -  Inicio de Carga]]="","",MARÍTIMOS[[#This Row],[Etapa Despacho -  Inicio de Carga]]),"")</f>
        <v>46223.534722222219</v>
      </c>
      <c r="AD175" s="11">
        <f>IFERROR(IF(MARÍTIMOS[[#This Row],[Etapa Despacho -  Fin de Carga]]="","",MARÍTIMOS[[#This Row],[Etapa Despacho -  Fin de Carga]]),"")</f>
        <v>46223.576388888891</v>
      </c>
      <c r="AE175" s="11">
        <f>IFERROR(IF(MARÍTIMOS[[#This Row],[Etapa Despacho -  Salida]]="","",MARÍTIMOS[[#This Row],[Etapa Despacho -  Salida]]),"")</f>
        <v>46223.590277777781</v>
      </c>
      <c r="AF175" s="2" t="str">
        <f>IFERROR(IF(MARÍTIMOS[[#This Row],[Puerto de Embarque]]="","",MARÍTIMOS[[#This Row],[Puerto de Embarque]]),"")</f>
        <v>Paita</v>
      </c>
      <c r="AG175" s="2" t="str">
        <f>IFERROR(IF(MARÍTIMOS[[#This Row],[Almacén de Ingreso]]="","",MARÍTIMOS[[#This Row],[Almacén de Ingreso]]),"")</f>
        <v>TPE</v>
      </c>
      <c r="AH175" s="11">
        <f>IFERROR(IF(MARÍTIMOS[[#This Row],[Etapa Ingreso - Cita]]="","",MARÍTIMOS[[#This Row],[Etapa Ingreso - Cita]]),"")</f>
        <v>46224.416666666664</v>
      </c>
      <c r="AI175" s="11">
        <f>IFERROR(IF(MARÍTIMOS[[#This Row],[Etapa Ingreso - Llegada]]="","",MARÍTIMOS[[#This Row],[Etapa Ingreso - Llegada]]),"")</f>
        <v>46224.415277777778</v>
      </c>
      <c r="AJ175" s="11">
        <f>IFERROR(IF(MARÍTIMOS[[#This Row],[Etapa Ingreso - Ingeso]]="","",MARÍTIMOS[[#This Row],[Etapa Ingreso - Ingeso]]),"")</f>
        <v>46224.438888888886</v>
      </c>
      <c r="AK175" s="11">
        <f>IFERROR(IF(MARÍTIMOS[[#This Row],[Etapa Ingreso - Atención]]="","",MARÍTIMOS[[#This Row],[Etapa Ingreso - Atención]]),"")</f>
        <v>46224.444444444445</v>
      </c>
      <c r="AL175" s="11">
        <f>IFERROR(IF(MARÍTIMOS[[#This Row],[Etapa Ingreso - Salida]]="","",MARÍTIMOS[[#This Row],[Etapa Ingreso - Salida]]),"")</f>
        <v>46224.447222222225</v>
      </c>
      <c r="AM175" s="2">
        <f>IFERROR(IF(MARÍTIMOS[[#This Row],[FCL]]="","",MARÍTIMOS[[#This Row],[FCL]]),"")</f>
        <v>1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5" s="5">
        <f>IFERROR(OLDBD[[#This Row],[Llegada a packing]]-OLDBD[[#This Row],[Inicio de Ruta]],"")</f>
        <v>0.60416666667151731</v>
      </c>
      <c r="AQ175" s="6">
        <f>IFERROR(OLDBD[[#This Row],[Inicio de Ruta]]-OLDBD[[#This Row],[Salida de almacén de retiro]],"")</f>
        <v>0.25486111110512866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5" s="9">
        <f>IFERROR(OLDBD[[#This Row],[Ingreso Packing]]-OLDBD[[#This Row],[Registro en Packing]],"")</f>
        <v>3.4722222262644209E-3</v>
      </c>
      <c r="AV175" s="9">
        <f>IFERROR(OLDBD[[#This Row],[Ingreso Packing]]-OLDBD[[#This Row],[Llegada a packing]],"")</f>
        <v>6.9444444452528842E-3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5" s="5">
        <f>IFERROR(OLDBD[[#This Row],[Llegada Almacén de Ingreso]]-OLDBD[[#This Row],[Salida Packing]],"")</f>
        <v>0.82499999999708962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5" t="s">
        <v>181</v>
      </c>
      <c r="BB175" s="53" t="str">
        <f>IFERROR(IF(MARÍTIMOS[[#This Row],[Estatus]]="","",MARÍTIMOS[[#This Row],[Estatus]]),"")</f>
        <v>Confirmado</v>
      </c>
      <c r="BC175" s="45"/>
      <c r="BD175" s="52">
        <f>IFERROR(OLDBD[[#This Row],[Salida de almacén de retiro]]-OLDBD[[#This Row],[Ingreso Almacén de retiro]],"")</f>
        <v>7.0833333338669036E-2</v>
      </c>
      <c r="BE175" s="52">
        <f>IFERROR(OLDBD[[#This Row],[Fin de Carga]]-OLDBD[[#This Row],[Inicio de Carga]],"")</f>
        <v>4.1666666671517305E-2</v>
      </c>
    </row>
    <row r="176" spans="1:57" x14ac:dyDescent="0.35">
      <c r="A176" s="1"/>
      <c r="B176" s="1">
        <f>IFERROR(IF(MARÍTIMOS[[#This Row],[PP]]="","",MARÍTIMOS[[#This Row],[PP]]),"")</f>
        <v>29</v>
      </c>
      <c r="C176" s="1" t="str">
        <f>IFERROR(IF(MARÍTIMOS[[#This Row],[Sede]]="","",MARÍTIMOS[[#This Row],[Sede]]),"")</f>
        <v>Chao</v>
      </c>
      <c r="D176" s="1" t="str">
        <f>IFERROR(IF(MARÍTIMOS[[#This Row],[Instruction]]="","",MARÍTIMOS[[#This Row],[Instruction]]),"")</f>
        <v>RH-0203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 xml:space="preserve">LOGISTICA INTERMODAL DEL PERU S.A.C.
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BBG-825</v>
      </c>
      <c r="K176" s="2" t="str">
        <f>IFERROR(IF(MARÍTIMOS[[#This Row],[Placa Carreta]]="","",MARÍTIMOS[[#This Row],[Placa Carreta]]),"")</f>
        <v>ANA-974</v>
      </c>
      <c r="L176" s="46" t="str">
        <f>IFERROR(IF(MARÍTIMOS[[#This Row],[Conductor]]="","",MARÍTIMOS[[#This Row],[Conductor]]),"")</f>
        <v>TAVARA SOLIS PAUL MARLON</v>
      </c>
      <c r="M176" s="2" t="str">
        <f>IFERROR(IF(MARÍTIMOS[[#This Row],[Licencia]]="","",MARÍTIMOS[[#This Row],[Licencia]]),"")</f>
        <v>C17625579</v>
      </c>
      <c r="N176" s="2" t="str">
        <f>IFERROR(IF(MARÍTIMOS[[#This Row],[Número de Contacto]]="","",MARÍTIMOS[[#This Row],[Número de Contacto]]),"")</f>
        <v>976 069 655</v>
      </c>
      <c r="O176" s="10" t="str">
        <f>IFERROR(IF(MARÍTIMOS[[#This Row],[Booking|AWB|CRT]]="","",MARÍTIMOS[[#This Row],[Booking|AWB|CRT]]),"")</f>
        <v>PER9150726A</v>
      </c>
      <c r="P176" s="2" t="str">
        <f>IFERROR(IF(MARÍTIMOS[[#This Row],[Contenedor]]="","",MARÍTIMOS[[#This Row],[Contenedor]]),"")</f>
        <v>CAAU4087800</v>
      </c>
      <c r="Q176" s="2" t="str">
        <f>IFERROR(IF(MARÍTIMOS[[#This Row],[Puerto de Retiro]]="","",MARÍTIMOS[[#This Row],[Puerto de Retiro]]),"")</f>
        <v>PAITA</v>
      </c>
      <c r="R176" s="2" t="str">
        <f>IFERROR(IF(MARÍTIMOS[[#This Row],[Almacén de Retiro]]="","",MARÍTIMOS[[#This Row],[Almacén de Retiro]]),"")</f>
        <v>DPW</v>
      </c>
      <c r="S176" s="11">
        <f>IFERROR(IF(MARÍTIMOS[[#This Row],[Etapa Retiro - Cita]]="","",MARÍTIMOS[[#This Row],[Etapa Retiro - Cita]]),"")</f>
        <v>46223.5</v>
      </c>
      <c r="T176" s="11">
        <f>IFERROR(IF(MARÍTIMOS[[#This Row],[Etapa Retiro - Llegada]]="","",MARÍTIMOS[[#This Row],[Etapa Retiro - Llegada]]),"")</f>
        <v>46223.46875</v>
      </c>
      <c r="U176" s="11">
        <f>IFERROR(IF(MARÍTIMOS[[#This Row],[Etapa Retiro - Ingreso]]="","",MARÍTIMOS[[#This Row],[Etapa Retiro - Ingreso]]),"")</f>
        <v>46223.511111111111</v>
      </c>
      <c r="V176" s="11">
        <f>IFERROR(IF(MARÍTIMOS[[#This Row],[Etapa Retiro - Atención]]="","",MARÍTIMOS[[#This Row],[Etapa Retiro - Atención]]),"")</f>
        <v>46223.513888888891</v>
      </c>
      <c r="W176" s="11">
        <f>IFERROR(IF(MARÍTIMOS[[#This Row],[Etapa Retiro - Salida]]="","",MARÍTIMOS[[#This Row],[Etapa Retiro - Salida]]),"")</f>
        <v>46223.547222222223</v>
      </c>
      <c r="X176" s="11">
        <f>IFERROR(IF(MARÍTIMOS[[#This Row],[Etapa Retiro - Inicio de Ruta]]="","",MARÍTIMOS[[#This Row],[Etapa Retiro - Inicio de Ruta]]),"")</f>
        <v>46223.708333333336</v>
      </c>
      <c r="Y176" s="11">
        <f>IFERROR(IF(MARÍTIMOS[[#This Row],[Hora de Posicionamiento]]="","",MARÍTIMOS[[#This Row],[Hora de Carga]]+MARÍTIMOS[[#This Row],[Hora de Posicionamiento]]),"")</f>
        <v>0.75</v>
      </c>
      <c r="Z176" s="11">
        <f>IFERROR(IF(MARÍTIMOS[[#This Row],[Etapa Despacho -  Llegada]]="","",MARÍTIMOS[[#This Row],[Etapa Despacho -  Llegada]]),"")</f>
        <v>46224.394444444442</v>
      </c>
      <c r="AA176" s="11">
        <f>IFERROR(IF(MARÍTIMOS[[#This Row],[Etapa Despacho -  Registro]]="","",MARÍTIMOS[[#This Row],[Etapa Despacho -  Registro]]),"")</f>
        <v>46224.399305555555</v>
      </c>
      <c r="AB176" s="11">
        <f>IFERROR(IF(MARÍTIMOS[[#This Row],[Inspección Externa]]="","",MARÍTIMOS[[#This Row],[Inspección Externa]]),"")</f>
        <v>46224.402777777781</v>
      </c>
      <c r="AC176" s="11">
        <f>IFERROR(IF(MARÍTIMOS[[#This Row],[Etapa Despacho -  Inicio de Carga]]="","",MARÍTIMOS[[#This Row],[Etapa Despacho -  Inicio de Carga]]),"")</f>
        <v>46224.604166666664</v>
      </c>
      <c r="AD176" s="11">
        <f>IFERROR(IF(MARÍTIMOS[[#This Row],[Etapa Despacho -  Fin de Carga]]="","",MARÍTIMOS[[#This Row],[Etapa Despacho -  Fin de Carga]]),"")</f>
        <v>46224.645833333336</v>
      </c>
      <c r="AE176" s="11">
        <f>IFERROR(IF(MARÍTIMOS[[#This Row],[Etapa Despacho -  Salida]]="","",MARÍTIMOS[[#This Row],[Etapa Despacho -  Salida]]),"")</f>
        <v>46224.692361111112</v>
      </c>
      <c r="AF176" s="2" t="str">
        <f>IFERROR(IF(MARÍTIMOS[[#This Row],[Puerto de Embarque]]="","",MARÍTIMOS[[#This Row],[Puerto de Embarque]]),"")</f>
        <v>Paita</v>
      </c>
      <c r="AG176" s="2" t="str">
        <f>IFERROR(IF(MARÍTIMOS[[#This Row],[Almacén de Ingreso]]="","",MARÍTIMOS[[#This Row],[Almacén de Ingreso]]),"")</f>
        <v>TPE</v>
      </c>
      <c r="AH176" s="11">
        <f>IFERROR(IF(MARÍTIMOS[[#This Row],[Etapa Ingreso - Cita]]="","",MARÍTIMOS[[#This Row],[Etapa Ingreso - Cita]]),"")</f>
        <v>46225.5</v>
      </c>
      <c r="AI176" s="11">
        <f>IFERROR(IF(MARÍTIMOS[[#This Row],[Etapa Ingreso - Llegada]]="","",MARÍTIMOS[[#This Row],[Etapa Ingreso - Llegada]]),"")</f>
        <v>46225.492361111108</v>
      </c>
      <c r="AJ176" s="11">
        <f>IFERROR(IF(MARÍTIMOS[[#This Row],[Etapa Ingreso - Ingeso]]="","",MARÍTIMOS[[#This Row],[Etapa Ingreso - Ingeso]]),"")</f>
        <v>46225.5</v>
      </c>
      <c r="AK176" s="11">
        <f>IFERROR(IF(MARÍTIMOS[[#This Row],[Etapa Ingreso - Atención]]="","",MARÍTIMOS[[#This Row],[Etapa Ingreso - Atención]]),"")</f>
        <v>46225.503472222219</v>
      </c>
      <c r="AL176" s="11">
        <f>IFERROR(IF(MARÍTIMOS[[#This Row],[Etapa Ingreso - Salida]]="","",MARÍTIMOS[[#This Row],[Etapa Ingreso - Salida]]),"")</f>
        <v>46225.51458333333</v>
      </c>
      <c r="AM176" s="2">
        <f>IFERROR(IF(MARÍTIMOS[[#This Row],[FCL]]="","",MARÍTIMOS[[#This Row],[FCL]]),"")</f>
        <v>1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6" s="5">
        <f>IFERROR(OLDBD[[#This Row],[Llegada a packing]]-OLDBD[[#This Row],[Inicio de Ruta]],"")</f>
        <v>0.68611111110658385</v>
      </c>
      <c r="AQ176" s="6">
        <f>IFERROR(OLDBD[[#This Row],[Inicio de Ruta]]-OLDBD[[#This Row],[Salida de almacén de retiro]],"")</f>
        <v>0.16111111111240461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6" s="9">
        <f>IFERROR(OLDBD[[#This Row],[Ingreso Packing]]-OLDBD[[#This Row],[Registro en Packing]],"")</f>
        <v>3.4722222262644209E-3</v>
      </c>
      <c r="AV176" s="9">
        <f>IFERROR(OLDBD[[#This Row],[Ingreso Packing]]-OLDBD[[#This Row],[Llegada a packing]],"")</f>
        <v>8.3333333386690356E-3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6" s="5">
        <f>IFERROR(OLDBD[[#This Row],[Llegada Almacén de Ingreso]]-OLDBD[[#This Row],[Salida Packing]],"")</f>
        <v>0.79999999999563443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5" t="s">
        <v>181</v>
      </c>
      <c r="BB176" s="53" t="str">
        <f>IFERROR(IF(MARÍTIMOS[[#This Row],[Estatus]]="","",MARÍTIMOS[[#This Row],[Estatus]]),"")</f>
        <v>Confirmado</v>
      </c>
      <c r="BC176" s="45"/>
      <c r="BD176" s="52">
        <f>IFERROR(OLDBD[[#This Row],[Salida de almacén de retiro]]-OLDBD[[#This Row],[Ingreso Almacén de retiro]],"")</f>
        <v>3.6111111112404615E-2</v>
      </c>
      <c r="BE176" s="52">
        <f>IFERROR(OLDBD[[#This Row],[Fin de Carga]]-OLDBD[[#This Row],[Inicio de Carga]],"")</f>
        <v>4.1666666671517305E-2</v>
      </c>
    </row>
    <row r="177" spans="1:57" x14ac:dyDescent="0.35">
      <c r="A177" s="1"/>
      <c r="B177" s="1">
        <f>IFERROR(IF(MARÍTIMOS[[#This Row],[PP]]="","",MARÍTIMOS[[#This Row],[PP]]),"")</f>
        <v>29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RH-0204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NO</v>
      </c>
      <c r="H177" s="2" t="str">
        <f>IFERROR(IF(MARÍTIMOS[[#This Row],[Razón Social]]="","",MARÍTIMOS[[#This Row],[Razón Social]]),"")</f>
        <v xml:space="preserve">LOGISTICA INTERMODAL DEL PERU S.A.C.
</v>
      </c>
      <c r="I177" s="2">
        <f>IFERROR(IF(MARÍTIMOS[[#This Row],[RUC]]="","",MARÍTIMOS[[#This Row],[RUC]]),"")</f>
        <v>20513040718</v>
      </c>
      <c r="J177" s="2" t="str">
        <f>IFERROR(IF(MARÍTIMOS[[#This Row],[Placa Tracto]]="","",MARÍTIMOS[[#This Row],[Placa Tracto]]),"")</f>
        <v>APU-757</v>
      </c>
      <c r="K177" s="2" t="str">
        <f>IFERROR(IF(MARÍTIMOS[[#This Row],[Placa Carreta]]="","",MARÍTIMOS[[#This Row],[Placa Carreta]]),"")</f>
        <v>ARQ-991</v>
      </c>
      <c r="L177" s="46" t="str">
        <f>IFERROR(IF(MARÍTIMOS[[#This Row],[Conductor]]="","",MARÍTIMOS[[#This Row],[Conductor]]),"")</f>
        <v>SANDOVAL RAMOS LUIS</v>
      </c>
      <c r="M177" s="2" t="str">
        <f>IFERROR(IF(MARÍTIMOS[[#This Row],[Licencia]]="","",MARÍTIMOS[[#This Row],[Licencia]]),"")</f>
        <v>Q40848242</v>
      </c>
      <c r="N177" s="2" t="str">
        <f>IFERROR(IF(MARÍTIMOS[[#This Row],[Número de Contacto]]="","",MARÍTIMOS[[#This Row],[Número de Contacto]]),"")</f>
        <v>973 059 655</v>
      </c>
      <c r="O177" s="10" t="str">
        <f>IFERROR(IF(MARÍTIMOS[[#This Row],[Booking|AWB|CRT]]="","",MARÍTIMOS[[#This Row],[Booking|AWB|CRT]]),"")</f>
        <v>PER9150727A</v>
      </c>
      <c r="P177" s="2" t="str">
        <f>IFERROR(IF(MARÍTIMOS[[#This Row],[Contenedor]]="","",MARÍTIMOS[[#This Row],[Contenedor]]),"")</f>
        <v>CAAU4168162</v>
      </c>
      <c r="Q177" s="2" t="str">
        <f>IFERROR(IF(MARÍTIMOS[[#This Row],[Puerto de Retiro]]="","",MARÍTIMOS[[#This Row],[Puerto de Retiro]]),"")</f>
        <v>PAITA</v>
      </c>
      <c r="R177" s="2" t="str">
        <f>IFERROR(IF(MARÍTIMOS[[#This Row],[Almacén de Retiro]]="","",MARÍTIMOS[[#This Row],[Almacén de Retiro]]),"")</f>
        <v>DPW</v>
      </c>
      <c r="S177" s="11">
        <f>IFERROR(IF(MARÍTIMOS[[#This Row],[Etapa Retiro - Cita]]="","",MARÍTIMOS[[#This Row],[Etapa Retiro - Cita]]),"")</f>
        <v>46223.5</v>
      </c>
      <c r="T177" s="11">
        <f>IFERROR(IF(MARÍTIMOS[[#This Row],[Etapa Retiro - Llegada]]="","",MARÍTIMOS[[#This Row],[Etapa Retiro - Llegada]]),"")</f>
        <v>46223.466666666667</v>
      </c>
      <c r="U177" s="11">
        <f>IFERROR(IF(MARÍTIMOS[[#This Row],[Etapa Retiro - Ingreso]]="","",MARÍTIMOS[[#This Row],[Etapa Retiro - Ingreso]]),"")</f>
        <v>46223.508333333331</v>
      </c>
      <c r="V177" s="11">
        <f>IFERROR(IF(MARÍTIMOS[[#This Row],[Etapa Retiro - Atención]]="","",MARÍTIMOS[[#This Row],[Etapa Retiro - Atención]]),"")</f>
        <v>46223.510416666664</v>
      </c>
      <c r="W177" s="11">
        <f>IFERROR(IF(MARÍTIMOS[[#This Row],[Etapa Retiro - Salida]]="","",MARÍTIMOS[[#This Row],[Etapa Retiro - Salida]]),"")</f>
        <v>46223.563194444447</v>
      </c>
      <c r="X177" s="11">
        <f>IFERROR(IF(MARÍTIMOS[[#This Row],[Etapa Retiro - Inicio de Ruta]]="","",MARÍTIMOS[[#This Row],[Etapa Retiro - Inicio de Ruta]]),"")</f>
        <v>46223.708333333336</v>
      </c>
      <c r="Y177" s="11">
        <f>IFERROR(IF(MARÍTIMOS[[#This Row],[Hora de Posicionamiento]]="","",MARÍTIMOS[[#This Row],[Hora de Carga]]+MARÍTIMOS[[#This Row],[Hora de Posicionamiento]]),"")</f>
        <v>0.75</v>
      </c>
      <c r="Z177" s="11">
        <f>IFERROR(IF(MARÍTIMOS[[#This Row],[Etapa Despacho -  Llegada]]="","",MARÍTIMOS[[#This Row],[Etapa Despacho -  Llegada]]),"")</f>
        <v>46224.395833333336</v>
      </c>
      <c r="AA177" s="11">
        <f>IFERROR(IF(MARÍTIMOS[[#This Row],[Etapa Despacho -  Registro]]="","",MARÍTIMOS[[#This Row],[Etapa Despacho -  Registro]]),"")</f>
        <v>46224.399305555555</v>
      </c>
      <c r="AB177" s="11">
        <f>IFERROR(IF(MARÍTIMOS[[#This Row],[Inspección Externa]]="","",MARÍTIMOS[[#This Row],[Inspección Externa]]),"")</f>
        <v>46224.402777777781</v>
      </c>
      <c r="AC177" s="11">
        <f>IFERROR(IF(MARÍTIMOS[[#This Row],[Etapa Despacho -  Inicio de Carga]]="","",MARÍTIMOS[[#This Row],[Etapa Despacho -  Inicio de Carga]]),"")</f>
        <v>46224.402777777781</v>
      </c>
      <c r="AD177" s="11">
        <f>IFERROR(IF(MARÍTIMOS[[#This Row],[Etapa Despacho -  Fin de Carga]]="","",MARÍTIMOS[[#This Row],[Etapa Despacho -  Fin de Carga]]),"")</f>
        <v>46224.597222222219</v>
      </c>
      <c r="AE177" s="11">
        <f>IFERROR(IF(MARÍTIMOS[[#This Row],[Etapa Despacho -  Salida]]="","",MARÍTIMOS[[#This Row],[Etapa Despacho -  Salida]]),"")</f>
        <v>46224.697916666664</v>
      </c>
      <c r="AF177" s="2" t="str">
        <f>IFERROR(IF(MARÍTIMOS[[#This Row],[Puerto de Embarque]]="","",MARÍTIMOS[[#This Row],[Puerto de Embarque]]),"")</f>
        <v>Paita</v>
      </c>
      <c r="AG177" s="2" t="str">
        <f>IFERROR(IF(MARÍTIMOS[[#This Row],[Almacén de Ingreso]]="","",MARÍTIMOS[[#This Row],[Almacén de Ingreso]]),"")</f>
        <v>TPE</v>
      </c>
      <c r="AH177" s="11">
        <f>IFERROR(IF(MARÍTIMOS[[#This Row],[Etapa Ingreso - Cita]]="","",MARÍTIMOS[[#This Row],[Etapa Ingreso - Cita]]),"")</f>
        <v>46225.458333333336</v>
      </c>
      <c r="AI177" s="11">
        <f>IFERROR(IF(MARÍTIMOS[[#This Row],[Etapa Ingreso - Llegada]]="","",MARÍTIMOS[[#This Row],[Etapa Ingreso - Llegada]]),"")</f>
        <v>46225.456944444442</v>
      </c>
      <c r="AJ177" s="11">
        <f>IFERROR(IF(MARÍTIMOS[[#This Row],[Etapa Ingreso - Ingeso]]="","",MARÍTIMOS[[#This Row],[Etapa Ingreso - Ingeso]]),"")</f>
        <v>46225.456944444442</v>
      </c>
      <c r="AK177" s="11">
        <f>IFERROR(IF(MARÍTIMOS[[#This Row],[Etapa Ingreso - Atención]]="","",MARÍTIMOS[[#This Row],[Etapa Ingreso - Atención]]),"")</f>
        <v>46225.461111111108</v>
      </c>
      <c r="AL177" s="11">
        <f>IFERROR(IF(MARÍTIMOS[[#This Row],[Etapa Ingreso - Salida]]="","",MARÍTIMOS[[#This Row],[Etapa Ingreso - Salida]]),"")</f>
        <v>46225.46875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7" s="5">
        <f>IFERROR(OLDBD[[#This Row],[Llegada a packing]]-OLDBD[[#This Row],[Inicio de Ruta]],"")</f>
        <v>0.6875</v>
      </c>
      <c r="AQ177" s="6">
        <f>IFERROR(OLDBD[[#This Row],[Inicio de Ruta]]-OLDBD[[#This Row],[Salida de almacén de retiro]],"")</f>
        <v>0.14513888888905058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7" s="9">
        <f>IFERROR(OLDBD[[#This Row],[Ingreso Packing]]-OLDBD[[#This Row],[Registro en Packing]],"")</f>
        <v>3.4722222262644209E-3</v>
      </c>
      <c r="AV177" s="9">
        <f>IFERROR(OLDBD[[#This Row],[Ingreso Packing]]-OLDBD[[#This Row],[Llegada a packing]],"")</f>
        <v>6.9444444452528842E-3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7" s="5">
        <f>IFERROR(OLDBD[[#This Row],[Llegada Almacén de Ingreso]]-OLDBD[[#This Row],[Salida Packing]],"")</f>
        <v>0.75902777777810115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5" t="s">
        <v>181</v>
      </c>
      <c r="BB177" s="53" t="str">
        <f>IFERROR(IF(MARÍTIMOS[[#This Row],[Estatus]]="","",MARÍTIMOS[[#This Row],[Estatus]]),"")</f>
        <v>Confirmado</v>
      </c>
      <c r="BC177" s="45"/>
      <c r="BD177" s="52">
        <f>IFERROR(OLDBD[[#This Row],[Salida de almacén de retiro]]-OLDBD[[#This Row],[Ingreso Almacén de retiro]],"")</f>
        <v>5.4861111115314998E-2</v>
      </c>
      <c r="BE177" s="52">
        <f>IFERROR(OLDBD[[#This Row],[Fin de Carga]]-OLDBD[[#This Row],[Inicio de Carga]],"")</f>
        <v>0.19444444443797693</v>
      </c>
    </row>
    <row r="178" spans="1:57" x14ac:dyDescent="0.35">
      <c r="A178" s="1"/>
      <c r="B178" s="1">
        <f>IFERROR(IF(MARÍTIMOS[[#This Row],[PP]]="","",MARÍTIMOS[[#This Row],[PP]]),"")</f>
        <v>29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RH-0205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SI</v>
      </c>
      <c r="H178" s="2" t="str">
        <f>IFERROR(IF(MARÍTIMOS[[#This Row],[Razón Social]]="","",MARÍTIMOS[[#This Row],[Razón Social]]),"")</f>
        <v>TRANSCAR MATHEO SOCIEDAD ANONIMA CERRADA</v>
      </c>
      <c r="I178" s="2">
        <f>IFERROR(IF(MARÍTIMOS[[#This Row],[RUC]]="","",MARÍTIMOS[[#This Row],[RUC]]),"")</f>
        <v>20612886921</v>
      </c>
      <c r="J178" s="2" t="str">
        <f>IFERROR(IF(MARÍTIMOS[[#This Row],[Placa Tracto]]="","",MARÍTIMOS[[#This Row],[Placa Tracto]]),"")</f>
        <v>TAD-861</v>
      </c>
      <c r="K178" s="2" t="str">
        <f>IFERROR(IF(MARÍTIMOS[[#This Row],[Placa Carreta]]="","",MARÍTIMOS[[#This Row],[Placa Carreta]]),"")</f>
        <v>T0R-991</v>
      </c>
      <c r="L178" s="46" t="str">
        <f>IFERROR(IF(MARÍTIMOS[[#This Row],[Conductor]]="","",MARÍTIMOS[[#This Row],[Conductor]]),"")</f>
        <v>GIRON CORONADO LUIS HUMBERTO</v>
      </c>
      <c r="M178" s="2" t="str">
        <f>IFERROR(IF(MARÍTIMOS[[#This Row],[Licencia]]="","",MARÍTIMOS[[#This Row],[Licencia]]),"")</f>
        <v>B02838223</v>
      </c>
      <c r="N178" s="2" t="str">
        <f>IFERROR(IF(MARÍTIMOS[[#This Row],[Número de Contacto]]="","",MARÍTIMOS[[#This Row],[Número de Contacto]]),"")</f>
        <v>956 005 437</v>
      </c>
      <c r="O178" s="10" t="str">
        <f>IFERROR(IF(MARÍTIMOS[[#This Row],[Booking|AWB|CRT]]="","",MARÍTIMOS[[#This Row],[Booking|AWB|CRT]]),"")</f>
        <v>PER9150728A</v>
      </c>
      <c r="P178" s="2" t="str">
        <f>IFERROR(IF(MARÍTIMOS[[#This Row],[Contenedor]]="","",MARÍTIMOS[[#This Row],[Contenedor]]),"")</f>
        <v>CAAU4168244</v>
      </c>
      <c r="Q178" s="2" t="str">
        <f>IFERROR(IF(MARÍTIMOS[[#This Row],[Puerto de Retiro]]="","",MARÍTIMOS[[#This Row],[Puerto de Retiro]]),"")</f>
        <v>PAITA</v>
      </c>
      <c r="R178" s="2" t="str">
        <f>IFERROR(IF(MARÍTIMOS[[#This Row],[Almacén de Retiro]]="","",MARÍTIMOS[[#This Row],[Almacén de Retiro]]),"")</f>
        <v>DPW</v>
      </c>
      <c r="S178" s="11">
        <f>IFERROR(IF(MARÍTIMOS[[#This Row],[Etapa Retiro - Cita]]="","",MARÍTIMOS[[#This Row],[Etapa Retiro - Cita]]),"")</f>
        <v>46223.458333333336</v>
      </c>
      <c r="T178" s="11">
        <f>IFERROR(IF(MARÍTIMOS[[#This Row],[Etapa Retiro - Llegada]]="","",MARÍTIMOS[[#This Row],[Etapa Retiro - Llegada]]),"")</f>
        <v>46223.475694444445</v>
      </c>
      <c r="U178" s="11">
        <f>IFERROR(IF(MARÍTIMOS[[#This Row],[Etapa Retiro - Ingreso]]="","",MARÍTIMOS[[#This Row],[Etapa Retiro - Ingreso]]),"")</f>
        <v>46223.482638888891</v>
      </c>
      <c r="V178" s="11">
        <f>IFERROR(IF(MARÍTIMOS[[#This Row],[Etapa Retiro - Atención]]="","",MARÍTIMOS[[#This Row],[Etapa Retiro - Atención]]),"")</f>
        <v>46223.486111111109</v>
      </c>
      <c r="W178" s="11">
        <f>IFERROR(IF(MARÍTIMOS[[#This Row],[Etapa Retiro - Salida]]="","",MARÍTIMOS[[#This Row],[Etapa Retiro - Salida]]),"")</f>
        <v>46223.521527777775</v>
      </c>
      <c r="X178" s="11">
        <f>IFERROR(IF(MARÍTIMOS[[#This Row],[Etapa Retiro - Inicio de Ruta]]="","",MARÍTIMOS[[#This Row],[Etapa Retiro - Inicio de Ruta]]),"")</f>
        <v>46223.701388888891</v>
      </c>
      <c r="Y178" s="11">
        <f>IFERROR(IF(MARÍTIMOS[[#This Row],[Hora de Posicionamiento]]="","",MARÍTIMOS[[#This Row],[Hora de Carga]]+MARÍTIMOS[[#This Row],[Hora de Posicionamiento]]),"")</f>
        <v>0.75</v>
      </c>
      <c r="Z178" s="11">
        <f>IFERROR(IF(MARÍTIMOS[[#This Row],[Etapa Despacho -  Llegada]]="","",MARÍTIMOS[[#This Row],[Etapa Despacho -  Llegada]]),"")</f>
        <v>46224.265972222223</v>
      </c>
      <c r="AA178" s="11">
        <f>IFERROR(IF(MARÍTIMOS[[#This Row],[Etapa Despacho -  Registro]]="","",MARÍTIMOS[[#This Row],[Etapa Despacho -  Registro]]),"")</f>
        <v>46224.267361111109</v>
      </c>
      <c r="AB178" s="11">
        <f>IFERROR(IF(MARÍTIMOS[[#This Row],[Inspección Externa]]="","",MARÍTIMOS[[#This Row],[Inspección Externa]]),"")</f>
        <v>46224.270833333336</v>
      </c>
      <c r="AC178" s="11">
        <f>IFERROR(IF(MARÍTIMOS[[#This Row],[Etapa Despacho -  Inicio de Carga]]="","",MARÍTIMOS[[#This Row],[Etapa Despacho -  Inicio de Carga]]),"")</f>
        <v>46224.597222222219</v>
      </c>
      <c r="AD178" s="11">
        <f>IFERROR(IF(MARÍTIMOS[[#This Row],[Etapa Despacho -  Fin de Carga]]="","",MARÍTIMOS[[#This Row],[Etapa Despacho -  Fin de Carga]]),"")</f>
        <v>46224.673611111109</v>
      </c>
      <c r="AE178" s="11">
        <f>IFERROR(IF(MARÍTIMOS[[#This Row],[Etapa Despacho -  Salida]]="","",MARÍTIMOS[[#This Row],[Etapa Despacho -  Salida]]),"")</f>
        <v>46224.697916666664</v>
      </c>
      <c r="AF178" s="2" t="str">
        <f>IFERROR(IF(MARÍTIMOS[[#This Row],[Puerto de Embarque]]="","",MARÍTIMOS[[#This Row],[Puerto de Embarque]]),"")</f>
        <v>Paita</v>
      </c>
      <c r="AG178" s="2" t="str">
        <f>IFERROR(IF(MARÍTIMOS[[#This Row],[Almacén de Ingreso]]="","",MARÍTIMOS[[#This Row],[Almacén de Ingreso]]),"")</f>
        <v>TPE</v>
      </c>
      <c r="AH178" s="11">
        <f>IFERROR(IF(MARÍTIMOS[[#This Row],[Etapa Ingreso - Cita]]="","",MARÍTIMOS[[#This Row],[Etapa Ingreso - Cita]]),"")</f>
        <v>46225.375</v>
      </c>
      <c r="AI178" s="11">
        <f>IFERROR(IF(MARÍTIMOS[[#This Row],[Etapa Ingreso - Llegada]]="","",MARÍTIMOS[[#This Row],[Etapa Ingreso - Llegada]]),"")</f>
        <v>46225.384722222225</v>
      </c>
      <c r="AJ178" s="11">
        <f>IFERROR(IF(MARÍTIMOS[[#This Row],[Etapa Ingreso - Ingeso]]="","",MARÍTIMOS[[#This Row],[Etapa Ingreso - Ingeso]]),"")</f>
        <v>46225.397222222222</v>
      </c>
      <c r="AK178" s="11">
        <f>IFERROR(IF(MARÍTIMOS[[#This Row],[Etapa Ingreso - Atención]]="","",MARÍTIMOS[[#This Row],[Etapa Ingreso - Atención]]),"")</f>
        <v>46225.399305555555</v>
      </c>
      <c r="AL178" s="11">
        <f>IFERROR(IF(MARÍTIMOS[[#This Row],[Etapa Ingreso - Salida]]="","",MARÍTIMOS[[#This Row],[Etapa Ingreso - Salida]]),"")</f>
        <v>46225.411111111112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8" s="5">
        <f>IFERROR(OLDBD[[#This Row],[Llegada a packing]]-OLDBD[[#This Row],[Inicio de Ruta]],"")</f>
        <v>0.56458333333284827</v>
      </c>
      <c r="AQ178" s="6">
        <f>IFERROR(OLDBD[[#This Row],[Inicio de Ruta]]-OLDBD[[#This Row],[Salida de almacén de retiro]],"")</f>
        <v>0.179861111115315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8" s="9">
        <f>IFERROR(OLDBD[[#This Row],[Ingreso Packing]]-OLDBD[[#This Row],[Registro en Packing]],"")</f>
        <v>3.4722222262644209E-3</v>
      </c>
      <c r="AV178" s="9">
        <f>IFERROR(OLDBD[[#This Row],[Ingreso Packing]]-OLDBD[[#This Row],[Llegada a packing]],"")</f>
        <v>4.8611111124046147E-3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8" s="5">
        <f>IFERROR(OLDBD[[#This Row],[Llegada Almacén de Ingreso]]-OLDBD[[#This Row],[Salida Packing]],"")</f>
        <v>0.68680555556056788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5" t="s">
        <v>181</v>
      </c>
      <c r="BB178" s="53" t="str">
        <f>IFERROR(IF(MARÍTIMOS[[#This Row],[Estatus]]="","",MARÍTIMOS[[#This Row],[Estatus]]),"")</f>
        <v>Confirmado</v>
      </c>
      <c r="BC178" s="45"/>
      <c r="BD178" s="52">
        <f>IFERROR(OLDBD[[#This Row],[Salida de almacén de retiro]]-OLDBD[[#This Row],[Ingreso Almacén de retiro]],"")</f>
        <v>3.8888888884685002E-2</v>
      </c>
      <c r="BE178" s="52">
        <f>IFERROR(OLDBD[[#This Row],[Fin de Carga]]-OLDBD[[#This Row],[Inicio de Carga]],"")</f>
        <v>7.6388888890505768E-2</v>
      </c>
    </row>
    <row r="179" spans="1:57" x14ac:dyDescent="0.35">
      <c r="A179" s="1"/>
      <c r="B179" s="1">
        <f>IFERROR(IF(MARÍTIMOS[[#This Row],[PP]]="","",MARÍTIMOS[[#This Row],[PP]]),"")</f>
        <v>29</v>
      </c>
      <c r="C179" s="1" t="str">
        <f>IFERROR(IF(MARÍTIMOS[[#This Row],[Sede]]="","",MARÍTIMOS[[#This Row],[Sede]]),"")</f>
        <v>Olmos</v>
      </c>
      <c r="D179" s="1" t="str">
        <f>IFERROR(IF(MARÍTIMOS[[#This Row],[Instruction]]="","",MARÍTIMOS[[#This Row],[Instruction]]),"")</f>
        <v>RH-0207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SI</v>
      </c>
      <c r="H179" s="2" t="str">
        <f>IFERROR(IF(MARÍTIMOS[[#This Row],[Razón Social]]="","",MARÍTIMOS[[#This Row],[Razón Social]]),"")</f>
        <v>OPERADOR LOGISTICO RIO TINTO SAC</v>
      </c>
      <c r="I179" s="2">
        <f>IFERROR(IF(MARÍTIMOS[[#This Row],[RUC]]="","",MARÍTIMOS[[#This Row],[RUC]]),"")</f>
        <v>20482013423</v>
      </c>
      <c r="J179" s="2" t="str">
        <f>IFERROR(IF(MARÍTIMOS[[#This Row],[Placa Tracto]]="","",MARÍTIMOS[[#This Row],[Placa Tracto]]),"")</f>
        <v>B0Z-923</v>
      </c>
      <c r="K179" s="2" t="str">
        <f>IFERROR(IF(MARÍTIMOS[[#This Row],[Placa Carreta]]="","",MARÍTIMOS[[#This Row],[Placa Carreta]]),"")</f>
        <v>TJY-988</v>
      </c>
      <c r="L179" s="46" t="str">
        <f>IFERROR(IF(MARÍTIMOS[[#This Row],[Conductor]]="","",MARÍTIMOS[[#This Row],[Conductor]]),"")</f>
        <v>ZAPATA CHORRES LUIS FERNANDO</v>
      </c>
      <c r="M179" s="2" t="str">
        <f>IFERROR(IF(MARÍTIMOS[[#This Row],[Licencia]]="","",MARÍTIMOS[[#This Row],[Licencia]]),"")</f>
        <v>A03872160</v>
      </c>
      <c r="N179" s="2" t="str">
        <f>IFERROR(IF(MARÍTIMOS[[#This Row],[Número de Contacto]]="","",MARÍTIMOS[[#This Row],[Número de Contacto]]),"")</f>
        <v>974 000 655</v>
      </c>
      <c r="O179" s="10" t="str">
        <f>IFERROR(IF(MARÍTIMOS[[#This Row],[Booking|AWB|CRT]]="","",MARÍTIMOS[[#This Row],[Booking|AWB|CRT]]),"")</f>
        <v>PER9150783A</v>
      </c>
      <c r="P179" s="2" t="str">
        <f>IFERROR(IF(MARÍTIMOS[[#This Row],[Contenedor]]="","",MARÍTIMOS[[#This Row],[Contenedor]]),"")</f>
        <v>CAAU4164022</v>
      </c>
      <c r="Q179" s="2" t="str">
        <f>IFERROR(IF(MARÍTIMOS[[#This Row],[Puerto de Retiro]]="","",MARÍTIMOS[[#This Row],[Puerto de Retiro]]),"")</f>
        <v>PAITA</v>
      </c>
      <c r="R179" s="2" t="str">
        <f>IFERROR(IF(MARÍTIMOS[[#This Row],[Almacén de Retiro]]="","",MARÍTIMOS[[#This Row],[Almacén de Retiro]]),"")</f>
        <v>DPW</v>
      </c>
      <c r="S179" s="11">
        <f>IFERROR(IF(MARÍTIMOS[[#This Row],[Etapa Retiro - Cita]]="","",MARÍTIMOS[[#This Row],[Etapa Retiro - Cita]]),"")</f>
        <v>46223.458333333336</v>
      </c>
      <c r="T179" s="11">
        <f>IFERROR(IF(MARÍTIMOS[[#This Row],[Etapa Retiro - Llegada]]="","",MARÍTIMOS[[#This Row],[Etapa Retiro - Llegada]]),"")</f>
        <v>46223.484722222223</v>
      </c>
      <c r="U179" s="11">
        <f>IFERROR(IF(MARÍTIMOS[[#This Row],[Etapa Retiro - Ingreso]]="","",MARÍTIMOS[[#This Row],[Etapa Retiro - Ingreso]]),"")</f>
        <v>46223.489583333336</v>
      </c>
      <c r="V179" s="11">
        <f>IFERROR(IF(MARÍTIMOS[[#This Row],[Etapa Retiro - Atención]]="","",MARÍTIMOS[[#This Row],[Etapa Retiro - Atención]]),"")</f>
        <v>46223.493055555555</v>
      </c>
      <c r="W179" s="11">
        <f>IFERROR(IF(MARÍTIMOS[[#This Row],[Etapa Retiro - Salida]]="","",MARÍTIMOS[[#This Row],[Etapa Retiro - Salida]]),"")</f>
        <v>46223.523611111108</v>
      </c>
      <c r="X179" s="11">
        <f>IFERROR(IF(MARÍTIMOS[[#This Row],[Etapa Retiro - Inicio de Ruta]]="","",MARÍTIMOS[[#This Row],[Etapa Retiro - Inicio de Ruta]]),"")</f>
        <v>46223.708333333336</v>
      </c>
      <c r="Y179" s="11">
        <f>IFERROR(IF(MARÍTIMOS[[#This Row],[Hora de Posicionamiento]]="","",MARÍTIMOS[[#This Row],[Hora de Carga]]+MARÍTIMOS[[#This Row],[Hora de Posicionamiento]]),"")</f>
        <v>0.75</v>
      </c>
      <c r="Z179" s="11">
        <f>IFERROR(IF(MARÍTIMOS[[#This Row],[Etapa Despacho -  Llegada]]="","",MARÍTIMOS[[#This Row],[Etapa Despacho -  Llegada]]),"")</f>
        <v>46224.296527777777</v>
      </c>
      <c r="AA179" s="11">
        <f>IFERROR(IF(MARÍTIMOS[[#This Row],[Etapa Despacho -  Registro]]="","",MARÍTIMOS[[#This Row],[Etapa Despacho -  Registro]]),"")</f>
        <v>46224.298611111109</v>
      </c>
      <c r="AB179" s="11">
        <f>IFERROR(IF(MARÍTIMOS[[#This Row],[Inspección Externa]]="","",MARÍTIMOS[[#This Row],[Inspección Externa]]),"")</f>
        <v>46224.302083333336</v>
      </c>
      <c r="AC179" s="11">
        <f>IFERROR(IF(MARÍTIMOS[[#This Row],[Etapa Despacho -  Inicio de Carga]]="","",MARÍTIMOS[[#This Row],[Etapa Despacho -  Inicio de Carga]]),"")</f>
        <v>46224.444444444445</v>
      </c>
      <c r="AD179" s="11">
        <f>IFERROR(IF(MARÍTIMOS[[#This Row],[Etapa Despacho -  Fin de Carga]]="","",MARÍTIMOS[[#This Row],[Etapa Despacho -  Fin de Carga]]),"")</f>
        <v>46224.493055555555</v>
      </c>
      <c r="AE179" s="11">
        <f>IFERROR(IF(MARÍTIMOS[[#This Row],[Etapa Despacho -  Salida]]="","",MARÍTIMOS[[#This Row],[Etapa Despacho -  Salida]]),"")</f>
        <v>46224.519444444442</v>
      </c>
      <c r="AF179" s="2" t="str">
        <f>IFERROR(IF(MARÍTIMOS[[#This Row],[Puerto de Embarque]]="","",MARÍTIMOS[[#This Row],[Puerto de Embarque]]),"")</f>
        <v>Paita</v>
      </c>
      <c r="AG179" s="2" t="str">
        <f>IFERROR(IF(MARÍTIMOS[[#This Row],[Almacén de Ingreso]]="","",MARÍTIMOS[[#This Row],[Almacén de Ingreso]]),"")</f>
        <v>TPE</v>
      </c>
      <c r="AH179" s="11">
        <f>IFERROR(IF(MARÍTIMOS[[#This Row],[Etapa Ingreso - Cita]]="","",MARÍTIMOS[[#This Row],[Etapa Ingreso - Cita]]),"")</f>
        <v>46224.708333333336</v>
      </c>
      <c r="AI179" s="11">
        <f>IFERROR(IF(MARÍTIMOS[[#This Row],[Etapa Ingreso - Llegada]]="","",MARÍTIMOS[[#This Row],[Etapa Ingreso - Llegada]]),"")</f>
        <v>46224.740277777775</v>
      </c>
      <c r="AJ179" s="11">
        <f>IFERROR(IF(MARÍTIMOS[[#This Row],[Etapa Ingreso - Ingeso]]="","",MARÍTIMOS[[#This Row],[Etapa Ingreso - Ingeso]]),"")</f>
        <v>46224.746527777781</v>
      </c>
      <c r="AK179" s="11">
        <f>IFERROR(IF(MARÍTIMOS[[#This Row],[Etapa Ingreso - Atención]]="","",MARÍTIMOS[[#This Row],[Etapa Ingreso - Atención]]),"")</f>
        <v>46224.748611111114</v>
      </c>
      <c r="AL179" s="11">
        <f>IFERROR(IF(MARÍTIMOS[[#This Row],[Etapa Ingreso - Salida]]="","",MARÍTIMOS[[#This Row],[Etapa Ingreso - Salida]]),"")</f>
        <v>46224.753472222219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9" s="5">
        <f>IFERROR(OLDBD[[#This Row],[Llegada a packing]]-OLDBD[[#This Row],[Inicio de Ruta]],"")</f>
        <v>0.58819444444088731</v>
      </c>
      <c r="AQ179" s="6">
        <f>IFERROR(OLDBD[[#This Row],[Inicio de Ruta]]-OLDBD[[#This Row],[Salida de almacén de retiro]],"")</f>
        <v>0.18472222222771961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9" s="9">
        <f>IFERROR(OLDBD[[#This Row],[Ingreso Packing]]-OLDBD[[#This Row],[Registro en Packing]],"")</f>
        <v>3.4722222262644209E-3</v>
      </c>
      <c r="AV179" s="9">
        <f>IFERROR(OLDBD[[#This Row],[Ingreso Packing]]-OLDBD[[#This Row],[Llegada a packing]],"")</f>
        <v>5.5555555591126904E-3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9" s="5">
        <f>IFERROR(OLDBD[[#This Row],[Llegada Almacén de Ingreso]]-OLDBD[[#This Row],[Salida Packing]],"")</f>
        <v>0.22083333333284827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5" t="s">
        <v>181</v>
      </c>
      <c r="BB179" s="53" t="str">
        <f>IFERROR(IF(MARÍTIMOS[[#This Row],[Estatus]]="","",MARÍTIMOS[[#This Row],[Estatus]]),"")</f>
        <v>Confirmado</v>
      </c>
      <c r="BC179" s="45"/>
      <c r="BD179" s="52">
        <f>IFERROR(OLDBD[[#This Row],[Salida de almacén de retiro]]-OLDBD[[#This Row],[Ingreso Almacén de retiro]],"")</f>
        <v>3.4027777772280388E-2</v>
      </c>
      <c r="BE179" s="52">
        <f>IFERROR(OLDBD[[#This Row],[Fin de Carga]]-OLDBD[[#This Row],[Inicio de Carga]],"")</f>
        <v>4.8611111109494232E-2</v>
      </c>
    </row>
    <row r="180" spans="1:57" x14ac:dyDescent="0.35">
      <c r="A180" s="1"/>
      <c r="B180" s="1">
        <f>IFERROR(IF(MARÍTIMOS[[#This Row],[PP]]="","",MARÍTIMOS[[#This Row],[PP]]),"")</f>
        <v>30</v>
      </c>
      <c r="C180" s="1" t="str">
        <f>IFERROR(IF(MARÍTIMOS[[#This Row],[Sede]]="","",MARÍTIMOS[[#This Row],[Sede]]),"")</f>
        <v>Olmos</v>
      </c>
      <c r="D180" s="1" t="str">
        <f>IFERROR(IF(MARÍTIMOS[[#This Row],[Instruction]]="","",MARÍTIMOS[[#This Row],[Instruction]]),"")</f>
        <v>RH-0264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NO</v>
      </c>
      <c r="H180" s="2" t="str">
        <f>IFERROR(IF(MARÍTIMOS[[#This Row],[Razón Social]]="","",MARÍTIMOS[[#This Row],[Razón Social]]),"")</f>
        <v xml:space="preserve">LOGISTICA INTERMODAL DEL PERU S.A.C.
</v>
      </c>
      <c r="I180" s="2">
        <f>IFERROR(IF(MARÍTIMOS[[#This Row],[RUC]]="","",MARÍTIMOS[[#This Row],[RUC]]),"")</f>
        <v>20513040718</v>
      </c>
      <c r="J180" s="2" t="str">
        <f>IFERROR(IF(MARÍTIMOS[[#This Row],[Placa Tracto]]="","",MARÍTIMOS[[#This Row],[Placa Tracto]]),"")</f>
        <v>ASO-911</v>
      </c>
      <c r="K180" s="2" t="str">
        <f>IFERROR(IF(MARÍTIMOS[[#This Row],[Placa Carreta]]="","",MARÍTIMOS[[#This Row],[Placa Carreta]]),"")</f>
        <v>ADF-995</v>
      </c>
      <c r="L180" s="46" t="str">
        <f>IFERROR(IF(MARÍTIMOS[[#This Row],[Conductor]]="","",MARÍTIMOS[[#This Row],[Conductor]]),"")</f>
        <v>CHIROQUE BOCANEGRA NAZARENO</v>
      </c>
      <c r="M180" s="2" t="str">
        <f>IFERROR(IF(MARÍTIMOS[[#This Row],[Licencia]]="","",MARÍTIMOS[[#This Row],[Licencia]]),"")</f>
        <v>Q43200665</v>
      </c>
      <c r="N180" s="2" t="str">
        <f>IFERROR(IF(MARÍTIMOS[[#This Row],[Número de Contacto]]="","",MARÍTIMOS[[#This Row],[Número de Contacto]]),"")</f>
        <v>977 069 655</v>
      </c>
      <c r="O180" s="10" t="str">
        <f>IFERROR(IF(MARÍTIMOS[[#This Row],[Booking|AWB|CRT]]="","",MARÍTIMOS[[#This Row],[Booking|AWB|CRT]]),"")</f>
        <v>ZIMULMA825956</v>
      </c>
      <c r="P180" s="2" t="str">
        <f>IFERROR(IF(MARÍTIMOS[[#This Row],[Contenedor]]="","",MARÍTIMOS[[#This Row],[Contenedor]]),"")</f>
        <v>GMOU9023066</v>
      </c>
      <c r="Q180" s="2" t="str">
        <f>IFERROR(IF(MARÍTIMOS[[#This Row],[Puerto de Retiro]]="","",MARÍTIMOS[[#This Row],[Puerto de Retiro]]),"")</f>
        <v>PAITA</v>
      </c>
      <c r="R180" s="2" t="str">
        <f>IFERROR(IF(MARÍTIMOS[[#This Row],[Almacén de Retiro]]="","",MARÍTIMOS[[#This Row],[Almacén de Retiro]]),"")</f>
        <v>DPW</v>
      </c>
      <c r="S180" s="11">
        <f>IFERROR(IF(MARÍTIMOS[[#This Row],[Etapa Retiro - Cita]]="","",MARÍTIMOS[[#This Row],[Etapa Retiro - Cita]]),"")</f>
        <v>46224.5</v>
      </c>
      <c r="T180" s="11">
        <f>IFERROR(IF(MARÍTIMOS[[#This Row],[Etapa Retiro - Llegada]]="","",MARÍTIMOS[[#This Row],[Etapa Retiro - Llegada]]),"")</f>
        <v>46224.481249999997</v>
      </c>
      <c r="U180" s="11">
        <f>IFERROR(IF(MARÍTIMOS[[#This Row],[Etapa Retiro - Ingreso]]="","",MARÍTIMOS[[#This Row],[Etapa Retiro - Ingreso]]),"")</f>
        <v>46224.5</v>
      </c>
      <c r="V180" s="11">
        <f>IFERROR(IF(MARÍTIMOS[[#This Row],[Etapa Retiro - Atención]]="","",MARÍTIMOS[[#This Row],[Etapa Retiro - Atención]]),"")</f>
        <v>46224.503472222219</v>
      </c>
      <c r="W180" s="11">
        <f>IFERROR(IF(MARÍTIMOS[[#This Row],[Etapa Retiro - Salida]]="","",MARÍTIMOS[[#This Row],[Etapa Retiro - Salida]]),"")</f>
        <v>46224.664583333331</v>
      </c>
      <c r="X180" s="11">
        <f>IFERROR(IF(MARÍTIMOS[[#This Row],[Etapa Retiro - Inicio de Ruta]]="","",MARÍTIMOS[[#This Row],[Etapa Retiro - Inicio de Ruta]]),"")</f>
        <v>46224.75</v>
      </c>
      <c r="Y180" s="11">
        <f>IFERROR(IF(MARÍTIMOS[[#This Row],[Hora de Posicionamiento]]="","",MARÍTIMOS[[#This Row],[Hora de Carga]]+MARÍTIMOS[[#This Row],[Hora de Posicionamiento]]),"")</f>
        <v>1.0833333333333335</v>
      </c>
      <c r="Z180" s="11">
        <f>IFERROR(IF(MARÍTIMOS[[#This Row],[Etapa Despacho -  Llegada]]="","",MARÍTIMOS[[#This Row],[Etapa Despacho -  Llegada]]),"")</f>
        <v>46225.385416666664</v>
      </c>
      <c r="AA180" s="11">
        <f>IFERROR(IF(MARÍTIMOS[[#This Row],[Etapa Despacho -  Registro]]="","",MARÍTIMOS[[#This Row],[Etapa Despacho -  Registro]]),"")</f>
        <v>46225.388888888891</v>
      </c>
      <c r="AB180" s="11">
        <f>IFERROR(IF(MARÍTIMOS[[#This Row],[Inspección Externa]]="","",MARÍTIMOS[[#This Row],[Inspección Externa]]),"")</f>
        <v>46225.392361111109</v>
      </c>
      <c r="AC180" s="11">
        <f>IFERROR(IF(MARÍTIMOS[[#This Row],[Etapa Despacho -  Inicio de Carga]]="","",MARÍTIMOS[[#This Row],[Etapa Despacho -  Inicio de Carga]]),"")</f>
        <v>46225.652777777781</v>
      </c>
      <c r="AD180" s="11">
        <f>IFERROR(IF(MARÍTIMOS[[#This Row],[Etapa Despacho -  Fin de Carga]]="","",MARÍTIMOS[[#This Row],[Etapa Despacho -  Fin de Carga]]),"")</f>
        <v>46225.6875</v>
      </c>
      <c r="AE180" s="11">
        <f>IFERROR(IF(MARÍTIMOS[[#This Row],[Etapa Despacho -  Salida]]="","",MARÍTIMOS[[#This Row],[Etapa Despacho -  Salida]]),"")</f>
        <v>46225.711805555555</v>
      </c>
      <c r="AF180" s="2" t="str">
        <f>IFERROR(IF(MARÍTIMOS[[#This Row],[Puerto de Embarque]]="","",MARÍTIMOS[[#This Row],[Puerto de Embarque]]),"")</f>
        <v>Paita</v>
      </c>
      <c r="AG180" s="2" t="str">
        <f>IFERROR(IF(MARÍTIMOS[[#This Row],[Almacén de Ingreso]]="","",MARÍTIMOS[[#This Row],[Almacén de Ingreso]]),"")</f>
        <v>TPE</v>
      </c>
      <c r="AH180" s="11">
        <f>IFERROR(IF(MARÍTIMOS[[#This Row],[Etapa Ingreso - Cita]]="","",MARÍTIMOS[[#This Row],[Etapa Ingreso - Cita]]),"")</f>
        <v>46225.916666666664</v>
      </c>
      <c r="AI180" s="11">
        <f>IFERROR(IF(MARÍTIMOS[[#This Row],[Etapa Ingreso - Llegada]]="","",MARÍTIMOS[[#This Row],[Etapa Ingreso - Llegada]]),"")</f>
        <v>46225.922222222223</v>
      </c>
      <c r="AJ180" s="11">
        <f>IFERROR(IF(MARÍTIMOS[[#This Row],[Etapa Ingreso - Ingeso]]="","",MARÍTIMOS[[#This Row],[Etapa Ingreso - Ingeso]]),"")</f>
        <v>46225.927083333336</v>
      </c>
      <c r="AK180" s="11">
        <f>IFERROR(IF(MARÍTIMOS[[#This Row],[Etapa Ingreso - Atención]]="","",MARÍTIMOS[[#This Row],[Etapa Ingreso - Atención]]),"")</f>
        <v>46225.929166666669</v>
      </c>
      <c r="AL180" s="11">
        <f>IFERROR(IF(MARÍTIMOS[[#This Row],[Etapa Ingreso - Salida]]="","",MARÍTIMOS[[#This Row],[Etapa Ingreso - Salida]]),"")</f>
        <v>46225.93472222222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0" s="5">
        <f>IFERROR(OLDBD[[#This Row],[Llegada a packing]]-OLDBD[[#This Row],[Inicio de Ruta]],"")</f>
        <v>0.63541666666424135</v>
      </c>
      <c r="AQ180" s="6">
        <f>IFERROR(OLDBD[[#This Row],[Inicio de Ruta]]-OLDBD[[#This Row],[Salida de almacén de retiro]],"")</f>
        <v>8.5416666668606922E-2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0" s="9">
        <f>IFERROR(OLDBD[[#This Row],[Ingreso Packing]]-OLDBD[[#This Row],[Registro en Packing]],"")</f>
        <v>3.4722222189884633E-3</v>
      </c>
      <c r="AV180" s="9">
        <f>IFERROR(OLDBD[[#This Row],[Ingreso Packing]]-OLDBD[[#This Row],[Llegada a packing]],"")</f>
        <v>6.9444444452528842E-3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0" s="5">
        <f>IFERROR(OLDBD[[#This Row],[Llegada Almacén de Ingreso]]-OLDBD[[#This Row],[Salida Packing]],"")</f>
        <v>0.21041666666860692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5" t="s">
        <v>181</v>
      </c>
      <c r="BB180" s="53" t="str">
        <f>IFERROR(IF(MARÍTIMOS[[#This Row],[Estatus]]="","",MARÍTIMOS[[#This Row],[Estatus]]),"")</f>
        <v>Confirmado</v>
      </c>
      <c r="BC180" s="45"/>
      <c r="BD180" s="52">
        <f>IFERROR(OLDBD[[#This Row],[Salida de almacén de retiro]]-OLDBD[[#This Row],[Ingreso Almacén de retiro]],"")</f>
        <v>0.16458333333139308</v>
      </c>
      <c r="BE180" s="52">
        <f>IFERROR(OLDBD[[#This Row],[Fin de Carga]]-OLDBD[[#This Row],[Inicio de Carga]],"")</f>
        <v>3.4722222218988463E-2</v>
      </c>
    </row>
    <row r="181" spans="1:57" x14ac:dyDescent="0.35">
      <c r="A181" s="1"/>
      <c r="B181" s="1">
        <f>IFERROR(IF(MARÍTIMOS[[#This Row],[PP]]="","",MARÍTIMOS[[#This Row],[PP]]),"")</f>
        <v>30</v>
      </c>
      <c r="C181" s="1" t="str">
        <f>IFERROR(IF(MARÍTIMOS[[#This Row],[Sede]]="","",MARÍTIMOS[[#This Row],[Sede]]),"")</f>
        <v>Chao</v>
      </c>
      <c r="D181" s="1" t="str">
        <f>IFERROR(IF(MARÍTIMOS[[#This Row],[Instruction]]="","",MARÍTIMOS[[#This Row],[Instruction]]),"")</f>
        <v>RH-0252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NO</v>
      </c>
      <c r="H181" s="2" t="str">
        <f>IFERROR(IF(MARÍTIMOS[[#This Row],[Razón Social]]="","",MARÍTIMOS[[#This Row],[Razón Social]]),"")</f>
        <v xml:space="preserve">LOGISTICA INTERMODAL DEL PERU S.A.C.
</v>
      </c>
      <c r="I181" s="2">
        <f>IFERROR(IF(MARÍTIMOS[[#This Row],[RUC]]="","",MARÍTIMOS[[#This Row],[RUC]]),"")</f>
        <v>20513040718</v>
      </c>
      <c r="J181" s="2" t="str">
        <f>IFERROR(IF(MARÍTIMOS[[#This Row],[Placa Tracto]]="","",MARÍTIMOS[[#This Row],[Placa Tracto]]),"")</f>
        <v>BBG-864</v>
      </c>
      <c r="K181" s="2" t="str">
        <f>IFERROR(IF(MARÍTIMOS[[#This Row],[Placa Carreta]]="","",MARÍTIMOS[[#This Row],[Placa Carreta]]),"")</f>
        <v>AMZ-980</v>
      </c>
      <c r="L181" s="46" t="str">
        <f>IFERROR(IF(MARÍTIMOS[[#This Row],[Conductor]]="","",MARÍTIMOS[[#This Row],[Conductor]]),"")</f>
        <v>DIOSES MIRANDA WILLIAM ARTURO</v>
      </c>
      <c r="M181" s="2" t="str">
        <f>IFERROR(IF(MARÍTIMOS[[#This Row],[Licencia]]="","",MARÍTIMOS[[#This Row],[Licencia]]),"")</f>
        <v>B03508313</v>
      </c>
      <c r="N181" s="2" t="str">
        <f>IFERROR(IF(MARÍTIMOS[[#This Row],[Número de Contacto]]="","",MARÍTIMOS[[#This Row],[Número de Contacto]]),"")</f>
        <v>974 059 655</v>
      </c>
      <c r="O181" s="10" t="str">
        <f>IFERROR(IF(MARÍTIMOS[[#This Row],[Booking|AWB|CRT]]="","",MARÍTIMOS[[#This Row],[Booking|AWB|CRT]]),"")</f>
        <v>MBM250067104</v>
      </c>
      <c r="P181" s="2" t="str">
        <f>IFERROR(IF(MARÍTIMOS[[#This Row],[Contenedor]]="","",MARÍTIMOS[[#This Row],[Contenedor]]),"")</f>
        <v>FBIU5309120</v>
      </c>
      <c r="Q181" s="2" t="str">
        <f>IFERROR(IF(MARÍTIMOS[[#This Row],[Puerto de Retiro]]="","",MARÍTIMOS[[#This Row],[Puerto de Retiro]]),"")</f>
        <v>PAITA</v>
      </c>
      <c r="R181" s="2" t="str">
        <f>IFERROR(IF(MARÍTIMOS[[#This Row],[Almacén de Retiro]]="","",MARÍTIMOS[[#This Row],[Almacén de Retiro]]),"")</f>
        <v>MACROMAR</v>
      </c>
      <c r="S181" s="11">
        <f>IFERROR(IF(MARÍTIMOS[[#This Row],[Etapa Retiro - Cita]]="","",MARÍTIMOS[[#This Row],[Etapa Retiro - Cita]]),"")</f>
        <v>46226.458333333336</v>
      </c>
      <c r="T181" s="11">
        <f>IFERROR(IF(MARÍTIMOS[[#This Row],[Etapa Retiro - Llegada]]="","",MARÍTIMOS[[#This Row],[Etapa Retiro - Llegada]]),"")</f>
        <v>46226.468055555553</v>
      </c>
      <c r="U181" s="11">
        <f>IFERROR(IF(MARÍTIMOS[[#This Row],[Etapa Retiro - Ingreso]]="","",MARÍTIMOS[[#This Row],[Etapa Retiro - Ingreso]]),"")</f>
        <v>46226.474999999999</v>
      </c>
      <c r="V181" s="11">
        <f>IFERROR(IF(MARÍTIMOS[[#This Row],[Etapa Retiro - Atención]]="","",MARÍTIMOS[[#This Row],[Etapa Retiro - Atención]]),"")</f>
        <v>46226.481944444444</v>
      </c>
      <c r="W181" s="11">
        <f>IFERROR(IF(MARÍTIMOS[[#This Row],[Etapa Retiro - Salida]]="","",MARÍTIMOS[[#This Row],[Etapa Retiro - Salida]]),"")</f>
        <v>46226.56527777778</v>
      </c>
      <c r="X181" s="11">
        <f>IFERROR(IF(MARÍTIMOS[[#This Row],[Etapa Retiro - Inicio de Ruta]]="","",MARÍTIMOS[[#This Row],[Etapa Retiro - Inicio de Ruta]]),"")</f>
        <v>46226.606944444444</v>
      </c>
      <c r="Y181" s="11">
        <f>IFERROR(IF(MARÍTIMOS[[#This Row],[Hora de Posicionamiento]]="","",MARÍTIMOS[[#This Row],[Hora de Carga]]+MARÍTIMOS[[#This Row],[Hora de Posicionamiento]]),"")</f>
        <v>0.75</v>
      </c>
      <c r="Z181" s="11">
        <f>IFERROR(IF(MARÍTIMOS[[#This Row],[Etapa Despacho -  Llegada]]="","",MARÍTIMOS[[#This Row],[Etapa Despacho -  Llegada]]),"")</f>
        <v>46227.341666666667</v>
      </c>
      <c r="AA181" s="11">
        <f>IFERROR(IF(MARÍTIMOS[[#This Row],[Etapa Despacho -  Registro]]="","",MARÍTIMOS[[#This Row],[Etapa Despacho -  Registro]]),"")</f>
        <v>46227.348611111112</v>
      </c>
      <c r="AB181" s="11">
        <f>IFERROR(IF(MARÍTIMOS[[#This Row],[Inspección Externa]]="","",MARÍTIMOS[[#This Row],[Inspección Externa]]),"")</f>
        <v>46227.368055555555</v>
      </c>
      <c r="AC181" s="11">
        <f>IFERROR(IF(MARÍTIMOS[[#This Row],[Etapa Despacho -  Inicio de Carga]]="","",MARÍTIMOS[[#This Row],[Etapa Despacho -  Inicio de Carga]]),"")</f>
        <v>46227.409722222219</v>
      </c>
      <c r="AD181" s="11">
        <f>IFERROR(IF(MARÍTIMOS[[#This Row],[Etapa Despacho -  Fin de Carga]]="","",MARÍTIMOS[[#This Row],[Etapa Despacho -  Fin de Carga]]),"")</f>
        <v>46227.567361111112</v>
      </c>
      <c r="AE181" s="11">
        <f>IFERROR(IF(MARÍTIMOS[[#This Row],[Etapa Despacho -  Salida]]="","",MARÍTIMOS[[#This Row],[Etapa Despacho -  Salida]]),"")</f>
        <v>46227.574305555558</v>
      </c>
      <c r="AF181" s="2" t="str">
        <f>IFERROR(IF(MARÍTIMOS[[#This Row],[Puerto de Embarque]]="","",MARÍTIMOS[[#This Row],[Puerto de Embarque]]),"")</f>
        <v>Paita</v>
      </c>
      <c r="AG181" s="2" t="str">
        <f>IFERROR(IF(MARÍTIMOS[[#This Row],[Almacén de Ingreso]]="","",MARÍTIMOS[[#This Row],[Almacén de Ingreso]]),"")</f>
        <v>TPE</v>
      </c>
      <c r="AH181" s="11">
        <f>IFERROR(IF(MARÍTIMOS[[#This Row],[Etapa Ingreso - Cita]]="","",MARÍTIMOS[[#This Row],[Etapa Ingreso - Cita]]),"")</f>
        <v>46228.375</v>
      </c>
      <c r="AI181" s="11">
        <f>IFERROR(IF(MARÍTIMOS[[#This Row],[Etapa Ingreso - Llegada]]="","",MARÍTIMOS[[#This Row],[Etapa Ingreso - Llegada]]),"")</f>
        <v>46228.410416666666</v>
      </c>
      <c r="AJ181" s="11">
        <f>IFERROR(IF(MARÍTIMOS[[#This Row],[Etapa Ingreso - Ingeso]]="","",MARÍTIMOS[[#This Row],[Etapa Ingreso - Ingeso]]),"")</f>
        <v>46228.416666666664</v>
      </c>
      <c r="AK181" s="11">
        <f>IFERROR(IF(MARÍTIMOS[[#This Row],[Etapa Ingreso - Atención]]="","",MARÍTIMOS[[#This Row],[Etapa Ingreso - Atención]]),"")</f>
        <v>46228.418055555558</v>
      </c>
      <c r="AL181" s="11">
        <f>IFERROR(IF(MARÍTIMOS[[#This Row],[Etapa Ingreso - Salida]]="","",MARÍTIMOS[[#This Row],[Etapa Ingreso - Salida]]),"")</f>
        <v>46228.425694444442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1" s="5">
        <f>IFERROR(OLDBD[[#This Row],[Llegada a packing]]-OLDBD[[#This Row],[Inicio de Ruta]],"")</f>
        <v>0.73472222222335404</v>
      </c>
      <c r="AQ181" s="6">
        <f>IFERROR(OLDBD[[#This Row],[Inicio de Ruta]]-OLDBD[[#This Row],[Salida de almacén de retiro]],"")</f>
        <v>4.1666666664241347E-2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1" s="9">
        <f>IFERROR(OLDBD[[#This Row],[Ingreso Packing]]-OLDBD[[#This Row],[Registro en Packing]],"")</f>
        <v>1.9444444442342501E-2</v>
      </c>
      <c r="AV181" s="9">
        <f>IFERROR(OLDBD[[#This Row],[Ingreso Packing]]-OLDBD[[#This Row],[Llegada a packing]],"")</f>
        <v>2.6388888887595385E-2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1" s="5">
        <f>IFERROR(OLDBD[[#This Row],[Llegada Almacén de Ingreso]]-OLDBD[[#This Row],[Salida Packing]],"")</f>
        <v>0.83611111110803904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5" t="s">
        <v>181</v>
      </c>
      <c r="BB181" s="53" t="str">
        <f>IFERROR(IF(MARÍTIMOS[[#This Row],[Estatus]]="","",MARÍTIMOS[[#This Row],[Estatus]]),"")</f>
        <v>Confirmado</v>
      </c>
      <c r="BC181" s="45"/>
      <c r="BD181" s="52">
        <f>IFERROR(OLDBD[[#This Row],[Salida de almacén de retiro]]-OLDBD[[#This Row],[Ingreso Almacén de retiro]],"")</f>
        <v>9.0277777781011537E-2</v>
      </c>
      <c r="BE181" s="52">
        <f>IFERROR(OLDBD[[#This Row],[Fin de Carga]]-OLDBD[[#This Row],[Inicio de Carga]],"")</f>
        <v>0.15763888889341615</v>
      </c>
    </row>
    <row r="182" spans="1:57" x14ac:dyDescent="0.35">
      <c r="A182" s="1"/>
      <c r="B182" s="1">
        <f>IFERROR(IF(MARÍTIMOS[[#This Row],[PP]]="","",MARÍTIMOS[[#This Row],[PP]]),"")</f>
        <v>30</v>
      </c>
      <c r="C182" s="1" t="str">
        <f>IFERROR(IF(MARÍTIMOS[[#This Row],[Sede]]="","",MARÍTIMOS[[#This Row],[Sede]]),"")</f>
        <v>Chao</v>
      </c>
      <c r="D182" s="1" t="str">
        <f>IFERROR(IF(MARÍTIMOS[[#This Row],[Instruction]]="","",MARÍTIMOS[[#This Row],[Instruction]]),"")</f>
        <v>RH-0253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NO</v>
      </c>
      <c r="H182" s="2" t="str">
        <f>IFERROR(IF(MARÍTIMOS[[#This Row],[Razón Social]]="","",MARÍTIMOS[[#This Row],[Razón Social]]),"")</f>
        <v xml:space="preserve">LOGISTICA INTERMODAL DEL PERU S.A.C.
</v>
      </c>
      <c r="I182" s="2">
        <f>IFERROR(IF(MARÍTIMOS[[#This Row],[RUC]]="","",MARÍTIMOS[[#This Row],[RUC]]),"")</f>
        <v>20513040718</v>
      </c>
      <c r="J182" s="2" t="str">
        <f>IFERROR(IF(MARÍTIMOS[[#This Row],[Placa Tracto]]="","",MARÍTIMOS[[#This Row],[Placa Tracto]]),"")</f>
        <v>AYO-798</v>
      </c>
      <c r="K182" s="2" t="str">
        <f>IFERROR(IF(MARÍTIMOS[[#This Row],[Placa Carreta]]="","",MARÍTIMOS[[#This Row],[Placa Carreta]]),"")</f>
        <v>AMW-985</v>
      </c>
      <c r="L182" s="46" t="str">
        <f>IFERROR(IF(MARÍTIMOS[[#This Row],[Conductor]]="","",MARÍTIMOS[[#This Row],[Conductor]]),"")</f>
        <v>CHAVEZ SERRATO WILLIAN</v>
      </c>
      <c r="M182" s="2" t="str">
        <f>IFERROR(IF(MARÍTIMOS[[#This Row],[Licencia]]="","",MARÍTIMOS[[#This Row],[Licencia]]),"")</f>
        <v>B46863156</v>
      </c>
      <c r="N182" s="2" t="str">
        <f>IFERROR(IF(MARÍTIMOS[[#This Row],[Número de Contacto]]="","",MARÍTIMOS[[#This Row],[Número de Contacto]]),"")</f>
        <v>957 105 437</v>
      </c>
      <c r="O182" s="10" t="str">
        <f>IFERROR(IF(MARÍTIMOS[[#This Row],[Booking|AWB|CRT]]="","",MARÍTIMOS[[#This Row],[Booking|AWB|CRT]]),"")</f>
        <v>PER9160200A</v>
      </c>
      <c r="P182" s="2" t="str">
        <f>IFERROR(IF(MARÍTIMOS[[#This Row],[Contenedor]]="","",MARÍTIMOS[[#This Row],[Contenedor]]),"")</f>
        <v>BEAU9705093</v>
      </c>
      <c r="Q182" s="2" t="str">
        <f>IFERROR(IF(MARÍTIMOS[[#This Row],[Puerto de Retiro]]="","",MARÍTIMOS[[#This Row],[Puerto de Retiro]]),"")</f>
        <v>PAITA</v>
      </c>
      <c r="R182" s="2" t="str">
        <f>IFERROR(IF(MARÍTIMOS[[#This Row],[Almacén de Retiro]]="","",MARÍTIMOS[[#This Row],[Almacén de Retiro]]),"")</f>
        <v>DPW</v>
      </c>
      <c r="S182" s="11">
        <f>IFERROR(IF(MARÍTIMOS[[#This Row],[Etapa Retiro - Cita]]="","",MARÍTIMOS[[#This Row],[Etapa Retiro - Cita]]),"")</f>
        <v>46227.458333333336</v>
      </c>
      <c r="T182" s="11">
        <f>IFERROR(IF(MARÍTIMOS[[#This Row],[Etapa Retiro - Llegada]]="","",MARÍTIMOS[[#This Row],[Etapa Retiro - Llegada]]),"")</f>
        <v>46227.489583333336</v>
      </c>
      <c r="U182" s="11">
        <f>IFERROR(IF(MARÍTIMOS[[#This Row],[Etapa Retiro - Ingreso]]="","",MARÍTIMOS[[#This Row],[Etapa Retiro - Ingreso]]),"")</f>
        <v>46227.513194444444</v>
      </c>
      <c r="V182" s="11">
        <f>IFERROR(IF(MARÍTIMOS[[#This Row],[Etapa Retiro - Atención]]="","",MARÍTIMOS[[#This Row],[Etapa Retiro - Atención]]),"")</f>
        <v>46227.520138888889</v>
      </c>
      <c r="W182" s="11">
        <f>IFERROR(IF(MARÍTIMOS[[#This Row],[Etapa Retiro - Salida]]="","",MARÍTIMOS[[#This Row],[Etapa Retiro - Salida]]),"")</f>
        <v>46227.646527777775</v>
      </c>
      <c r="X182" s="11">
        <f>IFERROR(IF(MARÍTIMOS[[#This Row],[Etapa Retiro - Inicio de Ruta]]="","",MARÍTIMOS[[#This Row],[Etapa Retiro - Inicio de Ruta]]),"")</f>
        <v>46227.688194444447</v>
      </c>
      <c r="Y182" s="11">
        <f>IFERROR(IF(MARÍTIMOS[[#This Row],[Hora de Posicionamiento]]="","",MARÍTIMOS[[#This Row],[Hora de Carga]]+MARÍTIMOS[[#This Row],[Hora de Posicionamiento]]),"")</f>
        <v>0.75</v>
      </c>
      <c r="Z182" s="11">
        <f>IFERROR(IF(MARÍTIMOS[[#This Row],[Etapa Despacho -  Llegada]]="","",MARÍTIMOS[[#This Row],[Etapa Despacho -  Llegada]]),"")</f>
        <v>46228.583333333336</v>
      </c>
      <c r="AA182" s="11">
        <f>IFERROR(IF(MARÍTIMOS[[#This Row],[Etapa Despacho -  Registro]]="","",MARÍTIMOS[[#This Row],[Etapa Despacho -  Registro]]),"")</f>
        <v>46228.590277777781</v>
      </c>
      <c r="AB182" s="11">
        <f>IFERROR(IF(MARÍTIMOS[[#This Row],[Inspección Externa]]="","",MARÍTIMOS[[#This Row],[Inspección Externa]]),"")</f>
        <v>46228.611111111109</v>
      </c>
      <c r="AC182" s="11">
        <f>IFERROR(IF(MARÍTIMOS[[#This Row],[Etapa Despacho -  Inicio de Carga]]="","",MARÍTIMOS[[#This Row],[Etapa Despacho -  Inicio de Carga]]),"")</f>
        <v>46228.652777777781</v>
      </c>
      <c r="AD182" s="11">
        <f>IFERROR(IF(MARÍTIMOS[[#This Row],[Etapa Despacho -  Fin de Carga]]="","",MARÍTIMOS[[#This Row],[Etapa Despacho -  Fin de Carga]]),"")</f>
        <v>46228.71597222222</v>
      </c>
      <c r="AE182" s="11">
        <f>IFERROR(IF(MARÍTIMOS[[#This Row],[Etapa Despacho -  Salida]]="","",MARÍTIMOS[[#This Row],[Etapa Despacho -  Salida]]),"")</f>
        <v>46228.722916666666</v>
      </c>
      <c r="AF182" s="2" t="str">
        <f>IFERROR(IF(MARÍTIMOS[[#This Row],[Puerto de Embarque]]="","",MARÍTIMOS[[#This Row],[Puerto de Embarque]]),"")</f>
        <v>Paita</v>
      </c>
      <c r="AG182" s="2" t="str">
        <f>IFERROR(IF(MARÍTIMOS[[#This Row],[Almacén de Ingreso]]="","",MARÍTIMOS[[#This Row],[Almacén de Ingreso]]),"")</f>
        <v>TPE</v>
      </c>
      <c r="AH182" s="11">
        <f>IFERROR(IF(MARÍTIMOS[[#This Row],[Etapa Ingreso - Cita]]="","",MARÍTIMOS[[#This Row],[Etapa Ingreso - Cita]]),"")</f>
        <v>46229.416666666664</v>
      </c>
      <c r="AI182" s="11">
        <f>IFERROR(IF(MARÍTIMOS[[#This Row],[Etapa Ingreso - Llegada]]="","",MARÍTIMOS[[#This Row],[Etapa Ingreso - Llegada]]),"")</f>
        <v>46229.442361111112</v>
      </c>
      <c r="AJ182" s="11">
        <f>IFERROR(IF(MARÍTIMOS[[#This Row],[Etapa Ingreso - Ingeso]]="","",MARÍTIMOS[[#This Row],[Etapa Ingreso - Ingeso]]),"")</f>
        <v>46229.445833333331</v>
      </c>
      <c r="AK182" s="11">
        <f>IFERROR(IF(MARÍTIMOS[[#This Row],[Etapa Ingreso - Atención]]="","",MARÍTIMOS[[#This Row],[Etapa Ingreso - Atención]]),"")</f>
        <v>46229.448611111111</v>
      </c>
      <c r="AL182" s="11">
        <f>IFERROR(IF(MARÍTIMOS[[#This Row],[Etapa Ingreso - Salida]]="","",MARÍTIMOS[[#This Row],[Etapa Ingreso - Salida]]),"")</f>
        <v>46229.456944444442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2" s="5">
        <f>IFERROR(OLDBD[[#This Row],[Llegada a packing]]-OLDBD[[#This Row],[Inicio de Ruta]],"")</f>
        <v>0.89513888888905058</v>
      </c>
      <c r="AQ182" s="6">
        <f>IFERROR(OLDBD[[#This Row],[Inicio de Ruta]]-OLDBD[[#This Row],[Salida de almacén de retiro]],"")</f>
        <v>4.1666666671517305E-2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2" s="9">
        <f>IFERROR(OLDBD[[#This Row],[Ingreso Packing]]-OLDBD[[#This Row],[Registro en Packing]],"")</f>
        <v>2.0833333328482695E-2</v>
      </c>
      <c r="AV182" s="9">
        <f>IFERROR(OLDBD[[#This Row],[Ingreso Packing]]-OLDBD[[#This Row],[Llegada a packing]],"")</f>
        <v>2.7777777773735579E-2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2" s="5">
        <f>IFERROR(OLDBD[[#This Row],[Llegada Almacén de Ingreso]]-OLDBD[[#This Row],[Salida Packing]],"")</f>
        <v>0.71944444444670808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5" t="s">
        <v>181</v>
      </c>
      <c r="BB182" s="53" t="str">
        <f>IFERROR(IF(MARÍTIMOS[[#This Row],[Estatus]]="","",MARÍTIMOS[[#This Row],[Estatus]]),"")</f>
        <v>Confirmado</v>
      </c>
      <c r="BC182" s="45"/>
      <c r="BD182" s="52">
        <f>IFERROR(OLDBD[[#This Row],[Salida de almacén de retiro]]-OLDBD[[#This Row],[Ingreso Almacén de retiro]],"")</f>
        <v>0.13333333333139308</v>
      </c>
      <c r="BE182" s="52">
        <f>IFERROR(OLDBD[[#This Row],[Fin de Carga]]-OLDBD[[#This Row],[Inicio de Carga]],"")</f>
        <v>6.3194444439432118E-2</v>
      </c>
    </row>
    <row r="183" spans="1:57" x14ac:dyDescent="0.35">
      <c r="A183" s="1"/>
      <c r="B183" s="1">
        <f>IFERROR(IF(MARÍTIMOS[[#This Row],[PP]]="","",MARÍTIMOS[[#This Row],[PP]]),"")</f>
        <v>30</v>
      </c>
      <c r="C183" s="1" t="str">
        <f>IFERROR(IF(MARÍTIMOS[[#This Row],[Sede]]="","",MARÍTIMOS[[#This Row],[Sede]]),"")</f>
        <v>Chao</v>
      </c>
      <c r="D183" s="1" t="str">
        <f>IFERROR(IF(MARÍTIMOS[[#This Row],[Instruction]]="","",MARÍTIMOS[[#This Row],[Instruction]]),"")</f>
        <v>RH-0254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NO</v>
      </c>
      <c r="H183" s="2" t="str">
        <f>IFERROR(IF(MARÍTIMOS[[#This Row],[Razón Social]]="","",MARÍTIMOS[[#This Row],[Razón Social]]),"")</f>
        <v xml:space="preserve">LOGISTICA INTERMODAL DEL PERU S.A.C.
</v>
      </c>
      <c r="I183" s="2">
        <f>IFERROR(IF(MARÍTIMOS[[#This Row],[RUC]]="","",MARÍTIMOS[[#This Row],[RUC]]),"")</f>
        <v>20513040718</v>
      </c>
      <c r="J183" s="2" t="str">
        <f>IFERROR(IF(MARÍTIMOS[[#This Row],[Placa Tracto]]="","",MARÍTIMOS[[#This Row],[Placa Tracto]]),"")</f>
        <v>AYN-898</v>
      </c>
      <c r="K183" s="2" t="str">
        <f>IFERROR(IF(MARÍTIMOS[[#This Row],[Placa Carreta]]="","",MARÍTIMOS[[#This Row],[Placa Carreta]]),"")</f>
        <v>ANE-979</v>
      </c>
      <c r="L183" s="46" t="str">
        <f>IFERROR(IF(MARÍTIMOS[[#This Row],[Conductor]]="","",MARÍTIMOS[[#This Row],[Conductor]]),"")</f>
        <v>HUERTAS MARCHENA LEONARD HAGLER</v>
      </c>
      <c r="M183" s="2" t="str">
        <f>IFERROR(IF(MARÍTIMOS[[#This Row],[Licencia]]="","",MARÍTIMOS[[#This Row],[Licencia]]),"")</f>
        <v>B45860899</v>
      </c>
      <c r="N183" s="2" t="str">
        <f>IFERROR(IF(MARÍTIMOS[[#This Row],[Número de Contacto]]="","",MARÍTIMOS[[#This Row],[Número de Contacto]]),"")</f>
        <v>975 660 655</v>
      </c>
      <c r="O183" s="10" t="str">
        <f>IFERROR(IF(MARÍTIMOS[[#This Row],[Booking|AWB|CRT]]="","",MARÍTIMOS[[#This Row],[Booking|AWB|CRT]]),"")</f>
        <v>PER9160213A</v>
      </c>
      <c r="P183" s="2" t="str">
        <f>IFERROR(IF(MARÍTIMOS[[#This Row],[Contenedor]]="","",MARÍTIMOS[[#This Row],[Contenedor]]),"")</f>
        <v>SEKU9424786</v>
      </c>
      <c r="Q183" s="2" t="str">
        <f>IFERROR(IF(MARÍTIMOS[[#This Row],[Puerto de Retiro]]="","",MARÍTIMOS[[#This Row],[Puerto de Retiro]]),"")</f>
        <v>PAITA</v>
      </c>
      <c r="R183" s="2" t="str">
        <f>IFERROR(IF(MARÍTIMOS[[#This Row],[Almacén de Retiro]]="","",MARÍTIMOS[[#This Row],[Almacén de Retiro]]),"")</f>
        <v>DPW</v>
      </c>
      <c r="S183" s="11">
        <f>IFERROR(IF(MARÍTIMOS[[#This Row],[Etapa Retiro - Cita]]="","",MARÍTIMOS[[#This Row],[Etapa Retiro - Cita]]),"")</f>
        <v>46227.458333333336</v>
      </c>
      <c r="T183" s="11">
        <f>IFERROR(IF(MARÍTIMOS[[#This Row],[Etapa Retiro - Llegada]]="","",MARÍTIMOS[[#This Row],[Etapa Retiro - Llegada]]),"")</f>
        <v>46227.47152777778</v>
      </c>
      <c r="U183" s="11">
        <f>IFERROR(IF(MARÍTIMOS[[#This Row],[Etapa Retiro - Ingreso]]="","",MARÍTIMOS[[#This Row],[Etapa Retiro - Ingreso]]),"")</f>
        <v>46227.484722222223</v>
      </c>
      <c r="V183" s="11">
        <f>IFERROR(IF(MARÍTIMOS[[#This Row],[Etapa Retiro - Atención]]="","",MARÍTIMOS[[#This Row],[Etapa Retiro - Atención]]),"")</f>
        <v>46227.491666666669</v>
      </c>
      <c r="W183" s="11">
        <f>IFERROR(IF(MARÍTIMOS[[#This Row],[Etapa Retiro - Salida]]="","",MARÍTIMOS[[#This Row],[Etapa Retiro - Salida]]),"")</f>
        <v>46227.581250000003</v>
      </c>
      <c r="X183" s="11">
        <f>IFERROR(IF(MARÍTIMOS[[#This Row],[Etapa Retiro - Inicio de Ruta]]="","",MARÍTIMOS[[#This Row],[Etapa Retiro - Inicio de Ruta]]),"")</f>
        <v>46227.622916666667</v>
      </c>
      <c r="Y183" s="11">
        <f>IFERROR(IF(MARÍTIMOS[[#This Row],[Hora de Posicionamiento]]="","",MARÍTIMOS[[#This Row],[Hora de Carga]]+MARÍTIMOS[[#This Row],[Hora de Posicionamiento]]),"")</f>
        <v>0.75</v>
      </c>
      <c r="Z183" s="11">
        <f>IFERROR(IF(MARÍTIMOS[[#This Row],[Etapa Despacho -  Llegada]]="","",MARÍTIMOS[[#This Row],[Etapa Despacho -  Llegada]]),"")</f>
        <v>46228.570833333331</v>
      </c>
      <c r="AA183" s="11">
        <f>IFERROR(IF(MARÍTIMOS[[#This Row],[Etapa Despacho -  Registro]]="","",MARÍTIMOS[[#This Row],[Etapa Despacho -  Registro]]),"")</f>
        <v>46228.577777777777</v>
      </c>
      <c r="AB183" s="11">
        <f>IFERROR(IF(MARÍTIMOS[[#This Row],[Inspección Externa]]="","",MARÍTIMOS[[#This Row],[Inspección Externa]]),"")</f>
        <v>46228.597222222219</v>
      </c>
      <c r="AC183" s="11">
        <f>IFERROR(IF(MARÍTIMOS[[#This Row],[Etapa Despacho -  Inicio de Carga]]="","",MARÍTIMOS[[#This Row],[Etapa Despacho -  Inicio de Carga]]),"")</f>
        <v>46228.638888888891</v>
      </c>
      <c r="AD183" s="11">
        <f>IFERROR(IF(MARÍTIMOS[[#This Row],[Etapa Despacho -  Fin de Carga]]="","",MARÍTIMOS[[#This Row],[Etapa Despacho -  Fin de Carga]]),"")</f>
        <v>46228.708333333336</v>
      </c>
      <c r="AE183" s="11">
        <f>IFERROR(IF(MARÍTIMOS[[#This Row],[Etapa Despacho -  Salida]]="","",MARÍTIMOS[[#This Row],[Etapa Despacho -  Salida]]),"")</f>
        <v>46228.713194444441</v>
      </c>
      <c r="AF183" s="2" t="str">
        <f>IFERROR(IF(MARÍTIMOS[[#This Row],[Puerto de Embarque]]="","",MARÍTIMOS[[#This Row],[Puerto de Embarque]]),"")</f>
        <v>Paita</v>
      </c>
      <c r="AG183" s="2" t="str">
        <f>IFERROR(IF(MARÍTIMOS[[#This Row],[Almacén de Ingreso]]="","",MARÍTIMOS[[#This Row],[Almacén de Ingreso]]),"")</f>
        <v>TPE</v>
      </c>
      <c r="AH183" s="11">
        <f>IFERROR(IF(MARÍTIMOS[[#This Row],[Etapa Ingreso - Cita]]="","",MARÍTIMOS[[#This Row],[Etapa Ingreso - Cita]]),"")</f>
        <v>46229.416666666664</v>
      </c>
      <c r="AI183" s="11">
        <f>IFERROR(IF(MARÍTIMOS[[#This Row],[Etapa Ingreso - Llegada]]="","",MARÍTIMOS[[#This Row],[Etapa Ingreso - Llegada]]),"")</f>
        <v>46229.452777777777</v>
      </c>
      <c r="AJ183" s="11">
        <f>IFERROR(IF(MARÍTIMOS[[#This Row],[Etapa Ingreso - Ingeso]]="","",MARÍTIMOS[[#This Row],[Etapa Ingreso - Ingeso]]),"")</f>
        <v>46229.456250000003</v>
      </c>
      <c r="AK183" s="11">
        <f>IFERROR(IF(MARÍTIMOS[[#This Row],[Etapa Ingreso - Atención]]="","",MARÍTIMOS[[#This Row],[Etapa Ingreso - Atención]]),"")</f>
        <v>46229.458333333336</v>
      </c>
      <c r="AL183" s="11">
        <f>IFERROR(IF(MARÍTIMOS[[#This Row],[Etapa Ingreso - Salida]]="","",MARÍTIMOS[[#This Row],[Etapa Ingreso - Salida]]),"")</f>
        <v>46229.463194444441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3" s="5">
        <f>IFERROR(OLDBD[[#This Row],[Llegada a packing]]-OLDBD[[#This Row],[Inicio de Ruta]],"")</f>
        <v>0.94791666666424135</v>
      </c>
      <c r="AQ183" s="6">
        <f>IFERROR(OLDBD[[#This Row],[Inicio de Ruta]]-OLDBD[[#This Row],[Salida de almacén de retiro]],"")</f>
        <v>4.1666666664241347E-2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3" s="9">
        <f>IFERROR(OLDBD[[#This Row],[Ingreso Packing]]-OLDBD[[#This Row],[Registro en Packing]],"")</f>
        <v>1.9444444442342501E-2</v>
      </c>
      <c r="AV183" s="9">
        <f>IFERROR(OLDBD[[#This Row],[Ingreso Packing]]-OLDBD[[#This Row],[Llegada a packing]],"")</f>
        <v>2.6388888887595385E-2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0.73958333333575865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5" t="s">
        <v>181</v>
      </c>
      <c r="BB183" s="53" t="str">
        <f>IFERROR(IF(MARÍTIMOS[[#This Row],[Estatus]]="","",MARÍTIMOS[[#This Row],[Estatus]]),"")</f>
        <v>Confirmado</v>
      </c>
      <c r="BC183" s="45"/>
      <c r="BD183" s="52">
        <f>IFERROR(OLDBD[[#This Row],[Salida de almacén de retiro]]-OLDBD[[#This Row],[Ingreso Almacén de retiro]],"")</f>
        <v>9.6527777779556345E-2</v>
      </c>
      <c r="BE183" s="52">
        <f>IFERROR(OLDBD[[#This Row],[Fin de Carga]]-OLDBD[[#This Row],[Inicio de Carga]],"")</f>
        <v>6.9444444445252884E-2</v>
      </c>
    </row>
    <row r="184" spans="1:57" x14ac:dyDescent="0.35">
      <c r="A184" s="1"/>
      <c r="B184" s="1">
        <f>IFERROR(IF(MARÍTIMOS[[#This Row],[PP]]="","",MARÍTIMOS[[#This Row],[PP]]),"")</f>
        <v>30</v>
      </c>
      <c r="C184" s="1" t="str">
        <f>IFERROR(IF(MARÍTIMOS[[#This Row],[Sede]]="","",MARÍTIMOS[[#This Row],[Sede]]),"")</f>
        <v>Chao</v>
      </c>
      <c r="D184" s="1" t="str">
        <f>IFERROR(IF(MARÍTIMOS[[#This Row],[Instruction]]="","",MARÍTIMOS[[#This Row],[Instruction]]),"")</f>
        <v>RH-0255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SI</v>
      </c>
      <c r="H184" s="2" t="str">
        <f>IFERROR(IF(MARÍTIMOS[[#This Row],[Razón Social]]="","",MARÍTIMOS[[#This Row],[Razón Social]]),"")</f>
        <v>TRANSCAR MATHEO SOCIEDAD ANONIMA CERRADA</v>
      </c>
      <c r="I184" s="2">
        <f>IFERROR(IF(MARÍTIMOS[[#This Row],[RUC]]="","",MARÍTIMOS[[#This Row],[RUC]]),"")</f>
        <v>20612886921</v>
      </c>
      <c r="J184" s="2" t="str">
        <f>IFERROR(IF(MARÍTIMOS[[#This Row],[Placa Tracto]]="","",MARÍTIMOS[[#This Row],[Placa Tracto]]),"")</f>
        <v>T9I-827</v>
      </c>
      <c r="K184" s="2" t="str">
        <f>IFERROR(IF(MARÍTIMOS[[#This Row],[Placa Carreta]]="","",MARÍTIMOS[[#This Row],[Placa Carreta]]),"")</f>
        <v>TOU-976</v>
      </c>
      <c r="L184" s="46" t="str">
        <f>IFERROR(IF(MARÍTIMOS[[#This Row],[Conductor]]="","",MARÍTIMOS[[#This Row],[Conductor]]),"")</f>
        <v>CRUZ ATO CARLOS DAVID</v>
      </c>
      <c r="M184" s="2" t="str">
        <f>IFERROR(IF(MARÍTIMOS[[#This Row],[Licencia]]="","",MARÍTIMOS[[#This Row],[Licencia]]),"")</f>
        <v>B03681030</v>
      </c>
      <c r="N184" s="2" t="str">
        <f>IFERROR(IF(MARÍTIMOS[[#This Row],[Número de Contacto]]="","",MARÍTIMOS[[#This Row],[Número de Contacto]]),"")</f>
        <v>978 069 655</v>
      </c>
      <c r="O184" s="10" t="str">
        <f>IFERROR(IF(MARÍTIMOS[[#This Row],[Booking|AWB|CRT]]="","",MARÍTIMOS[[#This Row],[Booking|AWB|CRT]]),"")</f>
        <v>BN79753</v>
      </c>
      <c r="P184" s="2" t="str">
        <f>IFERROR(IF(MARÍTIMOS[[#This Row],[Contenedor]]="","",MARÍTIMOS[[#This Row],[Contenedor]]),"")</f>
        <v>TEMU9788666</v>
      </c>
      <c r="Q184" s="2" t="str">
        <f>IFERROR(IF(MARÍTIMOS[[#This Row],[Puerto de Retiro]]="","",MARÍTIMOS[[#This Row],[Puerto de Retiro]]),"")</f>
        <v>PAITA</v>
      </c>
      <c r="R184" s="2" t="str">
        <f>IFERROR(IF(MARÍTIMOS[[#This Row],[Almacén de Retiro]]="","",MARÍTIMOS[[#This Row],[Almacén de Retiro]]),"")</f>
        <v>DPW</v>
      </c>
      <c r="S184" s="11">
        <f>IFERROR(IF(MARÍTIMOS[[#This Row],[Etapa Retiro - Cita]]="","",MARÍTIMOS[[#This Row],[Etapa Retiro - Cita]]),"")</f>
        <v>46228.458333333336</v>
      </c>
      <c r="T184" s="11">
        <f>IFERROR(IF(MARÍTIMOS[[#This Row],[Etapa Retiro - Llegada]]="","",MARÍTIMOS[[#This Row],[Etapa Retiro - Llegada]]),"")</f>
        <v>46228.463888888888</v>
      </c>
      <c r="U184" s="11">
        <f>IFERROR(IF(MARÍTIMOS[[#This Row],[Etapa Retiro - Ingreso]]="","",MARÍTIMOS[[#This Row],[Etapa Retiro - Ingreso]]),"")</f>
        <v>46228.46875</v>
      </c>
      <c r="V184" s="11">
        <f>IFERROR(IF(MARÍTIMOS[[#This Row],[Etapa Retiro - Atención]]="","",MARÍTIMOS[[#This Row],[Etapa Retiro - Atención]]),"")</f>
        <v>46228.475694444445</v>
      </c>
      <c r="W184" s="11">
        <f>IFERROR(IF(MARÍTIMOS[[#This Row],[Etapa Retiro - Salida]]="","",MARÍTIMOS[[#This Row],[Etapa Retiro - Salida]]),"")</f>
        <v>46228.621527777781</v>
      </c>
      <c r="X184" s="11">
        <f>IFERROR(IF(MARÍTIMOS[[#This Row],[Etapa Retiro - Inicio de Ruta]]="","",MARÍTIMOS[[#This Row],[Etapa Retiro - Inicio de Ruta]]),"")</f>
        <v>46228.663194444445</v>
      </c>
      <c r="Y184" s="11">
        <f>IFERROR(IF(MARÍTIMOS[[#This Row],[Hora de Posicionamiento]]="","",MARÍTIMOS[[#This Row],[Hora de Carga]]+MARÍTIMOS[[#This Row],[Hora de Posicionamiento]]),"")</f>
        <v>0.75</v>
      </c>
      <c r="Z184" s="11">
        <f>IFERROR(IF(MARÍTIMOS[[#This Row],[Etapa Despacho -  Llegada]]="","",MARÍTIMOS[[#This Row],[Etapa Despacho -  Llegada]]),"")</f>
        <v>46229.315972222219</v>
      </c>
      <c r="AA184" s="11">
        <f>IFERROR(IF(MARÍTIMOS[[#This Row],[Etapa Despacho -  Registro]]="","",MARÍTIMOS[[#This Row],[Etapa Despacho -  Registro]]),"")</f>
        <v>46229.322916666664</v>
      </c>
      <c r="AB184" s="11">
        <f>IFERROR(IF(MARÍTIMOS[[#This Row],[Inspección Externa]]="","",MARÍTIMOS[[#This Row],[Inspección Externa]]),"")</f>
        <v>46229.340277777781</v>
      </c>
      <c r="AC184" s="11">
        <f>IFERROR(IF(MARÍTIMOS[[#This Row],[Etapa Despacho -  Inicio de Carga]]="","",MARÍTIMOS[[#This Row],[Etapa Despacho -  Inicio de Carga]]),"")</f>
        <v>46229.381944444445</v>
      </c>
      <c r="AD184" s="11">
        <f>IFERROR(IF(MARÍTIMOS[[#This Row],[Etapa Despacho -  Fin de Carga]]="","",MARÍTIMOS[[#This Row],[Etapa Despacho -  Fin de Carga]]),"")</f>
        <v>46229.736805555556</v>
      </c>
      <c r="AE184" s="11">
        <f>IFERROR(IF(MARÍTIMOS[[#This Row],[Etapa Despacho -  Salida]]="","",MARÍTIMOS[[#This Row],[Etapa Despacho -  Salida]]),"")</f>
        <v>46229.729861111111</v>
      </c>
      <c r="AF184" s="2" t="str">
        <f>IFERROR(IF(MARÍTIMOS[[#This Row],[Puerto de Embarque]]="","",MARÍTIMOS[[#This Row],[Puerto de Embarque]]),"")</f>
        <v>Paita</v>
      </c>
      <c r="AG184" s="2" t="str">
        <f>IFERROR(IF(MARÍTIMOS[[#This Row],[Almacén de Ingreso]]="","",MARÍTIMOS[[#This Row],[Almacén de Ingreso]]),"")</f>
        <v>TPE</v>
      </c>
      <c r="AH184" s="11">
        <f>IFERROR(IF(MARÍTIMOS[[#This Row],[Etapa Ingreso - Cita]]="","",MARÍTIMOS[[#This Row],[Etapa Ingreso - Cita]]),"")</f>
        <v>46230.375</v>
      </c>
      <c r="AI184" s="11">
        <f>IFERROR(IF(MARÍTIMOS[[#This Row],[Etapa Ingreso - Llegada]]="","",MARÍTIMOS[[#This Row],[Etapa Ingreso - Llegada]]),"")</f>
        <v>46230.404861111114</v>
      </c>
      <c r="AJ184" s="11">
        <f>IFERROR(IF(MARÍTIMOS[[#This Row],[Etapa Ingreso - Ingeso]]="","",MARÍTIMOS[[#This Row],[Etapa Ingreso - Ingeso]]),"")</f>
        <v>46230.413194444445</v>
      </c>
      <c r="AK184" s="11">
        <f>IFERROR(IF(MARÍTIMOS[[#This Row],[Etapa Ingreso - Atención]]="","",MARÍTIMOS[[#This Row],[Etapa Ingreso - Atención]]),"")</f>
        <v>46230.416666666664</v>
      </c>
      <c r="AL184" s="11">
        <f>IFERROR(IF(MARÍTIMOS[[#This Row],[Etapa Ingreso - Salida]]="","",MARÍTIMOS[[#This Row],[Etapa Ingreso - Salida]]),"")</f>
        <v>46230.42083333333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4" s="5">
        <f>IFERROR(OLDBD[[#This Row],[Llegada a packing]]-OLDBD[[#This Row],[Inicio de Ruta]],"")</f>
        <v>0.65277777777373558</v>
      </c>
      <c r="AQ184" s="6">
        <f>IFERROR(OLDBD[[#This Row],[Inicio de Ruta]]-OLDBD[[#This Row],[Salida de almacén de retiro]],"")</f>
        <v>4.1666666664241347E-2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4" s="9">
        <f>IFERROR(OLDBD[[#This Row],[Ingreso Packing]]-OLDBD[[#This Row],[Registro en Packing]],"")</f>
        <v>1.7361111116770189E-2</v>
      </c>
      <c r="AV184" s="9">
        <f>IFERROR(OLDBD[[#This Row],[Ingreso Packing]]-OLDBD[[#This Row],[Llegada a packing]],"")</f>
        <v>2.4305555562023073E-2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4" s="5">
        <f>IFERROR(OLDBD[[#This Row],[Llegada Almacén de Ingreso]]-OLDBD[[#This Row],[Salida Packing]],"")</f>
        <v>0.67500000000291038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5" t="s">
        <v>181</v>
      </c>
      <c r="BB184" s="53" t="str">
        <f>IFERROR(IF(MARÍTIMOS[[#This Row],[Estatus]]="","",MARÍTIMOS[[#This Row],[Estatus]]),"")</f>
        <v>Confirmado</v>
      </c>
      <c r="BC184" s="45"/>
      <c r="BD184" s="52">
        <f>IFERROR(OLDBD[[#This Row],[Salida de almacén de retiro]]-OLDBD[[#This Row],[Ingreso Almacén de retiro]],"")</f>
        <v>0.15277777778101154</v>
      </c>
      <c r="BE184" s="52">
        <f>IFERROR(OLDBD[[#This Row],[Fin de Carga]]-OLDBD[[#This Row],[Inicio de Carga]],"")</f>
        <v>0.35486111111094942</v>
      </c>
    </row>
    <row r="185" spans="1:57" x14ac:dyDescent="0.35">
      <c r="A185" s="1"/>
      <c r="B185" s="1">
        <f>IFERROR(IF(MARÍTIMOS[[#This Row],[PP]]="","",MARÍTIMOS[[#This Row],[PP]]),"")</f>
        <v>30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RH-0256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SI</v>
      </c>
      <c r="H185" s="2" t="str">
        <f>IFERROR(IF(MARÍTIMOS[[#This Row],[Razón Social]]="","",MARÍTIMOS[[#This Row],[Razón Social]]),"")</f>
        <v>TRANSPORTES KALING SOCIEDAD ANONIMA CERRADA</v>
      </c>
      <c r="I185" s="2">
        <f>IFERROR(IF(MARÍTIMOS[[#This Row],[RUC]]="","",MARÍTIMOS[[#This Row],[RUC]]),"")</f>
        <v>20611958651</v>
      </c>
      <c r="J185" s="2" t="str">
        <f>IFERROR(IF(MARÍTIMOS[[#This Row],[Placa Tracto]]="","",MARÍTIMOS[[#This Row],[Placa Tracto]]),"")</f>
        <v>TFE-890</v>
      </c>
      <c r="K185" s="2" t="str">
        <f>IFERROR(IF(MARÍTIMOS[[#This Row],[Placa Carreta]]="","",MARÍTIMOS[[#This Row],[Placa Carreta]]),"")</f>
        <v>T0R-993</v>
      </c>
      <c r="L185" s="46" t="str">
        <f>IFERROR(IF(MARÍTIMOS[[#This Row],[Conductor]]="","",MARÍTIMOS[[#This Row],[Conductor]]),"")</f>
        <v>JUAREZ VILLASECA FELIX WALTER</v>
      </c>
      <c r="M185" s="2" t="str">
        <f>IFERROR(IF(MARÍTIMOS[[#This Row],[Licencia]]="","",MARÍTIMOS[[#This Row],[Licencia]]),"")</f>
        <v>B03659725</v>
      </c>
      <c r="N185" s="2" t="str">
        <f>IFERROR(IF(MARÍTIMOS[[#This Row],[Número de Contacto]]="","",MARÍTIMOS[[#This Row],[Número de Contacto]]),"")</f>
        <v>975 059 655</v>
      </c>
      <c r="O185" s="10" t="str">
        <f>IFERROR(IF(MARÍTIMOS[[#This Row],[Booking|AWB|CRT]]="","",MARÍTIMOS[[#This Row],[Booking|AWB|CRT]]),"")</f>
        <v>BN79754</v>
      </c>
      <c r="P185" s="2" t="str">
        <f>IFERROR(IF(MARÍTIMOS[[#This Row],[Contenedor]]="","",MARÍTIMOS[[#This Row],[Contenedor]]),"")</f>
        <v>TEMU9502793</v>
      </c>
      <c r="Q185" s="2" t="str">
        <f>IFERROR(IF(MARÍTIMOS[[#This Row],[Puerto de Retiro]]="","",MARÍTIMOS[[#This Row],[Puerto de Retiro]]),"")</f>
        <v>PAITA</v>
      </c>
      <c r="R185" s="2" t="str">
        <f>IFERROR(IF(MARÍTIMOS[[#This Row],[Almacén de Retiro]]="","",MARÍTIMOS[[#This Row],[Almacén de Retiro]]),"")</f>
        <v>DPW</v>
      </c>
      <c r="S185" s="11">
        <f>IFERROR(IF(MARÍTIMOS[[#This Row],[Etapa Retiro - Cita]]="","",MARÍTIMOS[[#This Row],[Etapa Retiro - Cita]]),"")</f>
        <v>46228.458333333336</v>
      </c>
      <c r="T185" s="11">
        <f>IFERROR(IF(MARÍTIMOS[[#This Row],[Etapa Retiro - Llegada]]="","",MARÍTIMOS[[#This Row],[Etapa Retiro - Llegada]]),"")</f>
        <v>46228.458333333336</v>
      </c>
      <c r="U185" s="11">
        <f>IFERROR(IF(MARÍTIMOS[[#This Row],[Etapa Retiro - Ingreso]]="","",MARÍTIMOS[[#This Row],[Etapa Retiro - Ingreso]]),"")</f>
        <v>46228.493750000001</v>
      </c>
      <c r="V185" s="11">
        <f>IFERROR(IF(MARÍTIMOS[[#This Row],[Etapa Retiro - Atención]]="","",MARÍTIMOS[[#This Row],[Etapa Retiro - Atención]]),"")</f>
        <v>46228.5</v>
      </c>
      <c r="W185" s="11">
        <f>IFERROR(IF(MARÍTIMOS[[#This Row],[Etapa Retiro - Salida]]="","",MARÍTIMOS[[#This Row],[Etapa Retiro - Salida]]),"")</f>
        <v>46228.529861111114</v>
      </c>
      <c r="X185" s="11">
        <f>IFERROR(IF(MARÍTIMOS[[#This Row],[Etapa Retiro - Inicio de Ruta]]="","",MARÍTIMOS[[#This Row],[Etapa Retiro - Inicio de Ruta]]),"")</f>
        <v>46228.571527777778</v>
      </c>
      <c r="Y185" s="11">
        <f>IFERROR(IF(MARÍTIMOS[[#This Row],[Hora de Posicionamiento]]="","",MARÍTIMOS[[#This Row],[Hora de Carga]]+MARÍTIMOS[[#This Row],[Hora de Posicionamiento]]),"")</f>
        <v>0.75</v>
      </c>
      <c r="Z185" s="11">
        <f>IFERROR(IF(MARÍTIMOS[[#This Row],[Etapa Despacho -  Llegada]]="","",MARÍTIMOS[[#This Row],[Etapa Despacho -  Llegada]]),"")</f>
        <v>46229.524305555555</v>
      </c>
      <c r="AA185" s="11">
        <f>IFERROR(IF(MARÍTIMOS[[#This Row],[Etapa Despacho -  Registro]]="","",MARÍTIMOS[[#This Row],[Etapa Despacho -  Registro]]),"")</f>
        <v>46229.53125</v>
      </c>
      <c r="AB185" s="11">
        <f>IFERROR(IF(MARÍTIMOS[[#This Row],[Inspección Externa]]="","",MARÍTIMOS[[#This Row],[Inspección Externa]]),"")</f>
        <v>46229.548611111109</v>
      </c>
      <c r="AC185" s="11">
        <f>IFERROR(IF(MARÍTIMOS[[#This Row],[Etapa Despacho -  Inicio de Carga]]="","",MARÍTIMOS[[#This Row],[Etapa Despacho -  Inicio de Carga]]),"")</f>
        <v>46229.590277777781</v>
      </c>
      <c r="AD185" s="11">
        <f>IFERROR(IF(MARÍTIMOS[[#This Row],[Etapa Despacho -  Fin de Carga]]="","",MARÍTIMOS[[#This Row],[Etapa Despacho -  Fin de Carga]]),"")</f>
        <v>46229.743055555555</v>
      </c>
      <c r="AE185" s="11">
        <f>IFERROR(IF(MARÍTIMOS[[#This Row],[Etapa Despacho -  Salida]]="","",MARÍTIMOS[[#This Row],[Etapa Despacho -  Salida]]),"")</f>
        <v>46229.736111111109</v>
      </c>
      <c r="AF185" s="2" t="str">
        <f>IFERROR(IF(MARÍTIMOS[[#This Row],[Puerto de Embarque]]="","",MARÍTIMOS[[#This Row],[Puerto de Embarque]]),"")</f>
        <v>Paita</v>
      </c>
      <c r="AG185" s="2" t="str">
        <f>IFERROR(IF(MARÍTIMOS[[#This Row],[Almacén de Ingreso]]="","",MARÍTIMOS[[#This Row],[Almacén de Ingreso]]),"")</f>
        <v>TPE</v>
      </c>
      <c r="AH185" s="11">
        <f>IFERROR(IF(MARÍTIMOS[[#This Row],[Etapa Ingreso - Cita]]="","",MARÍTIMOS[[#This Row],[Etapa Ingreso - Cita]]),"")</f>
        <v>46230.375</v>
      </c>
      <c r="AI185" s="11">
        <f>IFERROR(IF(MARÍTIMOS[[#This Row],[Etapa Ingreso - Llegada]]="","",MARÍTIMOS[[#This Row],[Etapa Ingreso - Llegada]]),"")</f>
        <v>46230.382638888892</v>
      </c>
      <c r="AJ185" s="11">
        <f>IFERROR(IF(MARÍTIMOS[[#This Row],[Etapa Ingreso - Ingeso]]="","",MARÍTIMOS[[#This Row],[Etapa Ingreso - Ingeso]]),"")</f>
        <v>46230.38958333333</v>
      </c>
      <c r="AK185" s="11">
        <f>IFERROR(IF(MARÍTIMOS[[#This Row],[Etapa Ingreso - Atención]]="","",MARÍTIMOS[[#This Row],[Etapa Ingreso - Atención]]),"")</f>
        <v>46230.396527777775</v>
      </c>
      <c r="AL185" s="11">
        <f>IFERROR(IF(MARÍTIMOS[[#This Row],[Etapa Ingreso - Salida]]="","",MARÍTIMOS[[#This Row],[Etapa Ingreso - Salida]]),"")</f>
        <v>46230.414583333331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5" s="5">
        <f>IFERROR(OLDBD[[#This Row],[Llegada a packing]]-OLDBD[[#This Row],[Inicio de Ruta]],"")</f>
        <v>0.95277777777664596</v>
      </c>
      <c r="AQ185" s="6">
        <f>IFERROR(OLDBD[[#This Row],[Inicio de Ruta]]-OLDBD[[#This Row],[Salida de almacén de retiro]],"")</f>
        <v>4.1666666664241347E-2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1.7361111109494232E-2</v>
      </c>
      <c r="AV185" s="9">
        <f>IFERROR(OLDBD[[#This Row],[Ingreso Packing]]-OLDBD[[#This Row],[Llegada a packing]],"")</f>
        <v>2.4305555554747116E-2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0.64652777778246673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5" t="s">
        <v>181</v>
      </c>
      <c r="BB185" s="53" t="str">
        <f>IFERROR(IF(MARÍTIMOS[[#This Row],[Estatus]]="","",MARÍTIMOS[[#This Row],[Estatus]]),"")</f>
        <v>Confirmado</v>
      </c>
      <c r="BC185" s="45"/>
      <c r="BD185" s="52">
        <f>IFERROR(OLDBD[[#This Row],[Salida de almacén de retiro]]-OLDBD[[#This Row],[Ingreso Almacén de retiro]],"")</f>
        <v>3.6111111112404615E-2</v>
      </c>
      <c r="BE185" s="52">
        <f>IFERROR(OLDBD[[#This Row],[Fin de Carga]]-OLDBD[[#This Row],[Inicio de Carga]],"")</f>
        <v>0.15277777777373558</v>
      </c>
    </row>
    <row r="186" spans="1:57" x14ac:dyDescent="0.35">
      <c r="A186" s="1"/>
      <c r="B186" s="1">
        <f>IFERROR(IF(MARÍTIMOS[[#This Row],[PP]]="","",MARÍTIMOS[[#This Row],[PP]]),"")</f>
        <v>30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RH-0257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NO</v>
      </c>
      <c r="H186" s="2" t="str">
        <f>IFERROR(IF(MARÍTIMOS[[#This Row],[Razón Social]]="","",MARÍTIMOS[[#This Row],[Razón Social]]),"")</f>
        <v xml:space="preserve">LOGISTICA INTERMODAL DEL PERU S.A.C.
</v>
      </c>
      <c r="I186" s="2">
        <f>IFERROR(IF(MARÍTIMOS[[#This Row],[RUC]]="","",MARÍTIMOS[[#This Row],[RUC]]),"")</f>
        <v>20513040718</v>
      </c>
      <c r="J186" s="2" t="str">
        <f>IFERROR(IF(MARÍTIMOS[[#This Row],[Placa Tracto]]="","",MARÍTIMOS[[#This Row],[Placa Tracto]]),"")</f>
        <v>AZH-828</v>
      </c>
      <c r="K186" s="2" t="str">
        <f>IFERROR(IF(MARÍTIMOS[[#This Row],[Placa Carreta]]="","",MARÍTIMOS[[#This Row],[Placa Carreta]]),"")</f>
        <v>AXO-972</v>
      </c>
      <c r="L186" s="46" t="str">
        <f>IFERROR(IF(MARÍTIMOS[[#This Row],[Conductor]]="","",MARÍTIMOS[[#This Row],[Conductor]]),"")</f>
        <v>VARGAS BARRIENTOS JESUS GERMAN</v>
      </c>
      <c r="M186" s="2" t="str">
        <f>IFERROR(IF(MARÍTIMOS[[#This Row],[Licencia]]="","",MARÍTIMOS[[#This Row],[Licencia]]),"")</f>
        <v>B72766316</v>
      </c>
      <c r="N186" s="2" t="str">
        <f>IFERROR(IF(MARÍTIMOS[[#This Row],[Número de Contacto]]="","",MARÍTIMOS[[#This Row],[Número de Contacto]]),"")</f>
        <v>958 005 437</v>
      </c>
      <c r="O186" s="10" t="str">
        <f>IFERROR(IF(MARÍTIMOS[[#This Row],[Booking|AWB|CRT]]="","",MARÍTIMOS[[#This Row],[Booking|AWB|CRT]]),"")</f>
        <v>PER9156769A</v>
      </c>
      <c r="P186" s="2" t="str">
        <f>IFERROR(IF(MARÍTIMOS[[#This Row],[Contenedor]]="","",MARÍTIMOS[[#This Row],[Contenedor]]),"")</f>
        <v>CAAU4081885</v>
      </c>
      <c r="Q186" s="2" t="str">
        <f>IFERROR(IF(MARÍTIMOS[[#This Row],[Puerto de Retiro]]="","",MARÍTIMOS[[#This Row],[Puerto de Retiro]]),"")</f>
        <v>PAITA</v>
      </c>
      <c r="R186" s="2" t="str">
        <f>IFERROR(IF(MARÍTIMOS[[#This Row],[Almacén de Retiro]]="","",MARÍTIMOS[[#This Row],[Almacén de Retiro]]),"")</f>
        <v>DPW</v>
      </c>
      <c r="S186" s="11">
        <f>IFERROR(IF(MARÍTIMOS[[#This Row],[Etapa Retiro - Cita]]="","",MARÍTIMOS[[#This Row],[Etapa Retiro - Cita]]),"")</f>
        <v>46227.458333333336</v>
      </c>
      <c r="T186" s="11">
        <f>IFERROR(IF(MARÍTIMOS[[#This Row],[Etapa Retiro - Llegada]]="","",MARÍTIMOS[[#This Row],[Etapa Retiro - Llegada]]),"")</f>
        <v>46227.475694444445</v>
      </c>
      <c r="U186" s="11">
        <f>IFERROR(IF(MARÍTIMOS[[#This Row],[Etapa Retiro - Ingreso]]="","",MARÍTIMOS[[#This Row],[Etapa Retiro - Ingreso]]),"")</f>
        <v>46227.481249999997</v>
      </c>
      <c r="V186" s="11">
        <f>IFERROR(IF(MARÍTIMOS[[#This Row],[Etapa Retiro - Atención]]="","",MARÍTIMOS[[#This Row],[Etapa Retiro - Atención]]),"")</f>
        <v>46227.488194444442</v>
      </c>
      <c r="W186" s="11">
        <f>IFERROR(IF(MARÍTIMOS[[#This Row],[Etapa Retiro - Salida]]="","",MARÍTIMOS[[#This Row],[Etapa Retiro - Salida]]),"")</f>
        <v>46227.591666666667</v>
      </c>
      <c r="X186" s="11">
        <f>IFERROR(IF(MARÍTIMOS[[#This Row],[Etapa Retiro - Inicio de Ruta]]="","",MARÍTIMOS[[#This Row],[Etapa Retiro - Inicio de Ruta]]),"")</f>
        <v>46227.633333333331</v>
      </c>
      <c r="Y186" s="11">
        <f>IFERROR(IF(MARÍTIMOS[[#This Row],[Hora de Posicionamiento]]="","",MARÍTIMOS[[#This Row],[Hora de Carga]]+MARÍTIMOS[[#This Row],[Hora de Posicionamiento]]),"")</f>
        <v>0.75</v>
      </c>
      <c r="Z186" s="11">
        <f>IFERROR(IF(MARÍTIMOS[[#This Row],[Etapa Despacho -  Llegada]]="","",MARÍTIMOS[[#This Row],[Etapa Despacho -  Llegada]]),"")</f>
        <v>46228.366666666669</v>
      </c>
      <c r="AA186" s="11">
        <f>IFERROR(IF(MARÍTIMOS[[#This Row],[Etapa Despacho -  Registro]]="","",MARÍTIMOS[[#This Row],[Etapa Despacho -  Registro]]),"")</f>
        <v>46228.373611111114</v>
      </c>
      <c r="AB186" s="11">
        <f>IFERROR(IF(MARÍTIMOS[[#This Row],[Inspección Externa]]="","",MARÍTIMOS[[#This Row],[Inspección Externa]]),"")</f>
        <v>46228.388888888891</v>
      </c>
      <c r="AC186" s="11">
        <f>IFERROR(IF(MARÍTIMOS[[#This Row],[Etapa Despacho -  Inicio de Carga]]="","",MARÍTIMOS[[#This Row],[Etapa Despacho -  Inicio de Carga]]),"")</f>
        <v>46228.430555555555</v>
      </c>
      <c r="AD186" s="11">
        <f>IFERROR(IF(MARÍTIMOS[[#This Row],[Etapa Despacho -  Fin de Carga]]="","",MARÍTIMOS[[#This Row],[Etapa Despacho -  Fin de Carga]]),"")</f>
        <v>46228.708333333336</v>
      </c>
      <c r="AE186" s="11">
        <f>IFERROR(IF(MARÍTIMOS[[#This Row],[Etapa Despacho -  Salida]]="","",MARÍTIMOS[[#This Row],[Etapa Despacho -  Salida]]),"")</f>
        <v>46228.71875</v>
      </c>
      <c r="AF186" s="2" t="str">
        <f>IFERROR(IF(MARÍTIMOS[[#This Row],[Puerto de Embarque]]="","",MARÍTIMOS[[#This Row],[Puerto de Embarque]]),"")</f>
        <v>Paita</v>
      </c>
      <c r="AG186" s="2" t="str">
        <f>IFERROR(IF(MARÍTIMOS[[#This Row],[Almacén de Ingreso]]="","",MARÍTIMOS[[#This Row],[Almacén de Ingreso]]),"")</f>
        <v>TPE</v>
      </c>
      <c r="AH186" s="11">
        <f>IFERROR(IF(MARÍTIMOS[[#This Row],[Etapa Ingreso - Cita]]="","",MARÍTIMOS[[#This Row],[Etapa Ingreso - Cita]]),"")</f>
        <v>46229.416666666664</v>
      </c>
      <c r="AI186" s="11">
        <f>IFERROR(IF(MARÍTIMOS[[#This Row],[Etapa Ingreso - Llegada]]="","",MARÍTIMOS[[#This Row],[Etapa Ingreso - Llegada]]),"")</f>
        <v>46229.427777777775</v>
      </c>
      <c r="AJ186" s="11">
        <f>IFERROR(IF(MARÍTIMOS[[#This Row],[Etapa Ingreso - Ingeso]]="","",MARÍTIMOS[[#This Row],[Etapa Ingreso - Ingeso]]),"")</f>
        <v>46229.432638888888</v>
      </c>
      <c r="AK186" s="11">
        <f>IFERROR(IF(MARÍTIMOS[[#This Row],[Etapa Ingreso - Atención]]="","",MARÍTIMOS[[#This Row],[Etapa Ingreso - Atención]]),"")</f>
        <v>46229.4375</v>
      </c>
      <c r="AL186" s="11">
        <f>IFERROR(IF(MARÍTIMOS[[#This Row],[Etapa Ingreso - Salida]]="","",MARÍTIMOS[[#This Row],[Etapa Ingreso - Salida]]),"")</f>
        <v>46229.438888888886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6" s="5">
        <f>IFERROR(OLDBD[[#This Row],[Llegada a packing]]-OLDBD[[#This Row],[Inicio de Ruta]],"")</f>
        <v>0.73333333333721384</v>
      </c>
      <c r="AQ186" s="6">
        <f>IFERROR(OLDBD[[#This Row],[Inicio de Ruta]]-OLDBD[[#This Row],[Salida de almacén de retiro]],"")</f>
        <v>4.1666666664241347E-2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>
        <f>IFERROR(OLDBD[[#This Row],[Ingreso Packing]]-OLDBD[[#This Row],[Registro en Packing]],"")</f>
        <v>1.5277777776645962E-2</v>
      </c>
      <c r="AV186" s="9">
        <f>IFERROR(OLDBD[[#This Row],[Ingreso Packing]]-OLDBD[[#This Row],[Llegada a packing]],"")</f>
        <v>2.2222222221898846E-2</v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6" s="5">
        <f>IFERROR(OLDBD[[#This Row],[Llegada Almacén de Ingreso]]-OLDBD[[#This Row],[Salida Packing]],"")</f>
        <v>0.70902777777519077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5" t="s">
        <v>181</v>
      </c>
      <c r="BB186" s="53" t="str">
        <f>IFERROR(IF(MARÍTIMOS[[#This Row],[Estatus]]="","",MARÍTIMOS[[#This Row],[Estatus]]),"")</f>
        <v>Confirmado</v>
      </c>
      <c r="BC186" s="45"/>
      <c r="BD186" s="52">
        <f>IFERROR(OLDBD[[#This Row],[Salida de almacén de retiro]]-OLDBD[[#This Row],[Ingreso Almacén de retiro]],"")</f>
        <v>0.11041666667006211</v>
      </c>
      <c r="BE186" s="52">
        <f>IFERROR(OLDBD[[#This Row],[Fin de Carga]]-OLDBD[[#This Row],[Inicio de Carga]],"")</f>
        <v>0.27777777778101154</v>
      </c>
    </row>
    <row r="187" spans="1:57" x14ac:dyDescent="0.35">
      <c r="A187" s="1"/>
      <c r="B187" s="1">
        <f>IFERROR(IF(MARÍTIMOS[[#This Row],[PP]]="","",MARÍTIMOS[[#This Row],[PP]]),"")</f>
        <v>30</v>
      </c>
      <c r="C187" s="1" t="str">
        <f>IFERROR(IF(MARÍTIMOS[[#This Row],[Sede]]="","",MARÍTIMOS[[#This Row],[Sede]]),"")</f>
        <v>Olmos</v>
      </c>
      <c r="D187" s="1" t="str">
        <f>IFERROR(IF(MARÍTIMOS[[#This Row],[Instruction]]="","",MARÍTIMOS[[#This Row],[Instruction]]),"")</f>
        <v>RH-0258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SI</v>
      </c>
      <c r="H187" s="2" t="str">
        <f>IFERROR(IF(MARÍTIMOS[[#This Row],[Razón Social]]="","",MARÍTIMOS[[#This Row],[Razón Social]]),"")</f>
        <v xml:space="preserve">LOGISTICS TRANSPORT SOCIEDAD ANONIMA CERRADA </v>
      </c>
      <c r="I187" s="2">
        <f>IFERROR(IF(MARÍTIMOS[[#This Row],[RUC]]="","",MARÍTIMOS[[#This Row],[RUC]]),"")</f>
        <v>20614402246</v>
      </c>
      <c r="J187" s="2" t="str">
        <f>IFERROR(IF(MARÍTIMOS[[#This Row],[Placa Tracto]]="","",MARÍTIMOS[[#This Row],[Placa Tracto]]),"")</f>
        <v>D4J-829</v>
      </c>
      <c r="K187" s="2" t="str">
        <f>IFERROR(IF(MARÍTIMOS[[#This Row],[Placa Carreta]]="","",MARÍTIMOS[[#This Row],[Placa Carreta]]),"")</f>
        <v>TPD-978</v>
      </c>
      <c r="L187" s="46" t="str">
        <f>IFERROR(IF(MARÍTIMOS[[#This Row],[Conductor]]="","",MARÍTIMOS[[#This Row],[Conductor]]),"")</f>
        <v>CHIROQUE IMAN JOSE NICOLAS</v>
      </c>
      <c r="M187" s="2" t="str">
        <f>IFERROR(IF(MARÍTIMOS[[#This Row],[Licencia]]="","",MARÍTIMOS[[#This Row],[Licencia]]),"")</f>
        <v>C16578741</v>
      </c>
      <c r="N187" s="2" t="str">
        <f>IFERROR(IF(MARÍTIMOS[[#This Row],[Número de Contacto]]="","",MARÍTIMOS[[#This Row],[Número de Contacto]]),"")</f>
        <v>969 069 655</v>
      </c>
      <c r="O187" s="10" t="str">
        <f>IFERROR(IF(MARÍTIMOS[[#This Row],[Booking|AWB|CRT]]="","",MARÍTIMOS[[#This Row],[Booking|AWB|CRT]]),"")</f>
        <v>PER9156759A</v>
      </c>
      <c r="P187" s="2" t="str">
        <f>IFERROR(IF(MARÍTIMOS[[#This Row],[Contenedor]]="","",MARÍTIMOS[[#This Row],[Contenedor]]),"")</f>
        <v>SEKU9422510</v>
      </c>
      <c r="Q187" s="2" t="str">
        <f>IFERROR(IF(MARÍTIMOS[[#This Row],[Puerto de Retiro]]="","",MARÍTIMOS[[#This Row],[Puerto de Retiro]]),"")</f>
        <v>PAITA</v>
      </c>
      <c r="R187" s="2" t="str">
        <f>IFERROR(IF(MARÍTIMOS[[#This Row],[Almacén de Retiro]]="","",MARÍTIMOS[[#This Row],[Almacén de Retiro]]),"")</f>
        <v>DPW</v>
      </c>
      <c r="S187" s="11">
        <f>IFERROR(IF(MARÍTIMOS[[#This Row],[Etapa Retiro - Cita]]="","",MARÍTIMOS[[#This Row],[Etapa Retiro - Cita]]),"")</f>
        <v>46227.583333333336</v>
      </c>
      <c r="T187" s="11">
        <f>IFERROR(IF(MARÍTIMOS[[#This Row],[Etapa Retiro - Llegada]]="","",MARÍTIMOS[[#This Row],[Etapa Retiro - Llegada]]),"")</f>
        <v>46227.621527777781</v>
      </c>
      <c r="U187" s="11">
        <f>IFERROR(IF(MARÍTIMOS[[#This Row],[Etapa Retiro - Ingreso]]="","",MARÍTIMOS[[#This Row],[Etapa Retiro - Ingreso]]),"")</f>
        <v>46227.659722222219</v>
      </c>
      <c r="V187" s="11">
        <f>IFERROR(IF(MARÍTIMOS[[#This Row],[Etapa Retiro - Atención]]="","",MARÍTIMOS[[#This Row],[Etapa Retiro - Atención]]),"")</f>
        <v>46227.666666666664</v>
      </c>
      <c r="W187" s="11">
        <f>IFERROR(IF(MARÍTIMOS[[#This Row],[Etapa Retiro - Salida]]="","",MARÍTIMOS[[#This Row],[Etapa Retiro - Salida]]),"")</f>
        <v>46227.697222222225</v>
      </c>
      <c r="X187" s="11">
        <f>IFERROR(IF(MARÍTIMOS[[#This Row],[Etapa Retiro - Inicio de Ruta]]="","",MARÍTIMOS[[#This Row],[Etapa Retiro - Inicio de Ruta]]),"")</f>
        <v>46227.738888888889</v>
      </c>
      <c r="Y187" s="11">
        <f>IFERROR(IF(MARÍTIMOS[[#This Row],[Hora de Posicionamiento]]="","",MARÍTIMOS[[#This Row],[Hora de Carga]]+MARÍTIMOS[[#This Row],[Hora de Posicionamiento]]),"")</f>
        <v>0.75</v>
      </c>
      <c r="Z187" s="11">
        <f>IFERROR(IF(MARÍTIMOS[[#This Row],[Etapa Despacho -  Llegada]]="","",MARÍTIMOS[[#This Row],[Etapa Despacho -  Llegada]]),"")</f>
        <v>46228.434027777781</v>
      </c>
      <c r="AA187" s="11">
        <f>IFERROR(IF(MARÍTIMOS[[#This Row],[Etapa Despacho -  Registro]]="","",MARÍTIMOS[[#This Row],[Etapa Despacho -  Registro]]),"")</f>
        <v>46228.440972222219</v>
      </c>
      <c r="AB187" s="11">
        <f>IFERROR(IF(MARÍTIMOS[[#This Row],[Inspección Externa]]="","",MARÍTIMOS[[#This Row],[Inspección Externa]]),"")</f>
        <v>46228.458333333336</v>
      </c>
      <c r="AC187" s="11">
        <f>IFERROR(IF(MARÍTIMOS[[#This Row],[Etapa Despacho -  Inicio de Carga]]="","",MARÍTIMOS[[#This Row],[Etapa Despacho -  Inicio de Carga]]),"")</f>
        <v>46228.5</v>
      </c>
      <c r="AD187" s="11">
        <f>IFERROR(IF(MARÍTIMOS[[#This Row],[Etapa Despacho -  Fin de Carga]]="","",MARÍTIMOS[[#This Row],[Etapa Despacho -  Fin de Carga]]),"")</f>
        <v>46228.708333333336</v>
      </c>
      <c r="AE187" s="11">
        <f>IFERROR(IF(MARÍTIMOS[[#This Row],[Etapa Despacho -  Salida]]="","",MARÍTIMOS[[#This Row],[Etapa Despacho -  Salida]]),"")</f>
        <v>46228.713194444441</v>
      </c>
      <c r="AF187" s="2" t="str">
        <f>IFERROR(IF(MARÍTIMOS[[#This Row],[Puerto de Embarque]]="","",MARÍTIMOS[[#This Row],[Puerto de Embarque]]),"")</f>
        <v>Paita</v>
      </c>
      <c r="AG187" s="2" t="str">
        <f>IFERROR(IF(MARÍTIMOS[[#This Row],[Almacén de Ingreso]]="","",MARÍTIMOS[[#This Row],[Almacén de Ingreso]]),"")</f>
        <v>TPE</v>
      </c>
      <c r="AH187" s="11">
        <f>IFERROR(IF(MARÍTIMOS[[#This Row],[Etapa Ingreso - Cita]]="","",MARÍTIMOS[[#This Row],[Etapa Ingreso - Cita]]),"")</f>
        <v>46229.5</v>
      </c>
      <c r="AI187" s="11">
        <f>IFERROR(IF(MARÍTIMOS[[#This Row],[Etapa Ingreso - Llegada]]="","",MARÍTIMOS[[#This Row],[Etapa Ingreso - Llegada]]),"")</f>
        <v>46229.507638888892</v>
      </c>
      <c r="AJ187" s="11">
        <f>IFERROR(IF(MARÍTIMOS[[#This Row],[Etapa Ingreso - Ingeso]]="","",MARÍTIMOS[[#This Row],[Etapa Ingreso - Ingeso]]),"")</f>
        <v>46229.519444444442</v>
      </c>
      <c r="AK187" s="11">
        <f>IFERROR(IF(MARÍTIMOS[[#This Row],[Etapa Ingreso - Atención]]="","",MARÍTIMOS[[#This Row],[Etapa Ingreso - Atención]]),"")</f>
        <v>46229.524305555555</v>
      </c>
      <c r="AL187" s="11">
        <f>IFERROR(IF(MARÍTIMOS[[#This Row],[Etapa Ingreso - Salida]]="","",MARÍTIMOS[[#This Row],[Etapa Ingreso - Salida]]),"")</f>
        <v>46229.52847222222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7" s="5">
        <f>IFERROR(OLDBD[[#This Row],[Llegada a packing]]-OLDBD[[#This Row],[Inicio de Ruta]],"")</f>
        <v>0.69513888889196096</v>
      </c>
      <c r="AQ187" s="6">
        <f>IFERROR(OLDBD[[#This Row],[Inicio de Ruta]]-OLDBD[[#This Row],[Salida de almacén de retiro]],"")</f>
        <v>4.1666666664241347E-2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1.7361111116770189E-2</v>
      </c>
      <c r="AV187" s="9">
        <f>IFERROR(OLDBD[[#This Row],[Ingreso Packing]]-OLDBD[[#This Row],[Llegada a packing]],"")</f>
        <v>2.4305555554747116E-2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7" s="5">
        <f>IFERROR(OLDBD[[#This Row],[Llegada Almacén de Ingreso]]-OLDBD[[#This Row],[Salida Packing]],"")</f>
        <v>0.79444444445107365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5" t="s">
        <v>181</v>
      </c>
      <c r="BB187" s="53" t="str">
        <f>IFERROR(IF(MARÍTIMOS[[#This Row],[Estatus]]="","",MARÍTIMOS[[#This Row],[Estatus]]),"")</f>
        <v>Confirmado</v>
      </c>
      <c r="BC187" s="45"/>
      <c r="BD187" s="52">
        <f>IFERROR(OLDBD[[#This Row],[Salida de almacén de retiro]]-OLDBD[[#This Row],[Ingreso Almacén de retiro]],"")</f>
        <v>3.7500000005820766E-2</v>
      </c>
      <c r="BE187" s="52">
        <f>IFERROR(OLDBD[[#This Row],[Fin de Carga]]-OLDBD[[#This Row],[Inicio de Carga]],"")</f>
        <v>0.20833333333575865</v>
      </c>
    </row>
    <row r="188" spans="1:57" x14ac:dyDescent="0.35">
      <c r="A188" s="1"/>
      <c r="B188" s="1">
        <f>IFERROR(IF(MARÍTIMOS[[#This Row],[PP]]="","",MARÍTIMOS[[#This Row],[PP]]),"")</f>
        <v>30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RH-0265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NO</v>
      </c>
      <c r="H188" s="2" t="str">
        <f>IFERROR(IF(MARÍTIMOS[[#This Row],[Razón Social]]="","",MARÍTIMOS[[#This Row],[Razón Social]]),"")</f>
        <v xml:space="preserve">LOGISTICA INTERMODAL DEL PERU S.A.C.
</v>
      </c>
      <c r="I188" s="2">
        <f>IFERROR(IF(MARÍTIMOS[[#This Row],[RUC]]="","",MARÍTIMOS[[#This Row],[RUC]]),"")</f>
        <v>20513040718</v>
      </c>
      <c r="J188" s="2" t="str">
        <f>IFERROR(IF(MARÍTIMOS[[#This Row],[Placa Tracto]]="","",MARÍTIMOS[[#This Row],[Placa Tracto]]),"")</f>
        <v>AYO-892</v>
      </c>
      <c r="K188" s="2" t="str">
        <f>IFERROR(IF(MARÍTIMOS[[#This Row],[Placa Carreta]]="","",MARÍTIMOS[[#This Row],[Placa Carreta]]),"")</f>
        <v>AJO-980</v>
      </c>
      <c r="L188" s="46" t="str">
        <f>IFERROR(IF(MARÍTIMOS[[#This Row],[Conductor]]="","",MARÍTIMOS[[#This Row],[Conductor]]),"")</f>
        <v>AVELLANEDA OTERO RENZO MARTIN</v>
      </c>
      <c r="M188" s="2" t="str">
        <f>IFERROR(IF(MARÍTIMOS[[#This Row],[Licencia]]="","",MARÍTIMOS[[#This Row],[Licencia]]),"")</f>
        <v>B40777868</v>
      </c>
      <c r="N188" s="2" t="str">
        <f>IFERROR(IF(MARÍTIMOS[[#This Row],[Número de Contacto]]="","",MARÍTIMOS[[#This Row],[Número de Contacto]]),"")</f>
        <v>934 040 127</v>
      </c>
      <c r="O188" s="10" t="str">
        <f>IFERROR(IF(MARÍTIMOS[[#This Row],[Booking|AWB|CRT]]="","",MARÍTIMOS[[#This Row],[Booking|AWB|CRT]]),"")</f>
        <v>MBM250067105</v>
      </c>
      <c r="P188" s="2" t="str">
        <f>IFERROR(IF(MARÍTIMOS[[#This Row],[Contenedor]]="","",MARÍTIMOS[[#This Row],[Contenedor]]),"")</f>
        <v>FDDU2543021</v>
      </c>
      <c r="Q188" s="2" t="str">
        <f>IFERROR(IF(MARÍTIMOS[[#This Row],[Puerto de Retiro]]="","",MARÍTIMOS[[#This Row],[Puerto de Retiro]]),"")</f>
        <v>PAITA</v>
      </c>
      <c r="R188" s="2" t="str">
        <f>IFERROR(IF(MARÍTIMOS[[#This Row],[Almacén de Retiro]]="","",MARÍTIMOS[[#This Row],[Almacén de Retiro]]),"")</f>
        <v>MACROMAR</v>
      </c>
      <c r="S188" s="11">
        <f>IFERROR(IF(MARÍTIMOS[[#This Row],[Etapa Retiro - Cita]]="","",MARÍTIMOS[[#This Row],[Etapa Retiro - Cita]]),"")</f>
        <v>46225.583333333336</v>
      </c>
      <c r="T188" s="11">
        <f>IFERROR(IF(MARÍTIMOS[[#This Row],[Etapa Retiro - Llegada]]="","",MARÍTIMOS[[#This Row],[Etapa Retiro - Llegada]]),"")</f>
        <v>46225.616666666669</v>
      </c>
      <c r="U188" s="11">
        <f>IFERROR(IF(MARÍTIMOS[[#This Row],[Etapa Retiro - Ingreso]]="","",MARÍTIMOS[[#This Row],[Etapa Retiro - Ingreso]]),"")</f>
        <v>46225.656944444447</v>
      </c>
      <c r="V188" s="11">
        <f>IFERROR(IF(MARÍTIMOS[[#This Row],[Etapa Retiro - Atención]]="","",MARÍTIMOS[[#This Row],[Etapa Retiro - Atención]]),"")</f>
        <v>46225.663194444445</v>
      </c>
      <c r="W188" s="11">
        <f>IFERROR(IF(MARÍTIMOS[[#This Row],[Etapa Retiro - Salida]]="","",MARÍTIMOS[[#This Row],[Etapa Retiro - Salida]]),"")</f>
        <v>46225.753472222219</v>
      </c>
      <c r="X188" s="11">
        <f>IFERROR(IF(MARÍTIMOS[[#This Row],[Etapa Retiro - Inicio de Ruta]]="","",MARÍTIMOS[[#This Row],[Etapa Retiro - Inicio de Ruta]]),"")</f>
        <v>46225.795138888891</v>
      </c>
      <c r="Y188" s="11">
        <f>IFERROR(IF(MARÍTIMOS[[#This Row],[Hora de Posicionamiento]]="","",MARÍTIMOS[[#This Row],[Hora de Carga]]+MARÍTIMOS[[#This Row],[Hora de Posicionamiento]]),"")</f>
        <v>0.75</v>
      </c>
      <c r="Z188" s="11">
        <f>IFERROR(IF(MARÍTIMOS[[#This Row],[Etapa Despacho -  Llegada]]="","",MARÍTIMOS[[#This Row],[Etapa Despacho -  Llegada]]),"")</f>
        <v>46226.52847222222</v>
      </c>
      <c r="AA188" s="11">
        <f>IFERROR(IF(MARÍTIMOS[[#This Row],[Etapa Despacho -  Registro]]="","",MARÍTIMOS[[#This Row],[Etapa Despacho -  Registro]]),"")</f>
        <v>46226.535416666666</v>
      </c>
      <c r="AB188" s="11">
        <f>IFERROR(IF(MARÍTIMOS[[#This Row],[Inspección Externa]]="","",MARÍTIMOS[[#This Row],[Inspección Externa]]),"")</f>
        <v>46226.552083333336</v>
      </c>
      <c r="AC188" s="11">
        <f>IFERROR(IF(MARÍTIMOS[[#This Row],[Etapa Despacho -  Inicio de Carga]]="","",MARÍTIMOS[[#This Row],[Etapa Despacho -  Inicio de Carga]]),"")</f>
        <v>46226.572916666664</v>
      </c>
      <c r="AD188" s="11">
        <f>IFERROR(IF(MARÍTIMOS[[#This Row],[Etapa Despacho -  Fin de Carga]]="","",MARÍTIMOS[[#This Row],[Etapa Despacho -  Fin de Carga]]),"")</f>
        <v>46226.65625</v>
      </c>
      <c r="AE188" s="11">
        <f>IFERROR(IF(MARÍTIMOS[[#This Row],[Etapa Despacho -  Salida]]="","",MARÍTIMOS[[#This Row],[Etapa Despacho -  Salida]]),"")</f>
        <v>46226.663194444445</v>
      </c>
      <c r="AF188" s="2" t="str">
        <f>IFERROR(IF(MARÍTIMOS[[#This Row],[Puerto de Embarque]]="","",MARÍTIMOS[[#This Row],[Puerto de Embarque]]),"")</f>
        <v>Paita</v>
      </c>
      <c r="AG188" s="2" t="str">
        <f>IFERROR(IF(MARÍTIMOS[[#This Row],[Almacén de Ingreso]]="","",MARÍTIMOS[[#This Row],[Almacén de Ingreso]]),"")</f>
        <v>TPE</v>
      </c>
      <c r="AH188" s="11">
        <f>IFERROR(IF(MARÍTIMOS[[#This Row],[Etapa Ingreso - Cita]]="","",MARÍTIMOS[[#This Row],[Etapa Ingreso - Cita]]),"")</f>
        <v>46227.958333333336</v>
      </c>
      <c r="AI188" s="11">
        <f>IFERROR(IF(MARÍTIMOS[[#This Row],[Etapa Ingreso - Llegada]]="","",MARÍTIMOS[[#This Row],[Etapa Ingreso - Llegada]]),"")</f>
        <v>46227.964583333334</v>
      </c>
      <c r="AJ188" s="11">
        <f>IFERROR(IF(MARÍTIMOS[[#This Row],[Etapa Ingreso - Ingeso]]="","",MARÍTIMOS[[#This Row],[Etapa Ingreso - Ingeso]]),"")</f>
        <v>46227.970833333333</v>
      </c>
      <c r="AK188" s="11">
        <f>IFERROR(IF(MARÍTIMOS[[#This Row],[Etapa Ingreso - Atención]]="","",MARÍTIMOS[[#This Row],[Etapa Ingreso - Atención]]),"")</f>
        <v>46227.975694444445</v>
      </c>
      <c r="AL188" s="11">
        <f>IFERROR(IF(MARÍTIMOS[[#This Row],[Etapa Ingreso - Salida]]="","",MARÍTIMOS[[#This Row],[Etapa Ingreso - Salida]]),"")</f>
        <v>46227.979861111111</v>
      </c>
      <c r="AM188" s="2">
        <f>IFERROR(IF(MARÍTIMOS[[#This Row],[FCL]]="","",MARÍTIMOS[[#This Row],[FCL]]),"")</f>
        <v>0.5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8" s="5">
        <f>IFERROR(OLDBD[[#This Row],[Llegada a packing]]-OLDBD[[#This Row],[Inicio de Ruta]],"")</f>
        <v>0.73333333332993789</v>
      </c>
      <c r="AQ188" s="6">
        <f>IFERROR(OLDBD[[#This Row],[Inicio de Ruta]]-OLDBD[[#This Row],[Salida de almacén de retiro]],"")</f>
        <v>4.1666666671517305E-2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1.6666666670062114E-2</v>
      </c>
      <c r="AV188" s="9">
        <f>IFERROR(OLDBD[[#This Row],[Ingreso Packing]]-OLDBD[[#This Row],[Llegada a packing]],"")</f>
        <v>2.3611111115314998E-2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8" s="5">
        <f>IFERROR(OLDBD[[#This Row],[Llegada Almacén de Ingreso]]-OLDBD[[#This Row],[Salida Packing]],"")</f>
        <v>1.3013888888890506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5" t="s">
        <v>181</v>
      </c>
      <c r="BB188" s="53" t="str">
        <f>IFERROR(IF(MARÍTIMOS[[#This Row],[Estatus]]="","",MARÍTIMOS[[#This Row],[Estatus]]),"")</f>
        <v>Confirmado</v>
      </c>
      <c r="BC188" s="45"/>
      <c r="BD188" s="52">
        <f>IFERROR(OLDBD[[#This Row],[Salida de almacén de retiro]]-OLDBD[[#This Row],[Ingreso Almacén de retiro]],"")</f>
        <v>9.6527777772280388E-2</v>
      </c>
      <c r="BE188" s="52">
        <f>IFERROR(OLDBD[[#This Row],[Fin de Carga]]-OLDBD[[#This Row],[Inicio de Carga]],"")</f>
        <v>8.3333333335758653E-2</v>
      </c>
    </row>
    <row r="189" spans="1:57" x14ac:dyDescent="0.35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Olmos</v>
      </c>
      <c r="D189" s="1" t="str">
        <f>IFERROR(IF(MARÍTIMOS[[#This Row],[Instruction]]="","",MARÍTIMOS[[#This Row],[Instruction]]),"")</f>
        <v>RH-0265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NO</v>
      </c>
      <c r="H189" s="2" t="str">
        <f>IFERROR(IF(MARÍTIMOS[[#This Row],[Razón Social]]="","",MARÍTIMOS[[#This Row],[Razón Social]]),"")</f>
        <v xml:space="preserve">LOGISTICA INTERMODAL DEL PERU S.A.C.
</v>
      </c>
      <c r="I189" s="2">
        <f>IFERROR(IF(MARÍTIMOS[[#This Row],[RUC]]="","",MARÍTIMOS[[#This Row],[RUC]]),"")</f>
        <v>20513040718</v>
      </c>
      <c r="J189" s="2" t="str">
        <f>IFERROR(IF(MARÍTIMOS[[#This Row],[Placa Tracto]]="","",MARÍTIMOS[[#This Row],[Placa Tracto]]),"")</f>
        <v>AYO-892</v>
      </c>
      <c r="K189" s="2" t="str">
        <f>IFERROR(IF(MARÍTIMOS[[#This Row],[Placa Carreta]]="","",MARÍTIMOS[[#This Row],[Placa Carreta]]),"")</f>
        <v>AJO-980</v>
      </c>
      <c r="L189" s="46" t="str">
        <f>IFERROR(IF(MARÍTIMOS[[#This Row],[Conductor]]="","",MARÍTIMOS[[#This Row],[Conductor]]),"")</f>
        <v>AVELLANEDA OTERO RENZO MARTIN</v>
      </c>
      <c r="M189" s="2" t="str">
        <f>IFERROR(IF(MARÍTIMOS[[#This Row],[Licencia]]="","",MARÍTIMOS[[#This Row],[Licencia]]),"")</f>
        <v>B40777868</v>
      </c>
      <c r="N189" s="2" t="str">
        <f>IFERROR(IF(MARÍTIMOS[[#This Row],[Número de Contacto]]="","",MARÍTIMOS[[#This Row],[Número de Contacto]]),"")</f>
        <v>934 040 127</v>
      </c>
      <c r="O189" s="10" t="str">
        <f>IFERROR(IF(MARÍTIMOS[[#This Row],[Booking|AWB|CRT]]="","",MARÍTIMOS[[#This Row],[Booking|AWB|CRT]]),"")</f>
        <v>MBM250067105</v>
      </c>
      <c r="P189" s="2" t="str">
        <f>IFERROR(IF(MARÍTIMOS[[#This Row],[Contenedor]]="","",MARÍTIMOS[[#This Row],[Contenedor]]),"")</f>
        <v>FDDU2543021</v>
      </c>
      <c r="Q189" s="2" t="str">
        <f>IFERROR(IF(MARÍTIMOS[[#This Row],[Puerto de Retiro]]="","",MARÍTIMOS[[#This Row],[Puerto de Retiro]]),"")</f>
        <v>PAITA</v>
      </c>
      <c r="R189" s="2" t="str">
        <f>IFERROR(IF(MARÍTIMOS[[#This Row],[Almacén de Retiro]]="","",MARÍTIMOS[[#This Row],[Almacén de Retiro]]),"")</f>
        <v>MACROMAR</v>
      </c>
      <c r="S189" s="11">
        <f>IFERROR(IF(MARÍTIMOS[[#This Row],[Etapa Retiro - Cita]]="","",MARÍTIMOS[[#This Row],[Etapa Retiro - Cita]]),"")</f>
        <v>46225.583333333336</v>
      </c>
      <c r="T189" s="11">
        <f>IFERROR(IF(MARÍTIMOS[[#This Row],[Etapa Retiro - Llegada]]="","",MARÍTIMOS[[#This Row],[Etapa Retiro - Llegada]]),"")</f>
        <v>46225.616666666669</v>
      </c>
      <c r="U189" s="11">
        <f>IFERROR(IF(MARÍTIMOS[[#This Row],[Etapa Retiro - Ingreso]]="","",MARÍTIMOS[[#This Row],[Etapa Retiro - Ingreso]]),"")</f>
        <v>46225.656944444447</v>
      </c>
      <c r="V189" s="11">
        <f>IFERROR(IF(MARÍTIMOS[[#This Row],[Etapa Retiro - Atención]]="","",MARÍTIMOS[[#This Row],[Etapa Retiro - Atención]]),"")</f>
        <v>46225.663194444445</v>
      </c>
      <c r="W189" s="11">
        <f>IFERROR(IF(MARÍTIMOS[[#This Row],[Etapa Retiro - Salida]]="","",MARÍTIMOS[[#This Row],[Etapa Retiro - Salida]]),"")</f>
        <v>46225.753472222219</v>
      </c>
      <c r="X189" s="11">
        <f>IFERROR(IF(MARÍTIMOS[[#This Row],[Etapa Retiro - Inicio de Ruta]]="","",MARÍTIMOS[[#This Row],[Etapa Retiro - Inicio de Ruta]]),"")</f>
        <v>46225.795138888891</v>
      </c>
      <c r="Y189" s="11">
        <f>IFERROR(IF(MARÍTIMOS[[#This Row],[Hora de Posicionamiento]]="","",MARÍTIMOS[[#This Row],[Hora de Carga]]+MARÍTIMOS[[#This Row],[Hora de Posicionamiento]]),"")</f>
        <v>0.75</v>
      </c>
      <c r="Z189" s="11">
        <f>IFERROR(IF(MARÍTIMOS[[#This Row],[Etapa Despacho -  Llegada]]="","",MARÍTIMOS[[#This Row],[Etapa Despacho -  Llegada]]),"")</f>
        <v>46227.404166666667</v>
      </c>
      <c r="AA189" s="11">
        <f>IFERROR(IF(MARÍTIMOS[[#This Row],[Etapa Despacho -  Registro]]="","",MARÍTIMOS[[#This Row],[Etapa Despacho -  Registro]]),"")</f>
        <v>46227.404166666667</v>
      </c>
      <c r="AB189" s="11">
        <f>IFERROR(IF(MARÍTIMOS[[#This Row],[Inspección Externa]]="","",MARÍTIMOS[[#This Row],[Inspección Externa]]),"")</f>
        <v>46227.458333333336</v>
      </c>
      <c r="AC189" s="11">
        <f>IFERROR(IF(MARÍTIMOS[[#This Row],[Etapa Despacho -  Inicio de Carga]]="","",MARÍTIMOS[[#This Row],[Etapa Despacho -  Inicio de Carga]]),"")</f>
        <v>46227.5625</v>
      </c>
      <c r="AD189" s="11">
        <f>IFERROR(IF(MARÍTIMOS[[#This Row],[Etapa Despacho -  Fin de Carga]]="","",MARÍTIMOS[[#This Row],[Etapa Despacho -  Fin de Carga]]),"")</f>
        <v>46227.588888888888</v>
      </c>
      <c r="AE189" s="11">
        <f>IFERROR(IF(MARÍTIMOS[[#This Row],[Etapa Despacho -  Salida]]="","",MARÍTIMOS[[#This Row],[Etapa Despacho -  Salida]]),"")</f>
        <v>46227.625</v>
      </c>
      <c r="AF189" s="2" t="str">
        <f>IFERROR(IF(MARÍTIMOS[[#This Row],[Puerto de Embarque]]="","",MARÍTIMOS[[#This Row],[Puerto de Embarque]]),"")</f>
        <v>Paita</v>
      </c>
      <c r="AG189" s="2" t="str">
        <f>IFERROR(IF(MARÍTIMOS[[#This Row],[Almacén de Ingreso]]="","",MARÍTIMOS[[#This Row],[Almacén de Ingreso]]),"")</f>
        <v>TPE</v>
      </c>
      <c r="AH189" s="11">
        <f>IFERROR(IF(MARÍTIMOS[[#This Row],[Etapa Ingreso - Cita]]="","",MARÍTIMOS[[#This Row],[Etapa Ingreso - Cita]]),"")</f>
        <v>46227.958333333336</v>
      </c>
      <c r="AI189" s="11">
        <f>IFERROR(IF(MARÍTIMOS[[#This Row],[Etapa Ingreso - Llegada]]="","",MARÍTIMOS[[#This Row],[Etapa Ingreso - Llegada]]),"")</f>
        <v>46227.964583333334</v>
      </c>
      <c r="AJ189" s="11">
        <f>IFERROR(IF(MARÍTIMOS[[#This Row],[Etapa Ingreso - Ingeso]]="","",MARÍTIMOS[[#This Row],[Etapa Ingreso - Ingeso]]),"")</f>
        <v>46227.970833333333</v>
      </c>
      <c r="AK189" s="11">
        <f>IFERROR(IF(MARÍTIMOS[[#This Row],[Etapa Ingreso - Atención]]="","",MARÍTIMOS[[#This Row],[Etapa Ingreso - Atención]]),"")</f>
        <v>46227.975694444445</v>
      </c>
      <c r="AL189" s="11">
        <f>IFERROR(IF(MARÍTIMOS[[#This Row],[Etapa Ingreso - Salida]]="","",MARÍTIMOS[[#This Row],[Etapa Ingreso - Salida]]),"")</f>
        <v>46227.979861111111</v>
      </c>
      <c r="AM189" s="2">
        <f>IFERROR(IF(MARÍTIMOS[[#This Row],[FCL]]="","",MARÍTIMOS[[#This Row],[FCL]]),"")</f>
        <v>0.5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9" s="5">
        <f>IFERROR(OLDBD[[#This Row],[Llegada a packing]]-OLDBD[[#This Row],[Inicio de Ruta]],"")</f>
        <v>1.609027777776646</v>
      </c>
      <c r="AQ189" s="6">
        <f>IFERROR(OLDBD[[#This Row],[Inicio de Ruta]]-OLDBD[[#This Row],[Salida de almacén de retiro]],"")</f>
        <v>4.1666666671517305E-2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9" s="9">
        <f>IFERROR(OLDBD[[#This Row],[Ingreso Packing]]-OLDBD[[#This Row],[Registro en Packing]],"")</f>
        <v>5.4166666668606922E-2</v>
      </c>
      <c r="AV189" s="9">
        <f>IFERROR(OLDBD[[#This Row],[Ingreso Packing]]-OLDBD[[#This Row],[Llegada a packing]],"")</f>
        <v>5.4166666668606922E-2</v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9" s="5">
        <f>IFERROR(OLDBD[[#This Row],[Llegada Almacén de Ingreso]]-OLDBD[[#This Row],[Salida Packing]],"")</f>
        <v>0.33958333333430346</v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5" t="s">
        <v>181</v>
      </c>
      <c r="BB189" s="53" t="str">
        <f>IFERROR(IF(MARÍTIMOS[[#This Row],[Estatus]]="","",MARÍTIMOS[[#This Row],[Estatus]]),"")</f>
        <v>Confirmado</v>
      </c>
      <c r="BC189" s="45"/>
      <c r="BD189" s="52">
        <f>IFERROR(OLDBD[[#This Row],[Salida de almacén de retiro]]-OLDBD[[#This Row],[Ingreso Almacén de retiro]],"")</f>
        <v>9.6527777772280388E-2</v>
      </c>
      <c r="BE189" s="52">
        <f>IFERROR(OLDBD[[#This Row],[Fin de Carga]]-OLDBD[[#This Row],[Inicio de Carga]],"")</f>
        <v>2.6388888887595385E-2</v>
      </c>
    </row>
    <row r="190" spans="1:57" x14ac:dyDescent="0.35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RH-0272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 xml:space="preserve">LOGISTICA INTERMODAL DEL PERU S.A.C.
</v>
      </c>
      <c r="I190" s="2" t="str">
        <f>IFERROR(IF(MARÍTIMOS[[#This Row],[RUC]]="","",MARÍTIMOS[[#This Row],[RUC]]),"")</f>
        <v>B72766316</v>
      </c>
      <c r="J190" s="2" t="str">
        <f>IFERROR(IF(MARÍTIMOS[[#This Row],[Placa Tracto]]="","",MARÍTIMOS[[#This Row],[Placa Tracto]]),"")</f>
        <v>AZH-828</v>
      </c>
      <c r="K190" s="2" t="str">
        <f>IFERROR(IF(MARÍTIMOS[[#This Row],[Placa Carreta]]="","",MARÍTIMOS[[#This Row],[Placa Carreta]]),"")</f>
        <v>AXO-972</v>
      </c>
      <c r="L190" s="46" t="str">
        <f>IFERROR(IF(MARÍTIMOS[[#This Row],[Conductor]]="","",MARÍTIMOS[[#This Row],[Conductor]]),"")</f>
        <v>VARGAS BARRIENTOS JESUS GERMAN</v>
      </c>
      <c r="M190" s="2" t="str">
        <f>IFERROR(IF(MARÍTIMOS[[#This Row],[Licencia]]="","",MARÍTIMOS[[#This Row],[Licencia]]),"")</f>
        <v>B72766316</v>
      </c>
      <c r="N190" s="2" t="str">
        <f>IFERROR(IF(MARÍTIMOS[[#This Row],[Número de Contacto]]="","",MARÍTIMOS[[#This Row],[Número de Contacto]]),"")</f>
        <v>958 005 437</v>
      </c>
      <c r="O190" s="10" t="str">
        <f>IFERROR(IF(MARÍTIMOS[[#This Row],[Booking|AWB|CRT]]="","",MARÍTIMOS[[#This Row],[Booking|AWB|CRT]]),"")</f>
        <v>MBM250067106</v>
      </c>
      <c r="P190" s="2" t="str">
        <f>IFERROR(IF(MARÍTIMOS[[#This Row],[Contenedor]]="","",MARÍTIMOS[[#This Row],[Contenedor]]),"")</f>
        <v>FDDU2540655</v>
      </c>
      <c r="Q190" s="2" t="str">
        <f>IFERROR(IF(MARÍTIMOS[[#This Row],[Puerto de Retiro]]="","",MARÍTIMOS[[#This Row],[Puerto de Retiro]]),"")</f>
        <v>PAITA</v>
      </c>
      <c r="R190" s="2" t="str">
        <f>IFERROR(IF(MARÍTIMOS[[#This Row],[Almacén de Retiro]]="","",MARÍTIMOS[[#This Row],[Almacén de Retiro]]),"")</f>
        <v>MACROMAR</v>
      </c>
      <c r="S190" s="11">
        <f>IFERROR(IF(MARÍTIMOS[[#This Row],[Etapa Retiro - Cita]]="","",MARÍTIMOS[[#This Row],[Etapa Retiro - Cita]]),"")</f>
        <v>46225.583333333336</v>
      </c>
      <c r="T190" s="11">
        <f>IFERROR(IF(MARÍTIMOS[[#This Row],[Etapa Retiro - Llegada]]="","",MARÍTIMOS[[#This Row],[Etapa Retiro - Llegada]]),"")</f>
        <v>46225.604166666664</v>
      </c>
      <c r="U190" s="11">
        <f>IFERROR(IF(MARÍTIMOS[[#This Row],[Etapa Retiro - Ingreso]]="","",MARÍTIMOS[[#This Row],[Etapa Retiro - Ingreso]]),"")</f>
        <v>46225.604166666664</v>
      </c>
      <c r="V190" s="11">
        <f>IFERROR(IF(MARÍTIMOS[[#This Row],[Etapa Retiro - Atención]]="","",MARÍTIMOS[[#This Row],[Etapa Retiro - Atención]]),"")</f>
        <v>46225.614583333336</v>
      </c>
      <c r="W190" s="11">
        <f>IFERROR(IF(MARÍTIMOS[[#This Row],[Etapa Retiro - Salida]]="","",MARÍTIMOS[[#This Row],[Etapa Retiro - Salida]]),"")</f>
        <v>46225.665972222225</v>
      </c>
      <c r="X190" s="11">
        <f>IFERROR(IF(MARÍTIMOS[[#This Row],[Etapa Retiro - Inicio de Ruta]]="","",MARÍTIMOS[[#This Row],[Etapa Retiro - Inicio de Ruta]]),"")</f>
        <v>46225.708333333336</v>
      </c>
      <c r="Y190" s="11">
        <f>IFERROR(IF(MARÍTIMOS[[#This Row],[Hora de Posicionamiento]]="","",MARÍTIMOS[[#This Row],[Hora de Carga]]+MARÍTIMOS[[#This Row],[Hora de Posicionamiento]]),"")</f>
        <v>0.75</v>
      </c>
      <c r="Z190" s="11">
        <f>IFERROR(IF(MARÍTIMOS[[#This Row],[Etapa Despacho -  Llegada]]="","",MARÍTIMOS[[#This Row],[Etapa Despacho -  Llegada]]),"")</f>
        <v>46226.326388888891</v>
      </c>
      <c r="AA190" s="11">
        <f>IFERROR(IF(MARÍTIMOS[[#This Row],[Etapa Despacho -  Registro]]="","",MARÍTIMOS[[#This Row],[Etapa Despacho -  Registro]]),"")</f>
        <v>46226.333333333336</v>
      </c>
      <c r="AB190" s="11">
        <f>IFERROR(IF(MARÍTIMOS[[#This Row],[Inspección Externa]]="","",MARÍTIMOS[[#This Row],[Inspección Externa]]),"")</f>
        <v>46226.347222222219</v>
      </c>
      <c r="AC190" s="11">
        <f>IFERROR(IF(MARÍTIMOS[[#This Row],[Etapa Despacho -  Inicio de Carga]]="","",MARÍTIMOS[[#This Row],[Etapa Despacho -  Inicio de Carga]]),"")</f>
        <v>46226.361111111109</v>
      </c>
      <c r="AD190" s="11">
        <f>IFERROR(IF(MARÍTIMOS[[#This Row],[Etapa Despacho -  Fin de Carga]]="","",MARÍTIMOS[[#This Row],[Etapa Despacho -  Fin de Carga]]),"")</f>
        <v>46226.681944444441</v>
      </c>
      <c r="AE190" s="11">
        <f>IFERROR(IF(MARÍTIMOS[[#This Row],[Etapa Despacho -  Salida]]="","",MARÍTIMOS[[#This Row],[Etapa Despacho -  Salida]]),"")</f>
        <v>46226.688888888886</v>
      </c>
      <c r="AF190" s="2" t="str">
        <f>IFERROR(IF(MARÍTIMOS[[#This Row],[Puerto de Embarque]]="","",MARÍTIMOS[[#This Row],[Puerto de Embarque]]),"")</f>
        <v>Paita</v>
      </c>
      <c r="AG190" s="2" t="str">
        <f>IFERROR(IF(MARÍTIMOS[[#This Row],[Almacén de Ingreso]]="","",MARÍTIMOS[[#This Row],[Almacén de Ingreso]]),"")</f>
        <v>TPE</v>
      </c>
      <c r="AH190" s="11">
        <f>IFERROR(IF(MARÍTIMOS[[#This Row],[Etapa Ingreso - Cita]]="","",MARÍTIMOS[[#This Row],[Etapa Ingreso - Cita]]),"")</f>
        <v>46227.416666666664</v>
      </c>
      <c r="AI190" s="11">
        <f>IFERROR(IF(MARÍTIMOS[[#This Row],[Etapa Ingreso - Llegada]]="","",MARÍTIMOS[[#This Row],[Etapa Ingreso - Llegada]]),"")</f>
        <v>46227.438194444447</v>
      </c>
      <c r="AJ190" s="11">
        <f>IFERROR(IF(MARÍTIMOS[[#This Row],[Etapa Ingreso - Ingeso]]="","",MARÍTIMOS[[#This Row],[Etapa Ingreso - Ingeso]]),"")</f>
        <v>46227.442361111112</v>
      </c>
      <c r="AK190" s="11">
        <f>IFERROR(IF(MARÍTIMOS[[#This Row],[Etapa Ingreso - Atención]]="","",MARÍTIMOS[[#This Row],[Etapa Ingreso - Atención]]),"")</f>
        <v>46227.447916666664</v>
      </c>
      <c r="AL190" s="11">
        <f>IFERROR(IF(MARÍTIMOS[[#This Row],[Etapa Ingreso - Salida]]="","",MARÍTIMOS[[#This Row],[Etapa Ingreso - Salida]]),"")</f>
        <v>46227.453472222223</v>
      </c>
      <c r="AM190" s="2">
        <f>IFERROR(IF(MARÍTIMOS[[#This Row],[FCL]]="","",MARÍTIMOS[[#This Row],[FCL]]),"")</f>
        <v>1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0" s="5">
        <f>IFERROR(OLDBD[[#This Row],[Llegada a packing]]-OLDBD[[#This Row],[Inicio de Ruta]],"")</f>
        <v>0.61805555555474712</v>
      </c>
      <c r="AQ190" s="6">
        <f>IFERROR(OLDBD[[#This Row],[Inicio de Ruta]]-OLDBD[[#This Row],[Salida de almacén de retiro]],"")</f>
        <v>4.2361111110949423E-2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1.3888888883229811E-2</v>
      </c>
      <c r="AV190" s="9">
        <f>IFERROR(OLDBD[[#This Row],[Ingreso Packing]]-OLDBD[[#This Row],[Llegada a packing]],"")</f>
        <v>2.0833333328482695E-2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0" s="5">
        <f>IFERROR(OLDBD[[#This Row],[Llegada Almacén de Ingreso]]-OLDBD[[#This Row],[Salida Packing]],"")</f>
        <v>0.74930555556056788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5" t="s">
        <v>181</v>
      </c>
      <c r="BB190" s="53" t="str">
        <f>IFERROR(IF(MARÍTIMOS[[#This Row],[Estatus]]="","",MARÍTIMOS[[#This Row],[Estatus]]),"")</f>
        <v>Confirmado</v>
      </c>
      <c r="BC190" s="45"/>
      <c r="BD190" s="52">
        <f>IFERROR(OLDBD[[#This Row],[Salida de almacén de retiro]]-OLDBD[[#This Row],[Ingreso Almacén de retiro]],"")</f>
        <v>6.1805555560567882E-2</v>
      </c>
      <c r="BE190" s="52">
        <f>IFERROR(OLDBD[[#This Row],[Fin de Carga]]-OLDBD[[#This Row],[Inicio de Carga]],"")</f>
        <v>0.32083333333139308</v>
      </c>
    </row>
    <row r="191" spans="1:57" x14ac:dyDescent="0.35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Chao</v>
      </c>
      <c r="D191" s="1" t="str">
        <f>IFERROR(IF(MARÍTIMOS[[#This Row],[Instruction]]="","",MARÍTIMOS[[#This Row],[Instruction]]),"")</f>
        <v>RH-0282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NO</v>
      </c>
      <c r="H191" s="2" t="str">
        <f>IFERROR(IF(MARÍTIMOS[[#This Row],[Razón Social]]="","",MARÍTIMOS[[#This Row],[Razón Social]]),"")</f>
        <v>TRANSCAR MATHEO SOCIEDAD ANONIMA CERRADA</v>
      </c>
      <c r="I191" s="2">
        <f>IFERROR(IF(MARÍTIMOS[[#This Row],[RUC]]="","",MARÍTIMOS[[#This Row],[RUC]]),"")</f>
        <v>20612886921</v>
      </c>
      <c r="J191" s="2" t="str">
        <f>IFERROR(IF(MARÍTIMOS[[#This Row],[Placa Tracto]]="","",MARÍTIMOS[[#This Row],[Placa Tracto]]),"")</f>
        <v>T0B-919</v>
      </c>
      <c r="K191" s="2" t="str">
        <f>IFERROR(IF(MARÍTIMOS[[#This Row],[Placa Carreta]]="","",MARÍTIMOS[[#This Row],[Placa Carreta]]),"")</f>
        <v>T0U-978</v>
      </c>
      <c r="L191" s="46" t="str">
        <f>IFERROR(IF(MARÍTIMOS[[#This Row],[Conductor]]="","",MARÍTIMOS[[#This Row],[Conductor]]),"")</f>
        <v>ANDRADE SUNCION ALEXANDER GABRIEL</v>
      </c>
      <c r="M191" s="2" t="str">
        <f>IFERROR(IF(MARÍTIMOS[[#This Row],[Licencia]]="","",MARÍTIMOS[[#This Row],[Licencia]]),"")</f>
        <v>B44776623</v>
      </c>
      <c r="N191" s="2" t="str">
        <f>IFERROR(IF(MARÍTIMOS[[#This Row],[Número de Contacto]]="","",MARÍTIMOS[[#This Row],[Número de Contacto]]),"")</f>
        <v>934 040 127</v>
      </c>
      <c r="O191" s="10" t="str">
        <f>IFERROR(IF(MARÍTIMOS[[#This Row],[Booking|AWB|CRT]]="","",MARÍTIMOS[[#This Row],[Booking|AWB|CRT]]),"")</f>
        <v>ZIMULMA826222</v>
      </c>
      <c r="P191" s="2" t="str">
        <f>IFERROR(IF(MARÍTIMOS[[#This Row],[Contenedor]]="","",MARÍTIMOS[[#This Row],[Contenedor]]),"")</f>
        <v>ZMOU8898817</v>
      </c>
      <c r="Q191" s="2" t="str">
        <f>IFERROR(IF(MARÍTIMOS[[#This Row],[Puerto de Retiro]]="","",MARÍTIMOS[[#This Row],[Puerto de Retiro]]),"")</f>
        <v>PAITA</v>
      </c>
      <c r="R191" s="2" t="str">
        <f>IFERROR(IF(MARÍTIMOS[[#This Row],[Almacén de Retiro]]="","",MARÍTIMOS[[#This Row],[Almacén de Retiro]]),"")</f>
        <v>DPW</v>
      </c>
      <c r="S191" s="11">
        <f>IFERROR(IF(MARÍTIMOS[[#This Row],[Etapa Retiro - Cita]]="","",MARÍTIMOS[[#This Row],[Etapa Retiro - Cita]]),"")</f>
        <v>46232.583333333336</v>
      </c>
      <c r="T191" s="11">
        <f>IFERROR(IF(MARÍTIMOS[[#This Row],[Etapa Retiro - Llegada]]="","",MARÍTIMOS[[#This Row],[Etapa Retiro - Llegada]]),"")</f>
        <v>46232.611805555556</v>
      </c>
      <c r="U191" s="11">
        <f>IFERROR(IF(MARÍTIMOS[[#This Row],[Etapa Retiro - Ingreso]]="","",MARÍTIMOS[[#This Row],[Etapa Retiro - Ingreso]]),"")</f>
        <v>46232.620833333334</v>
      </c>
      <c r="V191" s="11">
        <f>IFERROR(IF(MARÍTIMOS[[#This Row],[Etapa Retiro - Atención]]="","",MARÍTIMOS[[#This Row],[Etapa Retiro - Atención]]),"")</f>
        <v>46232.625</v>
      </c>
      <c r="W191" s="11">
        <f>IFERROR(IF(MARÍTIMOS[[#This Row],[Etapa Retiro - Salida]]="","",MARÍTIMOS[[#This Row],[Etapa Retiro - Salida]]),"")</f>
        <v>46232.675000000003</v>
      </c>
      <c r="X191" s="11">
        <f>IFERROR(IF(MARÍTIMOS[[#This Row],[Etapa Retiro - Inicio de Ruta]]="","",MARÍTIMOS[[#This Row],[Etapa Retiro - Inicio de Ruta]]),"")</f>
        <v>46232.716666666667</v>
      </c>
      <c r="Y191" s="11">
        <f>IFERROR(IF(MARÍTIMOS[[#This Row],[Hora de Posicionamiento]]="","",MARÍTIMOS[[#This Row],[Hora de Carga]]+MARÍTIMOS[[#This Row],[Hora de Posicionamiento]]),"")</f>
        <v>1</v>
      </c>
      <c r="Z191" s="11">
        <f>IFERROR(IF(MARÍTIMOS[[#This Row],[Etapa Despacho -  Llegada]]="","",MARÍTIMOS[[#This Row],[Etapa Despacho -  Llegada]]),"")</f>
        <v>46233.338194444441</v>
      </c>
      <c r="AA191" s="11">
        <f>IFERROR(IF(MARÍTIMOS[[#This Row],[Etapa Despacho -  Registro]]="","",MARÍTIMOS[[#This Row],[Etapa Despacho -  Registro]]),"")</f>
        <v>46233.345138888886</v>
      </c>
      <c r="AB191" s="11">
        <f>IFERROR(IF(MARÍTIMOS[[#This Row],[Inspección Externa]]="","",MARÍTIMOS[[#This Row],[Inspección Externa]]),"")</f>
        <v>46233.365972222222</v>
      </c>
      <c r="AC191" s="11">
        <f>IFERROR(IF(MARÍTIMOS[[#This Row],[Etapa Despacho -  Inicio de Carga]]="","",MARÍTIMOS[[#This Row],[Etapa Despacho -  Inicio de Carga]]),"")</f>
        <v>46233.385416666664</v>
      </c>
      <c r="AD191" s="11">
        <f>IFERROR(IF(MARÍTIMOS[[#This Row],[Etapa Despacho -  Fin de Carga]]="","",MARÍTIMOS[[#This Row],[Etapa Despacho -  Fin de Carga]]),"")</f>
        <v>46233.557638888888</v>
      </c>
      <c r="AE191" s="11">
        <f>IFERROR(IF(MARÍTIMOS[[#This Row],[Etapa Despacho -  Salida]]="","",MARÍTIMOS[[#This Row],[Etapa Despacho -  Salida]]),"")</f>
        <v>46233.564583333333</v>
      </c>
      <c r="AF191" s="2" t="str">
        <f>IFERROR(IF(MARÍTIMOS[[#This Row],[Puerto de Embarque]]="","",MARÍTIMOS[[#This Row],[Puerto de Embarque]]),"")</f>
        <v>Paita</v>
      </c>
      <c r="AG191" s="2" t="str">
        <f>IFERROR(IF(MARÍTIMOS[[#This Row],[Almacén de Ingreso]]="","",MARÍTIMOS[[#This Row],[Almacén de Ingreso]]),"")</f>
        <v>TPE</v>
      </c>
      <c r="AH191" s="11">
        <f>IFERROR(IF(MARÍTIMOS[[#This Row],[Etapa Ingreso - Cita]]="","",MARÍTIMOS[[#This Row],[Etapa Ingreso - Cita]]),"")</f>
        <v>46234.333333333336</v>
      </c>
      <c r="AI191" s="11">
        <f>IFERROR(IF(MARÍTIMOS[[#This Row],[Etapa Ingreso - Llegada]]="","",MARÍTIMOS[[#This Row],[Etapa Ingreso - Llegada]]),"")</f>
        <v>46234.368750000001</v>
      </c>
      <c r="AJ191" s="11">
        <f>IFERROR(IF(MARÍTIMOS[[#This Row],[Etapa Ingreso - Ingeso]]="","",MARÍTIMOS[[#This Row],[Etapa Ingreso - Ingeso]]),"")</f>
        <v>46234.375</v>
      </c>
      <c r="AK191" s="11">
        <f>IFERROR(IF(MARÍTIMOS[[#This Row],[Etapa Ingreso - Atención]]="","",MARÍTIMOS[[#This Row],[Etapa Ingreso - Atención]]),"")</f>
        <v>46234.376388888886</v>
      </c>
      <c r="AL191" s="11">
        <f>IFERROR(IF(MARÍTIMOS[[#This Row],[Etapa Ingreso - Salida]]="","",MARÍTIMOS[[#This Row],[Etapa Ingreso - Salida]]),"")</f>
        <v>46234.379861111112</v>
      </c>
      <c r="AM191" s="2">
        <f>IFERROR(IF(MARÍTIMOS[[#This Row],[FCL]]="","",MARÍTIMOS[[#This Row],[FCL]]),"")</f>
        <v>1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1" s="5">
        <f>IFERROR(OLDBD[[#This Row],[Llegada a packing]]-OLDBD[[#This Row],[Inicio de Ruta]],"")</f>
        <v>0.62152777777373558</v>
      </c>
      <c r="AQ191" s="6">
        <f>IFERROR(OLDBD[[#This Row],[Inicio de Ruta]]-OLDBD[[#This Row],[Salida de almacén de retiro]],"")</f>
        <v>4.1666666664241347E-2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1" s="9">
        <f>IFERROR(OLDBD[[#This Row],[Ingreso Packing]]-OLDBD[[#This Row],[Registro en Packing]],"")</f>
        <v>2.0833333335758653E-2</v>
      </c>
      <c r="AV191" s="9">
        <f>IFERROR(OLDBD[[#This Row],[Ingreso Packing]]-OLDBD[[#This Row],[Llegada a packing]],"")</f>
        <v>2.7777777781011537E-2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1" s="5">
        <f>IFERROR(OLDBD[[#This Row],[Llegada Almacén de Ingreso]]-OLDBD[[#This Row],[Salida Packing]],"")</f>
        <v>0.80416666666860692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5" t="s">
        <v>181</v>
      </c>
      <c r="BB191" s="53" t="str">
        <f>IFERROR(IF(MARÍTIMOS[[#This Row],[Estatus]]="","",MARÍTIMOS[[#This Row],[Estatus]]),"")</f>
        <v>Confirmado</v>
      </c>
      <c r="BC191" s="45"/>
      <c r="BD191" s="52">
        <f>IFERROR(OLDBD[[#This Row],[Salida de almacén de retiro]]-OLDBD[[#This Row],[Ingreso Almacén de retiro]],"")</f>
        <v>5.4166666668606922E-2</v>
      </c>
      <c r="BE191" s="52">
        <f>IFERROR(OLDBD[[#This Row],[Fin de Carga]]-OLDBD[[#This Row],[Inicio de Carga]],"")</f>
        <v>0.17222222222335404</v>
      </c>
    </row>
    <row r="192" spans="1:57" x14ac:dyDescent="0.35">
      <c r="A192" s="1"/>
      <c r="B192" s="1">
        <f>IFERROR(IF(MARÍTIMOS[[#This Row],[PP]]="","",MARÍTIMOS[[#This Row],[PP]]),"")</f>
        <v>31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RH-0335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SI</v>
      </c>
      <c r="H192" s="2" t="str">
        <f>IFERROR(IF(MARÍTIMOS[[#This Row],[Razón Social]]="","",MARÍTIMOS[[#This Row],[Razón Social]]),"")</f>
        <v>LOGISTICA INTERMODAL DEL PERU S.A.C.</v>
      </c>
      <c r="I192" s="2">
        <f>IFERROR(IF(MARÍTIMOS[[#This Row],[RUC]]="","",MARÍTIMOS[[#This Row],[RUC]]),"")</f>
        <v>20513040718</v>
      </c>
      <c r="J192" s="2" t="str">
        <f>IFERROR(IF(MARÍTIMOS[[#This Row],[Placa Tracto]]="","",MARÍTIMOS[[#This Row],[Placa Tracto]]),"")</f>
        <v>AYO-892</v>
      </c>
      <c r="K192" s="2" t="str">
        <f>IFERROR(IF(MARÍTIMOS[[#This Row],[Placa Carreta]]="","",MARÍTIMOS[[#This Row],[Placa Carreta]]),"")</f>
        <v>AJO-980</v>
      </c>
      <c r="L192" s="46" t="str">
        <f>IFERROR(IF(MARÍTIMOS[[#This Row],[Conductor]]="","",MARÍTIMOS[[#This Row],[Conductor]]),"")</f>
        <v>AVELLANEDA OTERO RENZO MARTIN</v>
      </c>
      <c r="M192" s="2" t="str">
        <f>IFERROR(IF(MARÍTIMOS[[#This Row],[Licencia]]="","",MARÍTIMOS[[#This Row],[Licencia]]),"")</f>
        <v>B40777868</v>
      </c>
      <c r="N192" s="2" t="str">
        <f>IFERROR(IF(MARÍTIMOS[[#This Row],[Número de Contacto]]="","",MARÍTIMOS[[#This Row],[Número de Contacto]]),"")</f>
        <v>934 040 127</v>
      </c>
      <c r="O192" s="10" t="str">
        <f>IFERROR(IF(MARÍTIMOS[[#This Row],[Booking|AWB|CRT]]="","",MARÍTIMOS[[#This Row],[Booking|AWB|CRT]]),"")</f>
        <v>MBM250067109</v>
      </c>
      <c r="P192" s="2" t="str">
        <f>IFERROR(IF(MARÍTIMOS[[#This Row],[Contenedor]]="","",MARÍTIMOS[[#This Row],[Contenedor]]),"")</f>
        <v>CAAU4032108</v>
      </c>
      <c r="Q192" s="2" t="str">
        <f>IFERROR(IF(MARÍTIMOS[[#This Row],[Puerto de Retiro]]="","",MARÍTIMOS[[#This Row],[Puerto de Retiro]]),"")</f>
        <v>PAITA</v>
      </c>
      <c r="R192" s="2" t="str">
        <f>IFERROR(IF(MARÍTIMOS[[#This Row],[Almacén de Retiro]]="","",MARÍTIMOS[[#This Row],[Almacén de Retiro]]),"")</f>
        <v>MACROMAR</v>
      </c>
      <c r="S192" s="11">
        <f>IFERROR(IF(MARÍTIMOS[[#This Row],[Etapa Retiro - Cita]]="","",MARÍTIMOS[[#This Row],[Etapa Retiro - Cita]]),"")</f>
        <v>46233.5</v>
      </c>
      <c r="T192" s="11">
        <f>IFERROR(IF(MARÍTIMOS[[#This Row],[Etapa Retiro - Llegada]]="","",MARÍTIMOS[[#This Row],[Etapa Retiro - Llegada]]),"")</f>
        <v>46233.493055555555</v>
      </c>
      <c r="U192" s="11">
        <f>IFERROR(IF(MARÍTIMOS[[#This Row],[Etapa Retiro - Ingreso]]="","",MARÍTIMOS[[#This Row],[Etapa Retiro - Ingreso]]),"")</f>
        <v>46233.50277777778</v>
      </c>
      <c r="V192" s="11">
        <f>IFERROR(IF(MARÍTIMOS[[#This Row],[Etapa Retiro - Atención]]="","",MARÍTIMOS[[#This Row],[Etapa Retiro - Atención]]),"")</f>
        <v>46233.53125</v>
      </c>
      <c r="W192" s="11">
        <f>IFERROR(IF(MARÍTIMOS[[#This Row],[Etapa Retiro - Salida]]="","",MARÍTIMOS[[#This Row],[Etapa Retiro - Salida]]),"")</f>
        <v>46233.570138888892</v>
      </c>
      <c r="X192" s="11">
        <f>IFERROR(IF(MARÍTIMOS[[#This Row],[Etapa Retiro - Inicio de Ruta]]="","",MARÍTIMOS[[#This Row],[Etapa Retiro - Inicio de Ruta]]),"")</f>
        <v>46233.604166666664</v>
      </c>
      <c r="Y192" s="11">
        <f>IFERROR(IF(MARÍTIMOS[[#This Row],[Hora de Posicionamiento]]="","",MARÍTIMOS[[#This Row],[Hora de Carga]]+MARÍTIMOS[[#This Row],[Hora de Posicionamiento]]),"")</f>
        <v>0.75</v>
      </c>
      <c r="Z192" s="11">
        <f>IFERROR(IF(MARÍTIMOS[[#This Row],[Etapa Despacho -  Llegada]]="","",MARÍTIMOS[[#This Row],[Etapa Despacho -  Llegada]]),"")</f>
        <v>46234.362500000003</v>
      </c>
      <c r="AA192" s="11">
        <f>IFERROR(IF(MARÍTIMOS[[#This Row],[Etapa Despacho -  Registro]]="","",MARÍTIMOS[[#This Row],[Etapa Despacho -  Registro]]),"")</f>
        <v>46234.365277777775</v>
      </c>
      <c r="AB192" s="11">
        <f>IFERROR(IF(MARÍTIMOS[[#This Row],[Inspección Externa]]="","",MARÍTIMOS[[#This Row],[Inspección Externa]]),"")</f>
        <v>46234.368055555555</v>
      </c>
      <c r="AC192" s="11">
        <f>IFERROR(IF(MARÍTIMOS[[#This Row],[Etapa Despacho -  Inicio de Carga]]="","",MARÍTIMOS[[#This Row],[Etapa Despacho -  Inicio de Carga]]),"")</f>
        <v>46234.5</v>
      </c>
      <c r="AD192" s="11">
        <f>IFERROR(IF(MARÍTIMOS[[#This Row],[Etapa Despacho -  Fin de Carga]]="","",MARÍTIMOS[[#This Row],[Etapa Despacho -  Fin de Carga]]),"")</f>
        <v>46234.581944444442</v>
      </c>
      <c r="AE192" s="11">
        <f>IFERROR(IF(MARÍTIMOS[[#This Row],[Etapa Despacho -  Salida]]="","",MARÍTIMOS[[#This Row],[Etapa Despacho -  Salida]]),"")</f>
        <v>46234.586111111108</v>
      </c>
      <c r="AF192" s="2" t="str">
        <f>IFERROR(IF(MARÍTIMOS[[#This Row],[Puerto de Embarque]]="","",MARÍTIMOS[[#This Row],[Puerto de Embarque]]),"")</f>
        <v>Paita</v>
      </c>
      <c r="AG192" s="2" t="str">
        <f>IFERROR(IF(MARÍTIMOS[[#This Row],[Almacén de Ingreso]]="","",MARÍTIMOS[[#This Row],[Almacén de Ingreso]]),"")</f>
        <v>TPE</v>
      </c>
      <c r="AH192" s="11">
        <f>IFERROR(IF(MARÍTIMOS[[#This Row],[Etapa Ingreso - Cita]]="","",MARÍTIMOS[[#This Row],[Etapa Ingreso - Cita]]),"")</f>
        <v>46235.416666666664</v>
      </c>
      <c r="AI192" s="11">
        <f>IFERROR(IF(MARÍTIMOS[[#This Row],[Etapa Ingreso - Llegada]]="","",MARÍTIMOS[[#This Row],[Etapa Ingreso - Llegada]]),"")</f>
        <v>46235.379166666666</v>
      </c>
      <c r="AJ192" s="11">
        <f>IFERROR(IF(MARÍTIMOS[[#This Row],[Etapa Ingreso - Ingeso]]="","",MARÍTIMOS[[#This Row],[Etapa Ingreso - Ingeso]]),"")</f>
        <v>46235.384027777778</v>
      </c>
      <c r="AK192" s="11">
        <f>IFERROR(IF(MARÍTIMOS[[#This Row],[Etapa Ingreso - Atención]]="","",MARÍTIMOS[[#This Row],[Etapa Ingreso - Atención]]),"")</f>
        <v>46235.388888888891</v>
      </c>
      <c r="AL192" s="11">
        <f>IFERROR(IF(MARÍTIMOS[[#This Row],[Etapa Ingreso - Salida]]="","",MARÍTIMOS[[#This Row],[Etapa Ingreso - Salida]]),"")</f>
        <v>46235.393055555556</v>
      </c>
      <c r="AM192" s="2">
        <f>IFERROR(IF(MARÍTIMOS[[#This Row],[FCL]]="","",MARÍTIMOS[[#This Row],[FCL]]),"")</f>
        <v>1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2" s="5">
        <f>IFERROR(OLDBD[[#This Row],[Llegada a packing]]-OLDBD[[#This Row],[Inicio de Ruta]],"")</f>
        <v>0.75833333333866904</v>
      </c>
      <c r="AQ192" s="6">
        <f>IFERROR(OLDBD[[#This Row],[Inicio de Ruta]]-OLDBD[[#This Row],[Salida de almacén de retiro]],"")</f>
        <v>3.4027777772280388E-2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2" s="9">
        <f>IFERROR(OLDBD[[#This Row],[Ingreso Packing]]-OLDBD[[#This Row],[Registro en Packing]],"")</f>
        <v>2.7777777795563452E-3</v>
      </c>
      <c r="AV192" s="9">
        <f>IFERROR(OLDBD[[#This Row],[Ingreso Packing]]-OLDBD[[#This Row],[Llegada a packing]],"")</f>
        <v>5.5555555518367328E-3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2" s="5">
        <f>IFERROR(OLDBD[[#This Row],[Llegada Almacén de Ingreso]]-OLDBD[[#This Row],[Salida Packing]],"")</f>
        <v>0.7930555555576575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2" s="45" t="s">
        <v>181</v>
      </c>
      <c r="BB192" s="53" t="str">
        <f>IFERROR(IF(MARÍTIMOS[[#This Row],[Estatus]]="","",MARÍTIMOS[[#This Row],[Estatus]]),"")</f>
        <v>Confirmado</v>
      </c>
      <c r="BC192" s="45"/>
      <c r="BD192" s="52">
        <f>IFERROR(OLDBD[[#This Row],[Salida de almacén de retiro]]-OLDBD[[#This Row],[Ingreso Almacén de retiro]],"")</f>
        <v>6.7361111112404615E-2</v>
      </c>
      <c r="BE192" s="52">
        <f>IFERROR(OLDBD[[#This Row],[Fin de Carga]]-OLDBD[[#This Row],[Inicio de Carga]],"")</f>
        <v>8.1944444442342501E-2</v>
      </c>
    </row>
    <row r="193" spans="1:57" x14ac:dyDescent="0.35">
      <c r="A193" s="1"/>
      <c r="B193" s="1">
        <f>IFERROR(IF(MARÍTIMOS[[#This Row],[PP]]="","",MARÍTIMOS[[#This Row],[PP]]),"")</f>
        <v>31</v>
      </c>
      <c r="C193" s="1" t="str">
        <f>IFERROR(IF(MARÍTIMOS[[#This Row],[Sede]]="","",MARÍTIMOS[[#This Row],[Sede]]),"")</f>
        <v>Chao</v>
      </c>
      <c r="D193" s="1" t="str">
        <f>IFERROR(IF(MARÍTIMOS[[#This Row],[Instruction]]="","",MARÍTIMOS[[#This Row],[Instruction]]),"")</f>
        <v>RH-0342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NO</v>
      </c>
      <c r="H193" s="2" t="str">
        <f>IFERROR(IF(MARÍTIMOS[[#This Row],[Razón Social]]="","",MARÍTIMOS[[#This Row],[Razón Social]]),"")</f>
        <v>TRANSCAR MATHEO SOCIEDAD ANONIMA CERRADA</v>
      </c>
      <c r="I193" s="2">
        <f>IFERROR(IF(MARÍTIMOS[[#This Row],[RUC]]="","",MARÍTIMOS[[#This Row],[RUC]]),"")</f>
        <v>20612886921</v>
      </c>
      <c r="J193" s="2" t="str">
        <f>IFERROR(IF(MARÍTIMOS[[#This Row],[Placa Tracto]]="","",MARÍTIMOS[[#This Row],[Placa Tracto]]),"")</f>
        <v>TAA-825</v>
      </c>
      <c r="K193" s="2" t="str">
        <f>IFERROR(IF(MARÍTIMOS[[#This Row],[Placa Carreta]]="","",MARÍTIMOS[[#This Row],[Placa Carreta]]),"")</f>
        <v>TOR-990</v>
      </c>
      <c r="L193" s="46" t="str">
        <f>IFERROR(IF(MARÍTIMOS[[#This Row],[Conductor]]="","",MARÍTIMOS[[#This Row],[Conductor]]),"")</f>
        <v>PEÑA OLAYA JOSE LUIS</v>
      </c>
      <c r="M193" s="2" t="str">
        <f>IFERROR(IF(MARÍTIMOS[[#This Row],[Licencia]]="","",MARÍTIMOS[[#This Row],[Licencia]]),"")</f>
        <v>B44348839</v>
      </c>
      <c r="N193" s="2" t="str">
        <f>IFERROR(IF(MARÍTIMOS[[#This Row],[Número de Contacto]]="","",MARÍTIMOS[[#This Row],[Número de Contacto]]),"")</f>
        <v>959 005 437</v>
      </c>
      <c r="O193" s="10" t="str">
        <f>IFERROR(IF(MARÍTIMOS[[#This Row],[Booking|AWB|CRT]]="","",MARÍTIMOS[[#This Row],[Booking|AWB|CRT]]),"")</f>
        <v>BN80274</v>
      </c>
      <c r="P193" s="2" t="str">
        <f>IFERROR(IF(MARÍTIMOS[[#This Row],[Contenedor]]="","",MARÍTIMOS[[#This Row],[Contenedor]]),"")</f>
        <v>SEKU9346404</v>
      </c>
      <c r="Q193" s="2" t="str">
        <f>IFERROR(IF(MARÍTIMOS[[#This Row],[Puerto de Retiro]]="","",MARÍTIMOS[[#This Row],[Puerto de Retiro]]),"")</f>
        <v>PAITA</v>
      </c>
      <c r="R193" s="2" t="str">
        <f>IFERROR(IF(MARÍTIMOS[[#This Row],[Almacén de Retiro]]="","",MARÍTIMOS[[#This Row],[Almacén de Retiro]]),"")</f>
        <v>DPW</v>
      </c>
      <c r="S193" s="11">
        <f>IFERROR(IF(MARÍTIMOS[[#This Row],[Etapa Retiro - Cita]]="","",MARÍTIMOS[[#This Row],[Etapa Retiro - Cita]]),"")</f>
        <v>46236.5</v>
      </c>
      <c r="T193" s="11">
        <f>IFERROR(IF(MARÍTIMOS[[#This Row],[Etapa Retiro - Llegada]]="","",MARÍTIMOS[[#This Row],[Etapa Retiro - Llegada]]),"")</f>
        <v>46236.487500000003</v>
      </c>
      <c r="U193" s="11">
        <f>IFERROR(IF(MARÍTIMOS[[#This Row],[Etapa Retiro - Ingreso]]="","",MARÍTIMOS[[#This Row],[Etapa Retiro - Ingreso]]),"")</f>
        <v>46236.489583333336</v>
      </c>
      <c r="V193" s="11">
        <f>IFERROR(IF(MARÍTIMOS[[#This Row],[Etapa Retiro - Atención]]="","",MARÍTIMOS[[#This Row],[Etapa Retiro - Atención]]),"")</f>
        <v>46236.559027777781</v>
      </c>
      <c r="W193" s="11">
        <f>IFERROR(IF(MARÍTIMOS[[#This Row],[Etapa Retiro - Salida]]="","",MARÍTIMOS[[#This Row],[Etapa Retiro - Salida]]),"")</f>
        <v>46236.595833333333</v>
      </c>
      <c r="X193" s="11">
        <f>IFERROR(IF(MARÍTIMOS[[#This Row],[Etapa Retiro - Inicio de Ruta]]="","",MARÍTIMOS[[#This Row],[Etapa Retiro - Inicio de Ruta]]),"")</f>
        <v>46236.638888888891</v>
      </c>
      <c r="Y193" s="11">
        <f>IFERROR(IF(MARÍTIMOS[[#This Row],[Hora de Posicionamiento]]="","",MARÍTIMOS[[#This Row],[Hora de Carga]]+MARÍTIMOS[[#This Row],[Hora de Posicionamiento]]),"")</f>
        <v>0.75</v>
      </c>
      <c r="Z193" s="11">
        <f>IFERROR(IF(MARÍTIMOS[[#This Row],[Etapa Despacho -  Llegada]]="","",MARÍTIMOS[[#This Row],[Etapa Despacho -  Llegada]]),"")</f>
        <v>46237.338888888888</v>
      </c>
      <c r="AA193" s="11">
        <f>IFERROR(IF(MARÍTIMOS[[#This Row],[Etapa Despacho -  Registro]]="","",MARÍTIMOS[[#This Row],[Etapa Despacho -  Registro]]),"")</f>
        <v>46237.34097222222</v>
      </c>
      <c r="AB193" s="11">
        <f>IFERROR(IF(MARÍTIMOS[[#This Row],[Inspección Externa]]="","",MARÍTIMOS[[#This Row],[Inspección Externa]]),"")</f>
        <v>46237.354166666664</v>
      </c>
      <c r="AC193" s="11">
        <f>IFERROR(IF(MARÍTIMOS[[#This Row],[Etapa Despacho -  Inicio de Carga]]="","",MARÍTIMOS[[#This Row],[Etapa Despacho -  Inicio de Carga]]),"")</f>
        <v>46237.666666666664</v>
      </c>
      <c r="AD193" s="11">
        <f>IFERROR(IF(MARÍTIMOS[[#This Row],[Etapa Despacho -  Fin de Carga]]="","",MARÍTIMOS[[#This Row],[Etapa Despacho -  Fin de Carga]]),"")</f>
        <v>46237.708333333336</v>
      </c>
      <c r="AE193" s="11">
        <f>IFERROR(IF(MARÍTIMOS[[#This Row],[Etapa Despacho -  Salida]]="","",MARÍTIMOS[[#This Row],[Etapa Despacho -  Salida]]),"")</f>
        <v>46237.716666666667</v>
      </c>
      <c r="AF193" s="2" t="str">
        <f>IFERROR(IF(MARÍTIMOS[[#This Row],[Puerto de Embarque]]="","",MARÍTIMOS[[#This Row],[Puerto de Embarque]]),"")</f>
        <v>Paita</v>
      </c>
      <c r="AG193" s="2" t="str">
        <f>IFERROR(IF(MARÍTIMOS[[#This Row],[Almacén de Ingreso]]="","",MARÍTIMOS[[#This Row],[Almacén de Ingreso]]),"")</f>
        <v>TPE</v>
      </c>
      <c r="AH193" s="11">
        <f>IFERROR(IF(MARÍTIMOS[[#This Row],[Etapa Ingreso - Cita]]="","",MARÍTIMOS[[#This Row],[Etapa Ingreso - Cita]]),"")</f>
        <v>46238.416666666664</v>
      </c>
      <c r="AI193" s="11">
        <f>IFERROR(IF(MARÍTIMOS[[#This Row],[Etapa Ingreso - Llegada]]="","",MARÍTIMOS[[#This Row],[Etapa Ingreso - Llegada]]),"")</f>
        <v>46238.37777777778</v>
      </c>
      <c r="AJ193" s="11">
        <f>IFERROR(IF(MARÍTIMOS[[#This Row],[Etapa Ingreso - Ingeso]]="","",MARÍTIMOS[[#This Row],[Etapa Ingreso - Ingeso]]),"")</f>
        <v>46238.383333333331</v>
      </c>
      <c r="AK193" s="11">
        <f>IFERROR(IF(MARÍTIMOS[[#This Row],[Etapa Ingreso - Atención]]="","",MARÍTIMOS[[#This Row],[Etapa Ingreso - Atención]]),"")</f>
        <v>46238.385416666664</v>
      </c>
      <c r="AL193" s="11">
        <f>IFERROR(IF(MARÍTIMOS[[#This Row],[Etapa Ingreso - Salida]]="","",MARÍTIMOS[[#This Row],[Etapa Ingreso - Salida]]),"")</f>
        <v>46238.388194444444</v>
      </c>
      <c r="AM193" s="2">
        <f>IFERROR(IF(MARÍTIMOS[[#This Row],[FCL]]="","",MARÍTIMOS[[#This Row],[FCL]]),"")</f>
        <v>1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93" s="5">
        <f>IFERROR(OLDBD[[#This Row],[Llegada a packing]]-OLDBD[[#This Row],[Inicio de Ruta]],"")</f>
        <v>0.69999999999708962</v>
      </c>
      <c r="AQ193" s="6">
        <f>IFERROR(OLDBD[[#This Row],[Inicio de Ruta]]-OLDBD[[#This Row],[Salida de almacén de retiro]],"")</f>
        <v>4.3055555557657499E-2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3" s="9">
        <f>IFERROR(OLDBD[[#This Row],[Ingreso Packing]]-OLDBD[[#This Row],[Registro en Packing]],"")</f>
        <v>1.3194444443797693E-2</v>
      </c>
      <c r="AV193" s="9">
        <f>IFERROR(OLDBD[[#This Row],[Ingreso Packing]]-OLDBD[[#This Row],[Llegada a packing]],"")</f>
        <v>1.5277777776645962E-2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3" s="5">
        <f>IFERROR(OLDBD[[#This Row],[Llegada Almacén de Ingreso]]-OLDBD[[#This Row],[Salida Packing]],"")</f>
        <v>0.66111111111240461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3" s="45" t="s">
        <v>181</v>
      </c>
      <c r="BB193" s="53" t="str">
        <f>IFERROR(IF(MARÍTIMOS[[#This Row],[Estatus]]="","",MARÍTIMOS[[#This Row],[Estatus]]),"")</f>
        <v>Confirmado</v>
      </c>
      <c r="BC193" s="45"/>
      <c r="BD193" s="52">
        <f>IFERROR(OLDBD[[#This Row],[Salida de almacén de retiro]]-OLDBD[[#This Row],[Ingreso Almacén de retiro]],"")</f>
        <v>0.10624999999708962</v>
      </c>
      <c r="BE193" s="52">
        <f>IFERROR(OLDBD[[#This Row],[Fin de Carga]]-OLDBD[[#This Row],[Inicio de Carga]],"")</f>
        <v>4.1666666671517305E-2</v>
      </c>
    </row>
    <row r="194" spans="1:57" x14ac:dyDescent="0.35">
      <c r="A194" s="1"/>
      <c r="B194" s="1">
        <f>IFERROR(IF(MARÍTIMOS[[#This Row],[PP]]="","",MARÍTIMOS[[#This Row],[PP]]),"")</f>
        <v>31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RH-0343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NO</v>
      </c>
      <c r="H194" s="2" t="str">
        <f>IFERROR(IF(MARÍTIMOS[[#This Row],[Razón Social]]="","",MARÍTIMOS[[#This Row],[Razón Social]]),"")</f>
        <v>TRANSPORTES Y SERVICIOS UNITED FRIENDS S.A.C.</v>
      </c>
      <c r="I194" s="2">
        <f>IFERROR(IF(MARÍTIMOS[[#This Row],[RUC]]="","",MARÍTIMOS[[#This Row],[RUC]]),"")</f>
        <v>20601368766</v>
      </c>
      <c r="J194" s="2" t="str">
        <f>IFERROR(IF(MARÍTIMOS[[#This Row],[Placa Tracto]]="","",MARÍTIMOS[[#This Row],[Placa Tracto]]),"")</f>
        <v>TFC-827</v>
      </c>
      <c r="K194" s="2" t="str">
        <f>IFERROR(IF(MARÍTIMOS[[#This Row],[Placa Carreta]]="","",MARÍTIMOS[[#This Row],[Placa Carreta]]),"")</f>
        <v>BUC-978</v>
      </c>
      <c r="L194" s="46" t="str">
        <f>IFERROR(IF(MARÍTIMOS[[#This Row],[Conductor]]="","",MARÍTIMOS[[#This Row],[Conductor]]),"")</f>
        <v>MOGOLLÓN REYES JUAN CARLOS</v>
      </c>
      <c r="M194" s="2" t="str">
        <f>IFERROR(IF(MARÍTIMOS[[#This Row],[Licencia]]="","",MARÍTIMOS[[#This Row],[Licencia]]),"")</f>
        <v>B02862672</v>
      </c>
      <c r="N194" s="2" t="str">
        <f>IFERROR(IF(MARÍTIMOS[[#This Row],[Número de Contacto]]="","",MARÍTIMOS[[#This Row],[Número de Contacto]]),"")</f>
        <v>934 040 127</v>
      </c>
      <c r="O194" s="10" t="str">
        <f>IFERROR(IF(MARÍTIMOS[[#This Row],[Booking|AWB|CRT]]="","",MARÍTIMOS[[#This Row],[Booking|AWB|CRT]]),"")</f>
        <v>BN80275</v>
      </c>
      <c r="P194" s="2" t="str">
        <f>IFERROR(IF(MARÍTIMOS[[#This Row],[Contenedor]]="","",MARÍTIMOS[[#This Row],[Contenedor]]),"")</f>
        <v>SEKU9267687</v>
      </c>
      <c r="Q194" s="2" t="str">
        <f>IFERROR(IF(MARÍTIMOS[[#This Row],[Puerto de Retiro]]="","",MARÍTIMOS[[#This Row],[Puerto de Retiro]]),"")</f>
        <v>PAITA</v>
      </c>
      <c r="R194" s="2" t="str">
        <f>IFERROR(IF(MARÍTIMOS[[#This Row],[Almacén de Retiro]]="","",MARÍTIMOS[[#This Row],[Almacén de Retiro]]),"")</f>
        <v>DPW</v>
      </c>
      <c r="S194" s="11">
        <f>IFERROR(IF(MARÍTIMOS[[#This Row],[Etapa Retiro - Cita]]="","",MARÍTIMOS[[#This Row],[Etapa Retiro - Cita]]),"")</f>
        <v>46236.5</v>
      </c>
      <c r="T194" s="11">
        <f>IFERROR(IF(MARÍTIMOS[[#This Row],[Etapa Retiro - Llegada]]="","",MARÍTIMOS[[#This Row],[Etapa Retiro - Llegada]]),"")</f>
        <v>46236.484722222223</v>
      </c>
      <c r="U194" s="11">
        <f>IFERROR(IF(MARÍTIMOS[[#This Row],[Etapa Retiro - Ingreso]]="","",MARÍTIMOS[[#This Row],[Etapa Retiro - Ingreso]]),"")</f>
        <v>46236.488194444442</v>
      </c>
      <c r="V194" s="11">
        <f>IFERROR(IF(MARÍTIMOS[[#This Row],[Etapa Retiro - Atención]]="","",MARÍTIMOS[[#This Row],[Etapa Retiro - Atención]]),"")</f>
        <v>46236.518055555556</v>
      </c>
      <c r="W194" s="11">
        <f>IFERROR(IF(MARÍTIMOS[[#This Row],[Etapa Retiro - Salida]]="","",MARÍTIMOS[[#This Row],[Etapa Retiro - Salida]]),"")</f>
        <v>46236.568055555559</v>
      </c>
      <c r="X194" s="11">
        <f>IFERROR(IF(MARÍTIMOS[[#This Row],[Etapa Retiro - Inicio de Ruta]]="","",MARÍTIMOS[[#This Row],[Etapa Retiro - Inicio de Ruta]]),"")</f>
        <v>46236.611111111109</v>
      </c>
      <c r="Y194" s="11">
        <f>IFERROR(IF(MARÍTIMOS[[#This Row],[Hora de Posicionamiento]]="","",MARÍTIMOS[[#This Row],[Hora de Carga]]+MARÍTIMOS[[#This Row],[Hora de Posicionamiento]]),"")</f>
        <v>0.75</v>
      </c>
      <c r="Z194" s="11">
        <f>IFERROR(IF(MARÍTIMOS[[#This Row],[Etapa Despacho -  Llegada]]="","",MARÍTIMOS[[#This Row],[Etapa Despacho -  Llegada]]),"")</f>
        <v>46237.342361111114</v>
      </c>
      <c r="AA194" s="11">
        <f>IFERROR(IF(MARÍTIMOS[[#This Row],[Etapa Despacho -  Registro]]="","",MARÍTIMOS[[#This Row],[Etapa Despacho -  Registro]]),"")</f>
        <v>46237.345138888886</v>
      </c>
      <c r="AB194" s="11">
        <f>IFERROR(IF(MARÍTIMOS[[#This Row],[Inspección Externa]]="","",MARÍTIMOS[[#This Row],[Inspección Externa]]),"")</f>
        <v>46237.348611111112</v>
      </c>
      <c r="AC194" s="11">
        <f>IFERROR(IF(MARÍTIMOS[[#This Row],[Etapa Despacho -  Inicio de Carga]]="","",MARÍTIMOS[[#This Row],[Etapa Despacho -  Inicio de Carga]]),"")</f>
        <v>46237.659722222219</v>
      </c>
      <c r="AD194" s="11">
        <f>IFERROR(IF(MARÍTIMOS[[#This Row],[Etapa Despacho -  Fin de Carga]]="","",MARÍTIMOS[[#This Row],[Etapa Despacho -  Fin de Carga]]),"")</f>
        <v>46237.71875</v>
      </c>
      <c r="AE194" s="11">
        <f>IFERROR(IF(MARÍTIMOS[[#This Row],[Etapa Despacho -  Salida]]="","",MARÍTIMOS[[#This Row],[Etapa Despacho -  Salida]]),"")</f>
        <v>46237.726388888892</v>
      </c>
      <c r="AF194" s="2" t="str">
        <f>IFERROR(IF(MARÍTIMOS[[#This Row],[Puerto de Embarque]]="","",MARÍTIMOS[[#This Row],[Puerto de Embarque]]),"")</f>
        <v>Paita</v>
      </c>
      <c r="AG194" s="2" t="str">
        <f>IFERROR(IF(MARÍTIMOS[[#This Row],[Almacén de Ingreso]]="","",MARÍTIMOS[[#This Row],[Almacén de Ingreso]]),"")</f>
        <v>TPE</v>
      </c>
      <c r="AH194" s="11">
        <f>IFERROR(IF(MARÍTIMOS[[#This Row],[Etapa Ingreso - Cita]]="","",MARÍTIMOS[[#This Row],[Etapa Ingreso - Cita]]),"")</f>
        <v>46238.458333333336</v>
      </c>
      <c r="AI194" s="11">
        <f>IFERROR(IF(MARÍTIMOS[[#This Row],[Etapa Ingreso - Llegada]]="","",MARÍTIMOS[[#This Row],[Etapa Ingreso - Llegada]]),"")</f>
        <v>46238.425694444442</v>
      </c>
      <c r="AJ194" s="11">
        <f>IFERROR(IF(MARÍTIMOS[[#This Row],[Etapa Ingreso - Ingeso]]="","",MARÍTIMOS[[#This Row],[Etapa Ingreso - Ingeso]]),"")</f>
        <v>46238.432638888888</v>
      </c>
      <c r="AK194" s="11">
        <f>IFERROR(IF(MARÍTIMOS[[#This Row],[Etapa Ingreso - Atención]]="","",MARÍTIMOS[[#This Row],[Etapa Ingreso - Atención]]),"")</f>
        <v>46238.447222222225</v>
      </c>
      <c r="AL194" s="11">
        <f>IFERROR(IF(MARÍTIMOS[[#This Row],[Etapa Ingreso - Salida]]="","",MARÍTIMOS[[#This Row],[Etapa Ingreso - Salida]]),"")</f>
        <v>46238.451388888891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4" s="5">
        <f>IFERROR(OLDBD[[#This Row],[Llegada a packing]]-OLDBD[[#This Row],[Inicio de Ruta]],"")</f>
        <v>0.73125000000436557</v>
      </c>
      <c r="AQ194" s="6">
        <f>IFERROR(OLDBD[[#This Row],[Inicio de Ruta]]-OLDBD[[#This Row],[Salida de almacén de retiro]],"")</f>
        <v>4.3055555550381541E-2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4" s="9">
        <f>IFERROR(OLDBD[[#This Row],[Ingreso Packing]]-OLDBD[[#This Row],[Registro en Packing]],"")</f>
        <v>3.4722222262644209E-3</v>
      </c>
      <c r="AV194" s="9">
        <f>IFERROR(OLDBD[[#This Row],[Ingreso Packing]]-OLDBD[[#This Row],[Llegada a packing]],"")</f>
        <v>6.2499999985448085E-3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4" s="5">
        <f>IFERROR(OLDBD[[#This Row],[Llegada Almacén de Ingreso]]-OLDBD[[#This Row],[Salida Packing]],"")</f>
        <v>0.69930555555038154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4" s="45" t="s">
        <v>181</v>
      </c>
      <c r="BB194" s="53" t="str">
        <f>IFERROR(IF(MARÍTIMOS[[#This Row],[Estatus]]="","",MARÍTIMOS[[#This Row],[Estatus]]),"")</f>
        <v>Confirmado</v>
      </c>
      <c r="BC194" s="45"/>
      <c r="BD194" s="52">
        <f>IFERROR(OLDBD[[#This Row],[Salida de almacén de retiro]]-OLDBD[[#This Row],[Ingreso Almacén de retiro]],"")</f>
        <v>7.9861111116770189E-2</v>
      </c>
      <c r="BE194" s="52">
        <f>IFERROR(OLDBD[[#This Row],[Fin de Carga]]-OLDBD[[#This Row],[Inicio de Carga]],"")</f>
        <v>5.9027777781011537E-2</v>
      </c>
    </row>
    <row r="195" spans="1:57" x14ac:dyDescent="0.35">
      <c r="A195" s="1"/>
      <c r="B195" s="1">
        <f>IFERROR(IF(MARÍTIMOS[[#This Row],[PP]]="","",MARÍTIMOS[[#This Row],[PP]]),"")</f>
        <v>31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RH-0346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LOGISTICS TRANSPORT SOCIEDAD ANONIMA CERRADA</v>
      </c>
      <c r="I195" s="2">
        <f>IFERROR(IF(MARÍTIMOS[[#This Row],[RUC]]="","",MARÍTIMOS[[#This Row],[RUC]]),"")</f>
        <v>20614402246</v>
      </c>
      <c r="J195" s="2" t="str">
        <f>IFERROR(IF(MARÍTIMOS[[#This Row],[Placa Tracto]]="","",MARÍTIMOS[[#This Row],[Placa Tracto]]),"")</f>
        <v>D4J-829</v>
      </c>
      <c r="K195" s="2" t="str">
        <f>IFERROR(IF(MARÍTIMOS[[#This Row],[Placa Carreta]]="","",MARÍTIMOS[[#This Row],[Placa Carreta]]),"")</f>
        <v>TJZ-980</v>
      </c>
      <c r="L195" s="46" t="str">
        <f>IFERROR(IF(MARÍTIMOS[[#This Row],[Conductor]]="","",MARÍTIMOS[[#This Row],[Conductor]]),"")</f>
        <v>CHIROQUE IMAN JOSE NICOLAS</v>
      </c>
      <c r="M195" s="2" t="str">
        <f>IFERROR(IF(MARÍTIMOS[[#This Row],[Licencia]]="","",MARÍTIMOS[[#This Row],[Licencia]]),"")</f>
        <v>C16578741</v>
      </c>
      <c r="N195" s="2" t="str">
        <f>IFERROR(IF(MARÍTIMOS[[#This Row],[Número de Contacto]]="","",MARÍTIMOS[[#This Row],[Número de Contacto]]),"")</f>
        <v>934 040 127</v>
      </c>
      <c r="O195" s="10" t="str">
        <f>IFERROR(IF(MARÍTIMOS[[#This Row],[Booking|AWB|CRT]]="","",MARÍTIMOS[[#This Row],[Booking|AWB|CRT]]),"")</f>
        <v>PER9166891A</v>
      </c>
      <c r="P195" s="2" t="str">
        <f>IFERROR(IF(MARÍTIMOS[[#This Row],[Contenedor]]="","",MARÍTIMOS[[#This Row],[Contenedor]]),"")</f>
        <v>CAAU4080852</v>
      </c>
      <c r="Q195" s="2" t="str">
        <f>IFERROR(IF(MARÍTIMOS[[#This Row],[Puerto de Retiro]]="","",MARÍTIMOS[[#This Row],[Puerto de Retiro]]),"")</f>
        <v>PAITA</v>
      </c>
      <c r="R195" s="2" t="str">
        <f>IFERROR(IF(MARÍTIMOS[[#This Row],[Almacén de Retiro]]="","",MARÍTIMOS[[#This Row],[Almacén de Retiro]]),"")</f>
        <v>DPW</v>
      </c>
      <c r="S195" s="11">
        <f>IFERROR(IF(MARÍTIMOS[[#This Row],[Etapa Retiro - Cita]]="","",MARÍTIMOS[[#This Row],[Etapa Retiro - Cita]]),"")</f>
        <v>46236.458333333336</v>
      </c>
      <c r="T195" s="11">
        <f>IFERROR(IF(MARÍTIMOS[[#This Row],[Etapa Retiro - Llegada]]="","",MARÍTIMOS[[#This Row],[Etapa Retiro - Llegada]]),"")</f>
        <v>46236.451388888891</v>
      </c>
      <c r="U195" s="11">
        <f>IFERROR(IF(MARÍTIMOS[[#This Row],[Etapa Retiro - Ingreso]]="","",MARÍTIMOS[[#This Row],[Etapa Retiro - Ingreso]]),"")</f>
        <v>46236.487500000003</v>
      </c>
      <c r="V195" s="11">
        <f>IFERROR(IF(MARÍTIMOS[[#This Row],[Etapa Retiro - Atención]]="","",MARÍTIMOS[[#This Row],[Etapa Retiro - Atención]]),"")</f>
        <v>46236.506944444445</v>
      </c>
      <c r="W195" s="11">
        <f>IFERROR(IF(MARÍTIMOS[[#This Row],[Etapa Retiro - Salida]]="","",MARÍTIMOS[[#This Row],[Etapa Retiro - Salida]]),"")</f>
        <v>46236.552083333336</v>
      </c>
      <c r="X195" s="11">
        <f>IFERROR(IF(MARÍTIMOS[[#This Row],[Etapa Retiro - Inicio de Ruta]]="","",MARÍTIMOS[[#This Row],[Etapa Retiro - Inicio de Ruta]]),"")</f>
        <v>46236.604166666664</v>
      </c>
      <c r="Y195" s="11">
        <f>IFERROR(IF(MARÍTIMOS[[#This Row],[Hora de Posicionamiento]]="","",MARÍTIMOS[[#This Row],[Hora de Carga]]+MARÍTIMOS[[#This Row],[Hora de Posicionamiento]]),"")</f>
        <v>0.75</v>
      </c>
      <c r="Z195" s="11">
        <f>IFERROR(IF(MARÍTIMOS[[#This Row],[Etapa Despacho -  Llegada]]="","",MARÍTIMOS[[#This Row],[Etapa Despacho -  Llegada]]),"")</f>
        <v>46237.472222222219</v>
      </c>
      <c r="AA195" s="11">
        <f>IFERROR(IF(MARÍTIMOS[[#This Row],[Etapa Despacho -  Registro]]="","",MARÍTIMOS[[#This Row],[Etapa Despacho -  Registro]]),"")</f>
        <v>46237.474305555559</v>
      </c>
      <c r="AB195" s="11">
        <f>IFERROR(IF(MARÍTIMOS[[#This Row],[Inspección Externa]]="","",MARÍTIMOS[[#This Row],[Inspección Externa]]),"")</f>
        <v>46237.520833333336</v>
      </c>
      <c r="AC195" s="11">
        <f>IFERROR(IF(MARÍTIMOS[[#This Row],[Etapa Despacho -  Inicio de Carga]]="","",MARÍTIMOS[[#This Row],[Etapa Despacho -  Inicio de Carga]]),"")</f>
        <v>46237.729166666664</v>
      </c>
      <c r="AD195" s="11">
        <f>IFERROR(IF(MARÍTIMOS[[#This Row],[Etapa Despacho -  Fin de Carga]]="","",MARÍTIMOS[[#This Row],[Etapa Despacho -  Fin de Carga]]),"")</f>
        <v>46237.809027777781</v>
      </c>
      <c r="AE195" s="11">
        <f>IFERROR(IF(MARÍTIMOS[[#This Row],[Etapa Despacho -  Salida]]="","",MARÍTIMOS[[#This Row],[Etapa Despacho -  Salida]]),"")</f>
        <v>46237.818055555559</v>
      </c>
      <c r="AF195" s="2" t="str">
        <f>IFERROR(IF(MARÍTIMOS[[#This Row],[Puerto de Embarque]]="","",MARÍTIMOS[[#This Row],[Puerto de Embarque]]),"")</f>
        <v>Paita</v>
      </c>
      <c r="AG195" s="2" t="str">
        <f>IFERROR(IF(MARÍTIMOS[[#This Row],[Almacén de Ingreso]]="","",MARÍTIMOS[[#This Row],[Almacén de Ingreso]]),"")</f>
        <v>TPE</v>
      </c>
      <c r="AH195" s="11">
        <f>IFERROR(IF(MARÍTIMOS[[#This Row],[Etapa Ingreso - Cita]]="","",MARÍTIMOS[[#This Row],[Etapa Ingreso - Cita]]),"")</f>
        <v>46238.583333333336</v>
      </c>
      <c r="AI195" s="11">
        <f>IFERROR(IF(MARÍTIMOS[[#This Row],[Etapa Ingreso - Llegada]]="","",MARÍTIMOS[[#This Row],[Etapa Ingreso - Llegada]]),"")</f>
        <v>46238.561805555553</v>
      </c>
      <c r="AJ195" s="11">
        <f>IFERROR(IF(MARÍTIMOS[[#This Row],[Etapa Ingreso - Ingeso]]="","",MARÍTIMOS[[#This Row],[Etapa Ingreso - Ingeso]]),"")</f>
        <v>46238.566666666666</v>
      </c>
      <c r="AK195" s="11">
        <f>IFERROR(IF(MARÍTIMOS[[#This Row],[Etapa Ingreso - Atención]]="","",MARÍTIMOS[[#This Row],[Etapa Ingreso - Atención]]),"")</f>
        <v>46238.574999999997</v>
      </c>
      <c r="AL195" s="11">
        <f>IFERROR(IF(MARÍTIMOS[[#This Row],[Etapa Ingreso - Salida]]="","",MARÍTIMOS[[#This Row],[Etapa Ingreso - Salida]]),"")</f>
        <v>46238.578472222223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5" s="5">
        <f>IFERROR(OLDBD[[#This Row],[Llegada a packing]]-OLDBD[[#This Row],[Inicio de Ruta]],"")</f>
        <v>0.86805555555474712</v>
      </c>
      <c r="AQ195" s="6">
        <f>IFERROR(OLDBD[[#This Row],[Inicio de Ruta]]-OLDBD[[#This Row],[Salida de almacén de retiro]],"")</f>
        <v>5.2083333328482695E-2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5" s="9">
        <f>IFERROR(OLDBD[[#This Row],[Ingreso Packing]]-OLDBD[[#This Row],[Registro en Packing]],"")</f>
        <v>4.6527777776645962E-2</v>
      </c>
      <c r="AV195" s="9">
        <f>IFERROR(OLDBD[[#This Row],[Ingreso Packing]]-OLDBD[[#This Row],[Llegada a packing]],"")</f>
        <v>4.8611111116770189E-2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5" s="5">
        <f>IFERROR(OLDBD[[#This Row],[Llegada Almacén de Ingreso]]-OLDBD[[#This Row],[Salida Packing]],"")</f>
        <v>0.74374999999417923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5" s="45" t="s">
        <v>181</v>
      </c>
      <c r="BB195" s="53" t="str">
        <f>IFERROR(IF(MARÍTIMOS[[#This Row],[Estatus]]="","",MARÍTIMOS[[#This Row],[Estatus]]),"")</f>
        <v>Confirmado</v>
      </c>
      <c r="BC195" s="45"/>
      <c r="BD195" s="52">
        <f>IFERROR(OLDBD[[#This Row],[Salida de almacén de retiro]]-OLDBD[[#This Row],[Ingreso Almacén de retiro]],"")</f>
        <v>6.4583333332848269E-2</v>
      </c>
      <c r="BE195" s="52">
        <f>IFERROR(OLDBD[[#This Row],[Fin de Carga]]-OLDBD[[#This Row],[Inicio de Carga]],"")</f>
        <v>7.9861111116770189E-2</v>
      </c>
    </row>
    <row r="196" spans="1:57" x14ac:dyDescent="0.35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RH-0351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NO</v>
      </c>
      <c r="H196" s="2" t="str">
        <f>IFERROR(IF(MARÍTIMOS[[#This Row],[Razón Social]]="","",MARÍTIMOS[[#This Row],[Razón Social]]),"")</f>
        <v>LOGISTICA INTERMODAL DEL PERU S.A.C.</v>
      </c>
      <c r="I196" s="2">
        <f>IFERROR(IF(MARÍTIMOS[[#This Row],[RUC]]="","",MARÍTIMOS[[#This Row],[RUC]]),"")</f>
        <v>20513040718</v>
      </c>
      <c r="J196" s="2" t="str">
        <f>IFERROR(IF(MARÍTIMOS[[#This Row],[Placa Tracto]]="","",MARÍTIMOS[[#This Row],[Placa Tracto]]),"")</f>
        <v>AYO-798</v>
      </c>
      <c r="K196" s="2" t="str">
        <f>IFERROR(IF(MARÍTIMOS[[#This Row],[Placa Carreta]]="","",MARÍTIMOS[[#This Row],[Placa Carreta]]),"")</f>
        <v>AMW-985</v>
      </c>
      <c r="L196" s="46" t="str">
        <f>IFERROR(IF(MARÍTIMOS[[#This Row],[Conductor]]="","",MARÍTIMOS[[#This Row],[Conductor]]),"")</f>
        <v>CHAVEZ SERRATO WILLIAN</v>
      </c>
      <c r="M196" s="2" t="str">
        <f>IFERROR(IF(MARÍTIMOS[[#This Row],[Licencia]]="","",MARÍTIMOS[[#This Row],[Licencia]]),"")</f>
        <v>B46863156</v>
      </c>
      <c r="N196" s="2" t="str">
        <f>IFERROR(IF(MARÍTIMOS[[#This Row],[Número de Contacto]]="","",MARÍTIMOS[[#This Row],[Número de Contacto]]),"")</f>
        <v>960 005 437</v>
      </c>
      <c r="O196" s="10" t="str">
        <f>IFERROR(IF(MARÍTIMOS[[#This Row],[Booking|AWB|CRT]]="","",MARÍTIMOS[[#This Row],[Booking|AWB|CRT]]),"")</f>
        <v>PER9166896A</v>
      </c>
      <c r="P196" s="2" t="str">
        <f>IFERROR(IF(MARÍTIMOS[[#This Row],[Contenedor]]="","",MARÍTIMOS[[#This Row],[Contenedor]]),"")</f>
        <v>SEKU9417025</v>
      </c>
      <c r="Q196" s="2" t="str">
        <f>IFERROR(IF(MARÍTIMOS[[#This Row],[Puerto de Retiro]]="","",MARÍTIMOS[[#This Row],[Puerto de Retiro]]),"")</f>
        <v>PAITA</v>
      </c>
      <c r="R196" s="2" t="str">
        <f>IFERROR(IF(MARÍTIMOS[[#This Row],[Almacén de Retiro]]="","",MARÍTIMOS[[#This Row],[Almacén de Retiro]]),"")</f>
        <v>DPW</v>
      </c>
      <c r="S196" s="11">
        <f>IFERROR(IF(MARÍTIMOS[[#This Row],[Etapa Retiro - Cita]]="","",MARÍTIMOS[[#This Row],[Etapa Retiro - Cita]]),"")</f>
        <v>46237.5</v>
      </c>
      <c r="T196" s="11">
        <f>IFERROR(IF(MARÍTIMOS[[#This Row],[Etapa Retiro - Llegada]]="","",MARÍTIMOS[[#This Row],[Etapa Retiro - Llegada]]),"")</f>
        <v>46237.493055555555</v>
      </c>
      <c r="U196" s="11">
        <f>IFERROR(IF(MARÍTIMOS[[#This Row],[Etapa Retiro - Ingreso]]="","",MARÍTIMOS[[#This Row],[Etapa Retiro - Ingreso]]),"")</f>
        <v>46237.609722222223</v>
      </c>
      <c r="V196" s="11">
        <f>IFERROR(IF(MARÍTIMOS[[#This Row],[Etapa Retiro - Atención]]="","",MARÍTIMOS[[#This Row],[Etapa Retiro - Atención]]),"")</f>
        <v>46237.621527777781</v>
      </c>
      <c r="W196" s="11">
        <f>IFERROR(IF(MARÍTIMOS[[#This Row],[Etapa Retiro - Salida]]="","",MARÍTIMOS[[#This Row],[Etapa Retiro - Salida]]),"")</f>
        <v>46237.654861111114</v>
      </c>
      <c r="X196" s="11">
        <f>IFERROR(IF(MARÍTIMOS[[#This Row],[Etapa Retiro - Inicio de Ruta]]="","",MARÍTIMOS[[#This Row],[Etapa Retiro - Inicio de Ruta]]),"")</f>
        <v>46237.696527777778</v>
      </c>
      <c r="Y196" s="11">
        <f>IFERROR(IF(MARÍTIMOS[[#This Row],[Hora de Posicionamiento]]="","",MARÍTIMOS[[#This Row],[Hora de Carga]]+MARÍTIMOS[[#This Row],[Hora de Posicionamiento]]),"")</f>
        <v>0.75</v>
      </c>
      <c r="Z196" s="11">
        <f>IFERROR(IF(MARÍTIMOS[[#This Row],[Etapa Despacho -  Llegada]]="","",MARÍTIMOS[[#This Row],[Etapa Despacho -  Llegada]]),"")</f>
        <v>46238.468055555553</v>
      </c>
      <c r="AA196" s="11">
        <f>IFERROR(IF(MARÍTIMOS[[#This Row],[Etapa Despacho -  Registro]]="","",MARÍTIMOS[[#This Row],[Etapa Despacho -  Registro]]),"")</f>
        <v>46238.46875</v>
      </c>
      <c r="AB196" s="11">
        <f>IFERROR(IF(MARÍTIMOS[[#This Row],[Inspección Externa]]="","",MARÍTIMOS[[#This Row],[Inspección Externa]]),"")</f>
        <v>46238.472222222219</v>
      </c>
      <c r="AC196" s="11">
        <f>IFERROR(IF(MARÍTIMOS[[#This Row],[Etapa Despacho -  Inicio de Carga]]="","",MARÍTIMOS[[#This Row],[Etapa Despacho -  Inicio de Carga]]),"")</f>
        <v>46238.53402777778</v>
      </c>
      <c r="AD196" s="11">
        <f>IFERROR(IF(MARÍTIMOS[[#This Row],[Etapa Despacho -  Fin de Carga]]="","",MARÍTIMOS[[#This Row],[Etapa Despacho -  Fin de Carga]]),"")</f>
        <v>46238.564583333333</v>
      </c>
      <c r="AE196" s="11">
        <f>IFERROR(IF(MARÍTIMOS[[#This Row],[Etapa Despacho -  Salida]]="","",MARÍTIMOS[[#This Row],[Etapa Despacho -  Salida]]),"")</f>
        <v>46238.614583333336</v>
      </c>
      <c r="AF196" s="2" t="str">
        <f>IFERROR(IF(MARÍTIMOS[[#This Row],[Puerto de Embarque]]="","",MARÍTIMOS[[#This Row],[Puerto de Embarque]]),"")</f>
        <v>Paita</v>
      </c>
      <c r="AG196" s="2" t="str">
        <f>IFERROR(IF(MARÍTIMOS[[#This Row],[Almacén de Ingreso]]="","",MARÍTIMOS[[#This Row],[Almacén de Ingreso]]),"")</f>
        <v>TPE</v>
      </c>
      <c r="AH196" s="11">
        <f>IFERROR(IF(MARÍTIMOS[[#This Row],[Etapa Ingreso - Cita]]="","",MARÍTIMOS[[#This Row],[Etapa Ingreso - Cita]]),"")</f>
        <v>46239.458333333336</v>
      </c>
      <c r="AI196" s="11">
        <f>IFERROR(IF(MARÍTIMOS[[#This Row],[Etapa Ingreso - Llegada]]="","",MARÍTIMOS[[#This Row],[Etapa Ingreso - Llegada]]),"")</f>
        <v>46239.431944444441</v>
      </c>
      <c r="AJ196" s="11">
        <f>IFERROR(IF(MARÍTIMOS[[#This Row],[Etapa Ingreso - Ingeso]]="","",MARÍTIMOS[[#This Row],[Etapa Ingreso - Ingeso]]),"")</f>
        <v>46239.44027777778</v>
      </c>
      <c r="AK196" s="11">
        <f>IFERROR(IF(MARÍTIMOS[[#This Row],[Etapa Ingreso - Atención]]="","",MARÍTIMOS[[#This Row],[Etapa Ingreso - Atención]]),"")</f>
        <v>46239.443749999999</v>
      </c>
      <c r="AL196" s="11">
        <f>IFERROR(IF(MARÍTIMOS[[#This Row],[Etapa Ingreso - Salida]]="","",MARÍTIMOS[[#This Row],[Etapa Ingreso - Salida]]),"")</f>
        <v>46239.45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6" s="5">
        <f>IFERROR(OLDBD[[#This Row],[Llegada a packing]]-OLDBD[[#This Row],[Inicio de Ruta]],"")</f>
        <v>0.77152777777519077</v>
      </c>
      <c r="AQ196" s="6">
        <f>IFERROR(OLDBD[[#This Row],[Inicio de Ruta]]-OLDBD[[#This Row],[Salida de almacén de retiro]],"")</f>
        <v>4.1666666664241347E-2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6" s="9">
        <f>IFERROR(OLDBD[[#This Row],[Ingreso Packing]]-OLDBD[[#This Row],[Registro en Packing]],"")</f>
        <v>3.4722222189884633E-3</v>
      </c>
      <c r="AV196" s="9">
        <f>IFERROR(OLDBD[[#This Row],[Ingreso Packing]]-OLDBD[[#This Row],[Llegada a packing]],"")</f>
        <v>4.166666665696539E-3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6" s="5">
        <f>IFERROR(OLDBD[[#This Row],[Llegada Almacén de Ingreso]]-OLDBD[[#This Row],[Salida Packing]],"")</f>
        <v>0.81736111110512866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6" s="45" t="s">
        <v>181</v>
      </c>
      <c r="BB196" s="53" t="str">
        <f>IFERROR(IF(MARÍTIMOS[[#This Row],[Estatus]]="","",MARÍTIMOS[[#This Row],[Estatus]]),"")</f>
        <v>Confirmado</v>
      </c>
      <c r="BC196" s="45"/>
      <c r="BD196" s="52">
        <f>IFERROR(OLDBD[[#This Row],[Salida de almacén de retiro]]-OLDBD[[#This Row],[Ingreso Almacén de retiro]],"")</f>
        <v>4.5138888890505768E-2</v>
      </c>
      <c r="BE196" s="52">
        <f>IFERROR(OLDBD[[#This Row],[Fin de Carga]]-OLDBD[[#This Row],[Inicio de Carga]],"")</f>
        <v>3.0555555553291924E-2</v>
      </c>
    </row>
    <row r="197" spans="1:57" x14ac:dyDescent="0.35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Olmos</v>
      </c>
      <c r="D197" s="1" t="str">
        <f>IFERROR(IF(MARÍTIMOS[[#This Row],[Instruction]]="","",MARÍTIMOS[[#This Row],[Instruction]]),"")</f>
        <v>RH-0352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SI</v>
      </c>
      <c r="H197" s="2" t="str">
        <f>IFERROR(IF(MARÍTIMOS[[#This Row],[Razón Social]]="","",MARÍTIMOS[[#This Row],[Razón Social]]),"")</f>
        <v>TRANSPORTES KALING SOCIEDAD ANONIMA CERRADA</v>
      </c>
      <c r="I197" s="2">
        <f>IFERROR(IF(MARÍTIMOS[[#This Row],[RUC]]="","",MARÍTIMOS[[#This Row],[RUC]]),"")</f>
        <v>20611958651</v>
      </c>
      <c r="J197" s="2" t="str">
        <f>IFERROR(IF(MARÍTIMOS[[#This Row],[Placa Tracto]]="","",MARÍTIMOS[[#This Row],[Placa Tracto]]),"")</f>
        <v>TFE-890</v>
      </c>
      <c r="K197" s="2" t="str">
        <f>IFERROR(IF(MARÍTIMOS[[#This Row],[Placa Carreta]]="","",MARÍTIMOS[[#This Row],[Placa Carreta]]),"")</f>
        <v>TPC-988</v>
      </c>
      <c r="L197" s="46" t="str">
        <f>IFERROR(IF(MARÍTIMOS[[#This Row],[Conductor]]="","",MARÍTIMOS[[#This Row],[Conductor]]),"")</f>
        <v>JUAREZ VILLASECA FELIX WALTER</v>
      </c>
      <c r="M197" s="2" t="str">
        <f>IFERROR(IF(MARÍTIMOS[[#This Row],[Licencia]]="","",MARÍTIMOS[[#This Row],[Licencia]]),"")</f>
        <v>B03659725</v>
      </c>
      <c r="N197" s="2" t="str">
        <f>IFERROR(IF(MARÍTIMOS[[#This Row],[Número de Contacto]]="","",MARÍTIMOS[[#This Row],[Número de Contacto]]),"")</f>
        <v>938 894 035</v>
      </c>
      <c r="O197" s="10" t="str">
        <f>IFERROR(IF(MARÍTIMOS[[#This Row],[Booking|AWB|CRT]]="","",MARÍTIMOS[[#This Row],[Booking|AWB|CRT]]),"")</f>
        <v>PER9166882A</v>
      </c>
      <c r="P197" s="2" t="str">
        <f>IFERROR(IF(MARÍTIMOS[[#This Row],[Contenedor]]="","",MARÍTIMOS[[#This Row],[Contenedor]]),"")</f>
        <v>FBIU5762666</v>
      </c>
      <c r="Q197" s="2" t="str">
        <f>IFERROR(IF(MARÍTIMOS[[#This Row],[Puerto de Retiro]]="","",MARÍTIMOS[[#This Row],[Puerto de Retiro]]),"")</f>
        <v>PAITA</v>
      </c>
      <c r="R197" s="2" t="str">
        <f>IFERROR(IF(MARÍTIMOS[[#This Row],[Almacén de Retiro]]="","",MARÍTIMOS[[#This Row],[Almacén de Retiro]]),"")</f>
        <v>DPW</v>
      </c>
      <c r="S197" s="11">
        <f>IFERROR(IF(MARÍTIMOS[[#This Row],[Etapa Retiro - Cita]]="","",MARÍTIMOS[[#This Row],[Etapa Retiro - Cita]]),"")</f>
        <v>46237.458333333336</v>
      </c>
      <c r="T197" s="11">
        <f>IFERROR(IF(MARÍTIMOS[[#This Row],[Etapa Retiro - Llegada]]="","",MARÍTIMOS[[#This Row],[Etapa Retiro - Llegada]]),"")</f>
        <v>46237.476388888892</v>
      </c>
      <c r="U197" s="11">
        <f>IFERROR(IF(MARÍTIMOS[[#This Row],[Etapa Retiro - Ingreso]]="","",MARÍTIMOS[[#This Row],[Etapa Retiro - Ingreso]]),"")</f>
        <v>46237.486111111109</v>
      </c>
      <c r="V197" s="11">
        <f>IFERROR(IF(MARÍTIMOS[[#This Row],[Etapa Retiro - Atención]]="","",MARÍTIMOS[[#This Row],[Etapa Retiro - Atención]]),"")</f>
        <v>46237.5</v>
      </c>
      <c r="W197" s="11">
        <f>IFERROR(IF(MARÍTIMOS[[#This Row],[Etapa Retiro - Salida]]="","",MARÍTIMOS[[#This Row],[Etapa Retiro - Salida]]),"")</f>
        <v>46237.519444444442</v>
      </c>
      <c r="X197" s="11">
        <f>IFERROR(IF(MARÍTIMOS[[#This Row],[Etapa Retiro - Inicio de Ruta]]="","",MARÍTIMOS[[#This Row],[Etapa Retiro - Inicio de Ruta]]),"")</f>
        <v>46237.561111111114</v>
      </c>
      <c r="Y197" s="11">
        <f>IFERROR(IF(MARÍTIMOS[[#This Row],[Hora de Posicionamiento]]="","",MARÍTIMOS[[#This Row],[Hora de Carga]]+MARÍTIMOS[[#This Row],[Hora de Posicionamiento]]),"")</f>
        <v>0.75</v>
      </c>
      <c r="Z197" s="11">
        <f>IFERROR(IF(MARÍTIMOS[[#This Row],[Etapa Despacho -  Llegada]]="","",MARÍTIMOS[[#This Row],[Etapa Despacho -  Llegada]]),"")</f>
        <v>46238.468055555553</v>
      </c>
      <c r="AA197" s="11">
        <f>IFERROR(IF(MARÍTIMOS[[#This Row],[Etapa Despacho -  Registro]]="","",MARÍTIMOS[[#This Row],[Etapa Despacho -  Registro]]),"")</f>
        <v>46238.470833333333</v>
      </c>
      <c r="AB197" s="11">
        <f>IFERROR(IF(MARÍTIMOS[[#This Row],[Inspección Externa]]="","",MARÍTIMOS[[#This Row],[Inspección Externa]]),"")</f>
        <v>46238.479166666664</v>
      </c>
      <c r="AC197" s="11">
        <f>IFERROR(IF(MARÍTIMOS[[#This Row],[Etapa Despacho -  Inicio de Carga]]="","",MARÍTIMOS[[#This Row],[Etapa Despacho -  Inicio de Carga]]),"")</f>
        <v>46238.5</v>
      </c>
      <c r="AD197" s="11">
        <f>IFERROR(IF(MARÍTIMOS[[#This Row],[Etapa Despacho -  Fin de Carga]]="","",MARÍTIMOS[[#This Row],[Etapa Despacho -  Fin de Carga]]),"")</f>
        <v>46238.541666666664</v>
      </c>
      <c r="AE197" s="11">
        <f>IFERROR(IF(MARÍTIMOS[[#This Row],[Etapa Despacho -  Salida]]="","",MARÍTIMOS[[#This Row],[Etapa Despacho -  Salida]]),"")</f>
        <v>46233.564583333333</v>
      </c>
      <c r="AF197" s="2" t="str">
        <f>IFERROR(IF(MARÍTIMOS[[#This Row],[Puerto de Embarque]]="","",MARÍTIMOS[[#This Row],[Puerto de Embarque]]),"")</f>
        <v>Paita</v>
      </c>
      <c r="AG197" s="2" t="str">
        <f>IFERROR(IF(MARÍTIMOS[[#This Row],[Almacén de Ingreso]]="","",MARÍTIMOS[[#This Row],[Almacén de Ingreso]]),"")</f>
        <v>TPE</v>
      </c>
      <c r="AH197" s="11">
        <f>IFERROR(IF(MARÍTIMOS[[#This Row],[Etapa Ingreso - Cita]]="","",MARÍTIMOS[[#This Row],[Etapa Ingreso - Cita]]),"")</f>
        <v>46238.75</v>
      </c>
      <c r="AI197" s="11">
        <f>IFERROR(IF(MARÍTIMOS[[#This Row],[Etapa Ingreso - Llegada]]="","",MARÍTIMOS[[#This Row],[Etapa Ingreso - Llegada]]),"")</f>
        <v>46238.786805555559</v>
      </c>
      <c r="AJ197" s="11">
        <f>IFERROR(IF(MARÍTIMOS[[#This Row],[Etapa Ingreso - Ingeso]]="","",MARÍTIMOS[[#This Row],[Etapa Ingreso - Ingeso]]),"")</f>
        <v>46238.79583333333</v>
      </c>
      <c r="AK197" s="11">
        <f>IFERROR(IF(MARÍTIMOS[[#This Row],[Etapa Ingreso - Atención]]="","",MARÍTIMOS[[#This Row],[Etapa Ingreso - Atención]]),"")</f>
        <v>46238.798611111109</v>
      </c>
      <c r="AL197" s="11">
        <f>IFERROR(IF(MARÍTIMOS[[#This Row],[Etapa Ingreso - Salida]]="","",MARÍTIMOS[[#This Row],[Etapa Ingreso - Salida]]),"")</f>
        <v>46238.806944444441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7" s="5">
        <f>IFERROR(OLDBD[[#This Row],[Llegada a packing]]-OLDBD[[#This Row],[Inicio de Ruta]],"")</f>
        <v>0.90694444443943212</v>
      </c>
      <c r="AQ197" s="6">
        <f>IFERROR(OLDBD[[#This Row],[Inicio de Ruta]]-OLDBD[[#This Row],[Salida de almacén de retiro]],"")</f>
        <v>4.1666666671517305E-2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7" s="9">
        <f>IFERROR(OLDBD[[#This Row],[Ingreso Packing]]-OLDBD[[#This Row],[Registro en Packing]],"")</f>
        <v>8.333333331393078E-3</v>
      </c>
      <c r="AV197" s="9">
        <f>IFERROR(OLDBD[[#This Row],[Ingreso Packing]]-OLDBD[[#This Row],[Llegada a packing]],"")</f>
        <v>1.1111111110949423E-2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7" s="5">
        <f>IFERROR(OLDBD[[#This Row],[Llegada Almacén de Ingreso]]-OLDBD[[#This Row],[Salida Packing]],"")</f>
        <v>5.2222222222262644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7" s="45" t="s">
        <v>181</v>
      </c>
      <c r="BB197" s="53" t="str">
        <f>IFERROR(IF(MARÍTIMOS[[#This Row],[Estatus]]="","",MARÍTIMOS[[#This Row],[Estatus]]),"")</f>
        <v>Confirmado</v>
      </c>
      <c r="BC197" s="45"/>
      <c r="BD197" s="52">
        <f>IFERROR(OLDBD[[#This Row],[Salida de almacén de retiro]]-OLDBD[[#This Row],[Ingreso Almacén de retiro]],"")</f>
        <v>3.3333333332848269E-2</v>
      </c>
      <c r="BE197" s="52">
        <f>IFERROR(OLDBD[[#This Row],[Fin de Carga]]-OLDBD[[#This Row],[Inicio de Carga]],"")</f>
        <v>4.1666666664241347E-2</v>
      </c>
    </row>
    <row r="198" spans="1:57" x14ac:dyDescent="0.35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RH-0355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NO</v>
      </c>
      <c r="H198" s="2" t="str">
        <f>IFERROR(IF(MARÍTIMOS[[#This Row],[Razón Social]]="","",MARÍTIMOS[[#This Row],[Razón Social]]),"")</f>
        <v>LOGISTICA INTERMODAL DEL PERU S.A.C.</v>
      </c>
      <c r="I198" s="2">
        <f>IFERROR(IF(MARÍTIMOS[[#This Row],[RUC]]="","",MARÍTIMOS[[#This Row],[RUC]]),"")</f>
        <v>20513040718</v>
      </c>
      <c r="J198" s="2" t="str">
        <f>IFERROR(IF(MARÍTIMOS[[#This Row],[Placa Tracto]]="","",MARÍTIMOS[[#This Row],[Placa Tracto]]),"")</f>
        <v>APU-757</v>
      </c>
      <c r="K198" s="2" t="str">
        <f>IFERROR(IF(MARÍTIMOS[[#This Row],[Placa Carreta]]="","",MARÍTIMOS[[#This Row],[Placa Carreta]]),"")</f>
        <v>ARQ-991</v>
      </c>
      <c r="L198" s="46" t="str">
        <f>IFERROR(IF(MARÍTIMOS[[#This Row],[Conductor]]="","",MARÍTIMOS[[#This Row],[Conductor]]),"")</f>
        <v>SANDOVAL RAMOS LUIS</v>
      </c>
      <c r="M198" s="2" t="str">
        <f>IFERROR(IF(MARÍTIMOS[[#This Row],[Licencia]]="","",MARÍTIMOS[[#This Row],[Licencia]]),"")</f>
        <v>Q40848242</v>
      </c>
      <c r="N198" s="2" t="str">
        <f>IFERROR(IF(MARÍTIMOS[[#This Row],[Número de Contacto]]="","",MARÍTIMOS[[#This Row],[Número de Contacto]]),"")</f>
        <v>972 796 159</v>
      </c>
      <c r="O198" s="10" t="str">
        <f>IFERROR(IF(MARÍTIMOS[[#This Row],[Booking|AWB|CRT]]="","",MARÍTIMOS[[#This Row],[Booking|AWB|CRT]]),"")</f>
        <v>PER9166846A</v>
      </c>
      <c r="P198" s="2" t="str">
        <f>IFERROR(IF(MARÍTIMOS[[#This Row],[Contenedor]]="","",MARÍTIMOS[[#This Row],[Contenedor]]),"")</f>
        <v>TXGU9031130</v>
      </c>
      <c r="Q198" s="2" t="str">
        <f>IFERROR(IF(MARÍTIMOS[[#This Row],[Puerto de Retiro]]="","",MARÍTIMOS[[#This Row],[Puerto de Retiro]]),"")</f>
        <v>PAITA</v>
      </c>
      <c r="R198" s="2" t="str">
        <f>IFERROR(IF(MARÍTIMOS[[#This Row],[Almacén de Retiro]]="","",MARÍTIMOS[[#This Row],[Almacén de Retiro]]),"")</f>
        <v>DPW</v>
      </c>
      <c r="S198" s="11">
        <f>IFERROR(IF(MARÍTIMOS[[#This Row],[Etapa Retiro - Cita]]="","",MARÍTIMOS[[#This Row],[Etapa Retiro - Cita]]),"")</f>
        <v>46237.458333333336</v>
      </c>
      <c r="T198" s="11">
        <f>IFERROR(IF(MARÍTIMOS[[#This Row],[Etapa Retiro - Llegada]]="","",MARÍTIMOS[[#This Row],[Etapa Retiro - Llegada]]),"")</f>
        <v>46237.46875</v>
      </c>
      <c r="U198" s="11">
        <f>IFERROR(IF(MARÍTIMOS[[#This Row],[Etapa Retiro - Ingreso]]="","",MARÍTIMOS[[#This Row],[Etapa Retiro - Ingreso]]),"")</f>
        <v>46237.472222222219</v>
      </c>
      <c r="V198" s="11">
        <f>IFERROR(IF(MARÍTIMOS[[#This Row],[Etapa Retiro - Atención]]="","",MARÍTIMOS[[#This Row],[Etapa Retiro - Atención]]),"")</f>
        <v>46237.482638888891</v>
      </c>
      <c r="W198" s="11">
        <f>IFERROR(IF(MARÍTIMOS[[#This Row],[Etapa Retiro - Salida]]="","",MARÍTIMOS[[#This Row],[Etapa Retiro - Salida]]),"")</f>
        <v>46237.5</v>
      </c>
      <c r="X198" s="11">
        <f>IFERROR(IF(MARÍTIMOS[[#This Row],[Etapa Retiro - Inicio de Ruta]]="","",MARÍTIMOS[[#This Row],[Etapa Retiro - Inicio de Ruta]]),"")</f>
        <v>46237.575694444444</v>
      </c>
      <c r="Y198" s="11">
        <f>IFERROR(IF(MARÍTIMOS[[#This Row],[Hora de Posicionamiento]]="","",MARÍTIMOS[[#This Row],[Hora de Carga]]+MARÍTIMOS[[#This Row],[Hora de Posicionamiento]]),"")</f>
        <v>1.0833333333333335</v>
      </c>
      <c r="Z198" s="11">
        <f>IFERROR(IF(MARÍTIMOS[[#This Row],[Etapa Despacho -  Llegada]]="","",MARÍTIMOS[[#This Row],[Etapa Despacho -  Llegada]]),"")</f>
        <v>46238.411111111112</v>
      </c>
      <c r="AA198" s="11">
        <f>IFERROR(IF(MARÍTIMOS[[#This Row],[Etapa Despacho -  Registro]]="","",MARÍTIMOS[[#This Row],[Etapa Despacho -  Registro]]),"")</f>
        <v>46238.413194444445</v>
      </c>
      <c r="AB198" s="11">
        <f>IFERROR(IF(MARÍTIMOS[[#This Row],[Inspección Externa]]="","",MARÍTIMOS[[#This Row],[Inspección Externa]]),"")</f>
        <v>46238.427083333336</v>
      </c>
      <c r="AC198" s="11">
        <f>IFERROR(IF(MARÍTIMOS[[#This Row],[Etapa Despacho -  Inicio de Carga]]="","",MARÍTIMOS[[#This Row],[Etapa Despacho -  Inicio de Carga]]),"")</f>
        <v>46238.444444444445</v>
      </c>
      <c r="AD198" s="11">
        <f>IFERROR(IF(MARÍTIMOS[[#This Row],[Etapa Despacho -  Fin de Carga]]="","",MARÍTIMOS[[#This Row],[Etapa Despacho -  Fin de Carga]]),"")</f>
        <v>46238.520833333336</v>
      </c>
      <c r="AE198" s="11">
        <f>IFERROR(IF(MARÍTIMOS[[#This Row],[Etapa Despacho -  Salida]]="","",MARÍTIMOS[[#This Row],[Etapa Despacho -  Salida]]),"")</f>
        <v>46238.543749999997</v>
      </c>
      <c r="AF198" s="2" t="str">
        <f>IFERROR(IF(MARÍTIMOS[[#This Row],[Puerto de Embarque]]="","",MARÍTIMOS[[#This Row],[Puerto de Embarque]]),"")</f>
        <v>Paita</v>
      </c>
      <c r="AG198" s="2" t="str">
        <f>IFERROR(IF(MARÍTIMOS[[#This Row],[Almacén de Ingreso]]="","",MARÍTIMOS[[#This Row],[Almacén de Ingreso]]),"")</f>
        <v>TPE</v>
      </c>
      <c r="AH198" s="11">
        <f>IFERROR(IF(MARÍTIMOS[[#This Row],[Etapa Ingreso - Cita]]="","",MARÍTIMOS[[#This Row],[Etapa Ingreso - Cita]]),"")</f>
        <v>46239.291666666664</v>
      </c>
      <c r="AI198" s="11">
        <f>IFERROR(IF(MARÍTIMOS[[#This Row],[Etapa Ingreso - Llegada]]="","",MARÍTIMOS[[#This Row],[Etapa Ingreso - Llegada]]),"")</f>
        <v>46239.29791666667</v>
      </c>
      <c r="AJ198" s="11">
        <f>IFERROR(IF(MARÍTIMOS[[#This Row],[Etapa Ingreso - Ingeso]]="","",MARÍTIMOS[[#This Row],[Etapa Ingreso - Ingeso]]),"")</f>
        <v>46239.303472222222</v>
      </c>
      <c r="AK198" s="11">
        <f>IFERROR(IF(MARÍTIMOS[[#This Row],[Etapa Ingreso - Atención]]="","",MARÍTIMOS[[#This Row],[Etapa Ingreso - Atención]]),"")</f>
        <v>46239.305555555555</v>
      </c>
      <c r="AL198" s="11">
        <f>IFERROR(IF(MARÍTIMOS[[#This Row],[Etapa Ingreso - Salida]]="","",MARÍTIMOS[[#This Row],[Etapa Ingreso - Salida]]),"")</f>
        <v>46239.30972222222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8" s="5">
        <f>IFERROR(OLDBD[[#This Row],[Llegada a packing]]-OLDBD[[#This Row],[Inicio de Ruta]],"")</f>
        <v>0.83541666666860692</v>
      </c>
      <c r="AQ198" s="6">
        <f>IFERROR(OLDBD[[#This Row],[Inicio de Ruta]]-OLDBD[[#This Row],[Salida de almacén de retiro]],"")</f>
        <v>7.5694444443797693E-2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8" s="9">
        <f>IFERROR(OLDBD[[#This Row],[Ingreso Packing]]-OLDBD[[#This Row],[Registro en Packing]],"")</f>
        <v>1.3888888890505768E-2</v>
      </c>
      <c r="AV198" s="9">
        <f>IFERROR(OLDBD[[#This Row],[Ingreso Packing]]-OLDBD[[#This Row],[Llegada a packing]],"")</f>
        <v>1.5972222223354038E-2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8" s="5">
        <f>IFERROR(OLDBD[[#This Row],[Llegada Almacén de Ingreso]]-OLDBD[[#This Row],[Salida Packing]],"")</f>
        <v>0.7541666666729725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8" s="45" t="s">
        <v>181</v>
      </c>
      <c r="BB198" s="53" t="str">
        <f>IFERROR(IF(MARÍTIMOS[[#This Row],[Estatus]]="","",MARÍTIMOS[[#This Row],[Estatus]]),"")</f>
        <v>Confirmado</v>
      </c>
      <c r="BC198" s="45"/>
      <c r="BD198" s="52">
        <f>IFERROR(OLDBD[[#This Row],[Salida de almacén de retiro]]-OLDBD[[#This Row],[Ingreso Almacén de retiro]],"")</f>
        <v>2.7777777781011537E-2</v>
      </c>
      <c r="BE198" s="52">
        <f>IFERROR(OLDBD[[#This Row],[Fin de Carga]]-OLDBD[[#This Row],[Inicio de Carga]],"")</f>
        <v>7.6388888890505768E-2</v>
      </c>
    </row>
    <row r="199" spans="1:57" x14ac:dyDescent="0.35">
      <c r="A199" s="1"/>
      <c r="B199" s="1">
        <f>IFERROR(IF(MARÍTIMOS[[#This Row],[PP]]="","",MARÍTIMOS[[#This Row],[PP]]),"")</f>
        <v>31</v>
      </c>
      <c r="C199" s="1" t="str">
        <f>IFERROR(IF(MARÍTIMOS[[#This Row],[Sede]]="","",MARÍTIMOS[[#This Row],[Sede]]),"")</f>
        <v>Chao</v>
      </c>
      <c r="D199" s="1" t="str">
        <f>IFERROR(IF(MARÍTIMOS[[#This Row],[Instruction]]="","",MARÍTIMOS[[#This Row],[Instruction]]),"")</f>
        <v>RH-0356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NO</v>
      </c>
      <c r="H199" s="2" t="str">
        <f>IFERROR(IF(MARÍTIMOS[[#This Row],[Razón Social]]="","",MARÍTIMOS[[#This Row],[Razón Social]]),"")</f>
        <v>LOGISTICA INTERMODAL DEL PERU S.A.C.</v>
      </c>
      <c r="I199" s="2">
        <f>IFERROR(IF(MARÍTIMOS[[#This Row],[RUC]]="","",MARÍTIMOS[[#This Row],[RUC]]),"")</f>
        <v>20513040718</v>
      </c>
      <c r="J199" s="2" t="str">
        <f>IFERROR(IF(MARÍTIMOS[[#This Row],[Placa Tracto]]="","",MARÍTIMOS[[#This Row],[Placa Tracto]]),"")</f>
        <v>AZH-828</v>
      </c>
      <c r="K199" s="2" t="str">
        <f>IFERROR(IF(MARÍTIMOS[[#This Row],[Placa Carreta]]="","",MARÍTIMOS[[#This Row],[Placa Carreta]]),"")</f>
        <v>AXO-972</v>
      </c>
      <c r="L199" s="46" t="str">
        <f>IFERROR(IF(MARÍTIMOS[[#This Row],[Conductor]]="","",MARÍTIMOS[[#This Row],[Conductor]]),"")</f>
        <v>VARGAS BARRIENTOS JESUS GERMAN</v>
      </c>
      <c r="M199" s="2" t="str">
        <f>IFERROR(IF(MARÍTIMOS[[#This Row],[Licencia]]="","",MARÍTIMOS[[#This Row],[Licencia]]),"")</f>
        <v>B72766316</v>
      </c>
      <c r="N199" s="2">
        <f>IFERROR(IF(MARÍTIMOS[[#This Row],[Número de Contacto]]="","",MARÍTIMOS[[#This Row],[Número de Contacto]]),"")</f>
        <v>977846820</v>
      </c>
      <c r="O199" s="10" t="str">
        <f>IFERROR(IF(MARÍTIMOS[[#This Row],[Booking|AWB|CRT]]="","",MARÍTIMOS[[#This Row],[Booking|AWB|CRT]]),"")</f>
        <v>PER9166847A</v>
      </c>
      <c r="P199" s="2" t="str">
        <f>IFERROR(IF(MARÍTIMOS[[#This Row],[Contenedor]]="","",MARÍTIMOS[[#This Row],[Contenedor]]),"")</f>
        <v>BMOU9891161</v>
      </c>
      <c r="Q199" s="2" t="str">
        <f>IFERROR(IF(MARÍTIMOS[[#This Row],[Puerto de Retiro]]="","",MARÍTIMOS[[#This Row],[Puerto de Retiro]]),"")</f>
        <v>PAITA</v>
      </c>
      <c r="R199" s="2" t="str">
        <f>IFERROR(IF(MARÍTIMOS[[#This Row],[Almacén de Retiro]]="","",MARÍTIMOS[[#This Row],[Almacén de Retiro]]),"")</f>
        <v>DPW</v>
      </c>
      <c r="S199" s="11">
        <f>IFERROR(IF(MARÍTIMOS[[#This Row],[Etapa Retiro - Cita]]="","",MARÍTIMOS[[#This Row],[Etapa Retiro - Cita]]),"")</f>
        <v>46237.458333333336</v>
      </c>
      <c r="T199" s="11">
        <f>IFERROR(IF(MARÍTIMOS[[#This Row],[Etapa Retiro - Llegada]]="","",MARÍTIMOS[[#This Row],[Etapa Retiro - Llegada]]),"")</f>
        <v>46237.473611111112</v>
      </c>
      <c r="U199" s="11">
        <f>IFERROR(IF(MARÍTIMOS[[#This Row],[Etapa Retiro - Ingreso]]="","",MARÍTIMOS[[#This Row],[Etapa Retiro - Ingreso]]),"")</f>
        <v>46237.477083333331</v>
      </c>
      <c r="V199" s="11">
        <f>IFERROR(IF(MARÍTIMOS[[#This Row],[Etapa Retiro - Atención]]="","",MARÍTIMOS[[#This Row],[Etapa Retiro - Atención]]),"")</f>
        <v>46237.503472222219</v>
      </c>
      <c r="W199" s="11">
        <f>IFERROR(IF(MARÍTIMOS[[#This Row],[Etapa Retiro - Salida]]="","",MARÍTIMOS[[#This Row],[Etapa Retiro - Salida]]),"")</f>
        <v>46237.520833333336</v>
      </c>
      <c r="X199" s="11">
        <f>IFERROR(IF(MARÍTIMOS[[#This Row],[Etapa Retiro - Inicio de Ruta]]="","",MARÍTIMOS[[#This Row],[Etapa Retiro - Inicio de Ruta]]),"")</f>
        <v>46237.625</v>
      </c>
      <c r="Y199" s="11">
        <f>IFERROR(IF(MARÍTIMOS[[#This Row],[Hora de Posicionamiento]]="","",MARÍTIMOS[[#This Row],[Hora de Carga]]+MARÍTIMOS[[#This Row],[Hora de Posicionamiento]]),"")</f>
        <v>1.1666666666666665</v>
      </c>
      <c r="Z199" s="11">
        <f>IFERROR(IF(MARÍTIMOS[[#This Row],[Etapa Despacho -  Llegada]]="","",MARÍTIMOS[[#This Row],[Etapa Despacho -  Llegada]]),"")</f>
        <v>46238.466666666667</v>
      </c>
      <c r="AA199" s="11">
        <f>IFERROR(IF(MARÍTIMOS[[#This Row],[Etapa Despacho -  Registro]]="","",MARÍTIMOS[[#This Row],[Etapa Despacho -  Registro]]),"")</f>
        <v>46238.46875</v>
      </c>
      <c r="AB199" s="11">
        <f>IFERROR(IF(MARÍTIMOS[[#This Row],[Inspección Externa]]="","",MARÍTIMOS[[#This Row],[Inspección Externa]]),"")</f>
        <v>46238.479166666664</v>
      </c>
      <c r="AC199" s="11">
        <f>IFERROR(IF(MARÍTIMOS[[#This Row],[Etapa Despacho -  Inicio de Carga]]="","",MARÍTIMOS[[#This Row],[Etapa Despacho -  Inicio de Carga]]),"")</f>
        <v>46238.5</v>
      </c>
      <c r="AD199" s="11">
        <f>IFERROR(IF(MARÍTIMOS[[#This Row],[Etapa Despacho -  Fin de Carga]]="","",MARÍTIMOS[[#This Row],[Etapa Despacho -  Fin de Carga]]),"")</f>
        <v>46238.583333333336</v>
      </c>
      <c r="AE199" s="11">
        <f>IFERROR(IF(MARÍTIMOS[[#This Row],[Etapa Despacho -  Salida]]="","",MARÍTIMOS[[#This Row],[Etapa Despacho -  Salida]]),"")</f>
        <v>46238.60833333333</v>
      </c>
      <c r="AF199" s="2" t="str">
        <f>IFERROR(IF(MARÍTIMOS[[#This Row],[Puerto de Embarque]]="","",MARÍTIMOS[[#This Row],[Puerto de Embarque]]),"")</f>
        <v>Paita</v>
      </c>
      <c r="AG199" s="2" t="str">
        <f>IFERROR(IF(MARÍTIMOS[[#This Row],[Almacén de Ingreso]]="","",MARÍTIMOS[[#This Row],[Almacén de Ingreso]]),"")</f>
        <v>TPE</v>
      </c>
      <c r="AH199" s="11">
        <f>IFERROR(IF(MARÍTIMOS[[#This Row],[Etapa Ingreso - Cita]]="","",MARÍTIMOS[[#This Row],[Etapa Ingreso - Cita]]),"")</f>
        <v>46239.416666666664</v>
      </c>
      <c r="AI199" s="11">
        <f>IFERROR(IF(MARÍTIMOS[[#This Row],[Etapa Ingreso - Llegada]]="","",MARÍTIMOS[[#This Row],[Etapa Ingreso - Llegada]]),"")</f>
        <v>46239.432638888888</v>
      </c>
      <c r="AJ199" s="11">
        <f>IFERROR(IF(MARÍTIMOS[[#This Row],[Etapa Ingreso - Ingeso]]="","",MARÍTIMOS[[#This Row],[Etapa Ingreso - Ingeso]]),"")</f>
        <v>46239.436805555553</v>
      </c>
      <c r="AK199" s="11">
        <f>IFERROR(IF(MARÍTIMOS[[#This Row],[Etapa Ingreso - Atención]]="","",MARÍTIMOS[[#This Row],[Etapa Ingreso - Atención]]),"")</f>
        <v>46239.440972222219</v>
      </c>
      <c r="AL199" s="11">
        <f>IFERROR(IF(MARÍTIMOS[[#This Row],[Etapa Ingreso - Salida]]="","",MARÍTIMOS[[#This Row],[Etapa Ingreso - Salida]]),"")</f>
        <v>46239.464583333334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9" s="5">
        <f>IFERROR(OLDBD[[#This Row],[Llegada a packing]]-OLDBD[[#This Row],[Inicio de Ruta]],"")</f>
        <v>0.84166666666715173</v>
      </c>
      <c r="AQ199" s="6">
        <f>IFERROR(OLDBD[[#This Row],[Inicio de Ruta]]-OLDBD[[#This Row],[Salida de almacén de retiro]],"")</f>
        <v>0.10416666666424135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9" s="9">
        <f>IFERROR(OLDBD[[#This Row],[Ingreso Packing]]-OLDBD[[#This Row],[Registro en Packing]],"")</f>
        <v>1.0416666664241347E-2</v>
      </c>
      <c r="AV199" s="9">
        <f>IFERROR(OLDBD[[#This Row],[Ingreso Packing]]-OLDBD[[#This Row],[Llegada a packing]],"")</f>
        <v>1.2499999997089617E-2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9" s="5">
        <f>IFERROR(OLDBD[[#This Row],[Llegada Almacén de Ingreso]]-OLDBD[[#This Row],[Salida Packing]],"")</f>
        <v>0.8243055555576575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9" s="45" t="s">
        <v>181</v>
      </c>
      <c r="BB199" s="53" t="str">
        <f>IFERROR(IF(MARÍTIMOS[[#This Row],[Estatus]]="","",MARÍTIMOS[[#This Row],[Estatus]]),"")</f>
        <v>Confirmado</v>
      </c>
      <c r="BC199" s="45"/>
      <c r="BD199" s="52">
        <f>IFERROR(OLDBD[[#This Row],[Salida de almacén de retiro]]-OLDBD[[#This Row],[Ingreso Almacén de retiro]],"")</f>
        <v>4.3750000004365575E-2</v>
      </c>
      <c r="BE199" s="52">
        <f>IFERROR(OLDBD[[#This Row],[Fin de Carga]]-OLDBD[[#This Row],[Inicio de Carga]],"")</f>
        <v>8.3333333335758653E-2</v>
      </c>
    </row>
    <row r="200" spans="1:57" x14ac:dyDescent="0.35">
      <c r="A200" s="1"/>
      <c r="B200" s="1">
        <f>IFERROR(IF(MARÍTIMOS[[#This Row],[PP]]="","",MARÍTIMOS[[#This Row],[PP]]),"")</f>
        <v>31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RH-0359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SI</v>
      </c>
      <c r="H200" s="2" t="str">
        <f>IFERROR(IF(MARÍTIMOS[[#This Row],[Razón Social]]="","",MARÍTIMOS[[#This Row],[Razón Social]]),"")</f>
        <v>TRANSCAR MATHEO SOCIEDAD ANONIMA CERRADA</v>
      </c>
      <c r="I200" s="2">
        <f>IFERROR(IF(MARÍTIMOS[[#This Row],[RUC]]="","",MARÍTIMOS[[#This Row],[RUC]]),"")</f>
        <v>20612886921</v>
      </c>
      <c r="J200" s="2" t="str">
        <f>IFERROR(IF(MARÍTIMOS[[#This Row],[Placa Tracto]]="","",MARÍTIMOS[[#This Row],[Placa Tracto]]),"")</f>
        <v>TAD-861</v>
      </c>
      <c r="K200" s="2" t="str">
        <f>IFERROR(IF(MARÍTIMOS[[#This Row],[Placa Carreta]]="","",MARÍTIMOS[[#This Row],[Placa Carreta]]),"")</f>
        <v>T0R-991</v>
      </c>
      <c r="L200" s="46" t="str">
        <f>IFERROR(IF(MARÍTIMOS[[#This Row],[Conductor]]="","",MARÍTIMOS[[#This Row],[Conductor]]),"")</f>
        <v>GIRON CORONADO LUIS HUMBERTO</v>
      </c>
      <c r="M200" s="2" t="str">
        <f>IFERROR(IF(MARÍTIMOS[[#This Row],[Licencia]]="","",MARÍTIMOS[[#This Row],[Licencia]]),"")</f>
        <v>B02838223</v>
      </c>
      <c r="N200" s="2">
        <f>IFERROR(IF(MARÍTIMOS[[#This Row],[Número de Contacto]]="","",MARÍTIMOS[[#This Row],[Número de Contacto]]),"")</f>
        <v>980865741</v>
      </c>
      <c r="O200" s="10" t="str">
        <f>IFERROR(IF(MARÍTIMOS[[#This Row],[Booking|AWB|CRT]]="","",MARÍTIMOS[[#This Row],[Booking|AWB|CRT]]),"")</f>
        <v>PER9166897A</v>
      </c>
      <c r="P200" s="2" t="str">
        <f>IFERROR(IF(MARÍTIMOS[[#This Row],[Contenedor]]="","",MARÍTIMOS[[#This Row],[Contenedor]]),"")</f>
        <v>SEKU9417750</v>
      </c>
      <c r="Q200" s="2" t="str">
        <f>IFERROR(IF(MARÍTIMOS[[#This Row],[Puerto de Retiro]]="","",MARÍTIMOS[[#This Row],[Puerto de Retiro]]),"")</f>
        <v>PAITA</v>
      </c>
      <c r="R200" s="2" t="str">
        <f>IFERROR(IF(MARÍTIMOS[[#This Row],[Almacén de Retiro]]="","",MARÍTIMOS[[#This Row],[Almacén de Retiro]]),"")</f>
        <v>DPW</v>
      </c>
      <c r="S200" s="11">
        <f>IFERROR(IF(MARÍTIMOS[[#This Row],[Etapa Retiro - Cita]]="","",MARÍTIMOS[[#This Row],[Etapa Retiro - Cita]]),"")</f>
        <v>46234.583333333336</v>
      </c>
      <c r="T200" s="11">
        <f>IFERROR(IF(MARÍTIMOS[[#This Row],[Etapa Retiro - Llegada]]="","",MARÍTIMOS[[#This Row],[Etapa Retiro - Llegada]]),"")</f>
        <v>46234.586111111108</v>
      </c>
      <c r="U200" s="11">
        <f>IFERROR(IF(MARÍTIMOS[[#This Row],[Etapa Retiro - Ingreso]]="","",MARÍTIMOS[[#This Row],[Etapa Retiro - Ingreso]]),"")</f>
        <v>46234.590277777781</v>
      </c>
      <c r="V200" s="11">
        <f>IFERROR(IF(MARÍTIMOS[[#This Row],[Etapa Retiro - Atención]]="","",MARÍTIMOS[[#This Row],[Etapa Retiro - Atención]]),"")</f>
        <v>46234.665972222225</v>
      </c>
      <c r="W200" s="11">
        <f>IFERROR(IF(MARÍTIMOS[[#This Row],[Etapa Retiro - Salida]]="","",MARÍTIMOS[[#This Row],[Etapa Retiro - Salida]]),"")</f>
        <v>46234.6875</v>
      </c>
      <c r="X200" s="11">
        <f>IFERROR(IF(MARÍTIMOS[[#This Row],[Etapa Retiro - Inicio de Ruta]]="","",MARÍTIMOS[[#This Row],[Etapa Retiro - Inicio de Ruta]]),"")</f>
        <v>46234.727083333331</v>
      </c>
      <c r="Y200" s="11">
        <f>IFERROR(IF(MARÍTIMOS[[#This Row],[Hora de Posicionamiento]]="","",MARÍTIMOS[[#This Row],[Hora de Carga]]+MARÍTIMOS[[#This Row],[Hora de Posicionamiento]]),"")</f>
        <v>1.0833333333333335</v>
      </c>
      <c r="Z200" s="11">
        <f>IFERROR(IF(MARÍTIMOS[[#This Row],[Etapa Despacho -  Llegada]]="","",MARÍTIMOS[[#This Row],[Etapa Despacho -  Llegada]]),"")</f>
        <v>46235.390972222223</v>
      </c>
      <c r="AA200" s="11">
        <f>IFERROR(IF(MARÍTIMOS[[#This Row],[Etapa Despacho -  Registro]]="","",MARÍTIMOS[[#This Row],[Etapa Despacho -  Registro]]),"")</f>
        <v>46235.394444444442</v>
      </c>
      <c r="AB200" s="11">
        <f>IFERROR(IF(MARÍTIMOS[[#This Row],[Inspección Externa]]="","",MARÍTIMOS[[#This Row],[Inspección Externa]]),"")</f>
        <v>46235.40625</v>
      </c>
      <c r="AC200" s="11">
        <f>IFERROR(IF(MARÍTIMOS[[#This Row],[Etapa Despacho -  Inicio de Carga]]="","",MARÍTIMOS[[#This Row],[Etapa Despacho -  Inicio de Carga]]),"")</f>
        <v>46235.430555555555</v>
      </c>
      <c r="AD200" s="11">
        <f>IFERROR(IF(MARÍTIMOS[[#This Row],[Etapa Despacho -  Fin de Carga]]="","",MARÍTIMOS[[#This Row],[Etapa Despacho -  Fin de Carga]]),"")</f>
        <v>46235.729166666664</v>
      </c>
      <c r="AE200" s="11">
        <f>IFERROR(IF(MARÍTIMOS[[#This Row],[Etapa Despacho -  Salida]]="","",MARÍTIMOS[[#This Row],[Etapa Despacho -  Salida]]),"")</f>
        <v>46235.746527777781</v>
      </c>
      <c r="AF200" s="2" t="str">
        <f>IFERROR(IF(MARÍTIMOS[[#This Row],[Puerto de Embarque]]="","",MARÍTIMOS[[#This Row],[Puerto de Embarque]]),"")</f>
        <v>Paita</v>
      </c>
      <c r="AG200" s="2" t="str">
        <f>IFERROR(IF(MARÍTIMOS[[#This Row],[Almacén de Ingreso]]="","",MARÍTIMOS[[#This Row],[Almacén de Ingreso]]),"")</f>
        <v>TPE</v>
      </c>
      <c r="AH200" s="11">
        <f>IFERROR(IF(MARÍTIMOS[[#This Row],[Etapa Ingreso - Cita]]="","",MARÍTIMOS[[#This Row],[Etapa Ingreso - Cita]]),"")</f>
        <v>46236.375</v>
      </c>
      <c r="AI200" s="11">
        <f>IFERROR(IF(MARÍTIMOS[[#This Row],[Etapa Ingreso - Llegada]]="","",MARÍTIMOS[[#This Row],[Etapa Ingreso - Llegada]]),"")</f>
        <v>46236.4</v>
      </c>
      <c r="AJ200" s="11">
        <f>IFERROR(IF(MARÍTIMOS[[#This Row],[Etapa Ingreso - Ingeso]]="","",MARÍTIMOS[[#This Row],[Etapa Ingreso - Ingeso]]),"")</f>
        <v>46236.404166666667</v>
      </c>
      <c r="AK200" s="11">
        <f>IFERROR(IF(MARÍTIMOS[[#This Row],[Etapa Ingreso - Atención]]="","",MARÍTIMOS[[#This Row],[Etapa Ingreso - Atención]]),"")</f>
        <v>46236.40625</v>
      </c>
      <c r="AL200" s="11">
        <f>IFERROR(IF(MARÍTIMOS[[#This Row],[Etapa Ingreso - Salida]]="","",MARÍTIMOS[[#This Row],[Etapa Ingreso - Salida]]),"")</f>
        <v>46236.424305555556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00" s="5">
        <f>IFERROR(OLDBD[[#This Row],[Llegada a packing]]-OLDBD[[#This Row],[Inicio de Ruta]],"")</f>
        <v>0.66388888889196096</v>
      </c>
      <c r="AQ200" s="6">
        <f>IFERROR(OLDBD[[#This Row],[Inicio de Ruta]]-OLDBD[[#This Row],[Salida de almacén de retiro]],"")</f>
        <v>3.9583333331393078E-2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0" s="9">
        <f>IFERROR(OLDBD[[#This Row],[Ingreso Packing]]-OLDBD[[#This Row],[Registro en Packing]],"")</f>
        <v>1.1805555557657499E-2</v>
      </c>
      <c r="AV200" s="9">
        <f>IFERROR(OLDBD[[#This Row],[Ingreso Packing]]-OLDBD[[#This Row],[Llegada a packing]],"")</f>
        <v>1.5277777776645962E-2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0" s="5">
        <f>IFERROR(OLDBD[[#This Row],[Llegada Almacén de Ingreso]]-OLDBD[[#This Row],[Salida Packing]],"")</f>
        <v>0.65347222222044365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0" s="45" t="s">
        <v>181</v>
      </c>
      <c r="BB200" s="53" t="str">
        <f>IFERROR(IF(MARÍTIMOS[[#This Row],[Estatus]]="","",MARÍTIMOS[[#This Row],[Estatus]]),"")</f>
        <v>Confirmado</v>
      </c>
      <c r="BC200" s="45"/>
      <c r="BD200" s="52">
        <f>IFERROR(OLDBD[[#This Row],[Salida de almacén de retiro]]-OLDBD[[#This Row],[Ingreso Almacén de retiro]],"")</f>
        <v>9.7222222218988463E-2</v>
      </c>
      <c r="BE200" s="52">
        <f>IFERROR(OLDBD[[#This Row],[Fin de Carga]]-OLDBD[[#This Row],[Inicio de Carga]],"")</f>
        <v>0.29861111110949423</v>
      </c>
    </row>
    <row r="201" spans="1:57" x14ac:dyDescent="0.35">
      <c r="A201" s="1"/>
      <c r="B201" s="1">
        <f>IFERROR(IF(MARÍTIMOS[[#This Row],[PP]]="","",MARÍTIMOS[[#This Row],[PP]]),"")</f>
        <v>31</v>
      </c>
      <c r="C201" s="1" t="str">
        <f>IFERROR(IF(MARÍTIMOS[[#This Row],[Sede]]="","",MARÍTIMOS[[#This Row],[Sede]]),"")</f>
        <v>Chao</v>
      </c>
      <c r="D201" s="1" t="str">
        <f>IFERROR(IF(MARÍTIMOS[[#This Row],[Instruction]]="","",MARÍTIMOS[[#This Row],[Instruction]]),"")</f>
        <v>RH-0360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NO</v>
      </c>
      <c r="H201" s="2" t="str">
        <f>IFERROR(IF(MARÍTIMOS[[#This Row],[Razón Social]]="","",MARÍTIMOS[[#This Row],[Razón Social]]),"")</f>
        <v>LOGISTICA INTERMODAL DEL PERU S.A.C.</v>
      </c>
      <c r="I201" s="2">
        <f>IFERROR(IF(MARÍTIMOS[[#This Row],[RUC]]="","",MARÍTIMOS[[#This Row],[RUC]]),"")</f>
        <v>20513040718</v>
      </c>
      <c r="J201" s="2" t="str">
        <f>IFERROR(IF(MARÍTIMOS[[#This Row],[Placa Tracto]]="","",MARÍTIMOS[[#This Row],[Placa Tracto]]),"")</f>
        <v>BFH-947</v>
      </c>
      <c r="K201" s="2" t="str">
        <f>IFERROR(IF(MARÍTIMOS[[#This Row],[Placa Carreta]]="","",MARÍTIMOS[[#This Row],[Placa Carreta]]),"")</f>
        <v>AZL-985</v>
      </c>
      <c r="L201" s="46" t="str">
        <f>IFERROR(IF(MARÍTIMOS[[#This Row],[Conductor]]="","",MARÍTIMOS[[#This Row],[Conductor]]),"")</f>
        <v>GUZMAN MENDOZA FERNANDO</v>
      </c>
      <c r="M201" s="2" t="str">
        <f>IFERROR(IF(MARÍTIMOS[[#This Row],[Licencia]]="","",MARÍTIMOS[[#This Row],[Licencia]]),"")</f>
        <v>Q18202916</v>
      </c>
      <c r="N201" s="2">
        <f>IFERROR(IF(MARÍTIMOS[[#This Row],[Número de Contacto]]="","",MARÍTIMOS[[#This Row],[Número de Contacto]]),"")</f>
        <v>981163289</v>
      </c>
      <c r="O201" s="10" t="str">
        <f>IFERROR(IF(MARÍTIMOS[[#This Row],[Booking|AWB|CRT]]="","",MARÍTIMOS[[#This Row],[Booking|AWB|CRT]]),"")</f>
        <v>PER9172293A</v>
      </c>
      <c r="P201" s="2" t="str">
        <f>IFERROR(IF(MARÍTIMOS[[#This Row],[Contenedor]]="","",MARÍTIMOS[[#This Row],[Contenedor]]),"")</f>
        <v>SMLU5475161</v>
      </c>
      <c r="Q201" s="2" t="str">
        <f>IFERROR(IF(MARÍTIMOS[[#This Row],[Puerto de Retiro]]="","",MARÍTIMOS[[#This Row],[Puerto de Retiro]]),"")</f>
        <v>PAITA</v>
      </c>
      <c r="R201" s="2" t="str">
        <f>IFERROR(IF(MARÍTIMOS[[#This Row],[Almacén de Retiro]]="","",MARÍTIMOS[[#This Row],[Almacén de Retiro]]),"")</f>
        <v>DPW</v>
      </c>
      <c r="S201" s="11">
        <f>IFERROR(IF(MARÍTIMOS[[#This Row],[Etapa Retiro - Cita]]="","",MARÍTIMOS[[#This Row],[Etapa Retiro - Cita]]),"")</f>
        <v>46234.625</v>
      </c>
      <c r="T201" s="11">
        <f>IFERROR(IF(MARÍTIMOS[[#This Row],[Etapa Retiro - Llegada]]="","",MARÍTIMOS[[#This Row],[Etapa Retiro - Llegada]]),"")</f>
        <v>46234.657638888886</v>
      </c>
      <c r="U201" s="11">
        <f>IFERROR(IF(MARÍTIMOS[[#This Row],[Etapa Retiro - Ingreso]]="","",MARÍTIMOS[[#This Row],[Etapa Retiro - Ingreso]]),"")</f>
        <v>46234.661111111112</v>
      </c>
      <c r="V201" s="11">
        <f>IFERROR(IF(MARÍTIMOS[[#This Row],[Etapa Retiro - Atención]]="","",MARÍTIMOS[[#This Row],[Etapa Retiro - Atención]]),"")</f>
        <v>46234.666666666664</v>
      </c>
      <c r="W201" s="11">
        <f>IFERROR(IF(MARÍTIMOS[[#This Row],[Etapa Retiro - Salida]]="","",MARÍTIMOS[[#This Row],[Etapa Retiro - Salida]]),"")</f>
        <v>46234.6875</v>
      </c>
      <c r="X201" s="11">
        <f>IFERROR(IF(MARÍTIMOS[[#This Row],[Etapa Retiro - Inicio de Ruta]]="","",MARÍTIMOS[[#This Row],[Etapa Retiro - Inicio de Ruta]]),"")</f>
        <v>46234.703472222223</v>
      </c>
      <c r="Y201" s="11">
        <f>IFERROR(IF(MARÍTIMOS[[#This Row],[Hora de Posicionamiento]]="","",MARÍTIMOS[[#This Row],[Hora de Carga]]+MARÍTIMOS[[#This Row],[Hora de Posicionamiento]]),"")</f>
        <v>0.75</v>
      </c>
      <c r="Z201" s="11">
        <f>IFERROR(IF(MARÍTIMOS[[#This Row],[Etapa Despacho -  Llegada]]="","",MARÍTIMOS[[#This Row],[Etapa Despacho -  Llegada]]),"")</f>
        <v>46235.636111111111</v>
      </c>
      <c r="AA201" s="11">
        <f>IFERROR(IF(MARÍTIMOS[[#This Row],[Etapa Despacho -  Registro]]="","",MARÍTIMOS[[#This Row],[Etapa Despacho -  Registro]]),"")</f>
        <v>46235.638888888891</v>
      </c>
      <c r="AB201" s="11">
        <f>IFERROR(IF(MARÍTIMOS[[#This Row],[Inspección Externa]]="","",MARÍTIMOS[[#This Row],[Inspección Externa]]),"")</f>
        <v>46235.649305555555</v>
      </c>
      <c r="AC201" s="11">
        <f>IFERROR(IF(MARÍTIMOS[[#This Row],[Etapa Despacho -  Inicio de Carga]]="","",MARÍTIMOS[[#This Row],[Etapa Despacho -  Inicio de Carga]]),"")</f>
        <v>46235.666666666664</v>
      </c>
      <c r="AD201" s="11">
        <f>IFERROR(IF(MARÍTIMOS[[#This Row],[Etapa Despacho -  Fin de Carga]]="","",MARÍTIMOS[[#This Row],[Etapa Despacho -  Fin de Carga]]),"")</f>
        <v>46235.708333333336</v>
      </c>
      <c r="AE201" s="11">
        <f>IFERROR(IF(MARÍTIMOS[[#This Row],[Etapa Despacho -  Salida]]="","",MARÍTIMOS[[#This Row],[Etapa Despacho -  Salida]]),"")</f>
        <v>46235.73541666667</v>
      </c>
      <c r="AF201" s="2" t="str">
        <f>IFERROR(IF(MARÍTIMOS[[#This Row],[Puerto de Embarque]]="","",MARÍTIMOS[[#This Row],[Puerto de Embarque]]),"")</f>
        <v>Paita</v>
      </c>
      <c r="AG201" s="2" t="str">
        <f>IFERROR(IF(MARÍTIMOS[[#This Row],[Almacén de Ingreso]]="","",MARÍTIMOS[[#This Row],[Almacén de Ingreso]]),"")</f>
        <v>TPE</v>
      </c>
      <c r="AH201" s="11">
        <f>IFERROR(IF(MARÍTIMOS[[#This Row],[Etapa Ingreso - Cita]]="","",MARÍTIMOS[[#This Row],[Etapa Ingreso - Cita]]),"")</f>
        <v>46236.458333333336</v>
      </c>
      <c r="AI201" s="11">
        <f>IFERROR(IF(MARÍTIMOS[[#This Row],[Etapa Ingreso - Llegada]]="","",MARÍTIMOS[[#This Row],[Etapa Ingreso - Llegada]]),"")</f>
        <v>46236.484027777777</v>
      </c>
      <c r="AJ201" s="11">
        <f>IFERROR(IF(MARÍTIMOS[[#This Row],[Etapa Ingreso - Ingeso]]="","",MARÍTIMOS[[#This Row],[Etapa Ingreso - Ingeso]]),"")</f>
        <v>46236.489583333336</v>
      </c>
      <c r="AK201" s="11">
        <f>IFERROR(IF(MARÍTIMOS[[#This Row],[Etapa Ingreso - Atención]]="","",MARÍTIMOS[[#This Row],[Etapa Ingreso - Atención]]),"")</f>
        <v>46236.496527777781</v>
      </c>
      <c r="AL201" s="11">
        <f>IFERROR(IF(MARÍTIMOS[[#This Row],[Etapa Ingreso - Salida]]="","",MARÍTIMOS[[#This Row],[Etapa Ingreso - Salida]]),"")</f>
        <v>46236.506944444445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1" s="5">
        <f>IFERROR(OLDBD[[#This Row],[Llegada a packing]]-OLDBD[[#This Row],[Inicio de Ruta]],"")</f>
        <v>0.93263888888759539</v>
      </c>
      <c r="AQ201" s="6">
        <f>IFERROR(OLDBD[[#This Row],[Inicio de Ruta]]-OLDBD[[#This Row],[Salida de almacén de retiro]],"")</f>
        <v>1.5972222223354038E-2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1.0416666664241347E-2</v>
      </c>
      <c r="AV201" s="9">
        <f>IFERROR(OLDBD[[#This Row],[Ingreso Packing]]-OLDBD[[#This Row],[Llegada a packing]],"")</f>
        <v>1.3194444443797693E-2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0.74861111110658385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1" s="45" t="s">
        <v>181</v>
      </c>
      <c r="BB201" s="53" t="str">
        <f>IFERROR(IF(MARÍTIMOS[[#This Row],[Estatus]]="","",MARÍTIMOS[[#This Row],[Estatus]]),"")</f>
        <v>Confirmado</v>
      </c>
      <c r="BC201" s="45"/>
      <c r="BD201" s="52">
        <f>IFERROR(OLDBD[[#This Row],[Salida de almacén de retiro]]-OLDBD[[#This Row],[Ingreso Almacén de retiro]],"")</f>
        <v>2.6388888887595385E-2</v>
      </c>
      <c r="BE201" s="52">
        <f>IFERROR(OLDBD[[#This Row],[Fin de Carga]]-OLDBD[[#This Row],[Inicio de Carga]],"")</f>
        <v>4.1666666671517305E-2</v>
      </c>
    </row>
    <row r="202" spans="1:57" x14ac:dyDescent="0.35">
      <c r="A202" s="1"/>
      <c r="B202" s="1">
        <f>IFERROR(IF(MARÍTIMOS[[#This Row],[PP]]="","",MARÍTIMOS[[#This Row],[PP]]),"")</f>
        <v>31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RH-0361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NO</v>
      </c>
      <c r="H202" s="2" t="str">
        <f>IFERROR(IF(MARÍTIMOS[[#This Row],[Razón Social]]="","",MARÍTIMOS[[#This Row],[Razón Social]]),"")</f>
        <v>LOGISTICA INTERMODAL DEL PERU S.A.C.</v>
      </c>
      <c r="I202" s="2">
        <f>IFERROR(IF(MARÍTIMOS[[#This Row],[RUC]]="","",MARÍTIMOS[[#This Row],[RUC]]),"")</f>
        <v>20513040718</v>
      </c>
      <c r="J202" s="2" t="str">
        <f>IFERROR(IF(MARÍTIMOS[[#This Row],[Placa Tracto]]="","",MARÍTIMOS[[#This Row],[Placa Tracto]]),"")</f>
        <v>BFJ-853</v>
      </c>
      <c r="K202" s="2" t="str">
        <f>IFERROR(IF(MARÍTIMOS[[#This Row],[Placa Carreta]]="","",MARÍTIMOS[[#This Row],[Placa Carreta]]),"")</f>
        <v>AZR-979</v>
      </c>
      <c r="L202" s="46" t="str">
        <f>IFERROR(IF(MARÍTIMOS[[#This Row],[Conductor]]="","",MARÍTIMOS[[#This Row],[Conductor]]),"")</f>
        <v>FIESTAS SAAVEDRA AYRTON ALAIN</v>
      </c>
      <c r="M202" s="2" t="str">
        <f>IFERROR(IF(MARÍTIMOS[[#This Row],[Licencia]]="","",MARÍTIMOS[[#This Row],[Licencia]]),"")</f>
        <v>Q46579910</v>
      </c>
      <c r="N202" s="2">
        <f>IFERROR(IF(MARÍTIMOS[[#This Row],[Número de Contacto]]="","",MARÍTIMOS[[#This Row],[Número de Contacto]]),"")</f>
        <v>938742706</v>
      </c>
      <c r="O202" s="10" t="str">
        <f>IFERROR(IF(MARÍTIMOS[[#This Row],[Booking|AWB|CRT]]="","",MARÍTIMOS[[#This Row],[Booking|AWB|CRT]]),"")</f>
        <v>PER9172294A</v>
      </c>
      <c r="P202" s="2" t="str">
        <f>IFERROR(IF(MARÍTIMOS[[#This Row],[Contenedor]]="","",MARÍTIMOS[[#This Row],[Contenedor]]),"")</f>
        <v>SEKU9424111</v>
      </c>
      <c r="Q202" s="2" t="str">
        <f>IFERROR(IF(MARÍTIMOS[[#This Row],[Puerto de Retiro]]="","",MARÍTIMOS[[#This Row],[Puerto de Retiro]]),"")</f>
        <v>PAITA</v>
      </c>
      <c r="R202" s="2" t="str">
        <f>IFERROR(IF(MARÍTIMOS[[#This Row],[Almacén de Retiro]]="","",MARÍTIMOS[[#This Row],[Almacén de Retiro]]),"")</f>
        <v>DPW</v>
      </c>
      <c r="S202" s="11">
        <f>IFERROR(IF(MARÍTIMOS[[#This Row],[Etapa Retiro - Cita]]="","",MARÍTIMOS[[#This Row],[Etapa Retiro - Cita]]),"")</f>
        <v>46237.416666666664</v>
      </c>
      <c r="T202" s="11">
        <f>IFERROR(IF(MARÍTIMOS[[#This Row],[Etapa Retiro - Llegada]]="","",MARÍTIMOS[[#This Row],[Etapa Retiro - Llegada]]),"")</f>
        <v>46237.454861111109</v>
      </c>
      <c r="U202" s="11">
        <f>IFERROR(IF(MARÍTIMOS[[#This Row],[Etapa Retiro - Ingreso]]="","",MARÍTIMOS[[#This Row],[Etapa Retiro - Ingreso]]),"")</f>
        <v>46237.458333333336</v>
      </c>
      <c r="V202" s="11">
        <f>IFERROR(IF(MARÍTIMOS[[#This Row],[Etapa Retiro - Atención]]="","",MARÍTIMOS[[#This Row],[Etapa Retiro - Atención]]),"")</f>
        <v>46237.466666666667</v>
      </c>
      <c r="W202" s="11">
        <f>IFERROR(IF(MARÍTIMOS[[#This Row],[Etapa Retiro - Salida]]="","",MARÍTIMOS[[#This Row],[Etapa Retiro - Salida]]),"")</f>
        <v>46237.489583333336</v>
      </c>
      <c r="X202" s="11">
        <f>IFERROR(IF(MARÍTIMOS[[#This Row],[Etapa Retiro - Inicio de Ruta]]="","",MARÍTIMOS[[#This Row],[Etapa Retiro - Inicio de Ruta]]),"")</f>
        <v>46237.504166666666</v>
      </c>
      <c r="Y202" s="11">
        <f>IFERROR(IF(MARÍTIMOS[[#This Row],[Hora de Posicionamiento]]="","",MARÍTIMOS[[#This Row],[Hora de Carga]]+MARÍTIMOS[[#This Row],[Hora de Posicionamiento]]),"")</f>
        <v>0.75</v>
      </c>
      <c r="Z202" s="11">
        <f>IFERROR(IF(MARÍTIMOS[[#This Row],[Etapa Despacho -  Llegada]]="","",MARÍTIMOS[[#This Row],[Etapa Despacho -  Llegada]]),"")</f>
        <v>46238.347916666666</v>
      </c>
      <c r="AA202" s="11">
        <f>IFERROR(IF(MARÍTIMOS[[#This Row],[Etapa Despacho -  Registro]]="","",MARÍTIMOS[[#This Row],[Etapa Despacho -  Registro]]),"")</f>
        <v>46238.350694444445</v>
      </c>
      <c r="AB202" s="11">
        <f>IFERROR(IF(MARÍTIMOS[[#This Row],[Inspección Externa]]="","",MARÍTIMOS[[#This Row],[Inspección Externa]]),"")</f>
        <v>46238.361111111109</v>
      </c>
      <c r="AC202" s="11">
        <f>IFERROR(IF(MARÍTIMOS[[#This Row],[Etapa Despacho -  Inicio de Carga]]="","",MARÍTIMOS[[#This Row],[Etapa Despacho -  Inicio de Carga]]),"")</f>
        <v>46238.375</v>
      </c>
      <c r="AD202" s="11">
        <f>IFERROR(IF(MARÍTIMOS[[#This Row],[Etapa Despacho -  Fin de Carga]]="","",MARÍTIMOS[[#This Row],[Etapa Despacho -  Fin de Carga]]),"")</f>
        <v>46238.506944444445</v>
      </c>
      <c r="AE202" s="11">
        <f>IFERROR(IF(MARÍTIMOS[[#This Row],[Etapa Despacho -  Salida]]="","",MARÍTIMOS[[#This Row],[Etapa Despacho -  Salida]]),"")</f>
        <v>46238.52847222222</v>
      </c>
      <c r="AF202" s="2" t="str">
        <f>IFERROR(IF(MARÍTIMOS[[#This Row],[Puerto de Embarque]]="","",MARÍTIMOS[[#This Row],[Puerto de Embarque]]),"")</f>
        <v>Paita</v>
      </c>
      <c r="AG202" s="2" t="str">
        <f>IFERROR(IF(MARÍTIMOS[[#This Row],[Almacén de Ingreso]]="","",MARÍTIMOS[[#This Row],[Almacén de Ingreso]]),"")</f>
        <v>TPE</v>
      </c>
      <c r="AH202" s="11">
        <f>IFERROR(IF(MARÍTIMOS[[#This Row],[Etapa Ingreso - Cita]]="","",MARÍTIMOS[[#This Row],[Etapa Ingreso - Cita]]),"")</f>
        <v>46238.958333333336</v>
      </c>
      <c r="AI202" s="11">
        <f>IFERROR(IF(MARÍTIMOS[[#This Row],[Etapa Ingreso - Llegada]]="","",MARÍTIMOS[[#This Row],[Etapa Ingreso - Llegada]]),"")</f>
        <v>46238.96597222222</v>
      </c>
      <c r="AJ202" s="11">
        <f>IFERROR(IF(MARÍTIMOS[[#This Row],[Etapa Ingreso - Ingeso]]="","",MARÍTIMOS[[#This Row],[Etapa Ingreso - Ingeso]]),"")</f>
        <v>46238.970138888886</v>
      </c>
      <c r="AK202" s="11">
        <f>IFERROR(IF(MARÍTIMOS[[#This Row],[Etapa Ingreso - Atención]]="","",MARÍTIMOS[[#This Row],[Etapa Ingreso - Atención]]),"")</f>
        <v>46238.973611111112</v>
      </c>
      <c r="AL202" s="11">
        <f>IFERROR(IF(MARÍTIMOS[[#This Row],[Etapa Ingreso - Salida]]="","",MARÍTIMOS[[#This Row],[Etapa Ingreso - Salida]]),"")</f>
        <v>46238.977083333331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2" s="5">
        <f>IFERROR(OLDBD[[#This Row],[Llegada a packing]]-OLDBD[[#This Row],[Inicio de Ruta]],"")</f>
        <v>0.84375</v>
      </c>
      <c r="AQ202" s="6">
        <f>IFERROR(OLDBD[[#This Row],[Inicio de Ruta]]-OLDBD[[#This Row],[Salida de almacén de retiro]],"")</f>
        <v>1.4583333329937886E-2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1.0416666664241347E-2</v>
      </c>
      <c r="AV202" s="9">
        <f>IFERROR(OLDBD[[#This Row],[Ingreso Packing]]-OLDBD[[#This Row],[Llegada a packing]],"")</f>
        <v>1.3194444443797693E-2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2" s="5">
        <f>IFERROR(OLDBD[[#This Row],[Llegada Almacén de Ingreso]]-OLDBD[[#This Row],[Salida Packing]],"")</f>
        <v>0.4375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5" t="s">
        <v>181</v>
      </c>
      <c r="BB202" s="53" t="str">
        <f>IFERROR(IF(MARÍTIMOS[[#This Row],[Estatus]]="","",MARÍTIMOS[[#This Row],[Estatus]]),"")</f>
        <v>Confirmado</v>
      </c>
      <c r="BC202" s="45"/>
      <c r="BD202" s="52">
        <f>IFERROR(OLDBD[[#This Row],[Salida de almacén de retiro]]-OLDBD[[#This Row],[Ingreso Almacén de retiro]],"")</f>
        <v>3.125E-2</v>
      </c>
      <c r="BE202" s="52">
        <f>IFERROR(OLDBD[[#This Row],[Fin de Carga]]-OLDBD[[#This Row],[Inicio de Carga]],"")</f>
        <v>0.13194444444525288</v>
      </c>
    </row>
    <row r="203" spans="1:57" x14ac:dyDescent="0.35">
      <c r="A203" s="1"/>
      <c r="B203" s="1">
        <f>IFERROR(IF(MARÍTIMOS[[#This Row],[PP]]="","",MARÍTIMOS[[#This Row],[PP]]),"")</f>
        <v>31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RH-0362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SI</v>
      </c>
      <c r="H203" s="2" t="str">
        <f>IFERROR(IF(MARÍTIMOS[[#This Row],[Razón Social]]="","",MARÍTIMOS[[#This Row],[Razón Social]]),"")</f>
        <v>TRANSPORTES Y SERVICIOS UNITED FRIENDS S.A.C.</v>
      </c>
      <c r="I203" s="2">
        <f>IFERROR(IF(MARÍTIMOS[[#This Row],[RUC]]="","",MARÍTIMOS[[#This Row],[RUC]]),"")</f>
        <v>20601368766</v>
      </c>
      <c r="J203" s="2" t="str">
        <f>IFERROR(IF(MARÍTIMOS[[#This Row],[Placa Tracto]]="","",MARÍTIMOS[[#This Row],[Placa Tracto]]),"")</f>
        <v>C7K-869</v>
      </c>
      <c r="K203" s="2" t="str">
        <f>IFERROR(IF(MARÍTIMOS[[#This Row],[Placa Carreta]]="","",MARÍTIMOS[[#This Row],[Placa Carreta]]),"")</f>
        <v>TCL-980</v>
      </c>
      <c r="L203" s="46" t="str">
        <f>IFERROR(IF(MARÍTIMOS[[#This Row],[Conductor]]="","",MARÍTIMOS[[#This Row],[Conductor]]),"")</f>
        <v>LITANO PEÑA ANTONY</v>
      </c>
      <c r="M203" s="2" t="str">
        <f>IFERROR(IF(MARÍTIMOS[[#This Row],[Licencia]]="","",MARÍTIMOS[[#This Row],[Licencia]]),"")</f>
        <v>B44791767</v>
      </c>
      <c r="N203" s="2">
        <f>IFERROR(IF(MARÍTIMOS[[#This Row],[Número de Contacto]]="","",MARÍTIMOS[[#This Row],[Número de Contacto]]),"")</f>
        <v>981143257</v>
      </c>
      <c r="O203" s="10" t="str">
        <f>IFERROR(IF(MARÍTIMOS[[#This Row],[Booking|AWB|CRT]]="","",MARÍTIMOS[[#This Row],[Booking|AWB|CRT]]),"")</f>
        <v>PER9172295A</v>
      </c>
      <c r="P203" s="2" t="str">
        <f>IFERROR(IF(MARÍTIMOS[[#This Row],[Contenedor]]="","",MARÍTIMOS[[#This Row],[Contenedor]]),"")</f>
        <v>CAAU4164552</v>
      </c>
      <c r="Q203" s="2" t="str">
        <f>IFERROR(IF(MARÍTIMOS[[#This Row],[Puerto de Retiro]]="","",MARÍTIMOS[[#This Row],[Puerto de Retiro]]),"")</f>
        <v>PAITA</v>
      </c>
      <c r="R203" s="2" t="str">
        <f>IFERROR(IF(MARÍTIMOS[[#This Row],[Almacén de Retiro]]="","",MARÍTIMOS[[#This Row],[Almacén de Retiro]]),"")</f>
        <v>DPW</v>
      </c>
      <c r="S203" s="11">
        <f>IFERROR(IF(MARÍTIMOS[[#This Row],[Etapa Retiro - Cita]]="","",MARÍTIMOS[[#This Row],[Etapa Retiro - Cita]]),"")</f>
        <v>46234.625</v>
      </c>
      <c r="T203" s="11">
        <f>IFERROR(IF(MARÍTIMOS[[#This Row],[Etapa Retiro - Llegada]]="","",MARÍTIMOS[[#This Row],[Etapa Retiro - Llegada]]),"")</f>
        <v>46234.645138888889</v>
      </c>
      <c r="U203" s="11">
        <f>IFERROR(IF(MARÍTIMOS[[#This Row],[Etapa Retiro - Ingreso]]="","",MARÍTIMOS[[#This Row],[Etapa Retiro - Ingreso]]),"")</f>
        <v>46234.647222222222</v>
      </c>
      <c r="V203" s="11">
        <f>IFERROR(IF(MARÍTIMOS[[#This Row],[Etapa Retiro - Atención]]="","",MARÍTIMOS[[#This Row],[Etapa Retiro - Atención]]),"")</f>
        <v>46234.668749999997</v>
      </c>
      <c r="W203" s="11">
        <f>IFERROR(IF(MARÍTIMOS[[#This Row],[Etapa Retiro - Salida]]="","",MARÍTIMOS[[#This Row],[Etapa Retiro - Salida]]),"")</f>
        <v>46234.6875</v>
      </c>
      <c r="X203" s="11">
        <f>IFERROR(IF(MARÍTIMOS[[#This Row],[Etapa Retiro - Inicio de Ruta]]="","",MARÍTIMOS[[#This Row],[Etapa Retiro - Inicio de Ruta]]),"")</f>
        <v>46234.715277777781</v>
      </c>
      <c r="Y203" s="11">
        <f>IFERROR(IF(MARÍTIMOS[[#This Row],[Hora de Posicionamiento]]="","",MARÍTIMOS[[#This Row],[Hora de Carga]]+MARÍTIMOS[[#This Row],[Hora de Posicionamiento]]),"")</f>
        <v>1.0833333333333335</v>
      </c>
      <c r="Z203" s="11">
        <f>IFERROR(IF(MARÍTIMOS[[#This Row],[Etapa Despacho -  Llegada]]="","",MARÍTIMOS[[#This Row],[Etapa Despacho -  Llegada]]),"")</f>
        <v>46235.461805555555</v>
      </c>
      <c r="AA203" s="11">
        <f>IFERROR(IF(MARÍTIMOS[[#This Row],[Etapa Despacho -  Registro]]="","",MARÍTIMOS[[#This Row],[Etapa Despacho -  Registro]]),"")</f>
        <v>46235.465277777781</v>
      </c>
      <c r="AB203" s="11">
        <f>IFERROR(IF(MARÍTIMOS[[#This Row],[Inspección Externa]]="","",MARÍTIMOS[[#This Row],[Inspección Externa]]),"")</f>
        <v>46235.479166666664</v>
      </c>
      <c r="AC203" s="11">
        <f>IFERROR(IF(MARÍTIMOS[[#This Row],[Etapa Despacho -  Inicio de Carga]]="","",MARÍTIMOS[[#This Row],[Etapa Despacho -  Inicio de Carga]]),"")</f>
        <v>46235.506944444445</v>
      </c>
      <c r="AD203" s="11">
        <f>IFERROR(IF(MARÍTIMOS[[#This Row],[Etapa Despacho -  Fin de Carga]]="","",MARÍTIMOS[[#This Row],[Etapa Despacho -  Fin de Carga]]),"")</f>
        <v>46235.729166666664</v>
      </c>
      <c r="AE203" s="11">
        <f>IFERROR(IF(MARÍTIMOS[[#This Row],[Etapa Despacho -  Salida]]="","",MARÍTIMOS[[#This Row],[Etapa Despacho -  Salida]]),"")</f>
        <v>46235.746527777781</v>
      </c>
      <c r="AF203" s="2" t="str">
        <f>IFERROR(IF(MARÍTIMOS[[#This Row],[Puerto de Embarque]]="","",MARÍTIMOS[[#This Row],[Puerto de Embarque]]),"")</f>
        <v>Paita</v>
      </c>
      <c r="AG203" s="2" t="str">
        <f>IFERROR(IF(MARÍTIMOS[[#This Row],[Almacén de Ingreso]]="","",MARÍTIMOS[[#This Row],[Almacén de Ingreso]]),"")</f>
        <v>TPE</v>
      </c>
      <c r="AH203" s="11">
        <f>IFERROR(IF(MARÍTIMOS[[#This Row],[Etapa Ingreso - Cita]]="","",MARÍTIMOS[[#This Row],[Etapa Ingreso - Cita]]),"")</f>
        <v>46236.5</v>
      </c>
      <c r="AI203" s="11">
        <f>IFERROR(IF(MARÍTIMOS[[#This Row],[Etapa Ingreso - Llegada]]="","",MARÍTIMOS[[#This Row],[Etapa Ingreso - Llegada]]),"")</f>
        <v>46236.509027777778</v>
      </c>
      <c r="AJ203" s="11">
        <f>IFERROR(IF(MARÍTIMOS[[#This Row],[Etapa Ingreso - Ingeso]]="","",MARÍTIMOS[[#This Row],[Etapa Ingreso - Ingeso]]),"")</f>
        <v>46236.513194444444</v>
      </c>
      <c r="AK203" s="11">
        <f>IFERROR(IF(MARÍTIMOS[[#This Row],[Etapa Ingreso - Atención]]="","",MARÍTIMOS[[#This Row],[Etapa Ingreso - Atención]]),"")</f>
        <v>46236.517361111109</v>
      </c>
      <c r="AL203" s="11">
        <f>IFERROR(IF(MARÍTIMOS[[#This Row],[Etapa Ingreso - Salida]]="","",MARÍTIMOS[[#This Row],[Etapa Ingreso - Salida]]),"")</f>
        <v>46236.531944444447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0.74652777777373558</v>
      </c>
      <c r="AQ203" s="6">
        <f>IFERROR(OLDBD[[#This Row],[Inicio de Ruta]]-OLDBD[[#This Row],[Salida de almacén de retiro]],"")</f>
        <v>2.7777777781011537E-2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1.3888888883229811E-2</v>
      </c>
      <c r="AV203" s="9">
        <f>IFERROR(OLDBD[[#This Row],[Ingreso Packing]]-OLDBD[[#This Row],[Llegada a packing]],"")</f>
        <v>1.7361111109494232E-2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3" s="5">
        <f>IFERROR(OLDBD[[#This Row],[Llegada Almacén de Ingreso]]-OLDBD[[#This Row],[Salida Packing]],"")</f>
        <v>0.76249999999708962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5" t="s">
        <v>181</v>
      </c>
      <c r="BB203" s="53" t="str">
        <f>IFERROR(IF(MARÍTIMOS[[#This Row],[Estatus]]="","",MARÍTIMOS[[#This Row],[Estatus]]),"")</f>
        <v>Confirmado</v>
      </c>
      <c r="BC203" s="45"/>
      <c r="BD203" s="52">
        <f>IFERROR(OLDBD[[#This Row],[Salida de almacén de retiro]]-OLDBD[[#This Row],[Ingreso Almacén de retiro]],"")</f>
        <v>4.0277777778101154E-2</v>
      </c>
      <c r="BE203" s="52">
        <f>IFERROR(OLDBD[[#This Row],[Fin de Carga]]-OLDBD[[#This Row],[Inicio de Carga]],"")</f>
        <v>0.22222222221898846</v>
      </c>
    </row>
    <row r="204" spans="1:57" x14ac:dyDescent="0.35">
      <c r="A204" s="1"/>
      <c r="B204" s="1">
        <f>IFERROR(IF(MARÍTIMOS[[#This Row],[PP]]="","",MARÍTIMOS[[#This Row],[PP]]),"")</f>
        <v>31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RH-0363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NO</v>
      </c>
      <c r="H204" s="2" t="str">
        <f>IFERROR(IF(MARÍTIMOS[[#This Row],[Razón Social]]="","",MARÍTIMOS[[#This Row],[Razón Social]]),"")</f>
        <v>LOGISTICA INTERMODAL DEL PERU S.A.C.</v>
      </c>
      <c r="I204" s="2">
        <f>IFERROR(IF(MARÍTIMOS[[#This Row],[RUC]]="","",MARÍTIMOS[[#This Row],[RUC]]),"")</f>
        <v>20513040718</v>
      </c>
      <c r="J204" s="2" t="str">
        <f>IFERROR(IF(MARÍTIMOS[[#This Row],[Placa Tracto]]="","",MARÍTIMOS[[#This Row],[Placa Tracto]]),"")</f>
        <v>BBH-709</v>
      </c>
      <c r="K204" s="2" t="str">
        <f>IFERROR(IF(MARÍTIMOS[[#This Row],[Placa Carreta]]="","",MARÍTIMOS[[#This Row],[Placa Carreta]]),"")</f>
        <v>AMY-988</v>
      </c>
      <c r="L204" s="46" t="str">
        <f>IFERROR(IF(MARÍTIMOS[[#This Row],[Conductor]]="","",MARÍTIMOS[[#This Row],[Conductor]]),"")</f>
        <v>ANTON JIMENEZ FRANKLYN RANDHOLP</v>
      </c>
      <c r="M204" s="2" t="str">
        <f>IFERROR(IF(MARÍTIMOS[[#This Row],[Licencia]]="","",MARÍTIMOS[[#This Row],[Licencia]]),"")</f>
        <v>B71707591</v>
      </c>
      <c r="N204" s="2" t="str">
        <f>IFERROR(IF(MARÍTIMOS[[#This Row],[Número de Contacto]]="","",MARÍTIMOS[[#This Row],[Número de Contacto]]),"")</f>
        <v>908703 885</v>
      </c>
      <c r="O204" s="10" t="str">
        <f>IFERROR(IF(MARÍTIMOS[[#This Row],[Booking|AWB|CRT]]="","",MARÍTIMOS[[#This Row],[Booking|AWB|CRT]]),"")</f>
        <v>PER9172296A</v>
      </c>
      <c r="P204" s="2" t="str">
        <f>IFERROR(IF(MARÍTIMOS[[#This Row],[Contenedor]]="","",MARÍTIMOS[[#This Row],[Contenedor]]),"")</f>
        <v>SEKU9119231</v>
      </c>
      <c r="Q204" s="2" t="str">
        <f>IFERROR(IF(MARÍTIMOS[[#This Row],[Puerto de Retiro]]="","",MARÍTIMOS[[#This Row],[Puerto de Retiro]]),"")</f>
        <v>PAITA</v>
      </c>
      <c r="R204" s="2" t="str">
        <f>IFERROR(IF(MARÍTIMOS[[#This Row],[Almacén de Retiro]]="","",MARÍTIMOS[[#This Row],[Almacén de Retiro]]),"")</f>
        <v>DPW</v>
      </c>
      <c r="S204" s="11">
        <f>IFERROR(IF(MARÍTIMOS[[#This Row],[Etapa Retiro - Cita]]="","",MARÍTIMOS[[#This Row],[Etapa Retiro - Cita]]),"")</f>
        <v>46234.583333333336</v>
      </c>
      <c r="T204" s="11">
        <f>IFERROR(IF(MARÍTIMOS[[#This Row],[Etapa Retiro - Llegada]]="","",MARÍTIMOS[[#This Row],[Etapa Retiro - Llegada]]),"")</f>
        <v>46234.604861111111</v>
      </c>
      <c r="U204" s="11">
        <f>IFERROR(IF(MARÍTIMOS[[#This Row],[Etapa Retiro - Ingreso]]="","",MARÍTIMOS[[#This Row],[Etapa Retiro - Ingreso]]),"")</f>
        <v>46234.607638888891</v>
      </c>
      <c r="V204" s="11">
        <f>IFERROR(IF(MARÍTIMOS[[#This Row],[Etapa Retiro - Atención]]="","",MARÍTIMOS[[#This Row],[Etapa Retiro - Atención]]),"")</f>
        <v>46234.626388888886</v>
      </c>
      <c r="W204" s="11">
        <f>IFERROR(IF(MARÍTIMOS[[#This Row],[Etapa Retiro - Salida]]="","",MARÍTIMOS[[#This Row],[Etapa Retiro - Salida]]),"")</f>
        <v>46234.645833333336</v>
      </c>
      <c r="X204" s="11">
        <f>IFERROR(IF(MARÍTIMOS[[#This Row],[Etapa Retiro - Inicio de Ruta]]="","",MARÍTIMOS[[#This Row],[Etapa Retiro - Inicio de Ruta]]),"")</f>
        <v>46234.68472222222</v>
      </c>
      <c r="Y204" s="11">
        <f>IFERROR(IF(MARÍTIMOS[[#This Row],[Hora de Posicionamiento]]="","",MARÍTIMOS[[#This Row],[Hora de Carga]]+MARÍTIMOS[[#This Row],[Hora de Posicionamiento]]),"")</f>
        <v>1.0833333333333335</v>
      </c>
      <c r="Z204" s="11">
        <f>IFERROR(IF(MARÍTIMOS[[#This Row],[Etapa Despacho -  Llegada]]="","",MARÍTIMOS[[#This Row],[Etapa Despacho -  Llegada]]),"")</f>
        <v>46235.547222222223</v>
      </c>
      <c r="AA204" s="11">
        <f>IFERROR(IF(MARÍTIMOS[[#This Row],[Etapa Despacho -  Registro]]="","",MARÍTIMOS[[#This Row],[Etapa Despacho -  Registro]]),"")</f>
        <v>46235.550694444442</v>
      </c>
      <c r="AB204" s="11">
        <f>IFERROR(IF(MARÍTIMOS[[#This Row],[Inspección Externa]]="","",MARÍTIMOS[[#This Row],[Inspección Externa]]),"")</f>
        <v>46235.5625</v>
      </c>
      <c r="AC204" s="11">
        <f>IFERROR(IF(MARÍTIMOS[[#This Row],[Etapa Despacho -  Inicio de Carga]]="","",MARÍTIMOS[[#This Row],[Etapa Despacho -  Inicio de Carga]]),"")</f>
        <v>46235.590277777781</v>
      </c>
      <c r="AD204" s="11">
        <f>IFERROR(IF(MARÍTIMOS[[#This Row],[Etapa Despacho -  Fin de Carga]]="","",MARÍTIMOS[[#This Row],[Etapa Despacho -  Fin de Carga]]),"")</f>
        <v>46235.729166666664</v>
      </c>
      <c r="AE204" s="11">
        <f>IFERROR(IF(MARÍTIMOS[[#This Row],[Etapa Despacho -  Salida]]="","",MARÍTIMOS[[#This Row],[Etapa Despacho -  Salida]]),"")</f>
        <v>46235.738194444442</v>
      </c>
      <c r="AF204" s="2" t="str">
        <f>IFERROR(IF(MARÍTIMOS[[#This Row],[Puerto de Embarque]]="","",MARÍTIMOS[[#This Row],[Puerto de Embarque]]),"")</f>
        <v>Paita</v>
      </c>
      <c r="AG204" s="2" t="str">
        <f>IFERROR(IF(MARÍTIMOS[[#This Row],[Almacén de Ingreso]]="","",MARÍTIMOS[[#This Row],[Almacén de Ingreso]]),"")</f>
        <v>TPE</v>
      </c>
      <c r="AH204" s="11">
        <f>IFERROR(IF(MARÍTIMOS[[#This Row],[Etapa Ingreso - Cita]]="","",MARÍTIMOS[[#This Row],[Etapa Ingreso - Cita]]),"")</f>
        <v>46236.541666666664</v>
      </c>
      <c r="AI204" s="11">
        <f>IFERROR(IF(MARÍTIMOS[[#This Row],[Etapa Ingreso - Llegada]]="","",MARÍTIMOS[[#This Row],[Etapa Ingreso - Llegada]]),"")</f>
        <v>46236.548611111109</v>
      </c>
      <c r="AJ204" s="11">
        <f>IFERROR(IF(MARÍTIMOS[[#This Row],[Etapa Ingreso - Ingeso]]="","",MARÍTIMOS[[#This Row],[Etapa Ingreso - Ingeso]]),"")</f>
        <v>46236.552083333336</v>
      </c>
      <c r="AK204" s="11">
        <f>IFERROR(IF(MARÍTIMOS[[#This Row],[Etapa Ingreso - Atención]]="","",MARÍTIMOS[[#This Row],[Etapa Ingreso - Atención]]),"")</f>
        <v>46236.555555555555</v>
      </c>
      <c r="AL204" s="11">
        <f>IFERROR(IF(MARÍTIMOS[[#This Row],[Etapa Ingreso - Salida]]="","",MARÍTIMOS[[#This Row],[Etapa Ingreso - Salida]]),"")</f>
        <v>46236.566666666666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4" s="5">
        <f>IFERROR(OLDBD[[#This Row],[Llegada a packing]]-OLDBD[[#This Row],[Inicio de Ruta]],"")</f>
        <v>0.86250000000291038</v>
      </c>
      <c r="AQ204" s="6">
        <f>IFERROR(OLDBD[[#This Row],[Inicio de Ruta]]-OLDBD[[#This Row],[Salida de almacén de retiro]],"")</f>
        <v>3.8888888884685002E-2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1.1805555557657499E-2</v>
      </c>
      <c r="AV204" s="9">
        <f>IFERROR(OLDBD[[#This Row],[Ingreso Packing]]-OLDBD[[#This Row],[Llegada a packing]],"")</f>
        <v>1.5277777776645962E-2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4" s="5">
        <f>IFERROR(OLDBD[[#This Row],[Llegada Almacén de Ingreso]]-OLDBD[[#This Row],[Salida Packing]],"")</f>
        <v>0.81041666666715173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4" s="45" t="s">
        <v>181</v>
      </c>
      <c r="BB204" s="53" t="str">
        <f>IFERROR(IF(MARÍTIMOS[[#This Row],[Estatus]]="","",MARÍTIMOS[[#This Row],[Estatus]]),"")</f>
        <v>Confirmado</v>
      </c>
      <c r="BC204" s="45"/>
      <c r="BD204" s="52">
        <f>IFERROR(OLDBD[[#This Row],[Salida de almacén de retiro]]-OLDBD[[#This Row],[Ingreso Almacén de retiro]],"")</f>
        <v>3.8194444445252884E-2</v>
      </c>
      <c r="BE204" s="52">
        <f>IFERROR(OLDBD[[#This Row],[Fin de Carga]]-OLDBD[[#This Row],[Inicio de Carga]],"")</f>
        <v>0.13888888888322981</v>
      </c>
    </row>
    <row r="205" spans="1:57" x14ac:dyDescent="0.35">
      <c r="A205" s="1"/>
      <c r="B205" s="1">
        <f>IFERROR(IF(MARÍTIMOS[[#This Row],[PP]]="","",MARÍTIMOS[[#This Row],[PP]]),"")</f>
        <v>32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RH-0436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SI</v>
      </c>
      <c r="H205" s="2" t="str">
        <f>IFERROR(IF(MARÍTIMOS[[#This Row],[Razón Social]]="","",MARÍTIMOS[[#This Row],[Razón Social]]),"")</f>
        <v>OPERADOR LOGISTICO RIO TINTO SAC</v>
      </c>
      <c r="I205" s="2">
        <f>IFERROR(IF(MARÍTIMOS[[#This Row],[RUC]]="","",MARÍTIMOS[[#This Row],[RUC]]),"")</f>
        <v>20482013423</v>
      </c>
      <c r="J205" s="2" t="str">
        <f>IFERROR(IF(MARÍTIMOS[[#This Row],[Placa Tracto]]="","",MARÍTIMOS[[#This Row],[Placa Tracto]]),"")</f>
        <v>T6Q-826</v>
      </c>
      <c r="K205" s="2" t="str">
        <f>IFERROR(IF(MARÍTIMOS[[#This Row],[Placa Carreta]]="","",MARÍTIMOS[[#This Row],[Placa Carreta]]),"")</f>
        <v>TMF-988</v>
      </c>
      <c r="L205" s="46" t="str">
        <f>IFERROR(IF(MARÍTIMOS[[#This Row],[Conductor]]="","",MARÍTIMOS[[#This Row],[Conductor]]),"")</f>
        <v>SAUCEDO FERNANDEZ JAROL JHONNATHAN</v>
      </c>
      <c r="M205" s="2" t="str">
        <f>IFERROR(IF(MARÍTIMOS[[#This Row],[Licencia]]="","",MARÍTIMOS[[#This Row],[Licencia]]),"")</f>
        <v>Q09550755</v>
      </c>
      <c r="N205" s="2">
        <f>IFERROR(IF(MARÍTIMOS[[#This Row],[Número de Contacto]]="","",MARÍTIMOS[[#This Row],[Número de Contacto]]),"")</f>
        <v>963812237</v>
      </c>
      <c r="O205" s="10" t="str">
        <f>IFERROR(IF(MARÍTIMOS[[#This Row],[Booking|AWB|CRT]]="","",MARÍTIMOS[[#This Row],[Booking|AWB|CRT]]),"")</f>
        <v>MBM250067111</v>
      </c>
      <c r="P205" s="2" t="str">
        <f>IFERROR(IF(MARÍTIMOS[[#This Row],[Contenedor]]="","",MARÍTIMOS[[#This Row],[Contenedor]]),"")</f>
        <v>SEGU9432426</v>
      </c>
      <c r="Q205" s="2" t="str">
        <f>IFERROR(IF(MARÍTIMOS[[#This Row],[Puerto de Retiro]]="","",MARÍTIMOS[[#This Row],[Puerto de Retiro]]),"")</f>
        <v>PAITA</v>
      </c>
      <c r="R205" s="2" t="str">
        <f>IFERROR(IF(MARÍTIMOS[[#This Row],[Almacén de Retiro]]="","",MARÍTIMOS[[#This Row],[Almacén de Retiro]]),"")</f>
        <v>MACROMAR</v>
      </c>
      <c r="S205" s="11">
        <f>IFERROR(IF(MARÍTIMOS[[#This Row],[Etapa Retiro - Cita]]="","",MARÍTIMOS[[#This Row],[Etapa Retiro - Cita]]),"")</f>
        <v>46239.458333333336</v>
      </c>
      <c r="T205" s="11">
        <f>IFERROR(IF(MARÍTIMOS[[#This Row],[Etapa Retiro - Llegada]]="","",MARÍTIMOS[[#This Row],[Etapa Retiro - Llegada]]),"")</f>
        <v>46239.469444444447</v>
      </c>
      <c r="U205" s="11">
        <f>IFERROR(IF(MARÍTIMOS[[#This Row],[Etapa Retiro - Ingreso]]="","",MARÍTIMOS[[#This Row],[Etapa Retiro - Ingreso]]),"")</f>
        <v>46239.472222222219</v>
      </c>
      <c r="V205" s="11">
        <f>IFERROR(IF(MARÍTIMOS[[#This Row],[Etapa Retiro - Atención]]="","",MARÍTIMOS[[#This Row],[Etapa Retiro - Atención]]),"")</f>
        <v>46239.48541666667</v>
      </c>
      <c r="W205" s="11">
        <f>IFERROR(IF(MARÍTIMOS[[#This Row],[Etapa Retiro - Salida]]="","",MARÍTIMOS[[#This Row],[Etapa Retiro - Salida]]),"")</f>
        <v>46239.493055555555</v>
      </c>
      <c r="X205" s="11">
        <f>IFERROR(IF(MARÍTIMOS[[#This Row],[Etapa Retiro - Inicio de Ruta]]="","",MARÍTIMOS[[#This Row],[Etapa Retiro - Inicio de Ruta]]),"")</f>
        <v>46239.545138888891</v>
      </c>
      <c r="Y205" s="11">
        <f>IFERROR(IF(MARÍTIMOS[[#This Row],[Hora de Posicionamiento]]="","",MARÍTIMOS[[#This Row],[Hora de Carga]]+MARÍTIMOS[[#This Row],[Hora de Posicionamiento]]),"")</f>
        <v>1.0833333333333335</v>
      </c>
      <c r="Z205" s="11">
        <f>IFERROR(IF(MARÍTIMOS[[#This Row],[Etapa Despacho -  Llegada]]="","",MARÍTIMOS[[#This Row],[Etapa Despacho -  Llegada]]),"")</f>
        <v>46240.345138888886</v>
      </c>
      <c r="AA205" s="11">
        <f>IFERROR(IF(MARÍTIMOS[[#This Row],[Etapa Despacho -  Registro]]="","",MARÍTIMOS[[#This Row],[Etapa Despacho -  Registro]]),"")</f>
        <v>46240.347222222219</v>
      </c>
      <c r="AB205" s="11">
        <f>IFERROR(IF(MARÍTIMOS[[#This Row],[Inspección Externa]]="","",MARÍTIMOS[[#This Row],[Inspección Externa]]),"")</f>
        <v>46240.361111111109</v>
      </c>
      <c r="AC205" s="11">
        <f>IFERROR(IF(MARÍTIMOS[[#This Row],[Etapa Despacho -  Inicio de Carga]]="","",MARÍTIMOS[[#This Row],[Etapa Despacho -  Inicio de Carga]]),"")</f>
        <v>46240.388888888891</v>
      </c>
      <c r="AD205" s="11">
        <f>IFERROR(IF(MARÍTIMOS[[#This Row],[Etapa Despacho -  Fin de Carga]]="","",MARÍTIMOS[[#This Row],[Etapa Despacho -  Fin de Carga]]),"")</f>
        <v>46240.520833333336</v>
      </c>
      <c r="AE205" s="11">
        <f>IFERROR(IF(MARÍTIMOS[[#This Row],[Etapa Despacho -  Salida]]="","",MARÍTIMOS[[#This Row],[Etapa Despacho -  Salida]]),"")</f>
        <v>46240.531944444447</v>
      </c>
      <c r="AF205" s="2" t="str">
        <f>IFERROR(IF(MARÍTIMOS[[#This Row],[Puerto de Embarque]]="","",MARÍTIMOS[[#This Row],[Puerto de Embarque]]),"")</f>
        <v>Paita</v>
      </c>
      <c r="AG205" s="2" t="str">
        <f>IFERROR(IF(MARÍTIMOS[[#This Row],[Almacén de Ingreso]]="","",MARÍTIMOS[[#This Row],[Almacén de Ingreso]]),"")</f>
        <v>TPE</v>
      </c>
      <c r="AH205" s="11">
        <f>IFERROR(IF(MARÍTIMOS[[#This Row],[Etapa Ingreso - Cita]]="","",MARÍTIMOS[[#This Row],[Etapa Ingreso - Cita]]),"")</f>
        <v>46241.25</v>
      </c>
      <c r="AI205" s="11">
        <f>IFERROR(IF(MARÍTIMOS[[#This Row],[Etapa Ingreso - Llegada]]="","",MARÍTIMOS[[#This Row],[Etapa Ingreso - Llegada]]),"")</f>
        <v>46241.28402777778</v>
      </c>
      <c r="AJ205" s="11">
        <f>IFERROR(IF(MARÍTIMOS[[#This Row],[Etapa Ingreso - Ingeso]]="","",MARÍTIMOS[[#This Row],[Etapa Ingreso - Ingeso]]),"")</f>
        <v>46241.288888888892</v>
      </c>
      <c r="AK205" s="11">
        <f>IFERROR(IF(MARÍTIMOS[[#This Row],[Etapa Ingreso - Atención]]="","",MARÍTIMOS[[#This Row],[Etapa Ingreso - Atención]]),"")</f>
        <v>46241.293055555558</v>
      </c>
      <c r="AL205" s="11">
        <f>IFERROR(IF(MARÍTIMOS[[#This Row],[Etapa Ingreso - Salida]]="","",MARÍTIMOS[[#This Row],[Etapa Ingreso - Salida]]),"")</f>
        <v>46241.301388888889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0.79999999999563443</v>
      </c>
      <c r="AQ205" s="6">
        <f>IFERROR(OLDBD[[#This Row],[Inicio de Ruta]]-OLDBD[[#This Row],[Salida de almacén de retiro]],"")</f>
        <v>5.2083333335758653E-2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1.3888888890505768E-2</v>
      </c>
      <c r="AV205" s="9">
        <f>IFERROR(OLDBD[[#This Row],[Ingreso Packing]]-OLDBD[[#This Row],[Llegada a packing]],"")</f>
        <v>1.5972222223354038E-2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5" s="5">
        <f>IFERROR(OLDBD[[#This Row],[Llegada Almacén de Ingreso]]-OLDBD[[#This Row],[Salida Packing]],"")</f>
        <v>0.75208333333284827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5" t="s">
        <v>181</v>
      </c>
      <c r="BB205" s="53" t="str">
        <f>IFERROR(IF(MARÍTIMOS[[#This Row],[Estatus]]="","",MARÍTIMOS[[#This Row],[Estatus]]),"")</f>
        <v>Confirmado</v>
      </c>
      <c r="BC205" s="45"/>
      <c r="BD205" s="52">
        <f>IFERROR(OLDBD[[#This Row],[Salida de almacén de retiro]]-OLDBD[[#This Row],[Ingreso Almacén de retiro]],"")</f>
        <v>2.0833333335758653E-2</v>
      </c>
      <c r="BE205" s="52">
        <f>IFERROR(OLDBD[[#This Row],[Fin de Carga]]-OLDBD[[#This Row],[Inicio de Carga]],"")</f>
        <v>0.13194444444525288</v>
      </c>
    </row>
    <row r="206" spans="1:57" x14ac:dyDescent="0.35">
      <c r="A206" s="1"/>
      <c r="B206" s="1">
        <f>IFERROR(IF(MARÍTIMOS[[#This Row],[PP]]="","",MARÍTIMOS[[#This Row],[PP]]),"")</f>
        <v>32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RH-0437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SI</v>
      </c>
      <c r="H206" s="2" t="str">
        <f>IFERROR(IF(MARÍTIMOS[[#This Row],[Razón Social]]="","",MARÍTIMOS[[#This Row],[Razón Social]]),"")</f>
        <v>TRANSCAR MATHEO SOCIEDAD ANONIMA CERRADA</v>
      </c>
      <c r="I206" s="2">
        <f>IFERROR(IF(MARÍTIMOS[[#This Row],[RUC]]="","",MARÍTIMOS[[#This Row],[RUC]]),"")</f>
        <v>20612886921</v>
      </c>
      <c r="J206" s="2" t="str">
        <f>IFERROR(IF(MARÍTIMOS[[#This Row],[Placa Tracto]]="","",MARÍTIMOS[[#This Row],[Placa Tracto]]),"")</f>
        <v>T0B-919</v>
      </c>
      <c r="K206" s="2" t="str">
        <f>IFERROR(IF(MARÍTIMOS[[#This Row],[Placa Carreta]]="","",MARÍTIMOS[[#This Row],[Placa Carreta]]),"")</f>
        <v>T0U-978</v>
      </c>
      <c r="L206" s="46" t="str">
        <f>IFERROR(IF(MARÍTIMOS[[#This Row],[Conductor]]="","",MARÍTIMOS[[#This Row],[Conductor]]),"")</f>
        <v>ANDRADE SUNCION ALEXANDER GABRIEL</v>
      </c>
      <c r="M206" s="2" t="str">
        <f>IFERROR(IF(MARÍTIMOS[[#This Row],[Licencia]]="","",MARÍTIMOS[[#This Row],[Licencia]]),"")</f>
        <v>B44776623</v>
      </c>
      <c r="N206" s="2">
        <f>IFERROR(IF(MARÍTIMOS[[#This Row],[Número de Contacto]]="","",MARÍTIMOS[[#This Row],[Número de Contacto]]),"")</f>
        <v>922824613</v>
      </c>
      <c r="O206" s="10" t="str">
        <f>IFERROR(IF(MARÍTIMOS[[#This Row],[Booking|AWB|CRT]]="","",MARÍTIMOS[[#This Row],[Booking|AWB|CRT]]),"")</f>
        <v>MBM250067112</v>
      </c>
      <c r="P206" s="2" t="str">
        <f>IFERROR(IF(MARÍTIMOS[[#This Row],[Contenedor]]="","",MARÍTIMOS[[#This Row],[Contenedor]]),"")</f>
        <v>CAAU4036084</v>
      </c>
      <c r="Q206" s="2" t="str">
        <f>IFERROR(IF(MARÍTIMOS[[#This Row],[Puerto de Retiro]]="","",MARÍTIMOS[[#This Row],[Puerto de Retiro]]),"")</f>
        <v>PAITA</v>
      </c>
      <c r="R206" s="2" t="str">
        <f>IFERROR(IF(MARÍTIMOS[[#This Row],[Almacén de Retiro]]="","",MARÍTIMOS[[#This Row],[Almacén de Retiro]]),"")</f>
        <v>MACROMAR</v>
      </c>
      <c r="S206" s="11">
        <f>IFERROR(IF(MARÍTIMOS[[#This Row],[Etapa Retiro - Cita]]="","",MARÍTIMOS[[#This Row],[Etapa Retiro - Cita]]),"")</f>
        <v>46239.458333333336</v>
      </c>
      <c r="T206" s="11">
        <f>IFERROR(IF(MARÍTIMOS[[#This Row],[Etapa Retiro - Llegada]]="","",MARÍTIMOS[[#This Row],[Etapa Retiro - Llegada]]),"")</f>
        <v>46239.47152777778</v>
      </c>
      <c r="U206" s="11">
        <f>IFERROR(IF(MARÍTIMOS[[#This Row],[Etapa Retiro - Ingreso]]="","",MARÍTIMOS[[#This Row],[Etapa Retiro - Ingreso]]),"")</f>
        <v>46239.473611111112</v>
      </c>
      <c r="V206" s="11">
        <f>IFERROR(IF(MARÍTIMOS[[#This Row],[Etapa Retiro - Atención]]="","",MARÍTIMOS[[#This Row],[Etapa Retiro - Atención]]),"")</f>
        <v>46239.484027777777</v>
      </c>
      <c r="W206" s="11">
        <f>IFERROR(IF(MARÍTIMOS[[#This Row],[Etapa Retiro - Salida]]="","",MARÍTIMOS[[#This Row],[Etapa Retiro - Salida]]),"")</f>
        <v>46239.5</v>
      </c>
      <c r="X206" s="11">
        <f>IFERROR(IF(MARÍTIMOS[[#This Row],[Etapa Retiro - Inicio de Ruta]]="","",MARÍTIMOS[[#This Row],[Etapa Retiro - Inicio de Ruta]]),"")</f>
        <v>46239.587500000001</v>
      </c>
      <c r="Y206" s="11">
        <f>IFERROR(IF(MARÍTIMOS[[#This Row],[Hora de Posicionamiento]]="","",MARÍTIMOS[[#This Row],[Hora de Carga]]+MARÍTIMOS[[#This Row],[Hora de Posicionamiento]]),"")</f>
        <v>0.75</v>
      </c>
      <c r="Z206" s="11">
        <f>IFERROR(IF(MARÍTIMOS[[#This Row],[Etapa Despacho -  Llegada]]="","",MARÍTIMOS[[#This Row],[Etapa Despacho -  Llegada]]),"")</f>
        <v>46240.378472222219</v>
      </c>
      <c r="AA206" s="11">
        <f>IFERROR(IF(MARÍTIMOS[[#This Row],[Etapa Despacho -  Registro]]="","",MARÍTIMOS[[#This Row],[Etapa Despacho -  Registro]]),"")</f>
        <v>46240.388888888891</v>
      </c>
      <c r="AB206" s="11">
        <f>IFERROR(IF(MARÍTIMOS[[#This Row],[Inspección Externa]]="","",MARÍTIMOS[[#This Row],[Inspección Externa]]),"")</f>
        <v>46240.402777777781</v>
      </c>
      <c r="AC206" s="11">
        <f>IFERROR(IF(MARÍTIMOS[[#This Row],[Etapa Despacho -  Inicio de Carga]]="","",MARÍTIMOS[[#This Row],[Etapa Despacho -  Inicio de Carga]]),"")</f>
        <v>46240.430555555555</v>
      </c>
      <c r="AD206" s="11">
        <f>IFERROR(IF(MARÍTIMOS[[#This Row],[Etapa Despacho -  Fin de Carga]]="","",MARÍTIMOS[[#This Row],[Etapa Despacho -  Fin de Carga]]),"")</f>
        <v>46240.53125</v>
      </c>
      <c r="AE206" s="11">
        <f>IFERROR(IF(MARÍTIMOS[[#This Row],[Etapa Despacho -  Salida]]="","",MARÍTIMOS[[#This Row],[Etapa Despacho -  Salida]]),"")</f>
        <v>46240.549305555556</v>
      </c>
      <c r="AF206" s="2" t="str">
        <f>IFERROR(IF(MARÍTIMOS[[#This Row],[Puerto de Embarque]]="","",MARÍTIMOS[[#This Row],[Puerto de Embarque]]),"")</f>
        <v>Paita</v>
      </c>
      <c r="AG206" s="2" t="str">
        <f>IFERROR(IF(MARÍTIMOS[[#This Row],[Almacén de Ingreso]]="","",MARÍTIMOS[[#This Row],[Almacén de Ingreso]]),"")</f>
        <v>TPE</v>
      </c>
      <c r="AH206" s="11">
        <f>IFERROR(IF(MARÍTIMOS[[#This Row],[Etapa Ingreso - Cita]]="","",MARÍTIMOS[[#This Row],[Etapa Ingreso - Cita]]),"")</f>
        <v>46241.291666666664</v>
      </c>
      <c r="AI206" s="11">
        <f>IFERROR(IF(MARÍTIMOS[[#This Row],[Etapa Ingreso - Llegada]]="","",MARÍTIMOS[[#This Row],[Etapa Ingreso - Llegada]]),"")</f>
        <v>46241.320833333331</v>
      </c>
      <c r="AJ206" s="11">
        <f>IFERROR(IF(MARÍTIMOS[[#This Row],[Etapa Ingreso - Ingeso]]="","",MARÍTIMOS[[#This Row],[Etapa Ingreso - Ingeso]]),"")</f>
        <v>46241.324999999997</v>
      </c>
      <c r="AK206" s="11">
        <f>IFERROR(IF(MARÍTIMOS[[#This Row],[Etapa Ingreso - Atención]]="","",MARÍTIMOS[[#This Row],[Etapa Ingreso - Atención]]),"")</f>
        <v>46241.327777777777</v>
      </c>
      <c r="AL206" s="11">
        <f>IFERROR(IF(MARÍTIMOS[[#This Row],[Etapa Ingreso - Salida]]="","",MARÍTIMOS[[#This Row],[Etapa Ingreso - Salida]]),"")</f>
        <v>46241.336805555555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0.79097222221753327</v>
      </c>
      <c r="AQ206" s="6">
        <f>IFERROR(OLDBD[[#This Row],[Inicio de Ruta]]-OLDBD[[#This Row],[Salida de almacén de retiro]],"")</f>
        <v>8.7500000001455192E-2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1.3888888890505768E-2</v>
      </c>
      <c r="AV206" s="9">
        <f>IFERROR(OLDBD[[#This Row],[Ingreso Packing]]-OLDBD[[#This Row],[Llegada a packing]],"")</f>
        <v>2.4305555562023073E-2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0.77152777777519077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5" t="s">
        <v>181</v>
      </c>
      <c r="BB206" s="53" t="str">
        <f>IFERROR(IF(MARÍTIMOS[[#This Row],[Estatus]]="","",MARÍTIMOS[[#This Row],[Estatus]]),"")</f>
        <v>Confirmado</v>
      </c>
      <c r="BC206" s="45"/>
      <c r="BD206" s="52">
        <f>IFERROR(OLDBD[[#This Row],[Salida de almacén de retiro]]-OLDBD[[#This Row],[Ingreso Almacén de retiro]],"")</f>
        <v>2.6388888887595385E-2</v>
      </c>
      <c r="BE206" s="52">
        <f>IFERROR(OLDBD[[#This Row],[Fin de Carga]]-OLDBD[[#This Row],[Inicio de Carga]],"")</f>
        <v>0.10069444444525288</v>
      </c>
    </row>
    <row r="207" spans="1:57" x14ac:dyDescent="0.35">
      <c r="A207" s="1"/>
      <c r="B207" s="1">
        <f>IFERROR(IF(MARÍTIMOS[[#This Row],[PP]]="","",MARÍTIMOS[[#This Row],[PP]]),"")</f>
        <v>32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RH-0438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INVERSIONES LOS ALVARADO GROUP S.A.C</v>
      </c>
      <c r="I207" s="2">
        <f>IFERROR(IF(MARÍTIMOS[[#This Row],[RUC]]="","",MARÍTIMOS[[#This Row],[RUC]]),"")</f>
        <v>20526041845</v>
      </c>
      <c r="J207" s="2" t="str">
        <f>IFERROR(IF(MARÍTIMOS[[#This Row],[Placa Tracto]]="","",MARÍTIMOS[[#This Row],[Placa Tracto]]),"")</f>
        <v>ALW-907</v>
      </c>
      <c r="K207" s="2" t="str">
        <f>IFERROR(IF(MARÍTIMOS[[#This Row],[Placa Carreta]]="","",MARÍTIMOS[[#This Row],[Placa Carreta]]),"")</f>
        <v>T0J-999</v>
      </c>
      <c r="L207" s="46" t="str">
        <f>IFERROR(IF(MARÍTIMOS[[#This Row],[Conductor]]="","",MARÍTIMOS[[#This Row],[Conductor]]),"")</f>
        <v>CAMPOS CORDOVA HAMILTON JAIRO</v>
      </c>
      <c r="M207" s="2" t="str">
        <f>IFERROR(IF(MARÍTIMOS[[#This Row],[Licencia]]="","",MARÍTIMOS[[#This Row],[Licencia]]),"")</f>
        <v>B44422939</v>
      </c>
      <c r="N207" s="2">
        <f>IFERROR(IF(MARÍTIMOS[[#This Row],[Número de Contacto]]="","",MARÍTIMOS[[#This Row],[Número de Contacto]]),"")</f>
        <v>977252689</v>
      </c>
      <c r="O207" s="10" t="str">
        <f>IFERROR(IF(MARÍTIMOS[[#This Row],[Booking|AWB|CRT]]="","",MARÍTIMOS[[#This Row],[Booking|AWB|CRT]]),"")</f>
        <v>MBM250067113</v>
      </c>
      <c r="P207" s="2" t="str">
        <f>IFERROR(IF(MARÍTIMOS[[#This Row],[Contenedor]]="","",MARÍTIMOS[[#This Row],[Contenedor]]),"")</f>
        <v>SEKU9238349</v>
      </c>
      <c r="Q207" s="2" t="str">
        <f>IFERROR(IF(MARÍTIMOS[[#This Row],[Puerto de Retiro]]="","",MARÍTIMOS[[#This Row],[Puerto de Retiro]]),"")</f>
        <v>PAITA</v>
      </c>
      <c r="R207" s="2" t="str">
        <f>IFERROR(IF(MARÍTIMOS[[#This Row],[Almacén de Retiro]]="","",MARÍTIMOS[[#This Row],[Almacén de Retiro]]),"")</f>
        <v>MACROMAR</v>
      </c>
      <c r="S207" s="11">
        <f>IFERROR(IF(MARÍTIMOS[[#This Row],[Etapa Retiro - Cita]]="","",MARÍTIMOS[[#This Row],[Etapa Retiro - Cita]]),"")</f>
        <v>46239.458333333336</v>
      </c>
      <c r="T207" s="11">
        <f>IFERROR(IF(MARÍTIMOS[[#This Row],[Etapa Retiro - Llegada]]="","",MARÍTIMOS[[#This Row],[Etapa Retiro - Llegada]]),"")</f>
        <v>46239.464583333334</v>
      </c>
      <c r="U207" s="11">
        <f>IFERROR(IF(MARÍTIMOS[[#This Row],[Etapa Retiro - Ingreso]]="","",MARÍTIMOS[[#This Row],[Etapa Retiro - Ingreso]]),"")</f>
        <v>46239.466666666667</v>
      </c>
      <c r="V207" s="11">
        <f>IFERROR(IF(MARÍTIMOS[[#This Row],[Etapa Retiro - Atención]]="","",MARÍTIMOS[[#This Row],[Etapa Retiro - Atención]]),"")</f>
        <v>46239.489583333336</v>
      </c>
      <c r="W207" s="11">
        <f>IFERROR(IF(MARÍTIMOS[[#This Row],[Etapa Retiro - Salida]]="","",MARÍTIMOS[[#This Row],[Etapa Retiro - Salida]]),"")</f>
        <v>46239.5</v>
      </c>
      <c r="X207" s="11">
        <f>IFERROR(IF(MARÍTIMOS[[#This Row],[Etapa Retiro - Inicio de Ruta]]="","",MARÍTIMOS[[#This Row],[Etapa Retiro - Inicio de Ruta]]),"")</f>
        <v>46239.552777777775</v>
      </c>
      <c r="Y207" s="11">
        <f>IFERROR(IF(MARÍTIMOS[[#This Row],[Hora de Posicionamiento]]="","",MARÍTIMOS[[#This Row],[Hora de Carga]]+MARÍTIMOS[[#This Row],[Hora de Posicionamiento]]),"")</f>
        <v>1.0833333333333335</v>
      </c>
      <c r="Z207" s="11">
        <f>IFERROR(IF(MARÍTIMOS[[#This Row],[Etapa Despacho -  Llegada]]="","",MARÍTIMOS[[#This Row],[Etapa Despacho -  Llegada]]),"")</f>
        <v>46240.393055555556</v>
      </c>
      <c r="AA207" s="11">
        <f>IFERROR(IF(MARÍTIMOS[[#This Row],[Etapa Despacho -  Registro]]="","",MARÍTIMOS[[#This Row],[Etapa Despacho -  Registro]]),"")</f>
        <v>46240.416666666664</v>
      </c>
      <c r="AB207" s="11">
        <f>IFERROR(IF(MARÍTIMOS[[#This Row],[Inspección Externa]]="","",MARÍTIMOS[[#This Row],[Inspección Externa]]),"")</f>
        <v>46240.430555555555</v>
      </c>
      <c r="AC207" s="11">
        <f>IFERROR(IF(MARÍTIMOS[[#This Row],[Etapa Despacho -  Inicio de Carga]]="","",MARÍTIMOS[[#This Row],[Etapa Despacho -  Inicio de Carga]]),"")</f>
        <v>46240.458333333336</v>
      </c>
      <c r="AD207" s="11">
        <f>IFERROR(IF(MARÍTIMOS[[#This Row],[Etapa Despacho -  Fin de Carga]]="","",MARÍTIMOS[[#This Row],[Etapa Despacho -  Fin de Carga]]),"")</f>
        <v>46240.53125</v>
      </c>
      <c r="AE207" s="11">
        <f>IFERROR(IF(MARÍTIMOS[[#This Row],[Etapa Despacho -  Salida]]="","",MARÍTIMOS[[#This Row],[Etapa Despacho -  Salida]]),"")</f>
        <v>46240.549305555556</v>
      </c>
      <c r="AF207" s="2" t="str">
        <f>IFERROR(IF(MARÍTIMOS[[#This Row],[Puerto de Embarque]]="","",MARÍTIMOS[[#This Row],[Puerto de Embarque]]),"")</f>
        <v>Paita</v>
      </c>
      <c r="AG207" s="2" t="str">
        <f>IFERROR(IF(MARÍTIMOS[[#This Row],[Almacén de Ingreso]]="","",MARÍTIMOS[[#This Row],[Almacén de Ingreso]]),"")</f>
        <v>TPE</v>
      </c>
      <c r="AH207" s="11">
        <f>IFERROR(IF(MARÍTIMOS[[#This Row],[Etapa Ingreso - Cita]]="","",MARÍTIMOS[[#This Row],[Etapa Ingreso - Cita]]),"")</f>
        <v>46241.083333333336</v>
      </c>
      <c r="AI207" s="11">
        <f>IFERROR(IF(MARÍTIMOS[[#This Row],[Etapa Ingreso - Llegada]]="","",MARÍTIMOS[[#This Row],[Etapa Ingreso - Llegada]]),"")</f>
        <v>46241.09097222222</v>
      </c>
      <c r="AJ207" s="11">
        <f>IFERROR(IF(MARÍTIMOS[[#This Row],[Etapa Ingreso - Ingeso]]="","",MARÍTIMOS[[#This Row],[Etapa Ingreso - Ingeso]]),"")</f>
        <v>46241.1</v>
      </c>
      <c r="AK207" s="11">
        <f>IFERROR(IF(MARÍTIMOS[[#This Row],[Etapa Ingreso - Atención]]="","",MARÍTIMOS[[#This Row],[Etapa Ingreso - Atención]]),"")</f>
        <v>46241.104166666664</v>
      </c>
      <c r="AL207" s="11">
        <f>IFERROR(IF(MARÍTIMOS[[#This Row],[Etapa Ingreso - Salida]]="","",MARÍTIMOS[[#This Row],[Etapa Ingreso - Salida]]),"")</f>
        <v>46241.126388888886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0.84027777778101154</v>
      </c>
      <c r="AQ207" s="6">
        <f>IFERROR(OLDBD[[#This Row],[Inicio de Ruta]]-OLDBD[[#This Row],[Salida de almacén de retiro]],"")</f>
        <v>5.2777777775190771E-2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1.3888888890505768E-2</v>
      </c>
      <c r="AV207" s="9">
        <f>IFERROR(OLDBD[[#This Row],[Ingreso Packing]]-OLDBD[[#This Row],[Llegada a packing]],"")</f>
        <v>3.7499999998544808E-2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7" s="5">
        <f>IFERROR(OLDBD[[#This Row],[Llegada Almacén de Ingreso]]-OLDBD[[#This Row],[Salida Packing]],"")</f>
        <v>0.54166666666424135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5" t="s">
        <v>181</v>
      </c>
      <c r="BB207" s="53" t="str">
        <f>IFERROR(IF(MARÍTIMOS[[#This Row],[Estatus]]="","",MARÍTIMOS[[#This Row],[Estatus]]),"")</f>
        <v>Confirmado</v>
      </c>
      <c r="BC207" s="45"/>
      <c r="BD207" s="52">
        <f>IFERROR(OLDBD[[#This Row],[Salida de almacén de retiro]]-OLDBD[[#This Row],[Ingreso Almacén de retiro]],"")</f>
        <v>3.3333333332848269E-2</v>
      </c>
      <c r="BE207" s="52">
        <f>IFERROR(OLDBD[[#This Row],[Fin de Carga]]-OLDBD[[#This Row],[Inicio de Carga]],"")</f>
        <v>7.2916666664241347E-2</v>
      </c>
    </row>
    <row r="208" spans="1:57" x14ac:dyDescent="0.35">
      <c r="A208" s="1"/>
      <c r="B208" s="1">
        <f>IFERROR(IF(MARÍTIMOS[[#This Row],[PP]]="","",MARÍTIMOS[[#This Row],[PP]]),"")</f>
        <v>32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RH-0447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SI</v>
      </c>
      <c r="H208" s="2" t="str">
        <f>IFERROR(IF(MARÍTIMOS[[#This Row],[Razón Social]]="","",MARÍTIMOS[[#This Row],[Razón Social]]),"")</f>
        <v>INVERSIONES LOS ALVARADO GROUP S.A.C</v>
      </c>
      <c r="I208" s="2">
        <f>IFERROR(IF(MARÍTIMOS[[#This Row],[RUC]]="","",MARÍTIMOS[[#This Row],[RUC]]),"")</f>
        <v>20526041845</v>
      </c>
      <c r="J208" s="2" t="str">
        <f>IFERROR(IF(MARÍTIMOS[[#This Row],[Placa Tracto]]="","",MARÍTIMOS[[#This Row],[Placa Tracto]]),"")</f>
        <v>C1Q-787</v>
      </c>
      <c r="K208" s="2" t="str">
        <f>IFERROR(IF(MARÍTIMOS[[#This Row],[Placa Carreta]]="","",MARÍTIMOS[[#This Row],[Placa Carreta]]),"")</f>
        <v>TNZ-978</v>
      </c>
      <c r="L208" s="46" t="str">
        <f>IFERROR(IF(MARÍTIMOS[[#This Row],[Conductor]]="","",MARÍTIMOS[[#This Row],[Conductor]]),"")</f>
        <v>ROJAS CURAY EVERT ENRIQUE</v>
      </c>
      <c r="M208" s="2" t="str">
        <f>IFERROR(IF(MARÍTIMOS[[#This Row],[Licencia]]="","",MARÍTIMOS[[#This Row],[Licencia]]),"")</f>
        <v>B41307612</v>
      </c>
      <c r="N208" s="2" t="str">
        <f>IFERROR(IF(MARÍTIMOS[[#This Row],[Número de Contacto]]="","",MARÍTIMOS[[#This Row],[Número de Contacto]]),"")</f>
        <v>946 033 117</v>
      </c>
      <c r="O208" s="10" t="str">
        <f>IFERROR(IF(MARÍTIMOS[[#This Row],[Booking|AWB|CRT]]="","",MARÍTIMOS[[#This Row],[Booking|AWB|CRT]]),"")</f>
        <v>BN80682</v>
      </c>
      <c r="P208" s="2" t="str">
        <f>IFERROR(IF(MARÍTIMOS[[#This Row],[Contenedor]]="","",MARÍTIMOS[[#This Row],[Contenedor]]),"")</f>
        <v>SEKU9262807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DPW</v>
      </c>
      <c r="S208" s="11">
        <f>IFERROR(IF(MARÍTIMOS[[#This Row],[Etapa Retiro - Cita]]="","",MARÍTIMOS[[#This Row],[Etapa Retiro - Cita]]),"")</f>
        <v>46242.458333333336</v>
      </c>
      <c r="T208" s="11">
        <f>IFERROR(IF(MARÍTIMOS[[#This Row],[Etapa Retiro - Llegada]]="","",MARÍTIMOS[[#This Row],[Etapa Retiro - Llegada]]),"")</f>
        <v>46242.462500000001</v>
      </c>
      <c r="U208" s="11">
        <f>IFERROR(IF(MARÍTIMOS[[#This Row],[Etapa Retiro - Ingreso]]="","",MARÍTIMOS[[#This Row],[Etapa Retiro - Ingreso]]),"")</f>
        <v>46242.465277777781</v>
      </c>
      <c r="V208" s="11">
        <f>IFERROR(IF(MARÍTIMOS[[#This Row],[Etapa Retiro - Atención]]="","",MARÍTIMOS[[#This Row],[Etapa Retiro - Atención]]),"")</f>
        <v>46242.47152777778</v>
      </c>
      <c r="W208" s="11">
        <f>IFERROR(IF(MARÍTIMOS[[#This Row],[Etapa Retiro - Salida]]="","",MARÍTIMOS[[#This Row],[Etapa Retiro - Salida]]),"")</f>
        <v>46242.479166666664</v>
      </c>
      <c r="X208" s="11">
        <f>IFERROR(IF(MARÍTIMOS[[#This Row],[Etapa Retiro - Inicio de Ruta]]="","",MARÍTIMOS[[#This Row],[Etapa Retiro - Inicio de Ruta]]),"")</f>
        <v>46242.531944444447</v>
      </c>
      <c r="Y208" s="11">
        <f>IFERROR(IF(MARÍTIMOS[[#This Row],[Hora de Posicionamiento]]="","",MARÍTIMOS[[#This Row],[Hora de Carga]]+MARÍTIMOS[[#This Row],[Hora de Posicionamiento]]),"")</f>
        <v>1.3333333333333335</v>
      </c>
      <c r="Z208" s="11">
        <f>IFERROR(IF(MARÍTIMOS[[#This Row],[Etapa Despacho -  Llegada]]="","",MARÍTIMOS[[#This Row],[Etapa Despacho -  Llegada]]),"")</f>
        <v>46243.426388888889</v>
      </c>
      <c r="AA208" s="11">
        <f>IFERROR(IF(MARÍTIMOS[[#This Row],[Etapa Despacho -  Registro]]="","",MARÍTIMOS[[#This Row],[Etapa Despacho -  Registro]]),"")</f>
        <v>46243.430555555555</v>
      </c>
      <c r="AB208" s="11">
        <f>IFERROR(IF(MARÍTIMOS[[#This Row],[Inspección Externa]]="","",MARÍTIMOS[[#This Row],[Inspección Externa]]),"")</f>
        <v>46243.444444444445</v>
      </c>
      <c r="AC208" s="11">
        <f>IFERROR(IF(MARÍTIMOS[[#This Row],[Etapa Despacho -  Inicio de Carga]]="","",MARÍTIMOS[[#This Row],[Etapa Despacho -  Inicio de Carga]]),"")</f>
        <v>46243.472222222219</v>
      </c>
      <c r="AD208" s="11">
        <f>IFERROR(IF(MARÍTIMOS[[#This Row],[Etapa Despacho -  Fin de Carga]]="","",MARÍTIMOS[[#This Row],[Etapa Despacho -  Fin de Carga]]),"")</f>
        <v>46243.833333333336</v>
      </c>
      <c r="AE208" s="11">
        <f>IFERROR(IF(MARÍTIMOS[[#This Row],[Etapa Despacho -  Salida]]="","",MARÍTIMOS[[#This Row],[Etapa Despacho -  Salida]]),"")</f>
        <v>46243.861111111109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46244.458333333336</v>
      </c>
      <c r="AI208" s="11">
        <f>IFERROR(IF(MARÍTIMOS[[#This Row],[Etapa Ingreso - Llegada]]="","",MARÍTIMOS[[#This Row],[Etapa Ingreso - Llegada]]),"")</f>
        <v>46244.477777777778</v>
      </c>
      <c r="AJ208" s="11">
        <f>IFERROR(IF(MARÍTIMOS[[#This Row],[Etapa Ingreso - Ingeso]]="","",MARÍTIMOS[[#This Row],[Etapa Ingreso - Ingeso]]),"")</f>
        <v>46244.480555555558</v>
      </c>
      <c r="AK208" s="11">
        <f>IFERROR(IF(MARÍTIMOS[[#This Row],[Etapa Ingreso - Atención]]="","",MARÍTIMOS[[#This Row],[Etapa Ingreso - Atención]]),"")</f>
        <v>46244.484027777777</v>
      </c>
      <c r="AL208" s="11">
        <f>IFERROR(IF(MARÍTIMOS[[#This Row],[Etapa Ingreso - Salida]]="","",MARÍTIMOS[[#This Row],[Etapa Ingreso - Salida]]),"")</f>
        <v>46244.495138888888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0.8944444444423425</v>
      </c>
      <c r="AQ208" s="6">
        <f>IFERROR(OLDBD[[#This Row],[Inicio de Ruta]]-OLDBD[[#This Row],[Salida de almacén de retiro]],"")</f>
        <v>5.2777777782466728E-2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1.3888888890505768E-2</v>
      </c>
      <c r="AV208" s="9">
        <f>IFERROR(OLDBD[[#This Row],[Ingreso Packing]]-OLDBD[[#This Row],[Llegada a packing]],"")</f>
        <v>1.8055555556202307E-2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8" s="5">
        <f>IFERROR(OLDBD[[#This Row],[Llegada Almacén de Ingreso]]-OLDBD[[#This Row],[Salida Packing]],"")</f>
        <v>0.61666666666860692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5" t="s">
        <v>181</v>
      </c>
      <c r="BB208" s="53" t="str">
        <f>IFERROR(IF(MARÍTIMOS[[#This Row],[Estatus]]="","",MARÍTIMOS[[#This Row],[Estatus]]),"")</f>
        <v>Confirmado</v>
      </c>
      <c r="BC208" s="45"/>
      <c r="BD208" s="52">
        <f>IFERROR(OLDBD[[#This Row],[Salida de almacén de retiro]]-OLDBD[[#This Row],[Ingreso Almacén de retiro]],"")</f>
        <v>1.3888888883229811E-2</v>
      </c>
      <c r="BE208" s="52">
        <f>IFERROR(OLDBD[[#This Row],[Fin de Carga]]-OLDBD[[#This Row],[Inicio de Carga]],"")</f>
        <v>0.36111111111677019</v>
      </c>
    </row>
    <row r="209" spans="1:57" x14ac:dyDescent="0.35">
      <c r="A209" s="1"/>
      <c r="B209" s="1">
        <f>IFERROR(IF(MARÍTIMOS[[#This Row],[PP]]="","",MARÍTIMOS[[#This Row],[PP]]),"")</f>
        <v>32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RH-0448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SI</v>
      </c>
      <c r="H209" s="2" t="str">
        <f>IFERROR(IF(MARÍTIMOS[[#This Row],[Razón Social]]="","",MARÍTIMOS[[#This Row],[Razón Social]]),"")</f>
        <v>TRANSCAR MATHEO SOCIEDAD ANONIMA CERRADA</v>
      </c>
      <c r="I209" s="2">
        <f>IFERROR(IF(MARÍTIMOS[[#This Row],[RUC]]="","",MARÍTIMOS[[#This Row],[RUC]]),"")</f>
        <v>20612886921</v>
      </c>
      <c r="J209" s="2" t="str">
        <f>IFERROR(IF(MARÍTIMOS[[#This Row],[Placa Tracto]]="","",MARÍTIMOS[[#This Row],[Placa Tracto]]),"")</f>
        <v>TAC-925</v>
      </c>
      <c r="K209" s="2" t="str">
        <f>IFERROR(IF(MARÍTIMOS[[#This Row],[Placa Carreta]]="","",MARÍTIMOS[[#This Row],[Placa Carreta]]),"")</f>
        <v>TOR-980</v>
      </c>
      <c r="L209" s="46" t="str">
        <f>IFERROR(IF(MARÍTIMOS[[#This Row],[Conductor]]="","",MARÍTIMOS[[#This Row],[Conductor]]),"")</f>
        <v>IPANAQUE GARCIA VALENTIN</v>
      </c>
      <c r="M209" s="2" t="str">
        <f>IFERROR(IF(MARÍTIMOS[[#This Row],[Licencia]]="","",MARÍTIMOS[[#This Row],[Licencia]]),"")</f>
        <v>B41789176</v>
      </c>
      <c r="N209" s="2">
        <f>IFERROR(IF(MARÍTIMOS[[#This Row],[Número de Contacto]]="","",MARÍTIMOS[[#This Row],[Número de Contacto]]),"")</f>
        <v>944018002</v>
      </c>
      <c r="O209" s="10" t="str">
        <f>IFERROR(IF(MARÍTIMOS[[#This Row],[Booking|AWB|CRT]]="","",MARÍTIMOS[[#This Row],[Booking|AWB|CRT]]),"")</f>
        <v>BN80683</v>
      </c>
      <c r="P209" s="2" t="str">
        <f>IFERROR(IF(MARÍTIMOS[[#This Row],[Contenedor]]="","",MARÍTIMOS[[#This Row],[Contenedor]]),"")</f>
        <v>OTPU6305440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DPW</v>
      </c>
      <c r="S209" s="11">
        <f>IFERROR(IF(MARÍTIMOS[[#This Row],[Etapa Retiro - Cita]]="","",MARÍTIMOS[[#This Row],[Etapa Retiro - Cita]]),"")</f>
        <v>46242.458333333336</v>
      </c>
      <c r="T209" s="11">
        <f>IFERROR(IF(MARÍTIMOS[[#This Row],[Etapa Retiro - Llegada]]="","",MARÍTIMOS[[#This Row],[Etapa Retiro - Llegada]]),"")</f>
        <v>46242.460416666669</v>
      </c>
      <c r="U209" s="11">
        <f>IFERROR(IF(MARÍTIMOS[[#This Row],[Etapa Retiro - Ingreso]]="","",MARÍTIMOS[[#This Row],[Etapa Retiro - Ingreso]]),"")</f>
        <v>46242.462500000001</v>
      </c>
      <c r="V209" s="11">
        <f>IFERROR(IF(MARÍTIMOS[[#This Row],[Etapa Retiro - Atención]]="","",MARÍTIMOS[[#This Row],[Etapa Retiro - Atención]]),"")</f>
        <v>46242.46597222222</v>
      </c>
      <c r="W209" s="11">
        <f>IFERROR(IF(MARÍTIMOS[[#This Row],[Etapa Retiro - Salida]]="","",MARÍTIMOS[[#This Row],[Etapa Retiro - Salida]]),"")</f>
        <v>46242.479166666664</v>
      </c>
      <c r="X209" s="11">
        <f>IFERROR(IF(MARÍTIMOS[[#This Row],[Etapa Retiro - Inicio de Ruta]]="","",MARÍTIMOS[[#This Row],[Etapa Retiro - Inicio de Ruta]]),"")</f>
        <v>46242.604166666664</v>
      </c>
      <c r="Y209" s="11">
        <f>IFERROR(IF(MARÍTIMOS[[#This Row],[Hora de Posicionamiento]]="","",MARÍTIMOS[[#This Row],[Hora de Carga]]+MARÍTIMOS[[#This Row],[Hora de Posicionamiento]]),"")</f>
        <v>1.3333333333333335</v>
      </c>
      <c r="Z209" s="11">
        <f>IFERROR(IF(MARÍTIMOS[[#This Row],[Etapa Despacho -  Llegada]]="","",MARÍTIMOS[[#This Row],[Etapa Despacho -  Llegada]]),"")</f>
        <v>46243.293749999997</v>
      </c>
      <c r="AA209" s="11">
        <f>IFERROR(IF(MARÍTIMOS[[#This Row],[Etapa Despacho -  Registro]]="","",MARÍTIMOS[[#This Row],[Etapa Despacho -  Registro]]),"")</f>
        <v>46243.29583333333</v>
      </c>
      <c r="AB209" s="11">
        <f>IFERROR(IF(MARÍTIMOS[[#This Row],[Inspección Externa]]="","",MARÍTIMOS[[#This Row],[Inspección Externa]]),"")</f>
        <v>46243.305555555555</v>
      </c>
      <c r="AC209" s="11">
        <f>IFERROR(IF(MARÍTIMOS[[#This Row],[Etapa Despacho -  Inicio de Carga]]="","",MARÍTIMOS[[#This Row],[Etapa Despacho -  Inicio de Carga]]),"")</f>
        <v>46243.333333333336</v>
      </c>
      <c r="AD209" s="11">
        <f>IFERROR(IF(MARÍTIMOS[[#This Row],[Etapa Despacho -  Fin de Carga]]="","",MARÍTIMOS[[#This Row],[Etapa Despacho -  Fin de Carga]]),"")</f>
        <v>46243.875</v>
      </c>
      <c r="AE209" s="11">
        <f>IFERROR(IF(MARÍTIMOS[[#This Row],[Etapa Despacho -  Salida]]="","",MARÍTIMOS[[#This Row],[Etapa Despacho -  Salida]]),"")</f>
        <v>46243.899305555555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46244.541666666664</v>
      </c>
      <c r="AI209" s="11">
        <f>IFERROR(IF(MARÍTIMOS[[#This Row],[Etapa Ingreso - Llegada]]="","",MARÍTIMOS[[#This Row],[Etapa Ingreso - Llegada]]),"")</f>
        <v>46244.555555555555</v>
      </c>
      <c r="AJ209" s="11">
        <f>IFERROR(IF(MARÍTIMOS[[#This Row],[Etapa Ingreso - Ingeso]]="","",MARÍTIMOS[[#This Row],[Etapa Ingreso - Ingeso]]),"")</f>
        <v>46244.571527777778</v>
      </c>
      <c r="AK209" s="11">
        <f>IFERROR(IF(MARÍTIMOS[[#This Row],[Etapa Ingreso - Atención]]="","",MARÍTIMOS[[#This Row],[Etapa Ingreso - Atención]]),"")</f>
        <v>46244.574999999997</v>
      </c>
      <c r="AL209" s="11">
        <f>IFERROR(IF(MARÍTIMOS[[#This Row],[Etapa Ingreso - Salida]]="","",MARÍTIMOS[[#This Row],[Etapa Ingreso - Salida]]),"")</f>
        <v>46244.597222222219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0.68958333333284827</v>
      </c>
      <c r="AQ209" s="6">
        <f>IFERROR(OLDBD[[#This Row],[Inicio de Ruta]]-OLDBD[[#This Row],[Salida de almacén de retiro]],"")</f>
        <v>0.125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9.7222222248092294E-3</v>
      </c>
      <c r="AV209" s="9">
        <f>IFERROR(OLDBD[[#This Row],[Ingreso Packing]]-OLDBD[[#This Row],[Llegada a packing]],"")</f>
        <v>1.1805555557657499E-2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9" s="5">
        <f>IFERROR(OLDBD[[#This Row],[Llegada Almacén de Ingreso]]-OLDBD[[#This Row],[Salida Packing]],"")</f>
        <v>0.65625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5" t="s">
        <v>181</v>
      </c>
      <c r="BB209" s="53" t="str">
        <f>IFERROR(IF(MARÍTIMOS[[#This Row],[Estatus]]="","",MARÍTIMOS[[#This Row],[Estatus]]),"")</f>
        <v>Confirmado</v>
      </c>
      <c r="BC209" s="45"/>
      <c r="BD209" s="52">
        <f>IFERROR(OLDBD[[#This Row],[Salida de almacén de retiro]]-OLDBD[[#This Row],[Ingreso Almacén de retiro]],"")</f>
        <v>1.6666666662786156E-2</v>
      </c>
      <c r="BE209" s="52">
        <f>IFERROR(OLDBD[[#This Row],[Fin de Carga]]-OLDBD[[#This Row],[Inicio de Carga]],"")</f>
        <v>0.54166666666424135</v>
      </c>
    </row>
    <row r="210" spans="1:57" x14ac:dyDescent="0.35">
      <c r="A210" s="1"/>
      <c r="B210" s="1">
        <f>IFERROR(IF(MARÍTIMOS[[#This Row],[PP]]="","",MARÍTIMOS[[#This Row],[PP]]),"")</f>
        <v>32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RH-0464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SI</v>
      </c>
      <c r="H210" s="2" t="str">
        <f>IFERROR(IF(MARÍTIMOS[[#This Row],[Razón Social]]="","",MARÍTIMOS[[#This Row],[Razón Social]]),"")</f>
        <v>LOGISTICS TRANSPORT SOCIEDAD ANONIMA CERRADA</v>
      </c>
      <c r="I210" s="2">
        <f>IFERROR(IF(MARÍTIMOS[[#This Row],[RUC]]="","",MARÍTIMOS[[#This Row],[RUC]]),"")</f>
        <v>20614402246</v>
      </c>
      <c r="J210" s="2" t="str">
        <f>IFERROR(IF(MARÍTIMOS[[#This Row],[Placa Tracto]]="","",MARÍTIMOS[[#This Row],[Placa Tracto]]),"")</f>
        <v>AVU-920</v>
      </c>
      <c r="K210" s="2" t="str">
        <f>IFERROR(IF(MARÍTIMOS[[#This Row],[Placa Carreta]]="","",MARÍTIMOS[[#This Row],[Placa Carreta]]),"")</f>
        <v>TPD-978</v>
      </c>
      <c r="L210" s="46" t="str">
        <f>IFERROR(IF(MARÍTIMOS[[#This Row],[Conductor]]="","",MARÍTIMOS[[#This Row],[Conductor]]),"")</f>
        <v>CORONADO VASQUEZ WILMER</v>
      </c>
      <c r="M210" s="2" t="str">
        <f>IFERROR(IF(MARÍTIMOS[[#This Row],[Licencia]]="","",MARÍTIMOS[[#This Row],[Licencia]]),"")</f>
        <v>B46695518</v>
      </c>
      <c r="N210" s="2" t="str">
        <f>IFERROR(IF(MARÍTIMOS[[#This Row],[Número de Contacto]]="","",MARÍTIMOS[[#This Row],[Número de Contacto]]),"")</f>
        <v>935 550 403</v>
      </c>
      <c r="O210" s="10" t="str">
        <f>IFERROR(IF(MARÍTIMOS[[#This Row],[Booking|AWB|CRT]]="","",MARÍTIMOS[[#This Row],[Booking|AWB|CRT]]),"")</f>
        <v>BN80681</v>
      </c>
      <c r="P210" s="2" t="str">
        <f>IFERROR(IF(MARÍTIMOS[[#This Row],[Contenedor]]="","",MARÍTIMOS[[#This Row],[Contenedor]]),"")</f>
        <v>SEKU9159960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DPW</v>
      </c>
      <c r="S210" s="11">
        <f>IFERROR(IF(MARÍTIMOS[[#This Row],[Etapa Retiro - Cita]]="","",MARÍTIMOS[[#This Row],[Etapa Retiro - Cita]]),"")</f>
        <v>46242.416666666664</v>
      </c>
      <c r="T210" s="11">
        <f>IFERROR(IF(MARÍTIMOS[[#This Row],[Etapa Retiro - Llegada]]="","",MARÍTIMOS[[#This Row],[Etapa Retiro - Llegada]]),"")</f>
        <v>46242.436111111114</v>
      </c>
      <c r="U210" s="11">
        <f>IFERROR(IF(MARÍTIMOS[[#This Row],[Etapa Retiro - Ingreso]]="","",MARÍTIMOS[[#This Row],[Etapa Retiro - Ingreso]]),"")</f>
        <v>46242.438888888886</v>
      </c>
      <c r="V210" s="11">
        <f>IFERROR(IF(MARÍTIMOS[[#This Row],[Etapa Retiro - Atención]]="","",MARÍTIMOS[[#This Row],[Etapa Retiro - Atención]]),"")</f>
        <v>46242.453472222223</v>
      </c>
      <c r="W210" s="11">
        <f>IFERROR(IF(MARÍTIMOS[[#This Row],[Etapa Retiro - Salida]]="","",MARÍTIMOS[[#This Row],[Etapa Retiro - Salida]]),"")</f>
        <v>46242.46875</v>
      </c>
      <c r="X210" s="11">
        <f>IFERROR(IF(MARÍTIMOS[[#This Row],[Etapa Retiro - Inicio de Ruta]]="","",MARÍTIMOS[[#This Row],[Etapa Retiro - Inicio de Ruta]]),"")</f>
        <v>46242.501388888886</v>
      </c>
      <c r="Y210" s="11">
        <f>IFERROR(IF(MARÍTIMOS[[#This Row],[Hora de Posicionamiento]]="","",MARÍTIMOS[[#This Row],[Hora de Carga]]+MARÍTIMOS[[#This Row],[Hora de Posicionamiento]]),"")</f>
        <v>1.4166666666666665</v>
      </c>
      <c r="Z210" s="11">
        <f>IFERROR(IF(MARÍTIMOS[[#This Row],[Etapa Despacho -  Llegada]]="","",MARÍTIMOS[[#This Row],[Etapa Despacho -  Llegada]]),"")</f>
        <v>46243.587500000001</v>
      </c>
      <c r="AA210" s="11">
        <f>IFERROR(IF(MARÍTIMOS[[#This Row],[Etapa Despacho -  Registro]]="","",MARÍTIMOS[[#This Row],[Etapa Despacho -  Registro]]),"")</f>
        <v>46243.590277777781</v>
      </c>
      <c r="AB210" s="11">
        <f>IFERROR(IF(MARÍTIMOS[[#This Row],[Inspección Externa]]="","",MARÍTIMOS[[#This Row],[Inspección Externa]]),"")</f>
        <v>46243.604166666664</v>
      </c>
      <c r="AC210" s="11">
        <f>IFERROR(IF(MARÍTIMOS[[#This Row],[Etapa Despacho -  Inicio de Carga]]="","",MARÍTIMOS[[#This Row],[Etapa Despacho -  Inicio de Carga]]),"")</f>
        <v>46243.631944444445</v>
      </c>
      <c r="AD210" s="11">
        <f>IFERROR(IF(MARÍTIMOS[[#This Row],[Etapa Despacho -  Fin de Carga]]="","",MARÍTIMOS[[#This Row],[Etapa Despacho -  Fin de Carga]]),"")</f>
        <v>46243.90625</v>
      </c>
      <c r="AE210" s="11">
        <f>IFERROR(IF(MARÍTIMOS[[#This Row],[Etapa Despacho -  Salida]]="","",MARÍTIMOS[[#This Row],[Etapa Despacho -  Salida]]),"")</f>
        <v>46243.929166666669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46244.5</v>
      </c>
      <c r="AI210" s="11">
        <f>IFERROR(IF(MARÍTIMOS[[#This Row],[Etapa Ingreso - Llegada]]="","",MARÍTIMOS[[#This Row],[Etapa Ingreso - Llegada]]),"")</f>
        <v>46244.53125</v>
      </c>
      <c r="AJ210" s="11">
        <f>IFERROR(IF(MARÍTIMOS[[#This Row],[Etapa Ingreso - Ingeso]]="","",MARÍTIMOS[[#This Row],[Etapa Ingreso - Ingeso]]),"")</f>
        <v>46244.544444444444</v>
      </c>
      <c r="AK210" s="11">
        <f>IFERROR(IF(MARÍTIMOS[[#This Row],[Etapa Ingreso - Atención]]="","",MARÍTIMOS[[#This Row],[Etapa Ingreso - Atención]]),"")</f>
        <v>46244.548611111109</v>
      </c>
      <c r="AL210" s="11">
        <f>IFERROR(IF(MARÍTIMOS[[#This Row],[Etapa Ingreso - Salida]]="","",MARÍTIMOS[[#This Row],[Etapa Ingreso - Salida]]),"")</f>
        <v>46244.55972222222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1.086111111115315</v>
      </c>
      <c r="AQ210" s="6">
        <f>IFERROR(OLDBD[[#This Row],[Inicio de Ruta]]-OLDBD[[#This Row],[Salida de almacén de retiro]],"")</f>
        <v>3.2638888886140194E-2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0" s="9">
        <f>IFERROR(OLDBD[[#This Row],[Ingreso Packing]]-OLDBD[[#This Row],[Registro en Packing]],"")</f>
        <v>1.3888888883229811E-2</v>
      </c>
      <c r="AV210" s="9">
        <f>IFERROR(OLDBD[[#This Row],[Ingreso Packing]]-OLDBD[[#This Row],[Llegada a packing]],"")</f>
        <v>1.6666666662786156E-2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0" s="5">
        <f>IFERROR(OLDBD[[#This Row],[Llegada Almacén de Ingreso]]-OLDBD[[#This Row],[Salida Packing]],"")</f>
        <v>0.60208333333139308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5" t="s">
        <v>181</v>
      </c>
      <c r="BB210" s="53" t="str">
        <f>IFERROR(IF(MARÍTIMOS[[#This Row],[Estatus]]="","",MARÍTIMOS[[#This Row],[Estatus]]),"")</f>
        <v>Confirmado</v>
      </c>
      <c r="BC210" s="45"/>
      <c r="BD210" s="52">
        <f>IFERROR(OLDBD[[#This Row],[Salida de almacén de retiro]]-OLDBD[[#This Row],[Ingreso Almacén de retiro]],"")</f>
        <v>2.9861111113859806E-2</v>
      </c>
      <c r="BE210" s="52">
        <f>IFERROR(OLDBD[[#This Row],[Fin de Carga]]-OLDBD[[#This Row],[Inicio de Carga]],"")</f>
        <v>0.27430555555474712</v>
      </c>
    </row>
    <row r="211" spans="1:57" x14ac:dyDescent="0.35">
      <c r="A211" s="1"/>
      <c r="B211" s="1">
        <f>IFERROR(IF(MARÍTIMOS[[#This Row],[PP]]="","",MARÍTIMOS[[#This Row],[PP]]),"")</f>
        <v>32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RH-0456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SI</v>
      </c>
      <c r="H211" s="2" t="str">
        <f>IFERROR(IF(MARÍTIMOS[[#This Row],[Razón Social]]="","",MARÍTIMOS[[#This Row],[Razón Social]]),"")</f>
        <v>LOGISTICS TRANSPORT SOCIEDAD ANONIMA CERRADA</v>
      </c>
      <c r="I211" s="2">
        <f>IFERROR(IF(MARÍTIMOS[[#This Row],[RUC]]="","",MARÍTIMOS[[#This Row],[RUC]]),"")</f>
        <v>20614402246</v>
      </c>
      <c r="J211" s="2" t="str">
        <f>IFERROR(IF(MARÍTIMOS[[#This Row],[Placa Tracto]]="","",MARÍTIMOS[[#This Row],[Placa Tracto]]),"")</f>
        <v>D4J-829</v>
      </c>
      <c r="K211" s="2" t="str">
        <f>IFERROR(IF(MARÍTIMOS[[#This Row],[Placa Carreta]]="","",MARÍTIMOS[[#This Row],[Placa Carreta]]),"")</f>
        <v>TJZ-980</v>
      </c>
      <c r="L211" s="46" t="str">
        <f>IFERROR(IF(MARÍTIMOS[[#This Row],[Conductor]]="","",MARÍTIMOS[[#This Row],[Conductor]]),"")</f>
        <v>CHIROQUE IMAN JOSE NICOLAS</v>
      </c>
      <c r="M211" s="2" t="str">
        <f>IFERROR(IF(MARÍTIMOS[[#This Row],[Licencia]]="","",MARÍTIMOS[[#This Row],[Licencia]]),"")</f>
        <v>C16578741</v>
      </c>
      <c r="N211" s="2">
        <f>IFERROR(IF(MARÍTIMOS[[#This Row],[Número de Contacto]]="","",MARÍTIMOS[[#This Row],[Número de Contacto]]),"")</f>
        <v>914113779</v>
      </c>
      <c r="O211" s="10" t="str">
        <f>IFERROR(IF(MARÍTIMOS[[#This Row],[Booking|AWB|CRT]]="","",MARÍTIMOS[[#This Row],[Booking|AWB|CRT]]),"")</f>
        <v>PER9174387A</v>
      </c>
      <c r="P211" s="2" t="str">
        <f>IFERROR(IF(MARÍTIMOS[[#This Row],[Contenedor]]="","",MARÍTIMOS[[#This Row],[Contenedor]]),"")</f>
        <v>CAAU4080960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DPW</v>
      </c>
      <c r="S211" s="11">
        <f>IFERROR(IF(MARÍTIMOS[[#This Row],[Etapa Retiro - Cita]]="","",MARÍTIMOS[[#This Row],[Etapa Retiro - Cita]]),"")</f>
        <v>46243.416666666664</v>
      </c>
      <c r="T211" s="11">
        <f>IFERROR(IF(MARÍTIMOS[[#This Row],[Etapa Retiro - Llegada]]="","",MARÍTIMOS[[#This Row],[Etapa Retiro - Llegada]]),"")</f>
        <v>46243.456944444442</v>
      </c>
      <c r="U211" s="11">
        <f>IFERROR(IF(MARÍTIMOS[[#This Row],[Etapa Retiro - Ingreso]]="","",MARÍTIMOS[[#This Row],[Etapa Retiro - Ingreso]]),"")</f>
        <v>46243.461805555555</v>
      </c>
      <c r="V211" s="11">
        <f>IFERROR(IF(MARÍTIMOS[[#This Row],[Etapa Retiro - Atención]]="","",MARÍTIMOS[[#This Row],[Etapa Retiro - Atención]]),"")</f>
        <v>46243.464583333334</v>
      </c>
      <c r="W211" s="11">
        <f>IFERROR(IF(MARÍTIMOS[[#This Row],[Etapa Retiro - Salida]]="","",MARÍTIMOS[[#This Row],[Etapa Retiro - Salida]]),"")</f>
        <v>46243.479166666664</v>
      </c>
      <c r="X211" s="11">
        <f>IFERROR(IF(MARÍTIMOS[[#This Row],[Etapa Retiro - Inicio de Ruta]]="","",MARÍTIMOS[[#This Row],[Etapa Retiro - Inicio de Ruta]]),"")</f>
        <v>46243.518055555556</v>
      </c>
      <c r="Y211" s="11">
        <f>IFERROR(IF(MARÍTIMOS[[#This Row],[Hora de Posicionamiento]]="","",MARÍTIMOS[[#This Row],[Hora de Carga]]+MARÍTIMOS[[#This Row],[Hora de Posicionamiento]]),"")</f>
        <v>0.91666666666666674</v>
      </c>
      <c r="Z211" s="11">
        <f>IFERROR(IF(MARÍTIMOS[[#This Row],[Etapa Despacho -  Llegada]]="","",MARÍTIMOS[[#This Row],[Etapa Despacho -  Llegada]]),"")</f>
        <v>46244.393750000003</v>
      </c>
      <c r="AA211" s="11">
        <f>IFERROR(IF(MARÍTIMOS[[#This Row],[Etapa Despacho -  Registro]]="","",MARÍTIMOS[[#This Row],[Etapa Despacho -  Registro]]),"")</f>
        <v>46244.395833333336</v>
      </c>
      <c r="AB211" s="11">
        <f>IFERROR(IF(MARÍTIMOS[[#This Row],[Inspección Externa]]="","",MARÍTIMOS[[#This Row],[Inspección Externa]]),"")</f>
        <v>46244.409722222219</v>
      </c>
      <c r="AC211" s="11">
        <f>IFERROR(IF(MARÍTIMOS[[#This Row],[Etapa Despacho -  Inicio de Carga]]="","",MARÍTIMOS[[#This Row],[Etapa Despacho -  Inicio de Carga]]),"")</f>
        <v>46244.4375</v>
      </c>
      <c r="AD211" s="11">
        <f>IFERROR(IF(MARÍTIMOS[[#This Row],[Etapa Despacho -  Fin de Carga]]="","",MARÍTIMOS[[#This Row],[Etapa Despacho -  Fin de Carga]]),"")</f>
        <v>46244.666666666664</v>
      </c>
      <c r="AE211" s="11">
        <f>IFERROR(IF(MARÍTIMOS[[#This Row],[Etapa Despacho -  Salida]]="","",MARÍTIMOS[[#This Row],[Etapa Despacho -  Salida]]),"")</f>
        <v>46244.6875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46245.375</v>
      </c>
      <c r="AI211" s="11">
        <f>IFERROR(IF(MARÍTIMOS[[#This Row],[Etapa Ingreso - Llegada]]="","",MARÍTIMOS[[#This Row],[Etapa Ingreso - Llegada]]),"")</f>
        <v>46245.413194444445</v>
      </c>
      <c r="AJ211" s="11">
        <f>IFERROR(IF(MARÍTIMOS[[#This Row],[Etapa Ingreso - Ingeso]]="","",MARÍTIMOS[[#This Row],[Etapa Ingreso - Ingeso]]),"")</f>
        <v>46245.436805555553</v>
      </c>
      <c r="AK211" s="11">
        <f>IFERROR(IF(MARÍTIMOS[[#This Row],[Etapa Ingreso - Atención]]="","",MARÍTIMOS[[#This Row],[Etapa Ingreso - Atención]]),"")</f>
        <v>46245.440972222219</v>
      </c>
      <c r="AL211" s="11">
        <f>IFERROR(IF(MARÍTIMOS[[#This Row],[Etapa Ingreso - Salida]]="","",MARÍTIMOS[[#This Row],[Etapa Ingreso - Salida]]),"")</f>
        <v>46245.464583333334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0.87569444444670808</v>
      </c>
      <c r="AQ211" s="6">
        <f>IFERROR(OLDBD[[#This Row],[Inicio de Ruta]]-OLDBD[[#This Row],[Salida de almacén de retiro]],"")</f>
        <v>3.888888889196096E-2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1.3888888883229811E-2</v>
      </c>
      <c r="AV211" s="9">
        <f>IFERROR(OLDBD[[#This Row],[Ingreso Packing]]-OLDBD[[#This Row],[Llegada a packing]],"")</f>
        <v>1.597222221607808E-2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1" s="5">
        <f>IFERROR(OLDBD[[#This Row],[Llegada Almacén de Ingreso]]-OLDBD[[#This Row],[Salida Packing]],"")</f>
        <v>0.72569444444525288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5" t="s">
        <v>181</v>
      </c>
      <c r="BB211" s="53" t="str">
        <f>IFERROR(IF(MARÍTIMOS[[#This Row],[Estatus]]="","",MARÍTIMOS[[#This Row],[Estatus]]),"")</f>
        <v>Confirmado</v>
      </c>
      <c r="BC211" s="45"/>
      <c r="BD211" s="52">
        <f>IFERROR(OLDBD[[#This Row],[Salida de almacén de retiro]]-OLDBD[[#This Row],[Ingreso Almacén de retiro]],"")</f>
        <v>1.7361111109494232E-2</v>
      </c>
      <c r="BE211" s="52">
        <f>IFERROR(OLDBD[[#This Row],[Fin de Carga]]-OLDBD[[#This Row],[Inicio de Carga]],"")</f>
        <v>0.22916666666424135</v>
      </c>
    </row>
    <row r="212" spans="1:57" x14ac:dyDescent="0.35">
      <c r="A212" s="1"/>
      <c r="B212" s="1">
        <f>IFERROR(IF(MARÍTIMOS[[#This Row],[PP]]="","",MARÍTIMOS[[#This Row],[PP]]),"")</f>
        <v>32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RH-0457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SI</v>
      </c>
      <c r="H212" s="2" t="str">
        <f>IFERROR(IF(MARÍTIMOS[[#This Row],[Razón Social]]="","",MARÍTIMOS[[#This Row],[Razón Social]]),"")</f>
        <v>TRANSPORTES Y SERVICIOS UNITED FRIENDS S.A.C.</v>
      </c>
      <c r="I212" s="2">
        <f>IFERROR(IF(MARÍTIMOS[[#This Row],[RUC]]="","",MARÍTIMOS[[#This Row],[RUC]]),"")</f>
        <v>20601368766</v>
      </c>
      <c r="J212" s="2" t="str">
        <f>IFERROR(IF(MARÍTIMOS[[#This Row],[Placa Tracto]]="","",MARÍTIMOS[[#This Row],[Placa Tracto]]),"")</f>
        <v>TFC-827</v>
      </c>
      <c r="K212" s="2" t="str">
        <f>IFERROR(IF(MARÍTIMOS[[#This Row],[Placa Carreta]]="","",MARÍTIMOS[[#This Row],[Placa Carreta]]),"")</f>
        <v>BUC-978</v>
      </c>
      <c r="L212" s="46" t="str">
        <f>IFERROR(IF(MARÍTIMOS[[#This Row],[Conductor]]="","",MARÍTIMOS[[#This Row],[Conductor]]),"")</f>
        <v>MOGOLLÓN REYES JUAN CARLOS</v>
      </c>
      <c r="M212" s="2" t="str">
        <f>IFERROR(IF(MARÍTIMOS[[#This Row],[Licencia]]="","",MARÍTIMOS[[#This Row],[Licencia]]),"")</f>
        <v>B02862672</v>
      </c>
      <c r="N212" s="2">
        <f>IFERROR(IF(MARÍTIMOS[[#This Row],[Número de Contacto]]="","",MARÍTIMOS[[#This Row],[Número de Contacto]]),"")</f>
        <v>981143257</v>
      </c>
      <c r="O212" s="10" t="str">
        <f>IFERROR(IF(MARÍTIMOS[[#This Row],[Booking|AWB|CRT]]="","",MARÍTIMOS[[#This Row],[Booking|AWB|CRT]]),"")</f>
        <v>PER9174388A</v>
      </c>
      <c r="P212" s="2" t="str">
        <f>IFERROR(IF(MARÍTIMOS[[#This Row],[Contenedor]]="","",MARÍTIMOS[[#This Row],[Contenedor]]),"")</f>
        <v>SMLU5478366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DPW</v>
      </c>
      <c r="S212" s="11">
        <f>IFERROR(IF(MARÍTIMOS[[#This Row],[Etapa Retiro - Cita]]="","",MARÍTIMOS[[#This Row],[Etapa Retiro - Cita]]),"")</f>
        <v>46243.458333333336</v>
      </c>
      <c r="T212" s="11">
        <f>IFERROR(IF(MARÍTIMOS[[#This Row],[Etapa Retiro - Llegada]]="","",MARÍTIMOS[[#This Row],[Etapa Retiro - Llegada]]),"")</f>
        <v>46243.493750000001</v>
      </c>
      <c r="U212" s="11">
        <f>IFERROR(IF(MARÍTIMOS[[#This Row],[Etapa Retiro - Ingreso]]="","",MARÍTIMOS[[#This Row],[Etapa Retiro - Ingreso]]),"")</f>
        <v>46243.5</v>
      </c>
      <c r="V212" s="11">
        <f>IFERROR(IF(MARÍTIMOS[[#This Row],[Etapa Retiro - Atención]]="","",MARÍTIMOS[[#This Row],[Etapa Retiro - Atención]]),"")</f>
        <v>46243.503472222219</v>
      </c>
      <c r="W212" s="11">
        <f>IFERROR(IF(MARÍTIMOS[[#This Row],[Etapa Retiro - Salida]]="","",MARÍTIMOS[[#This Row],[Etapa Retiro - Salida]]),"")</f>
        <v>46243.557638888888</v>
      </c>
      <c r="X212" s="11">
        <f>IFERROR(IF(MARÍTIMOS[[#This Row],[Etapa Retiro - Inicio de Ruta]]="","",MARÍTIMOS[[#This Row],[Etapa Retiro - Inicio de Ruta]]),"")</f>
        <v>46243.564583333333</v>
      </c>
      <c r="Y212" s="11">
        <f>IFERROR(IF(MARÍTIMOS[[#This Row],[Hora de Posicionamiento]]="","",MARÍTIMOS[[#This Row],[Hora de Carga]]+MARÍTIMOS[[#This Row],[Hora de Posicionamiento]]),"")</f>
        <v>1.25</v>
      </c>
      <c r="Z212" s="11">
        <f>IFERROR(IF(MARÍTIMOS[[#This Row],[Etapa Despacho -  Llegada]]="","",MARÍTIMOS[[#This Row],[Etapa Despacho -  Llegada]]),"")</f>
        <v>46244.541666666664</v>
      </c>
      <c r="AA212" s="11">
        <f>IFERROR(IF(MARÍTIMOS[[#This Row],[Etapa Despacho -  Registro]]="","",MARÍTIMOS[[#This Row],[Etapa Despacho -  Registro]]),"")</f>
        <v>46244.548611111109</v>
      </c>
      <c r="AB212" s="11">
        <f>IFERROR(IF(MARÍTIMOS[[#This Row],[Inspección Externa]]="","",MARÍTIMOS[[#This Row],[Inspección Externa]]),"")</f>
        <v>46244.5625</v>
      </c>
      <c r="AC212" s="11">
        <f>IFERROR(IF(MARÍTIMOS[[#This Row],[Etapa Despacho -  Inicio de Carga]]="","",MARÍTIMOS[[#This Row],[Etapa Despacho -  Inicio de Carga]]),"")</f>
        <v>46244.590277777781</v>
      </c>
      <c r="AD212" s="11">
        <f>IFERROR(IF(MARÍTIMOS[[#This Row],[Etapa Despacho -  Fin de Carga]]="","",MARÍTIMOS[[#This Row],[Etapa Despacho -  Fin de Carga]]),"")</f>
        <v>46244.784722222219</v>
      </c>
      <c r="AE212" s="11">
        <f>IFERROR(IF(MARÍTIMOS[[#This Row],[Etapa Despacho -  Salida]]="","",MARÍTIMOS[[#This Row],[Etapa Despacho -  Salida]]),"")</f>
        <v>46244.791666666664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46245.541666666664</v>
      </c>
      <c r="AI212" s="11">
        <f>IFERROR(IF(MARÍTIMOS[[#This Row],[Etapa Ingreso - Llegada]]="","",MARÍTIMOS[[#This Row],[Etapa Ingreso - Llegada]]),"")</f>
        <v>46245.561111111114</v>
      </c>
      <c r="AJ212" s="11">
        <f>IFERROR(IF(MARÍTIMOS[[#This Row],[Etapa Ingreso - Ingeso]]="","",MARÍTIMOS[[#This Row],[Etapa Ingreso - Ingeso]]),"")</f>
        <v>46245.56527777778</v>
      </c>
      <c r="AK212" s="11">
        <f>IFERROR(IF(MARÍTIMOS[[#This Row],[Etapa Ingreso - Atención]]="","",MARÍTIMOS[[#This Row],[Etapa Ingreso - Atención]]),"")</f>
        <v>46245.572222222225</v>
      </c>
      <c r="AL212" s="11">
        <f>IFERROR(IF(MARÍTIMOS[[#This Row],[Etapa Ingreso - Salida]]="","",MARÍTIMOS[[#This Row],[Etapa Ingreso - Salida]]),"")</f>
        <v>46245.589583333334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2" s="5">
        <f>IFERROR(OLDBD[[#This Row],[Llegada a packing]]-OLDBD[[#This Row],[Inicio de Ruta]],"")</f>
        <v>0.97708333333139308</v>
      </c>
      <c r="AQ212" s="6">
        <f>IFERROR(OLDBD[[#This Row],[Inicio de Ruta]]-OLDBD[[#This Row],[Salida de almacén de retiro]],"")</f>
        <v>6.9444444452528842E-3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1.3888888890505768E-2</v>
      </c>
      <c r="AV212" s="9">
        <f>IFERROR(OLDBD[[#This Row],[Ingreso Packing]]-OLDBD[[#This Row],[Llegada a packing]],"")</f>
        <v>2.0833333335758653E-2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2" s="5">
        <f>IFERROR(OLDBD[[#This Row],[Llegada Almacén de Ingreso]]-OLDBD[[#This Row],[Salida Packing]],"")</f>
        <v>0.76944444444961846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5" t="s">
        <v>181</v>
      </c>
      <c r="BB212" s="53" t="str">
        <f>IFERROR(IF(MARÍTIMOS[[#This Row],[Estatus]]="","",MARÍTIMOS[[#This Row],[Estatus]]),"")</f>
        <v>Confirmado</v>
      </c>
      <c r="BC212" s="45"/>
      <c r="BD212" s="52">
        <f>IFERROR(OLDBD[[#This Row],[Salida de almacén de retiro]]-OLDBD[[#This Row],[Ingreso Almacén de retiro]],"")</f>
        <v>5.7638888887595385E-2</v>
      </c>
      <c r="BE212" s="52">
        <f>IFERROR(OLDBD[[#This Row],[Fin de Carga]]-OLDBD[[#This Row],[Inicio de Carga]],"")</f>
        <v>0.19444444443797693</v>
      </c>
    </row>
    <row r="213" spans="1:57" x14ac:dyDescent="0.35">
      <c r="A213" s="1"/>
      <c r="B213" s="1">
        <f>IFERROR(IF(MARÍTIMOS[[#This Row],[PP]]="","",MARÍTIMOS[[#This Row],[PP]]),"")</f>
        <v>32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RH-0460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SI</v>
      </c>
      <c r="H213" s="2" t="str">
        <f>IFERROR(IF(MARÍTIMOS[[#This Row],[Razón Social]]="","",MARÍTIMOS[[#This Row],[Razón Social]]),"")</f>
        <v>TRANSCAR MATHEO SOCIEDAD ANONIMA CERRADA</v>
      </c>
      <c r="I213" s="2">
        <f>IFERROR(IF(MARÍTIMOS[[#This Row],[RUC]]="","",MARÍTIMOS[[#This Row],[RUC]]),"")</f>
        <v>20612886921</v>
      </c>
      <c r="J213" s="2" t="str">
        <f>IFERROR(IF(MARÍTIMOS[[#This Row],[Placa Tracto]]="","",MARÍTIMOS[[#This Row],[Placa Tracto]]),"")</f>
        <v>T0B-919</v>
      </c>
      <c r="K213" s="2" t="str">
        <f>IFERROR(IF(MARÍTIMOS[[#This Row],[Placa Carreta]]="","",MARÍTIMOS[[#This Row],[Placa Carreta]]),"")</f>
        <v>T0U-978</v>
      </c>
      <c r="L213" s="46" t="str">
        <f>IFERROR(IF(MARÍTIMOS[[#This Row],[Conductor]]="","",MARÍTIMOS[[#This Row],[Conductor]]),"")</f>
        <v>ANDRADE SUNCION ALEXANDER GABRIEL</v>
      </c>
      <c r="M213" s="2" t="str">
        <f>IFERROR(IF(MARÍTIMOS[[#This Row],[Licencia]]="","",MARÍTIMOS[[#This Row],[Licencia]]),"")</f>
        <v>B44776623</v>
      </c>
      <c r="N213" s="2">
        <f>IFERROR(IF(MARÍTIMOS[[#This Row],[Número de Contacto]]="","",MARÍTIMOS[[#This Row],[Número de Contacto]]),"")</f>
        <v>980865741</v>
      </c>
      <c r="O213" s="10" t="str">
        <f>IFERROR(IF(MARÍTIMOS[[#This Row],[Booking|AWB|CRT]]="","",MARÍTIMOS[[#This Row],[Booking|AWB|CRT]]),"")</f>
        <v>PER9174391A</v>
      </c>
      <c r="P213" s="2" t="str">
        <f>IFERROR(IF(MARÍTIMOS[[#This Row],[Contenedor]]="","",MARÍTIMOS[[#This Row],[Contenedor]]),"")</f>
        <v>GCXU8017086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46243.458333333336</v>
      </c>
      <c r="T213" s="11">
        <f>IFERROR(IF(MARÍTIMOS[[#This Row],[Etapa Retiro - Llegada]]="","",MARÍTIMOS[[#This Row],[Etapa Retiro - Llegada]]),"")</f>
        <v>46243.467361111114</v>
      </c>
      <c r="U213" s="11">
        <f>IFERROR(IF(MARÍTIMOS[[#This Row],[Etapa Retiro - Ingreso]]="","",MARÍTIMOS[[#This Row],[Etapa Retiro - Ingreso]]),"")</f>
        <v>46243.474305555559</v>
      </c>
      <c r="V213" s="11">
        <f>IFERROR(IF(MARÍTIMOS[[#This Row],[Etapa Retiro - Atención]]="","",MARÍTIMOS[[#This Row],[Etapa Retiro - Atención]]),"")</f>
        <v>46243.5</v>
      </c>
      <c r="W213" s="11">
        <f>IFERROR(IF(MARÍTIMOS[[#This Row],[Etapa Retiro - Salida]]="","",MARÍTIMOS[[#This Row],[Etapa Retiro - Salida]]),"")</f>
        <v>46243.566666666666</v>
      </c>
      <c r="X213" s="11">
        <f>IFERROR(IF(MARÍTIMOS[[#This Row],[Etapa Retiro - Inicio de Ruta]]="","",MARÍTIMOS[[#This Row],[Etapa Retiro - Inicio de Ruta]]),"")</f>
        <v>46243.573611111111</v>
      </c>
      <c r="Y213" s="11">
        <f>IFERROR(IF(MARÍTIMOS[[#This Row],[Hora de Posicionamiento]]="","",MARÍTIMOS[[#This Row],[Hora de Carga]]+MARÍTIMOS[[#This Row],[Hora de Posicionamiento]]),"")</f>
        <v>1.25</v>
      </c>
      <c r="Z213" s="11">
        <f>IFERROR(IF(MARÍTIMOS[[#This Row],[Etapa Despacho -  Llegada]]="","",MARÍTIMOS[[#This Row],[Etapa Despacho -  Llegada]]),"")</f>
        <v>46244.394444444442</v>
      </c>
      <c r="AA213" s="11">
        <f>IFERROR(IF(MARÍTIMOS[[#This Row],[Etapa Despacho -  Registro]]="","",MARÍTIMOS[[#This Row],[Etapa Despacho -  Registro]]),"")</f>
        <v>46244.401388888888</v>
      </c>
      <c r="AB213" s="11">
        <f>IFERROR(IF(MARÍTIMOS[[#This Row],[Inspección Externa]]="","",MARÍTIMOS[[#This Row],[Inspección Externa]]),"")</f>
        <v>46244.415277777778</v>
      </c>
      <c r="AC213" s="11">
        <f>IFERROR(IF(MARÍTIMOS[[#This Row],[Etapa Despacho -  Inicio de Carga]]="","",MARÍTIMOS[[#This Row],[Etapa Despacho -  Inicio de Carga]]),"")</f>
        <v>46244.444444444445</v>
      </c>
      <c r="AD213" s="11">
        <f>IFERROR(IF(MARÍTIMOS[[#This Row],[Etapa Despacho -  Fin de Carga]]="","",MARÍTIMOS[[#This Row],[Etapa Despacho -  Fin de Carga]]),"")</f>
        <v>46244.708333333336</v>
      </c>
      <c r="AE213" s="11">
        <f>IFERROR(IF(MARÍTIMOS[[#This Row],[Etapa Despacho -  Salida]]="","",MARÍTIMOS[[#This Row],[Etapa Despacho -  Salida]]),"")</f>
        <v>46244.718055555553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46245.416666666664</v>
      </c>
      <c r="AI213" s="11">
        <f>IFERROR(IF(MARÍTIMOS[[#This Row],[Etapa Ingreso - Llegada]]="","",MARÍTIMOS[[#This Row],[Etapa Ingreso - Llegada]]),"")</f>
        <v>46245.450694444444</v>
      </c>
      <c r="AJ213" s="11">
        <f>IFERROR(IF(MARÍTIMOS[[#This Row],[Etapa Ingreso - Ingeso]]="","",MARÍTIMOS[[#This Row],[Etapa Ingreso - Ingeso]]),"")</f>
        <v>46245.459027777775</v>
      </c>
      <c r="AK213" s="11">
        <f>IFERROR(IF(MARÍTIMOS[[#This Row],[Etapa Ingreso - Atención]]="","",MARÍTIMOS[[#This Row],[Etapa Ingreso - Atención]]),"")</f>
        <v>46245.46597222222</v>
      </c>
      <c r="AL213" s="11">
        <f>IFERROR(IF(MARÍTIMOS[[#This Row],[Etapa Ingreso - Salida]]="","",MARÍTIMOS[[#This Row],[Etapa Ingreso - Salida]]),"")</f>
        <v>46245.470833333333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13" s="5">
        <f>IFERROR(OLDBD[[#This Row],[Llegada a packing]]-OLDBD[[#This Row],[Inicio de Ruta]],"")</f>
        <v>0.82083333333139308</v>
      </c>
      <c r="AQ213" s="6">
        <f>IFERROR(OLDBD[[#This Row],[Inicio de Ruta]]-OLDBD[[#This Row],[Salida de almacén de retiro]],"")</f>
        <v>6.9444444452528842E-3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1.3888888890505768E-2</v>
      </c>
      <c r="AV213" s="9">
        <f>IFERROR(OLDBD[[#This Row],[Ingreso Packing]]-OLDBD[[#This Row],[Llegada a packing]],"")</f>
        <v>2.0833333335758653E-2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3" s="5">
        <f>IFERROR(OLDBD[[#This Row],[Llegada Almacén de Ingreso]]-OLDBD[[#This Row],[Salida Packing]],"")</f>
        <v>0.73263888889050577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5" t="s">
        <v>181</v>
      </c>
      <c r="BB213" s="53" t="str">
        <f>IFERROR(IF(MARÍTIMOS[[#This Row],[Estatus]]="","",MARÍTIMOS[[#This Row],[Estatus]]),"")</f>
        <v>Confirmado</v>
      </c>
      <c r="BC213" s="45"/>
      <c r="BD213" s="52">
        <f>IFERROR(OLDBD[[#This Row],[Salida de almacén de retiro]]-OLDBD[[#This Row],[Ingreso Almacén de retiro]],"")</f>
        <v>9.2361111106583849E-2</v>
      </c>
      <c r="BE213" s="52">
        <f>IFERROR(OLDBD[[#This Row],[Fin de Carga]]-OLDBD[[#This Row],[Inicio de Carga]],"")</f>
        <v>0.26388888889050577</v>
      </c>
    </row>
    <row r="214" spans="1:57" x14ac:dyDescent="0.35">
      <c r="A214" s="1"/>
      <c r="B214" s="1">
        <f>IFERROR(IF(MARÍTIMOS[[#This Row],[PP]]="","",MARÍTIMOS[[#This Row],[PP]]),"")</f>
        <v>32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RH-0458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NO</v>
      </c>
      <c r="H214" s="2" t="str">
        <f>IFERROR(IF(MARÍTIMOS[[#This Row],[Razón Social]]="","",MARÍTIMOS[[#This Row],[Razón Social]]),"")</f>
        <v>LOGISTICA INTERMODAL DEL PERU S.A.C.</v>
      </c>
      <c r="I214" s="2">
        <f>IFERROR(IF(MARÍTIMOS[[#This Row],[RUC]]="","",MARÍTIMOS[[#This Row],[RUC]]),"")</f>
        <v>20513040718</v>
      </c>
      <c r="J214" s="2" t="str">
        <f>IFERROR(IF(MARÍTIMOS[[#This Row],[Placa Tracto]]="","",MARÍTIMOS[[#This Row],[Placa Tracto]]),"")</f>
        <v>ASO-792</v>
      </c>
      <c r="K214" s="2" t="str">
        <f>IFERROR(IF(MARÍTIMOS[[#This Row],[Placa Carreta]]="","",MARÍTIMOS[[#This Row],[Placa Carreta]]),"")</f>
        <v>ART-990</v>
      </c>
      <c r="L214" s="46" t="str">
        <f>IFERROR(IF(MARÍTIMOS[[#This Row],[Conductor]]="","",MARÍTIMOS[[#This Row],[Conductor]]),"")</f>
        <v>MEDINA OLAYA JOSE LUIS</v>
      </c>
      <c r="M214" s="2" t="str">
        <f>IFERROR(IF(MARÍTIMOS[[#This Row],[Licencia]]="","",MARÍTIMOS[[#This Row],[Licencia]]),"")</f>
        <v>B44001820</v>
      </c>
      <c r="N214" s="2" t="str">
        <f>IFERROR(IF(MARÍTIMOS[[#This Row],[Número de Contacto]]="","",MARÍTIMOS[[#This Row],[Número de Contacto]]),"")</f>
        <v>932 208 104</v>
      </c>
      <c r="O214" s="10" t="str">
        <f>IFERROR(IF(MARÍTIMOS[[#This Row],[Booking|AWB|CRT]]="","",MARÍTIMOS[[#This Row],[Booking|AWB|CRT]]),"")</f>
        <v>PER9174389A</v>
      </c>
      <c r="P214" s="2" t="str">
        <f>IFERROR(IF(MARÍTIMOS[[#This Row],[Contenedor]]="","",MARÍTIMOS[[#This Row],[Contenedor]]),"")</f>
        <v>SEKU9419080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DPW</v>
      </c>
      <c r="S214" s="11">
        <f>IFERROR(IF(MARÍTIMOS[[#This Row],[Etapa Retiro - Cita]]="","",MARÍTIMOS[[#This Row],[Etapa Retiro - Cita]]),"")</f>
        <v>46244.5</v>
      </c>
      <c r="T214" s="11">
        <f>IFERROR(IF(MARÍTIMOS[[#This Row],[Etapa Retiro - Llegada]]="","",MARÍTIMOS[[#This Row],[Etapa Retiro - Llegada]]),"")</f>
        <v>46244.512499999997</v>
      </c>
      <c r="U214" s="11">
        <f>IFERROR(IF(MARÍTIMOS[[#This Row],[Etapa Retiro - Ingreso]]="","",MARÍTIMOS[[#This Row],[Etapa Retiro - Ingreso]]),"")</f>
        <v>46244.519444444442</v>
      </c>
      <c r="V214" s="11">
        <f>IFERROR(IF(MARÍTIMOS[[#This Row],[Etapa Retiro - Atención]]="","",MARÍTIMOS[[#This Row],[Etapa Retiro - Atención]]),"")</f>
        <v>46244.526388888888</v>
      </c>
      <c r="W214" s="11">
        <f>IFERROR(IF(MARÍTIMOS[[#This Row],[Etapa Retiro - Salida]]="","",MARÍTIMOS[[#This Row],[Etapa Retiro - Salida]]),"")</f>
        <v>46244.551388888889</v>
      </c>
      <c r="X214" s="11">
        <f>IFERROR(IF(MARÍTIMOS[[#This Row],[Etapa Retiro - Inicio de Ruta]]="","",MARÍTIMOS[[#This Row],[Etapa Retiro - Inicio de Ruta]]),"")</f>
        <v>46244.593055555553</v>
      </c>
      <c r="Y214" s="11">
        <f>IFERROR(IF(MARÍTIMOS[[#This Row],[Hora de Posicionamiento]]="","",MARÍTIMOS[[#This Row],[Hora de Carga]]+MARÍTIMOS[[#This Row],[Hora de Posicionamiento]]),"")</f>
        <v>0.75</v>
      </c>
      <c r="Z214" s="11">
        <f>IFERROR(IF(MARÍTIMOS[[#This Row],[Etapa Despacho -  Llegada]]="","",MARÍTIMOS[[#This Row],[Etapa Despacho -  Llegada]]),"")</f>
        <v>46245.334722222222</v>
      </c>
      <c r="AA214" s="11">
        <f>IFERROR(IF(MARÍTIMOS[[#This Row],[Etapa Despacho -  Registro]]="","",MARÍTIMOS[[#This Row],[Etapa Despacho -  Registro]]),"")</f>
        <v>46245.341666666667</v>
      </c>
      <c r="AB214" s="11">
        <f>IFERROR(IF(MARÍTIMOS[[#This Row],[Inspección Externa]]="","",MARÍTIMOS[[#This Row],[Inspección Externa]]),"")</f>
        <v>46245.348611111112</v>
      </c>
      <c r="AC214" s="11">
        <f>IFERROR(IF(MARÍTIMOS[[#This Row],[Etapa Despacho -  Inicio de Carga]]="","",MARÍTIMOS[[#This Row],[Etapa Despacho -  Inicio de Carga]]),"")</f>
        <v>46245.369444444441</v>
      </c>
      <c r="AD214" s="11">
        <f>IFERROR(IF(MARÍTIMOS[[#This Row],[Etapa Despacho -  Fin de Carga]]="","",MARÍTIMOS[[#This Row],[Etapa Despacho -  Fin de Carga]]),"")</f>
        <v>46246.666666666664</v>
      </c>
      <c r="AE214" s="11">
        <f>IFERROR(IF(MARÍTIMOS[[#This Row],[Etapa Despacho -  Salida]]="","",MARÍTIMOS[[#This Row],[Etapa Despacho -  Salida]]),"")</f>
        <v>46246.677777777775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46247.333333333336</v>
      </c>
      <c r="AI214" s="11">
        <f>IFERROR(IF(MARÍTIMOS[[#This Row],[Etapa Ingreso - Llegada]]="","",MARÍTIMOS[[#This Row],[Etapa Ingreso - Llegada]]),"")</f>
        <v>46247.361111111109</v>
      </c>
      <c r="AJ214" s="11">
        <f>IFERROR(IF(MARÍTIMOS[[#This Row],[Etapa Ingreso - Ingeso]]="","",MARÍTIMOS[[#This Row],[Etapa Ingreso - Ingeso]]),"")</f>
        <v>46247.362500000003</v>
      </c>
      <c r="AK214" s="11">
        <f>IFERROR(IF(MARÍTIMOS[[#This Row],[Etapa Ingreso - Atención]]="","",MARÍTIMOS[[#This Row],[Etapa Ingreso - Atención]]),"")</f>
        <v>46247.369444444441</v>
      </c>
      <c r="AL214" s="11">
        <f>IFERROR(IF(MARÍTIMOS[[#This Row],[Etapa Ingreso - Salida]]="","",MARÍTIMOS[[#This Row],[Etapa Ingreso - Salida]]),"")</f>
        <v>46247.394444444442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4" s="5">
        <f>IFERROR(OLDBD[[#This Row],[Llegada a packing]]-OLDBD[[#This Row],[Inicio de Ruta]],"")</f>
        <v>0.74166666666860692</v>
      </c>
      <c r="AQ214" s="6">
        <f>IFERROR(OLDBD[[#This Row],[Inicio de Ruta]]-OLDBD[[#This Row],[Salida de almacén de retiro]],"")</f>
        <v>4.1666666664241347E-2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4" s="9">
        <f>IFERROR(OLDBD[[#This Row],[Ingreso Packing]]-OLDBD[[#This Row],[Registro en Packing]],"")</f>
        <v>6.9444444452528842E-3</v>
      </c>
      <c r="AV214" s="9">
        <f>IFERROR(OLDBD[[#This Row],[Ingreso Packing]]-OLDBD[[#This Row],[Llegada a packing]],"")</f>
        <v>1.3888888890505768E-2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4" s="5">
        <f>IFERROR(OLDBD[[#This Row],[Llegada Almacén de Ingreso]]-OLDBD[[#This Row],[Salida Packing]],"")</f>
        <v>0.68333333333430346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4" s="45" t="s">
        <v>181</v>
      </c>
      <c r="BB214" s="53" t="str">
        <f>IFERROR(IF(MARÍTIMOS[[#This Row],[Estatus]]="","",MARÍTIMOS[[#This Row],[Estatus]]),"")</f>
        <v>Confirmado</v>
      </c>
      <c r="BC214" s="45"/>
      <c r="BD214" s="52">
        <f>IFERROR(OLDBD[[#This Row],[Salida de almacén de retiro]]-OLDBD[[#This Row],[Ingreso Almacén de retiro]],"")</f>
        <v>3.1944444446708076E-2</v>
      </c>
      <c r="BE214" s="52">
        <f>IFERROR(OLDBD[[#This Row],[Fin de Carga]]-OLDBD[[#This Row],[Inicio de Carga]],"")</f>
        <v>1.297222222223354</v>
      </c>
    </row>
    <row r="215" spans="1:57" x14ac:dyDescent="0.35">
      <c r="A215" s="1"/>
      <c r="B215" s="1">
        <f>IFERROR(IF(MARÍTIMOS[[#This Row],[PP]]="","",MARÍTIMOS[[#This Row],[PP]]),"")</f>
        <v>32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RH-0461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NO</v>
      </c>
      <c r="H215" s="2" t="str">
        <f>IFERROR(IF(MARÍTIMOS[[#This Row],[Razón Social]]="","",MARÍTIMOS[[#This Row],[Razón Social]]),"")</f>
        <v>LOGISTICA INTERMODAL DEL PERU S.A.C.</v>
      </c>
      <c r="I215" s="2">
        <f>IFERROR(IF(MARÍTIMOS[[#This Row],[RUC]]="","",MARÍTIMOS[[#This Row],[RUC]]),"")</f>
        <v>20513040718</v>
      </c>
      <c r="J215" s="2" t="str">
        <f>IFERROR(IF(MARÍTIMOS[[#This Row],[Placa Tracto]]="","",MARÍTIMOS[[#This Row],[Placa Tracto]]),"")</f>
        <v>APU-757</v>
      </c>
      <c r="K215" s="2" t="str">
        <f>IFERROR(IF(MARÍTIMOS[[#This Row],[Placa Carreta]]="","",MARÍTIMOS[[#This Row],[Placa Carreta]]),"")</f>
        <v>ARQ-991</v>
      </c>
      <c r="L215" s="46" t="str">
        <f>IFERROR(IF(MARÍTIMOS[[#This Row],[Conductor]]="","",MARÍTIMOS[[#This Row],[Conductor]]),"")</f>
        <v>SANDOVAL RAMOS LUIS</v>
      </c>
      <c r="M215" s="2" t="str">
        <f>IFERROR(IF(MARÍTIMOS[[#This Row],[Licencia]]="","",MARÍTIMOS[[#This Row],[Licencia]]),"")</f>
        <v>Q40848242</v>
      </c>
      <c r="N215" s="2" t="str">
        <f>IFERROR(IF(MARÍTIMOS[[#This Row],[Número de Contacto]]="","",MARÍTIMOS[[#This Row],[Número de Contacto]]),"")</f>
        <v>969 069 655</v>
      </c>
      <c r="O215" s="10" t="str">
        <f>IFERROR(IF(MARÍTIMOS[[#This Row],[Booking|AWB|CRT]]="","",MARÍTIMOS[[#This Row],[Booking|AWB|CRT]]),"")</f>
        <v>PER9174392A</v>
      </c>
      <c r="P215" s="2" t="str">
        <f>IFERROR(IF(MARÍTIMOS[[#This Row],[Contenedor]]="","",MARÍTIMOS[[#This Row],[Contenedor]]),"")</f>
        <v>CAAU4162610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DPW</v>
      </c>
      <c r="S215" s="11">
        <f>IFERROR(IF(MARÍTIMOS[[#This Row],[Etapa Retiro - Cita]]="","",MARÍTIMOS[[#This Row],[Etapa Retiro - Cita]]),"")</f>
        <v>46244.541666666664</v>
      </c>
      <c r="T215" s="11">
        <f>IFERROR(IF(MARÍTIMOS[[#This Row],[Etapa Retiro - Llegada]]="","",MARÍTIMOS[[#This Row],[Etapa Retiro - Llegada]]),"")</f>
        <v>46244.554861111108</v>
      </c>
      <c r="U215" s="11">
        <f>IFERROR(IF(MARÍTIMOS[[#This Row],[Etapa Retiro - Ingreso]]="","",MARÍTIMOS[[#This Row],[Etapa Retiro - Ingreso]]),"")</f>
        <v>46244.561805555553</v>
      </c>
      <c r="V215" s="11">
        <f>IFERROR(IF(MARÍTIMOS[[#This Row],[Etapa Retiro - Atención]]="","",MARÍTIMOS[[#This Row],[Etapa Retiro - Atención]]),"")</f>
        <v>46244.568749999999</v>
      </c>
      <c r="W215" s="11">
        <f>IFERROR(IF(MARÍTIMOS[[#This Row],[Etapa Retiro - Salida]]="","",MARÍTIMOS[[#This Row],[Etapa Retiro - Salida]]),"")</f>
        <v>46244.712500000001</v>
      </c>
      <c r="X215" s="11">
        <f>IFERROR(IF(MARÍTIMOS[[#This Row],[Etapa Retiro - Inicio de Ruta]]="","",MARÍTIMOS[[#This Row],[Etapa Retiro - Inicio de Ruta]]),"")</f>
        <v>46244.754166666666</v>
      </c>
      <c r="Y215" s="11">
        <f>IFERROR(IF(MARÍTIMOS[[#This Row],[Hora de Posicionamiento]]="","",MARÍTIMOS[[#This Row],[Hora de Carga]]+MARÍTIMOS[[#This Row],[Hora de Posicionamiento]]),"")</f>
        <v>0.75</v>
      </c>
      <c r="Z215" s="11">
        <f>IFERROR(IF(MARÍTIMOS[[#This Row],[Etapa Despacho -  Llegada]]="","",MARÍTIMOS[[#This Row],[Etapa Despacho -  Llegada]]),"")</f>
        <v>46245.366666666669</v>
      </c>
      <c r="AA215" s="11">
        <f>IFERROR(IF(MARÍTIMOS[[#This Row],[Etapa Despacho -  Registro]]="","",MARÍTIMOS[[#This Row],[Etapa Despacho -  Registro]]),"")</f>
        <v>46245.373611111114</v>
      </c>
      <c r="AB215" s="11">
        <f>IFERROR(IF(MARÍTIMOS[[#This Row],[Inspección Externa]]="","",MARÍTIMOS[[#This Row],[Inspección Externa]]),"")</f>
        <v>46245.380555555559</v>
      </c>
      <c r="AC215" s="11">
        <f>IFERROR(IF(MARÍTIMOS[[#This Row],[Etapa Despacho -  Inicio de Carga]]="","",MARÍTIMOS[[#This Row],[Etapa Despacho -  Inicio de Carga]]),"")</f>
        <v>46245.401388888888</v>
      </c>
      <c r="AD215" s="11">
        <f>IFERROR(IF(MARÍTIMOS[[#This Row],[Etapa Despacho -  Fin de Carga]]="","",MARÍTIMOS[[#This Row],[Etapa Despacho -  Fin de Carga]]),"")</f>
        <v>46246.6875</v>
      </c>
      <c r="AE215" s="11">
        <f>IFERROR(IF(MARÍTIMOS[[#This Row],[Etapa Despacho -  Salida]]="","",MARÍTIMOS[[#This Row],[Etapa Despacho -  Salida]]),"")</f>
        <v>46246.694444444445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46247.333333333336</v>
      </c>
      <c r="AI215" s="11">
        <f>IFERROR(IF(MARÍTIMOS[[#This Row],[Etapa Ingreso - Llegada]]="","",MARÍTIMOS[[#This Row],[Etapa Ingreso - Llegada]]),"")</f>
        <v>46247.36041666667</v>
      </c>
      <c r="AJ215" s="11">
        <f>IFERROR(IF(MARÍTIMOS[[#This Row],[Etapa Ingreso - Ingeso]]="","",MARÍTIMOS[[#This Row],[Etapa Ingreso - Ingeso]]),"")</f>
        <v>46247.400694444441</v>
      </c>
      <c r="AK215" s="11">
        <f>IFERROR(IF(MARÍTIMOS[[#This Row],[Etapa Ingreso - Atención]]="","",MARÍTIMOS[[#This Row],[Etapa Ingreso - Atención]]),"")</f>
        <v>46247.407638888886</v>
      </c>
      <c r="AL215" s="11">
        <f>IFERROR(IF(MARÍTIMOS[[#This Row],[Etapa Ingreso - Salida]]="","",MARÍTIMOS[[#This Row],[Etapa Ingreso - Salida]]),"")</f>
        <v>46247.61041666667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15" s="5">
        <f>IFERROR(OLDBD[[#This Row],[Llegada a packing]]-OLDBD[[#This Row],[Inicio de Ruta]],"")</f>
        <v>0.61250000000291038</v>
      </c>
      <c r="AQ215" s="6">
        <f>IFERROR(OLDBD[[#This Row],[Inicio de Ruta]]-OLDBD[[#This Row],[Salida de almacén de retiro]],"")</f>
        <v>4.1666666664241347E-2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5" s="9">
        <f>IFERROR(OLDBD[[#This Row],[Ingreso Packing]]-OLDBD[[#This Row],[Registro en Packing]],"")</f>
        <v>6.9444444452528842E-3</v>
      </c>
      <c r="AV215" s="9">
        <f>IFERROR(OLDBD[[#This Row],[Ingreso Packing]]-OLDBD[[#This Row],[Llegada a packing]],"")</f>
        <v>1.3888888890505768E-2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5" s="5">
        <f>IFERROR(OLDBD[[#This Row],[Llegada Almacén de Ingreso]]-OLDBD[[#This Row],[Salida Packing]],"")</f>
        <v>0.66597222222480923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5" s="45" t="s">
        <v>181</v>
      </c>
      <c r="BB215" s="53" t="str">
        <f>IFERROR(IF(MARÍTIMOS[[#This Row],[Estatus]]="","",MARÍTIMOS[[#This Row],[Estatus]]),"")</f>
        <v>Confirmado</v>
      </c>
      <c r="BC215" s="45"/>
      <c r="BD215" s="52">
        <f>IFERROR(OLDBD[[#This Row],[Salida de almacén de retiro]]-OLDBD[[#This Row],[Ingreso Almacén de retiro]],"")</f>
        <v>0.15069444444816327</v>
      </c>
      <c r="BE215" s="52">
        <f>IFERROR(OLDBD[[#This Row],[Fin de Carga]]-OLDBD[[#This Row],[Inicio de Carga]],"")</f>
        <v>1.2861111111124046</v>
      </c>
    </row>
    <row r="216" spans="1:57" x14ac:dyDescent="0.35">
      <c r="A216" s="1"/>
      <c r="B216" s="1">
        <f>IFERROR(IF(MARÍTIMOS[[#This Row],[PP]]="","",MARÍTIMOS[[#This Row],[PP]]),"")</f>
        <v>33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RH-0436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SI</v>
      </c>
      <c r="H216" s="2" t="str">
        <f>IFERROR(IF(MARÍTIMOS[[#This Row],[Razón Social]]="","",MARÍTIMOS[[#This Row],[Razón Social]]),"")</f>
        <v>LOGISTICS TRANSPORT SOCIEDAD ANONIMA CERRADA</v>
      </c>
      <c r="I216" s="2">
        <f>IFERROR(IF(MARÍTIMOS[[#This Row],[RUC]]="","",MARÍTIMOS[[#This Row],[RUC]]),"")</f>
        <v>20614402246</v>
      </c>
      <c r="J216" s="2" t="str">
        <f>IFERROR(IF(MARÍTIMOS[[#This Row],[Placa Tracto]]="","",MARÍTIMOS[[#This Row],[Placa Tracto]]),"")</f>
        <v>D4J-829</v>
      </c>
      <c r="K216" s="2" t="str">
        <f>IFERROR(IF(MARÍTIMOS[[#This Row],[Placa Carreta]]="","",MARÍTIMOS[[#This Row],[Placa Carreta]]),"")</f>
        <v>TJZ-980</v>
      </c>
      <c r="L216" s="46" t="str">
        <f>IFERROR(IF(MARÍTIMOS[[#This Row],[Conductor]]="","",MARÍTIMOS[[#This Row],[Conductor]]),"")</f>
        <v>CHIROQUE IMAN JOSE NICOLAS</v>
      </c>
      <c r="M216" s="2" t="str">
        <f>IFERROR(IF(MARÍTIMOS[[#This Row],[Licencia]]="","",MARÍTIMOS[[#This Row],[Licencia]]),"")</f>
        <v>C16578741</v>
      </c>
      <c r="N216" s="2">
        <f>IFERROR(IF(MARÍTIMOS[[#This Row],[Número de Contacto]]="","",MARÍTIMOS[[#This Row],[Número de Contacto]]),"")</f>
        <v>914113779</v>
      </c>
      <c r="O216" s="10" t="str">
        <f>IFERROR(IF(MARÍTIMOS[[#This Row],[Booking|AWB|CRT]]="","",MARÍTIMOS[[#This Row],[Booking|AWB|CRT]]),"")</f>
        <v>MBM250067120</v>
      </c>
      <c r="P216" s="2" t="str">
        <f>IFERROR(IF(MARÍTIMOS[[#This Row],[Contenedor]]="","",MARÍTIMOS[[#This Row],[Contenedor]]),"")</f>
        <v>BMOU9600841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MACROMAR</v>
      </c>
      <c r="S216" s="11">
        <f>IFERROR(IF(MARÍTIMOS[[#This Row],[Etapa Retiro - Cita]]="","",MARÍTIMOS[[#This Row],[Etapa Retiro - Cita]]),"")</f>
        <v>46246.583333333336</v>
      </c>
      <c r="T216" s="11">
        <f>IFERROR(IF(MARÍTIMOS[[#This Row],[Etapa Retiro - Llegada]]="","",MARÍTIMOS[[#This Row],[Etapa Retiro - Llegada]]),"")</f>
        <v>46246.590277777781</v>
      </c>
      <c r="U216" s="11">
        <f>IFERROR(IF(MARÍTIMOS[[#This Row],[Etapa Retiro - Ingreso]]="","",MARÍTIMOS[[#This Row],[Etapa Retiro - Ingreso]]),"")</f>
        <v>46246.599305555559</v>
      </c>
      <c r="V216" s="11">
        <f>IFERROR(IF(MARÍTIMOS[[#This Row],[Etapa Retiro - Atención]]="","",MARÍTIMOS[[#This Row],[Etapa Retiro - Atención]]),"")</f>
        <v>46246.606249999997</v>
      </c>
      <c r="W216" s="11">
        <f>IFERROR(IF(MARÍTIMOS[[#This Row],[Etapa Retiro - Salida]]="","",MARÍTIMOS[[#This Row],[Etapa Retiro - Salida]]),"")</f>
        <v>46246.713194444441</v>
      </c>
      <c r="X216" s="11">
        <f>IFERROR(IF(MARÍTIMOS[[#This Row],[Etapa Retiro - Inicio de Ruta]]="","",MARÍTIMOS[[#This Row],[Etapa Retiro - Inicio de Ruta]]),"")</f>
        <v>46246.754861111112</v>
      </c>
      <c r="Y216" s="11">
        <f>IFERROR(IF(MARÍTIMOS[[#This Row],[Hora de Posicionamiento]]="","",MARÍTIMOS[[#This Row],[Hora de Carga]]+MARÍTIMOS[[#This Row],[Hora de Posicionamiento]]),"")</f>
        <v>1.25</v>
      </c>
      <c r="Z216" s="11">
        <f>IFERROR(IF(MARÍTIMOS[[#This Row],[Etapa Despacho -  Llegada]]="","",MARÍTIMOS[[#This Row],[Etapa Despacho -  Llegada]]),"")</f>
        <v>46247.583333333336</v>
      </c>
      <c r="AA216" s="11">
        <f>IFERROR(IF(MARÍTIMOS[[#This Row],[Etapa Despacho -  Registro]]="","",MARÍTIMOS[[#This Row],[Etapa Despacho -  Registro]]),"")</f>
        <v>46247.590277777781</v>
      </c>
      <c r="AB216" s="11">
        <f>IFERROR(IF(MARÍTIMOS[[#This Row],[Inspección Externa]]="","",MARÍTIMOS[[#This Row],[Inspección Externa]]),"")</f>
        <v>46247.597222222219</v>
      </c>
      <c r="AC216" s="11">
        <f>IFERROR(IF(MARÍTIMOS[[#This Row],[Etapa Despacho -  Inicio de Carga]]="","",MARÍTIMOS[[#This Row],[Etapa Despacho -  Inicio de Carga]]),"")</f>
        <v>46247.621527777781</v>
      </c>
      <c r="AD216" s="11">
        <f>IFERROR(IF(MARÍTIMOS[[#This Row],[Etapa Despacho -  Fin de Carga]]="","",MARÍTIMOS[[#This Row],[Etapa Despacho -  Fin de Carga]]),"")</f>
        <v>46247.708333333336</v>
      </c>
      <c r="AE216" s="11">
        <f>IFERROR(IF(MARÍTIMOS[[#This Row],[Etapa Despacho -  Salida]]="","",MARÍTIMOS[[#This Row],[Etapa Despacho -  Salida]]),"")</f>
        <v>46247.713888888888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46248.5</v>
      </c>
      <c r="AI216" s="11">
        <f>IFERROR(IF(MARÍTIMOS[[#This Row],[Etapa Ingreso - Llegada]]="","",MARÍTIMOS[[#This Row],[Etapa Ingreso - Llegada]]),"")</f>
        <v>46248.506944444445</v>
      </c>
      <c r="AJ216" s="11">
        <f>IFERROR(IF(MARÍTIMOS[[#This Row],[Etapa Ingreso - Ingeso]]="","",MARÍTIMOS[[#This Row],[Etapa Ingreso - Ingeso]]),"")</f>
        <v>46248.524305555555</v>
      </c>
      <c r="AK216" s="11">
        <f>IFERROR(IF(MARÍTIMOS[[#This Row],[Etapa Ingreso - Atención]]="","",MARÍTIMOS[[#This Row],[Etapa Ingreso - Atención]]),"")</f>
        <v>46248.53125</v>
      </c>
      <c r="AL216" s="11">
        <f>IFERROR(IF(MARÍTIMOS[[#This Row],[Etapa Ingreso - Salida]]="","",MARÍTIMOS[[#This Row],[Etapa Ingreso - Salida]]),"")</f>
        <v>46248.54791666667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16" s="5">
        <f>IFERROR(OLDBD[[#This Row],[Llegada a packing]]-OLDBD[[#This Row],[Inicio de Ruta]],"")</f>
        <v>0.82847222222335404</v>
      </c>
      <c r="AQ216" s="6">
        <f>IFERROR(OLDBD[[#This Row],[Inicio de Ruta]]-OLDBD[[#This Row],[Salida de almacén de retiro]],"")</f>
        <v>4.1666666671517305E-2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6.9444444379769266E-3</v>
      </c>
      <c r="AV216" s="9">
        <f>IFERROR(OLDBD[[#This Row],[Ingreso Packing]]-OLDBD[[#This Row],[Llegada a packing]],"")</f>
        <v>1.3888888883229811E-2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6" s="5">
        <f>IFERROR(OLDBD[[#This Row],[Llegada Almacén de Ingreso]]-OLDBD[[#This Row],[Salida Packing]],"")</f>
        <v>0.7930555555576575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5" t="s">
        <v>181</v>
      </c>
      <c r="BB216" s="53" t="str">
        <f>IFERROR(IF(MARÍTIMOS[[#This Row],[Estatus]]="","",MARÍTIMOS[[#This Row],[Estatus]]),"")</f>
        <v>Confirmado</v>
      </c>
      <c r="BC216" s="45"/>
      <c r="BD216" s="52">
        <f>IFERROR(OLDBD[[#This Row],[Salida de almacén de retiro]]-OLDBD[[#This Row],[Ingreso Almacén de retiro]],"")</f>
        <v>0.11388888888177462</v>
      </c>
      <c r="BE216" s="52">
        <f>IFERROR(OLDBD[[#This Row],[Fin de Carga]]-OLDBD[[#This Row],[Inicio de Carga]],"")</f>
        <v>8.6805555554747116E-2</v>
      </c>
    </row>
    <row r="217" spans="1:57" x14ac:dyDescent="0.35">
      <c r="A217" s="1"/>
      <c r="B217" s="1">
        <f>IFERROR(IF(MARÍTIMOS[[#This Row],[PP]]="","",MARÍTIMOS[[#This Row],[PP]]),"")</f>
        <v>33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RH-0484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SI</v>
      </c>
      <c r="H217" s="2" t="str">
        <f>IFERROR(IF(MARÍTIMOS[[#This Row],[Razón Social]]="","",MARÍTIMOS[[#This Row],[Razón Social]]),"")</f>
        <v xml:space="preserve">TRANSPORTES JAAC S.A.C.
</v>
      </c>
      <c r="I217" s="2">
        <f>IFERROR(IF(MARÍTIMOS[[#This Row],[RUC]]="","",MARÍTIMOS[[#This Row],[RUC]]),"")</f>
        <v>20601962102</v>
      </c>
      <c r="J217" s="2" t="str">
        <f>IFERROR(IF(MARÍTIMOS[[#This Row],[Placa Tracto]]="","",MARÍTIMOS[[#This Row],[Placa Tracto]]),"")</f>
        <v>W3M-710</v>
      </c>
      <c r="K217" s="2" t="str">
        <f>IFERROR(IF(MARÍTIMOS[[#This Row],[Placa Carreta]]="","",MARÍTIMOS[[#This Row],[Placa Carreta]]),"")</f>
        <v>TJX-986</v>
      </c>
      <c r="L217" s="46" t="str">
        <f>IFERROR(IF(MARÍTIMOS[[#This Row],[Conductor]]="","",MARÍTIMOS[[#This Row],[Conductor]]),"")</f>
        <v>BARRIENTOS MIÑAN JUAN CHARLIE</v>
      </c>
      <c r="M217" s="2" t="str">
        <f>IFERROR(IF(MARÍTIMOS[[#This Row],[Licencia]]="","",MARÍTIMOS[[#This Row],[Licencia]]),"")</f>
        <v>B46376679</v>
      </c>
      <c r="N217" s="2">
        <f>IFERROR(IF(MARÍTIMOS[[#This Row],[Número de Contacto]]="","",MARÍTIMOS[[#This Row],[Número de Contacto]]),"")</f>
        <v>982701637</v>
      </c>
      <c r="O217" s="10" t="str">
        <f>IFERROR(IF(MARÍTIMOS[[#This Row],[Booking|AWB|CRT]]="","",MARÍTIMOS[[#This Row],[Booking|AWB|CRT]]),"")</f>
        <v>MBM250067118</v>
      </c>
      <c r="P217" s="2" t="str">
        <f>IFERROR(IF(MARÍTIMOS[[#This Row],[Contenedor]]="","",MARÍTIMOS[[#This Row],[Contenedor]]),"")</f>
        <v>SEGU9324735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MACROMAR</v>
      </c>
      <c r="S217" s="11">
        <f>IFERROR(IF(MARÍTIMOS[[#This Row],[Etapa Retiro - Cita]]="","",MARÍTIMOS[[#This Row],[Etapa Retiro - Cita]]),"")</f>
        <v>46247.416666666664</v>
      </c>
      <c r="T217" s="11">
        <f>IFERROR(IF(MARÍTIMOS[[#This Row],[Etapa Retiro - Llegada]]="","",MARÍTIMOS[[#This Row],[Etapa Retiro - Llegada]]),"")</f>
        <v>46247.454861111109</v>
      </c>
      <c r="U217" s="11">
        <f>IFERROR(IF(MARÍTIMOS[[#This Row],[Etapa Retiro - Ingreso]]="","",MARÍTIMOS[[#This Row],[Etapa Retiro - Ingreso]]),"")</f>
        <v>46247.465277777781</v>
      </c>
      <c r="V217" s="11">
        <f>IFERROR(IF(MARÍTIMOS[[#This Row],[Etapa Retiro - Atención]]="","",MARÍTIMOS[[#This Row],[Etapa Retiro - Atención]]),"")</f>
        <v>46247.472222222219</v>
      </c>
      <c r="W217" s="11">
        <f>IFERROR(IF(MARÍTIMOS[[#This Row],[Etapa Retiro - Salida]]="","",MARÍTIMOS[[#This Row],[Etapa Retiro - Salida]]),"")</f>
        <v>46247.515277777777</v>
      </c>
      <c r="X217" s="11">
        <f>IFERROR(IF(MARÍTIMOS[[#This Row],[Etapa Retiro - Inicio de Ruta]]="","",MARÍTIMOS[[#This Row],[Etapa Retiro - Inicio de Ruta]]),"")</f>
        <v>46247.556944444441</v>
      </c>
      <c r="Y217" s="11">
        <f>IFERROR(IF(MARÍTIMOS[[#This Row],[Hora de Posicionamiento]]="","",MARÍTIMOS[[#This Row],[Hora de Carga]]+MARÍTIMOS[[#This Row],[Hora de Posicionamiento]]),"")</f>
        <v>0.75</v>
      </c>
      <c r="Z217" s="11">
        <f>IFERROR(IF(MARÍTIMOS[[#This Row],[Etapa Despacho -  Llegada]]="","",MARÍTIMOS[[#This Row],[Etapa Despacho -  Llegada]]),"")</f>
        <v>46248.319444444445</v>
      </c>
      <c r="AA217" s="11">
        <f>IFERROR(IF(MARÍTIMOS[[#This Row],[Etapa Despacho -  Registro]]="","",MARÍTIMOS[[#This Row],[Etapa Despacho -  Registro]]),"")</f>
        <v>46248.326388888891</v>
      </c>
      <c r="AB217" s="11">
        <f>IFERROR(IF(MARÍTIMOS[[#This Row],[Inspección Externa]]="","",MARÍTIMOS[[#This Row],[Inspección Externa]]),"")</f>
        <v>46248.333333333336</v>
      </c>
      <c r="AC217" s="11">
        <f>IFERROR(IF(MARÍTIMOS[[#This Row],[Etapa Despacho -  Inicio de Carga]]="","",MARÍTIMOS[[#This Row],[Etapa Despacho -  Inicio de Carga]]),"")</f>
        <v>46248.361111111109</v>
      </c>
      <c r="AD217" s="11">
        <f>IFERROR(IF(MARÍTIMOS[[#This Row],[Etapa Despacho -  Fin de Carga]]="","",MARÍTIMOS[[#This Row],[Etapa Despacho -  Fin de Carga]]),"")</f>
        <v>46248.513888888891</v>
      </c>
      <c r="AE217" s="11">
        <f>IFERROR(IF(MARÍTIMOS[[#This Row],[Etapa Despacho -  Salida]]="","",MARÍTIMOS[[#This Row],[Etapa Despacho -  Salida]]),"")</f>
        <v>46248.525000000001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46249.083333333336</v>
      </c>
      <c r="AI217" s="11">
        <f>IFERROR(IF(MARÍTIMOS[[#This Row],[Etapa Ingreso - Llegada]]="","",MARÍTIMOS[[#This Row],[Etapa Ingreso - Llegada]]),"")</f>
        <v>46249.104861111111</v>
      </c>
      <c r="AJ217" s="11">
        <f>IFERROR(IF(MARÍTIMOS[[#This Row],[Etapa Ingreso - Ingeso]]="","",MARÍTIMOS[[#This Row],[Etapa Ingreso - Ingeso]]),"")</f>
        <v>46249.118055555555</v>
      </c>
      <c r="AK217" s="11">
        <f>IFERROR(IF(MARÍTIMOS[[#This Row],[Etapa Ingreso - Atención]]="","",MARÍTIMOS[[#This Row],[Etapa Ingreso - Atención]]),"")</f>
        <v>46249.119444444441</v>
      </c>
      <c r="AL217" s="11">
        <f>IFERROR(IF(MARÍTIMOS[[#This Row],[Etapa Ingreso - Salida]]="","",MARÍTIMOS[[#This Row],[Etapa Ingreso - Salida]]),"")</f>
        <v>46249.122916666667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7" s="5">
        <f>IFERROR(OLDBD[[#This Row],[Llegada a packing]]-OLDBD[[#This Row],[Inicio de Ruta]],"")</f>
        <v>0.76250000000436557</v>
      </c>
      <c r="AQ217" s="6">
        <f>IFERROR(OLDBD[[#This Row],[Inicio de Ruta]]-OLDBD[[#This Row],[Salida de almacén de retiro]],"")</f>
        <v>4.1666666664241347E-2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6.9444444452528842E-3</v>
      </c>
      <c r="AV217" s="9">
        <f>IFERROR(OLDBD[[#This Row],[Ingreso Packing]]-OLDBD[[#This Row],[Llegada a packing]],"")</f>
        <v>1.3888888890505768E-2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7" s="5">
        <f>IFERROR(OLDBD[[#This Row],[Llegada Almacén de Ingreso]]-OLDBD[[#This Row],[Salida Packing]],"")</f>
        <v>0.57986111110949423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5" t="s">
        <v>181</v>
      </c>
      <c r="BB217" s="53" t="str">
        <f>IFERROR(IF(MARÍTIMOS[[#This Row],[Estatus]]="","",MARÍTIMOS[[#This Row],[Estatus]]),"")</f>
        <v>Confirmado</v>
      </c>
      <c r="BC217" s="45"/>
      <c r="BD217" s="52">
        <f>IFERROR(OLDBD[[#This Row],[Salida de almacén de retiro]]-OLDBD[[#This Row],[Ingreso Almacén de retiro]],"")</f>
        <v>4.9999999995634425E-2</v>
      </c>
      <c r="BE217" s="52">
        <f>IFERROR(OLDBD[[#This Row],[Fin de Carga]]-OLDBD[[#This Row],[Inicio de Carga]],"")</f>
        <v>0.15277777778101154</v>
      </c>
    </row>
    <row r="218" spans="1:57" x14ac:dyDescent="0.35">
      <c r="A218" s="1"/>
      <c r="B218" s="1">
        <f>IFERROR(IF(MARÍTIMOS[[#This Row],[PP]]="","",MARÍTIMOS[[#This Row],[PP]]),"")</f>
        <v>33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RH-0485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SI</v>
      </c>
      <c r="H218" s="2" t="str">
        <f>IFERROR(IF(MARÍTIMOS[[#This Row],[Razón Social]]="","",MARÍTIMOS[[#This Row],[Razón Social]]),"")</f>
        <v xml:space="preserve">NEGOCIOS PESQUEROS AARON EIRL
</v>
      </c>
      <c r="I218" s="2">
        <f>IFERROR(IF(MARÍTIMOS[[#This Row],[RUC]]="","",MARÍTIMOS[[#This Row],[RUC]]),"")</f>
        <v>20526125356</v>
      </c>
      <c r="J218" s="2" t="str">
        <f>IFERROR(IF(MARÍTIMOS[[#This Row],[Placa Tracto]]="","",MARÍTIMOS[[#This Row],[Placa Tracto]]),"")</f>
        <v>TCH-816</v>
      </c>
      <c r="K218" s="2" t="str">
        <f>IFERROR(IF(MARÍTIMOS[[#This Row],[Placa Carreta]]="","",MARÍTIMOS[[#This Row],[Placa Carreta]]),"")</f>
        <v>TKE-974</v>
      </c>
      <c r="L218" s="46" t="str">
        <f>IFERROR(IF(MARÍTIMOS[[#This Row],[Conductor]]="","",MARÍTIMOS[[#This Row],[Conductor]]),"")</f>
        <v>CARREÑO ROJAS EDHIN</v>
      </c>
      <c r="M218" s="2" t="str">
        <f>IFERROR(IF(MARÍTIMOS[[#This Row],[Licencia]]="","",MARÍTIMOS[[#This Row],[Licencia]]),"")</f>
        <v>B43791221</v>
      </c>
      <c r="N218" s="2" t="str">
        <f>IFERROR(IF(MARÍTIMOS[[#This Row],[Número de Contacto]]="","",MARÍTIMOS[[#This Row],[Número de Contacto]]),"")</f>
        <v/>
      </c>
      <c r="O218" s="10" t="str">
        <f>IFERROR(IF(MARÍTIMOS[[#This Row],[Booking|AWB|CRT]]="","",MARÍTIMOS[[#This Row],[Booking|AWB|CRT]]),"")</f>
        <v>MBM250067119</v>
      </c>
      <c r="P218" s="2" t="str">
        <f>IFERROR(IF(MARÍTIMOS[[#This Row],[Contenedor]]="","",MARÍTIMOS[[#This Row],[Contenedor]]),"")</f>
        <v>CAIU5564108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MACROMAR</v>
      </c>
      <c r="S218" s="11">
        <f>IFERROR(IF(MARÍTIMOS[[#This Row],[Etapa Retiro - Cita]]="","",MARÍTIMOS[[#This Row],[Etapa Retiro - Cita]]),"")</f>
        <v>46247.458333333336</v>
      </c>
      <c r="T218" s="11">
        <f>IFERROR(IF(MARÍTIMOS[[#This Row],[Etapa Retiro - Llegada]]="","",MARÍTIMOS[[#This Row],[Etapa Retiro - Llegada]]),"")</f>
        <v>46247.48333333333</v>
      </c>
      <c r="U218" s="11">
        <f>IFERROR(IF(MARÍTIMOS[[#This Row],[Etapa Retiro - Ingreso]]="","",MARÍTIMOS[[#This Row],[Etapa Retiro - Ingreso]]),"")</f>
        <v>46247.490277777775</v>
      </c>
      <c r="V218" s="11">
        <f>IFERROR(IF(MARÍTIMOS[[#This Row],[Etapa Retiro - Atención]]="","",MARÍTIMOS[[#This Row],[Etapa Retiro - Atención]]),"")</f>
        <v>46247.49722222222</v>
      </c>
      <c r="W218" s="11">
        <f>IFERROR(IF(MARÍTIMOS[[#This Row],[Etapa Retiro - Salida]]="","",MARÍTIMOS[[#This Row],[Etapa Retiro - Salida]]),"")</f>
        <v>46247.563888888886</v>
      </c>
      <c r="X218" s="11">
        <f>IFERROR(IF(MARÍTIMOS[[#This Row],[Etapa Retiro - Inicio de Ruta]]="","",MARÍTIMOS[[#This Row],[Etapa Retiro - Inicio de Ruta]]),"")</f>
        <v>46247.605555555558</v>
      </c>
      <c r="Y218" s="11">
        <f>IFERROR(IF(MARÍTIMOS[[#This Row],[Hora de Posicionamiento]]="","",MARÍTIMOS[[#This Row],[Hora de Carga]]+MARÍTIMOS[[#This Row],[Hora de Posicionamiento]]),"")</f>
        <v>0.75</v>
      </c>
      <c r="Z218" s="11">
        <f>IFERROR(IF(MARÍTIMOS[[#This Row],[Etapa Despacho -  Llegada]]="","",MARÍTIMOS[[#This Row],[Etapa Despacho -  Llegada]]),"")</f>
        <v>46248.363194444442</v>
      </c>
      <c r="AA218" s="11">
        <f>IFERROR(IF(MARÍTIMOS[[#This Row],[Etapa Despacho -  Registro]]="","",MARÍTIMOS[[#This Row],[Etapa Despacho -  Registro]]),"")</f>
        <v>46248.370138888888</v>
      </c>
      <c r="AB218" s="11">
        <f>IFERROR(IF(MARÍTIMOS[[#This Row],[Inspección Externa]]="","",MARÍTIMOS[[#This Row],[Inspección Externa]]),"")</f>
        <v>46248.375</v>
      </c>
      <c r="AC218" s="11">
        <f>IFERROR(IF(MARÍTIMOS[[#This Row],[Etapa Despacho -  Inicio de Carga]]="","",MARÍTIMOS[[#This Row],[Etapa Despacho -  Inicio de Carga]]),"")</f>
        <v>46248.402777777781</v>
      </c>
      <c r="AD218" s="11">
        <f>IFERROR(IF(MARÍTIMOS[[#This Row],[Etapa Despacho -  Fin de Carga]]="","",MARÍTIMOS[[#This Row],[Etapa Despacho -  Fin de Carga]]),"")</f>
        <v>46248.5</v>
      </c>
      <c r="AE218" s="11">
        <f>IFERROR(IF(MARÍTIMOS[[#This Row],[Etapa Despacho -  Salida]]="","",MARÍTIMOS[[#This Row],[Etapa Despacho -  Salida]]),"")</f>
        <v>46248.511111111111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46249.125</v>
      </c>
      <c r="AI218" s="11">
        <f>IFERROR(IF(MARÍTIMOS[[#This Row],[Etapa Ingreso - Llegada]]="","",MARÍTIMOS[[#This Row],[Etapa Ingreso - Llegada]]),"")</f>
        <v>46249.143055555556</v>
      </c>
      <c r="AJ218" s="11">
        <f>IFERROR(IF(MARÍTIMOS[[#This Row],[Etapa Ingreso - Ingeso]]="","",MARÍTIMOS[[#This Row],[Etapa Ingreso - Ingeso]]),"")</f>
        <v>46249.143055555556</v>
      </c>
      <c r="AK218" s="11">
        <f>IFERROR(IF(MARÍTIMOS[[#This Row],[Etapa Ingreso - Atención]]="","",MARÍTIMOS[[#This Row],[Etapa Ingreso - Atención]]),"")</f>
        <v>46249.145833333336</v>
      </c>
      <c r="AL218" s="11">
        <f>IFERROR(IF(MARÍTIMOS[[#This Row],[Etapa Ingreso - Salida]]="","",MARÍTIMOS[[#This Row],[Etapa Ingreso - Salida]]),"")</f>
        <v>46249.156944444447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8" s="5">
        <f>IFERROR(OLDBD[[#This Row],[Llegada a packing]]-OLDBD[[#This Row],[Inicio de Ruta]],"")</f>
        <v>0.757638888884685</v>
      </c>
      <c r="AQ218" s="6">
        <f>IFERROR(OLDBD[[#This Row],[Inicio de Ruta]]-OLDBD[[#This Row],[Salida de almacén de retiro]],"")</f>
        <v>4.1666666671517305E-2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4.8611111124046147E-3</v>
      </c>
      <c r="AV218" s="9">
        <f>IFERROR(OLDBD[[#This Row],[Ingreso Packing]]-OLDBD[[#This Row],[Llegada a packing]],"")</f>
        <v>1.1805555557657499E-2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8" s="5">
        <f>IFERROR(OLDBD[[#This Row],[Llegada Almacén de Ingreso]]-OLDBD[[#This Row],[Salida Packing]],"")</f>
        <v>0.63194444444525288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5" t="s">
        <v>181</v>
      </c>
      <c r="BB218" s="53" t="str">
        <f>IFERROR(IF(MARÍTIMOS[[#This Row],[Estatus]]="","",MARÍTIMOS[[#This Row],[Estatus]]),"")</f>
        <v>Confirmado</v>
      </c>
      <c r="BC218" s="45"/>
      <c r="BD218" s="52">
        <f>IFERROR(OLDBD[[#This Row],[Salida de almacén de retiro]]-OLDBD[[#This Row],[Ingreso Almacén de retiro]],"")</f>
        <v>7.3611111110949423E-2</v>
      </c>
      <c r="BE218" s="52">
        <f>IFERROR(OLDBD[[#This Row],[Fin de Carga]]-OLDBD[[#This Row],[Inicio de Carga]],"")</f>
        <v>9.7222222218988463E-2</v>
      </c>
    </row>
    <row r="219" spans="1:57" x14ac:dyDescent="0.35">
      <c r="A219" s="1"/>
      <c r="B219" s="1">
        <f>IFERROR(IF(MARÍTIMOS[[#This Row],[PP]]="","",MARÍTIMOS[[#This Row],[PP]]),"")</f>
        <v>33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RH-0500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NO</v>
      </c>
      <c r="H219" s="2" t="str">
        <f>IFERROR(IF(MARÍTIMOS[[#This Row],[Razón Social]]="","",MARÍTIMOS[[#This Row],[Razón Social]]),"")</f>
        <v>LOGISTICA INTERMODAL DEL PERU S.A.C.</v>
      </c>
      <c r="I219" s="2">
        <f>IFERROR(IF(MARÍTIMOS[[#This Row],[RUC]]="","",MARÍTIMOS[[#This Row],[RUC]]),"")</f>
        <v>20513040718</v>
      </c>
      <c r="J219" s="2" t="str">
        <f>IFERROR(IF(MARÍTIMOS[[#This Row],[Placa Tracto]]="","",MARÍTIMOS[[#This Row],[Placa Tracto]]),"")</f>
        <v>AXD-842</v>
      </c>
      <c r="K219" s="2" t="str">
        <f>IFERROR(IF(MARÍTIMOS[[#This Row],[Placa Carreta]]="","",MARÍTIMOS[[#This Row],[Placa Carreta]]),"")</f>
        <v>ATW-991</v>
      </c>
      <c r="L219" s="46" t="str">
        <f>IFERROR(IF(MARÍTIMOS[[#This Row],[Conductor]]="","",MARÍTIMOS[[#This Row],[Conductor]]),"")</f>
        <v>CRUZ GARRO JORGE PORFIRIO</v>
      </c>
      <c r="M219" s="2" t="str">
        <f>IFERROR(IF(MARÍTIMOS[[#This Row],[Licencia]]="","",MARÍTIMOS[[#This Row],[Licencia]]),"")</f>
        <v>D42478220</v>
      </c>
      <c r="N219" s="2">
        <f>IFERROR(IF(MARÍTIMOS[[#This Row],[Número de Contacto]]="","",MARÍTIMOS[[#This Row],[Número de Contacto]]),"")</f>
        <v>948666455</v>
      </c>
      <c r="O219" s="10" t="str">
        <f>IFERROR(IF(MARÍTIMOS[[#This Row],[Booking|AWB|CRT]]="","",MARÍTIMOS[[#This Row],[Booking|AWB|CRT]]),"")</f>
        <v>PER9184416A</v>
      </c>
      <c r="P219" s="2" t="str">
        <f>IFERROR(IF(MARÍTIMOS[[#This Row],[Contenedor]]="","",MARÍTIMOS[[#This Row],[Contenedor]]),"")</f>
        <v>CAAU4077186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DPW</v>
      </c>
      <c r="S219" s="11">
        <f>IFERROR(IF(MARÍTIMOS[[#This Row],[Etapa Retiro - Cita]]="","",MARÍTIMOS[[#This Row],[Etapa Retiro - Cita]]),"")</f>
        <v>46248.458333333336</v>
      </c>
      <c r="T219" s="11">
        <f>IFERROR(IF(MARÍTIMOS[[#This Row],[Etapa Retiro - Llegada]]="","",MARÍTIMOS[[#This Row],[Etapa Retiro - Llegada]]),"")</f>
        <v>46248.477777777778</v>
      </c>
      <c r="U219" s="11">
        <f>IFERROR(IF(MARÍTIMOS[[#This Row],[Etapa Retiro - Ingreso]]="","",MARÍTIMOS[[#This Row],[Etapa Retiro - Ingreso]]),"")</f>
        <v>46248.484722222223</v>
      </c>
      <c r="V219" s="11">
        <f>IFERROR(IF(MARÍTIMOS[[#This Row],[Etapa Retiro - Atención]]="","",MARÍTIMOS[[#This Row],[Etapa Retiro - Atención]]),"")</f>
        <v>46248.491666666669</v>
      </c>
      <c r="W219" s="11">
        <f>IFERROR(IF(MARÍTIMOS[[#This Row],[Etapa Retiro - Salida]]="","",MARÍTIMOS[[#This Row],[Etapa Retiro - Salida]]),"")</f>
        <v>46248.52847222222</v>
      </c>
      <c r="X219" s="11">
        <f>IFERROR(IF(MARÍTIMOS[[#This Row],[Etapa Retiro - Inicio de Ruta]]="","",MARÍTIMOS[[#This Row],[Etapa Retiro - Inicio de Ruta]]),"")</f>
        <v>46248.570138888892</v>
      </c>
      <c r="Y219" s="11">
        <f>IFERROR(IF(MARÍTIMOS[[#This Row],[Hora de Posicionamiento]]="","",MARÍTIMOS[[#This Row],[Hora de Carga]]+MARÍTIMOS[[#This Row],[Hora de Posicionamiento]]),"")</f>
        <v>1.0833333333333335</v>
      </c>
      <c r="Z219" s="11">
        <f>IFERROR(IF(MARÍTIMOS[[#This Row],[Etapa Despacho -  Llegada]]="","",MARÍTIMOS[[#This Row],[Etapa Despacho -  Llegada]]),"")</f>
        <v>46249.5</v>
      </c>
      <c r="AA219" s="11">
        <f>IFERROR(IF(MARÍTIMOS[[#This Row],[Etapa Despacho -  Registro]]="","",MARÍTIMOS[[#This Row],[Etapa Despacho -  Registro]]),"")</f>
        <v>46249.506944444445</v>
      </c>
      <c r="AB219" s="11">
        <f>IFERROR(IF(MARÍTIMOS[[#This Row],[Inspección Externa]]="","",MARÍTIMOS[[#This Row],[Inspección Externa]]),"")</f>
        <v>46249.513888888891</v>
      </c>
      <c r="AC219" s="11">
        <f>IFERROR(IF(MARÍTIMOS[[#This Row],[Etapa Despacho -  Inicio de Carga]]="","",MARÍTIMOS[[#This Row],[Etapa Despacho -  Inicio de Carga]]),"")</f>
        <v>46249.540277777778</v>
      </c>
      <c r="AD219" s="11">
        <f>IFERROR(IF(MARÍTIMOS[[#This Row],[Etapa Despacho -  Fin de Carga]]="","",MARÍTIMOS[[#This Row],[Etapa Despacho -  Fin de Carga]]),"")</f>
        <v>46249.65625</v>
      </c>
      <c r="AE219" s="11">
        <f>IFERROR(IF(MARÍTIMOS[[#This Row],[Etapa Despacho -  Salida]]="","",MARÍTIMOS[[#This Row],[Etapa Despacho -  Salida]]),"")</f>
        <v>46249.707638888889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46250.375</v>
      </c>
      <c r="AI219" s="11">
        <f>IFERROR(IF(MARÍTIMOS[[#This Row],[Etapa Ingreso - Llegada]]="","",MARÍTIMOS[[#This Row],[Etapa Ingreso - Llegada]]),"")</f>
        <v>46250.379861111112</v>
      </c>
      <c r="AJ219" s="11">
        <f>IFERROR(IF(MARÍTIMOS[[#This Row],[Etapa Ingreso - Ingeso]]="","",MARÍTIMOS[[#This Row],[Etapa Ingreso - Ingeso]]),"")</f>
        <v>46250.386805555558</v>
      </c>
      <c r="AK219" s="11">
        <f>IFERROR(IF(MARÍTIMOS[[#This Row],[Etapa Ingreso - Atención]]="","",MARÍTIMOS[[#This Row],[Etapa Ingreso - Atención]]),"")</f>
        <v>46250.388888888891</v>
      </c>
      <c r="AL219" s="11">
        <f>IFERROR(IF(MARÍTIMOS[[#This Row],[Etapa Ingreso - Salida]]="","",MARÍTIMOS[[#This Row],[Etapa Ingreso - Salida]]),"")</f>
        <v>46250.393055555556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9" s="5">
        <f>IFERROR(OLDBD[[#This Row],[Llegada a packing]]-OLDBD[[#This Row],[Inicio de Ruta]],"")</f>
        <v>0.92986111110803904</v>
      </c>
      <c r="AQ219" s="6">
        <f>IFERROR(OLDBD[[#This Row],[Inicio de Ruta]]-OLDBD[[#This Row],[Salida de almacén de retiro]],"")</f>
        <v>4.1666666671517305E-2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6.9444444452528842E-3</v>
      </c>
      <c r="AV219" s="9">
        <f>IFERROR(OLDBD[[#This Row],[Ingreso Packing]]-OLDBD[[#This Row],[Llegada a packing]],"")</f>
        <v>1.3888888890505768E-2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9" s="5">
        <f>IFERROR(OLDBD[[#This Row],[Llegada Almacén de Ingreso]]-OLDBD[[#This Row],[Salida Packing]],"")</f>
        <v>0.67222222222335404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5" t="s">
        <v>181</v>
      </c>
      <c r="BB219" s="53" t="str">
        <f>IFERROR(IF(MARÍTIMOS[[#This Row],[Estatus]]="","",MARÍTIMOS[[#This Row],[Estatus]]),"")</f>
        <v>Confirmado</v>
      </c>
      <c r="BC219" s="45"/>
      <c r="BD219" s="52">
        <f>IFERROR(OLDBD[[#This Row],[Salida de almacén de retiro]]-OLDBD[[#This Row],[Ingreso Almacén de retiro]],"")</f>
        <v>4.3749999997089617E-2</v>
      </c>
      <c r="BE219" s="52">
        <f>IFERROR(OLDBD[[#This Row],[Fin de Carga]]-OLDBD[[#This Row],[Inicio de Carga]],"")</f>
        <v>0.11597222222189885</v>
      </c>
    </row>
    <row r="220" spans="1:57" x14ac:dyDescent="0.35">
      <c r="A220" s="1"/>
      <c r="B220" s="1">
        <f>IFERROR(IF(MARÍTIMOS[[#This Row],[PP]]="","",MARÍTIMOS[[#This Row],[PP]]),"")</f>
        <v>33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RH-0492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SI</v>
      </c>
      <c r="H220" s="2" t="str">
        <f>IFERROR(IF(MARÍTIMOS[[#This Row],[Razón Social]]="","",MARÍTIMOS[[#This Row],[Razón Social]]),"")</f>
        <v>TRANSPORTES Y SERVICIOS UNITED FRIENDS S.A.C.</v>
      </c>
      <c r="I220" s="2">
        <f>IFERROR(IF(MARÍTIMOS[[#This Row],[RUC]]="","",MARÍTIMOS[[#This Row],[RUC]]),"")</f>
        <v>20601368766</v>
      </c>
      <c r="J220" s="2" t="str">
        <f>IFERROR(IF(MARÍTIMOS[[#This Row],[Placa Tracto]]="","",MARÍTIMOS[[#This Row],[Placa Tracto]]),"")</f>
        <v>D5H-720</v>
      </c>
      <c r="K220" s="2" t="str">
        <f>IFERROR(IF(MARÍTIMOS[[#This Row],[Placa Carreta]]="","",MARÍTIMOS[[#This Row],[Placa Carreta]]),"")</f>
        <v>M2A-979</v>
      </c>
      <c r="L220" s="46" t="str">
        <f>IFERROR(IF(MARÍTIMOS[[#This Row],[Conductor]]="","",MARÍTIMOS[[#This Row],[Conductor]]),"")</f>
        <v>COLMENAREZ AZUAJE NAUDYS JOSE</v>
      </c>
      <c r="M220" s="2" t="str">
        <f>IFERROR(IF(MARÍTIMOS[[#This Row],[Licencia]]="","",MARÍTIMOS[[#This Row],[Licencia]]),"")</f>
        <v>Q008661101</v>
      </c>
      <c r="N220" s="2">
        <f>IFERROR(IF(MARÍTIMOS[[#This Row],[Número de Contacto]]="","",MARÍTIMOS[[#This Row],[Número de Contacto]]),"")</f>
        <v>917059103</v>
      </c>
      <c r="O220" s="10" t="str">
        <f>IFERROR(IF(MARÍTIMOS[[#This Row],[Booking|AWB|CRT]]="","",MARÍTIMOS[[#This Row],[Booking|AWB|CRT]]),"")</f>
        <v>BN81292</v>
      </c>
      <c r="P220" s="2" t="str">
        <f>IFERROR(IF(MARÍTIMOS[[#This Row],[Contenedor]]="","",MARÍTIMOS[[#This Row],[Contenedor]]),"")</f>
        <v>TEMU9594589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DPW</v>
      </c>
      <c r="S220" s="11">
        <f>IFERROR(IF(MARÍTIMOS[[#This Row],[Etapa Retiro - Cita]]="","",MARÍTIMOS[[#This Row],[Etapa Retiro - Cita]]),"")</f>
        <v>46250.416666666664</v>
      </c>
      <c r="T220" s="11">
        <f>IFERROR(IF(MARÍTIMOS[[#This Row],[Etapa Retiro - Llegada]]="","",MARÍTIMOS[[#This Row],[Etapa Retiro - Llegada]]),"")</f>
        <v>46250.447916666664</v>
      </c>
      <c r="U220" s="11">
        <f>IFERROR(IF(MARÍTIMOS[[#This Row],[Etapa Retiro - Ingreso]]="","",MARÍTIMOS[[#This Row],[Etapa Retiro - Ingreso]]),"")</f>
        <v>46250.451388888891</v>
      </c>
      <c r="V220" s="11">
        <f>IFERROR(IF(MARÍTIMOS[[#This Row],[Etapa Retiro - Atención]]="","",MARÍTIMOS[[#This Row],[Etapa Retiro - Atención]]),"")</f>
        <v>46250.481944444444</v>
      </c>
      <c r="W220" s="11">
        <f>IFERROR(IF(MARÍTIMOS[[#This Row],[Etapa Retiro - Salida]]="","",MARÍTIMOS[[#This Row],[Etapa Retiro - Salida]]),"")</f>
        <v>46250.510416666664</v>
      </c>
      <c r="X220" s="11">
        <f>IFERROR(IF(MARÍTIMOS[[#This Row],[Etapa Retiro - Inicio de Ruta]]="","",MARÍTIMOS[[#This Row],[Etapa Retiro - Inicio de Ruta]]),"")</f>
        <v>46250.556944444441</v>
      </c>
      <c r="Y220" s="11">
        <f>IFERROR(IF(MARÍTIMOS[[#This Row],[Hora de Posicionamiento]]="","",MARÍTIMOS[[#This Row],[Hora de Carga]]+MARÍTIMOS[[#This Row],[Hora de Posicionamiento]]),"")</f>
        <v>0.75</v>
      </c>
      <c r="Z220" s="11">
        <f>IFERROR(IF(MARÍTIMOS[[#This Row],[Etapa Despacho -  Llegada]]="","",MARÍTIMOS[[#This Row],[Etapa Despacho -  Llegada]]),"")</f>
        <v>46251.3125</v>
      </c>
      <c r="AA220" s="11">
        <f>IFERROR(IF(MARÍTIMOS[[#This Row],[Etapa Despacho -  Registro]]="","",MARÍTIMOS[[#This Row],[Etapa Despacho -  Registro]]),"")</f>
        <v>46251.315972222219</v>
      </c>
      <c r="AB220" s="11">
        <f>IFERROR(IF(MARÍTIMOS[[#This Row],[Inspección Externa]]="","",MARÍTIMOS[[#This Row],[Inspección Externa]]),"")</f>
        <v>46251.326388888891</v>
      </c>
      <c r="AC220" s="11">
        <f>IFERROR(IF(MARÍTIMOS[[#This Row],[Etapa Despacho -  Inicio de Carga]]="","",MARÍTIMOS[[#This Row],[Etapa Despacho -  Inicio de Carga]]),"")</f>
        <v>46251.354166666664</v>
      </c>
      <c r="AD220" s="11">
        <f>IFERROR(IF(MARÍTIMOS[[#This Row],[Etapa Despacho -  Fin de Carga]]="","",MARÍTIMOS[[#This Row],[Etapa Despacho -  Fin de Carga]]),"")</f>
        <v>46251.53125</v>
      </c>
      <c r="AE220" s="11">
        <f>IFERROR(IF(MARÍTIMOS[[#This Row],[Etapa Despacho -  Salida]]="","",MARÍTIMOS[[#This Row],[Etapa Despacho -  Salida]]),"")</f>
        <v>46251.552083333336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46252</v>
      </c>
      <c r="AI220" s="11">
        <f>IFERROR(IF(MARÍTIMOS[[#This Row],[Etapa Ingreso - Llegada]]="","",MARÍTIMOS[[#This Row],[Etapa Ingreso - Llegada]]),"")</f>
        <v>46252.027777777781</v>
      </c>
      <c r="AJ220" s="11">
        <f>IFERROR(IF(MARÍTIMOS[[#This Row],[Etapa Ingreso - Ingeso]]="","",MARÍTIMOS[[#This Row],[Etapa Ingreso - Ingeso]]),"")</f>
        <v>46252.036111111112</v>
      </c>
      <c r="AK220" s="11">
        <f>IFERROR(IF(MARÍTIMOS[[#This Row],[Etapa Ingreso - Atención]]="","",MARÍTIMOS[[#This Row],[Etapa Ingreso - Atención]]),"")</f>
        <v>46252.038194444445</v>
      </c>
      <c r="AL220" s="11">
        <f>IFERROR(IF(MARÍTIMOS[[#This Row],[Etapa Ingreso - Salida]]="","",MARÍTIMOS[[#This Row],[Etapa Ingreso - Salida]]),"")</f>
        <v>46252.041666666664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0" s="5">
        <f>IFERROR(OLDBD[[#This Row],[Llegada a packing]]-OLDBD[[#This Row],[Inicio de Ruta]],"")</f>
        <v>0.75555555555911269</v>
      </c>
      <c r="AQ220" s="6">
        <f>IFERROR(OLDBD[[#This Row],[Inicio de Ruta]]-OLDBD[[#This Row],[Salida de almacén de retiro]],"")</f>
        <v>4.6527777776645962E-2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1.0416666671517305E-2</v>
      </c>
      <c r="AV220" s="9">
        <f>IFERROR(OLDBD[[#This Row],[Ingreso Packing]]-OLDBD[[#This Row],[Llegada a packing]],"")</f>
        <v>1.3888888890505768E-2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0" s="5">
        <f>IFERROR(OLDBD[[#This Row],[Llegada Almacén de Ingreso]]-OLDBD[[#This Row],[Salida Packing]],"")</f>
        <v>0.47569444444525288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5" t="s">
        <v>181</v>
      </c>
      <c r="BB220" s="53" t="str">
        <f>IFERROR(IF(MARÍTIMOS[[#This Row],[Estatus]]="","",MARÍTIMOS[[#This Row],[Estatus]]),"")</f>
        <v>Confirmado</v>
      </c>
      <c r="BC220" s="45"/>
      <c r="BD220" s="52">
        <f>IFERROR(OLDBD[[#This Row],[Salida de almacén de retiro]]-OLDBD[[#This Row],[Ingreso Almacén de retiro]],"")</f>
        <v>5.9027777773735579E-2</v>
      </c>
      <c r="BE220" s="52">
        <f>IFERROR(OLDBD[[#This Row],[Fin de Carga]]-OLDBD[[#This Row],[Inicio de Carga]],"")</f>
        <v>0.17708333333575865</v>
      </c>
    </row>
    <row r="221" spans="1:57" x14ac:dyDescent="0.35">
      <c r="A221" s="1"/>
      <c r="B221" s="1">
        <f>IFERROR(IF(MARÍTIMOS[[#This Row],[PP]]="","",MARÍTIMOS[[#This Row],[PP]]),"")</f>
        <v>33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RH-0493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SI</v>
      </c>
      <c r="H221" s="2" t="str">
        <f>IFERROR(IF(MARÍTIMOS[[#This Row],[Razón Social]]="","",MARÍTIMOS[[#This Row],[Razón Social]]),"")</f>
        <v>TRANSPORTES JAAC S.A.C.</v>
      </c>
      <c r="I221" s="2">
        <f>IFERROR(IF(MARÍTIMOS[[#This Row],[RUC]]="","",MARÍTIMOS[[#This Row],[RUC]]),"")</f>
        <v>20601962102</v>
      </c>
      <c r="J221" s="2" t="str">
        <f>IFERROR(IF(MARÍTIMOS[[#This Row],[Placa Tracto]]="","",MARÍTIMOS[[#This Row],[Placa Tracto]]),"")</f>
        <v>W3M-710</v>
      </c>
      <c r="K221" s="2" t="str">
        <f>IFERROR(IF(MARÍTIMOS[[#This Row],[Placa Carreta]]="","",MARÍTIMOS[[#This Row],[Placa Carreta]]),"")</f>
        <v>TJX-986</v>
      </c>
      <c r="L221" s="46" t="str">
        <f>IFERROR(IF(MARÍTIMOS[[#This Row],[Conductor]]="","",MARÍTIMOS[[#This Row],[Conductor]]),"")</f>
        <v>BARRIENTOS MIÑAN JUAN CHARLIE</v>
      </c>
      <c r="M221" s="2" t="str">
        <f>IFERROR(IF(MARÍTIMOS[[#This Row],[Licencia]]="","",MARÍTIMOS[[#This Row],[Licencia]]),"")</f>
        <v>B46376679</v>
      </c>
      <c r="N221" s="2">
        <f>IFERROR(IF(MARÍTIMOS[[#This Row],[Número de Contacto]]="","",MARÍTIMOS[[#This Row],[Número de Contacto]]),"")</f>
        <v>982701637</v>
      </c>
      <c r="O221" s="10" t="str">
        <f>IFERROR(IF(MARÍTIMOS[[#This Row],[Booking|AWB|CRT]]="","",MARÍTIMOS[[#This Row],[Booking|AWB|CRT]]),"")</f>
        <v>BN81293</v>
      </c>
      <c r="P221" s="2" t="str">
        <f>IFERROR(IF(MARÍTIMOS[[#This Row],[Contenedor]]="","",MARÍTIMOS[[#This Row],[Contenedor]]),"")</f>
        <v>TEMU9591403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DPW</v>
      </c>
      <c r="S221" s="11">
        <f>IFERROR(IF(MARÍTIMOS[[#This Row],[Etapa Retiro - Cita]]="","",MARÍTIMOS[[#This Row],[Etapa Retiro - Cita]]),"")</f>
        <v>46250.458333333336</v>
      </c>
      <c r="T221" s="11">
        <f>IFERROR(IF(MARÍTIMOS[[#This Row],[Etapa Retiro - Llegada]]="","",MARÍTIMOS[[#This Row],[Etapa Retiro - Llegada]]),"")</f>
        <v>46250.458333333336</v>
      </c>
      <c r="U221" s="11">
        <f>IFERROR(IF(MARÍTIMOS[[#This Row],[Etapa Retiro - Ingreso]]="","",MARÍTIMOS[[#This Row],[Etapa Retiro - Ingreso]]),"")</f>
        <v>46250.461805555555</v>
      </c>
      <c r="V221" s="11">
        <f>IFERROR(IF(MARÍTIMOS[[#This Row],[Etapa Retiro - Atención]]="","",MARÍTIMOS[[#This Row],[Etapa Retiro - Atención]]),"")</f>
        <v>46250.478472222225</v>
      </c>
      <c r="W221" s="11">
        <f>IFERROR(IF(MARÍTIMOS[[#This Row],[Etapa Retiro - Salida]]="","",MARÍTIMOS[[#This Row],[Etapa Retiro - Salida]]),"")</f>
        <v>46250.493055555555</v>
      </c>
      <c r="X221" s="11">
        <f>IFERROR(IF(MARÍTIMOS[[#This Row],[Etapa Retiro - Inicio de Ruta]]="","",MARÍTIMOS[[#This Row],[Etapa Retiro - Inicio de Ruta]]),"")</f>
        <v>46250.570833333331</v>
      </c>
      <c r="Y221" s="11">
        <f>IFERROR(IF(MARÍTIMOS[[#This Row],[Hora de Posicionamiento]]="","",MARÍTIMOS[[#This Row],[Hora de Carga]]+MARÍTIMOS[[#This Row],[Hora de Posicionamiento]]),"")</f>
        <v>0.75</v>
      </c>
      <c r="Z221" s="11">
        <f>IFERROR(IF(MARÍTIMOS[[#This Row],[Etapa Despacho -  Llegada]]="","",MARÍTIMOS[[#This Row],[Etapa Despacho -  Llegada]]),"")</f>
        <v>46251.303472222222</v>
      </c>
      <c r="AA221" s="11">
        <f>IFERROR(IF(MARÍTIMOS[[#This Row],[Etapa Despacho -  Registro]]="","",MARÍTIMOS[[#This Row],[Etapa Despacho -  Registro]]),"")</f>
        <v>46251.3125</v>
      </c>
      <c r="AB221" s="11">
        <f>IFERROR(IF(MARÍTIMOS[[#This Row],[Inspección Externa]]="","",MARÍTIMOS[[#This Row],[Inspección Externa]]),"")</f>
        <v>46251.326388888891</v>
      </c>
      <c r="AC221" s="11">
        <f>IFERROR(IF(MARÍTIMOS[[#This Row],[Etapa Despacho -  Inicio de Carga]]="","",MARÍTIMOS[[#This Row],[Etapa Despacho -  Inicio de Carga]]),"")</f>
        <v>46251.354166666664</v>
      </c>
      <c r="AD221" s="11">
        <f>IFERROR(IF(MARÍTIMOS[[#This Row],[Etapa Despacho -  Fin de Carga]]="","",MARÍTIMOS[[#This Row],[Etapa Despacho -  Fin de Carga]]),"")</f>
        <v>46251.541666666664</v>
      </c>
      <c r="AE221" s="11">
        <f>IFERROR(IF(MARÍTIMOS[[#This Row],[Etapa Despacho -  Salida]]="","",MARÍTIMOS[[#This Row],[Etapa Despacho -  Salida]]),"")</f>
        <v>46251.561111111114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46252.125</v>
      </c>
      <c r="AI221" s="11">
        <f>IFERROR(IF(MARÍTIMOS[[#This Row],[Etapa Ingreso - Llegada]]="","",MARÍTIMOS[[#This Row],[Etapa Ingreso - Llegada]]),"")</f>
        <v>46252.127083333333</v>
      </c>
      <c r="AJ221" s="11">
        <f>IFERROR(IF(MARÍTIMOS[[#This Row],[Etapa Ingreso - Ingeso]]="","",MARÍTIMOS[[#This Row],[Etapa Ingreso - Ingeso]]),"")</f>
        <v>46252.138888888891</v>
      </c>
      <c r="AK221" s="11">
        <f>IFERROR(IF(MARÍTIMOS[[#This Row],[Etapa Ingreso - Atención]]="","",MARÍTIMOS[[#This Row],[Etapa Ingreso - Atención]]),"")</f>
        <v>46252.142361111109</v>
      </c>
      <c r="AL221" s="11">
        <f>IFERROR(IF(MARÍTIMOS[[#This Row],[Etapa Ingreso - Salida]]="","",MARÍTIMOS[[#This Row],[Etapa Ingreso - Salida]]),"")</f>
        <v>46252.147222222222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1" s="5">
        <f>IFERROR(OLDBD[[#This Row],[Llegada a packing]]-OLDBD[[#This Row],[Inicio de Ruta]],"")</f>
        <v>0.73263888889050577</v>
      </c>
      <c r="AQ221" s="6">
        <f>IFERROR(OLDBD[[#This Row],[Inicio de Ruta]]-OLDBD[[#This Row],[Salida de almacén de retiro]],"")</f>
        <v>7.7777777776645962E-2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1.3888888890505768E-2</v>
      </c>
      <c r="AV221" s="9">
        <f>IFERROR(OLDBD[[#This Row],[Ingreso Packing]]-OLDBD[[#This Row],[Llegada a packing]],"")</f>
        <v>2.2916666668606922E-2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1" s="5">
        <f>IFERROR(OLDBD[[#This Row],[Llegada Almacén de Ingreso]]-OLDBD[[#This Row],[Salida Packing]],"")</f>
        <v>0.56597222221898846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5" t="s">
        <v>181</v>
      </c>
      <c r="BB221" s="53" t="str">
        <f>IFERROR(IF(MARÍTIMOS[[#This Row],[Estatus]]="","",MARÍTIMOS[[#This Row],[Estatus]]),"")</f>
        <v>Confirmado</v>
      </c>
      <c r="BC221" s="45"/>
      <c r="BD221" s="52">
        <f>IFERROR(OLDBD[[#This Row],[Salida de almacén de retiro]]-OLDBD[[#This Row],[Ingreso Almacén de retiro]],"")</f>
        <v>3.125E-2</v>
      </c>
      <c r="BE221" s="52">
        <f>IFERROR(OLDBD[[#This Row],[Fin de Carga]]-OLDBD[[#This Row],[Inicio de Carga]],"")</f>
        <v>0.1875</v>
      </c>
    </row>
    <row r="222" spans="1:57" x14ac:dyDescent="0.35">
      <c r="A222" s="1"/>
      <c r="B222" s="1">
        <f>IFERROR(IF(MARÍTIMOS[[#This Row],[PP]]="","",MARÍTIMOS[[#This Row],[PP]]),"")</f>
        <v>33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RH-0494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SI</v>
      </c>
      <c r="H222" s="2" t="str">
        <f>IFERROR(IF(MARÍTIMOS[[#This Row],[Razón Social]]="","",MARÍTIMOS[[#This Row],[Razón Social]]),"")</f>
        <v>J.J. PACIFICO INVERSIONES E.I.R.L.</v>
      </c>
      <c r="I222" s="2">
        <f>IFERROR(IF(MARÍTIMOS[[#This Row],[RUC]]="","",MARÍTIMOS[[#This Row],[RUC]]),"")</f>
        <v>20608822098</v>
      </c>
      <c r="J222" s="2" t="str">
        <f>IFERROR(IF(MARÍTIMOS[[#This Row],[Placa Tracto]]="","",MARÍTIMOS[[#This Row],[Placa Tracto]]),"")</f>
        <v>BWQ-755</v>
      </c>
      <c r="K222" s="2" t="str">
        <f>IFERROR(IF(MARÍTIMOS[[#This Row],[Placa Carreta]]="","",MARÍTIMOS[[#This Row],[Placa Carreta]]),"")</f>
        <v>TMK-982</v>
      </c>
      <c r="L222" s="46" t="str">
        <f>IFERROR(IF(MARÍTIMOS[[#This Row],[Conductor]]="","",MARÍTIMOS[[#This Row],[Conductor]]),"")</f>
        <v>GUITIERREZ GUITIERREZ MIGUEL ARGENES</v>
      </c>
      <c r="M222" s="2" t="str">
        <f>IFERROR(IF(MARÍTIMOS[[#This Row],[Licencia]]="","",MARÍTIMOS[[#This Row],[Licencia]]),"")</f>
        <v>B43303300</v>
      </c>
      <c r="N222" s="2">
        <f>IFERROR(IF(MARÍTIMOS[[#This Row],[Número de Contacto]]="","",MARÍTIMOS[[#This Row],[Número de Contacto]]),"")</f>
        <v>922823089</v>
      </c>
      <c r="O222" s="10" t="str">
        <f>IFERROR(IF(MARÍTIMOS[[#This Row],[Booking|AWB|CRT]]="","",MARÍTIMOS[[#This Row],[Booking|AWB|CRT]]),"")</f>
        <v>BN81294</v>
      </c>
      <c r="P222" s="2" t="str">
        <f>IFERROR(IF(MARÍTIMOS[[#This Row],[Contenedor]]="","",MARÍTIMOS[[#This Row],[Contenedor]]),"")</f>
        <v>TEMU9497824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DPW</v>
      </c>
      <c r="S222" s="11">
        <f>IFERROR(IF(MARÍTIMOS[[#This Row],[Etapa Retiro - Cita]]="","",MARÍTIMOS[[#This Row],[Etapa Retiro - Cita]]),"")</f>
        <v>46250.666666666664</v>
      </c>
      <c r="T222" s="11">
        <f>IFERROR(IF(MARÍTIMOS[[#This Row],[Etapa Retiro - Llegada]]="","",MARÍTIMOS[[#This Row],[Etapa Retiro - Llegada]]),"")</f>
        <v>46250.695833333331</v>
      </c>
      <c r="U222" s="11">
        <f>IFERROR(IF(MARÍTIMOS[[#This Row],[Etapa Retiro - Ingreso]]="","",MARÍTIMOS[[#This Row],[Etapa Retiro - Ingreso]]),"")</f>
        <v>46250.697916666664</v>
      </c>
      <c r="V222" s="11">
        <f>IFERROR(IF(MARÍTIMOS[[#This Row],[Etapa Retiro - Atención]]="","",MARÍTIMOS[[#This Row],[Etapa Retiro - Atención]]),"")</f>
        <v>46250.713888888888</v>
      </c>
      <c r="W222" s="11">
        <f>IFERROR(IF(MARÍTIMOS[[#This Row],[Etapa Retiro - Salida]]="","",MARÍTIMOS[[#This Row],[Etapa Retiro - Salida]]),"")</f>
        <v>46250.729166666664</v>
      </c>
      <c r="X222" s="11">
        <f>IFERROR(IF(MARÍTIMOS[[#This Row],[Etapa Retiro - Inicio de Ruta]]="","",MARÍTIMOS[[#This Row],[Etapa Retiro - Inicio de Ruta]]),"")</f>
        <v>46250.866666666669</v>
      </c>
      <c r="Y222" s="11">
        <f>IFERROR(IF(MARÍTIMOS[[#This Row],[Hora de Posicionamiento]]="","",MARÍTIMOS[[#This Row],[Hora de Carga]]+MARÍTIMOS[[#This Row],[Hora de Posicionamiento]]),"")</f>
        <v>1.0833333333333335</v>
      </c>
      <c r="Z222" s="11">
        <f>IFERROR(IF(MARÍTIMOS[[#This Row],[Etapa Despacho -  Llegada]]="","",MARÍTIMOS[[#This Row],[Etapa Despacho -  Llegada]]),"")</f>
        <v>46251.5</v>
      </c>
      <c r="AA222" s="11">
        <f>IFERROR(IF(MARÍTIMOS[[#This Row],[Etapa Despacho -  Registro]]="","",MARÍTIMOS[[#This Row],[Etapa Despacho -  Registro]]),"")</f>
        <v>46251.517361111109</v>
      </c>
      <c r="AB222" s="11">
        <f>IFERROR(IF(MARÍTIMOS[[#This Row],[Inspección Externa]]="","",MARÍTIMOS[[#This Row],[Inspección Externa]]),"")</f>
        <v>46251.541666666664</v>
      </c>
      <c r="AC222" s="11">
        <f>IFERROR(IF(MARÍTIMOS[[#This Row],[Etapa Despacho -  Inicio de Carga]]="","",MARÍTIMOS[[#This Row],[Etapa Despacho -  Inicio de Carga]]),"")</f>
        <v>46251.555555555555</v>
      </c>
      <c r="AD222" s="11">
        <f>IFERROR(IF(MARÍTIMOS[[#This Row],[Etapa Despacho -  Fin de Carga]]="","",MARÍTIMOS[[#This Row],[Etapa Despacho -  Fin de Carga]]),"")</f>
        <v>46251.666666666664</v>
      </c>
      <c r="AE222" s="11">
        <f>IFERROR(IF(MARÍTIMOS[[#This Row],[Etapa Despacho -  Salida]]="","",MARÍTIMOS[[#This Row],[Etapa Despacho -  Salida]]),"")</f>
        <v>46251.682638888888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46252.416666666664</v>
      </c>
      <c r="AI222" s="11">
        <f>IFERROR(IF(MARÍTIMOS[[#This Row],[Etapa Ingreso - Llegada]]="","",MARÍTIMOS[[#This Row],[Etapa Ingreso - Llegada]]),"")</f>
        <v>46252.443055555559</v>
      </c>
      <c r="AJ222" s="11">
        <f>IFERROR(IF(MARÍTIMOS[[#This Row],[Etapa Ingreso - Ingeso]]="","",MARÍTIMOS[[#This Row],[Etapa Ingreso - Ingeso]]),"")</f>
        <v>46252.446527777778</v>
      </c>
      <c r="AK222" s="11">
        <f>IFERROR(IF(MARÍTIMOS[[#This Row],[Etapa Ingreso - Atención]]="","",MARÍTIMOS[[#This Row],[Etapa Ingreso - Atención]]),"")</f>
        <v>46252.448611111111</v>
      </c>
      <c r="AL222" s="11">
        <f>IFERROR(IF(MARÍTIMOS[[#This Row],[Etapa Ingreso - Salida]]="","",MARÍTIMOS[[#This Row],[Etapa Ingreso - Salida]]),"")</f>
        <v>46252.453472222223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2" s="5">
        <f>IFERROR(OLDBD[[#This Row],[Llegada a packing]]-OLDBD[[#This Row],[Inicio de Ruta]],"")</f>
        <v>0.63333333333139308</v>
      </c>
      <c r="AQ222" s="6">
        <f>IFERROR(OLDBD[[#This Row],[Inicio de Ruta]]-OLDBD[[#This Row],[Salida de almacén de retiro]],"")</f>
        <v>0.13750000000436557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2.4305555554747116E-2</v>
      </c>
      <c r="AV222" s="9">
        <f>IFERROR(OLDBD[[#This Row],[Ingreso Packing]]-OLDBD[[#This Row],[Llegada a packing]],"")</f>
        <v>4.1666666664241347E-2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2" s="5">
        <f>IFERROR(OLDBD[[#This Row],[Llegada Almacén de Ingreso]]-OLDBD[[#This Row],[Salida Packing]],"")</f>
        <v>0.76041666667151731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5" t="s">
        <v>181</v>
      </c>
      <c r="BB222" s="53" t="str">
        <f>IFERROR(IF(MARÍTIMOS[[#This Row],[Estatus]]="","",MARÍTIMOS[[#This Row],[Estatus]]),"")</f>
        <v>Confirmado</v>
      </c>
      <c r="BC222" s="45"/>
      <c r="BD222" s="52">
        <f>IFERROR(OLDBD[[#This Row],[Salida de almacén de retiro]]-OLDBD[[#This Row],[Ingreso Almacén de retiro]],"")</f>
        <v>3.125E-2</v>
      </c>
      <c r="BE222" s="52">
        <f>IFERROR(OLDBD[[#This Row],[Fin de Carga]]-OLDBD[[#This Row],[Inicio de Carga]],"")</f>
        <v>0.11111111110949423</v>
      </c>
    </row>
    <row r="223" spans="1:57" x14ac:dyDescent="0.35">
      <c r="A223" s="1"/>
      <c r="B223" s="1">
        <f>IFERROR(IF(MARÍTIMOS[[#This Row],[PP]]="","",MARÍTIMOS[[#This Row],[PP]]),"")</f>
        <v>33</v>
      </c>
      <c r="C223" s="1" t="str">
        <f>IFERROR(IF(MARÍTIMOS[[#This Row],[Sede]]="","",MARÍTIMOS[[#This Row],[Sede]]),"")</f>
        <v>Chao</v>
      </c>
      <c r="D223" s="1" t="str">
        <f>IFERROR(IF(MARÍTIMOS[[#This Row],[Instruction]]="","",MARÍTIMOS[[#This Row],[Instruction]]),"")</f>
        <v>RH-0510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SI</v>
      </c>
      <c r="H223" s="2" t="str">
        <f>IFERROR(IF(MARÍTIMOS[[#This Row],[Razón Social]]="","",MARÍTIMOS[[#This Row],[Razón Social]]),"")</f>
        <v>TRANSPORTES KALING SOCIEDAD ANONIMA CERRADA</v>
      </c>
      <c r="I223" s="2">
        <f>IFERROR(IF(MARÍTIMOS[[#This Row],[RUC]]="","",MARÍTIMOS[[#This Row],[RUC]]),"")</f>
        <v>20611958651</v>
      </c>
      <c r="J223" s="2" t="str">
        <f>IFERROR(IF(MARÍTIMOS[[#This Row],[Placa Tracto]]="","",MARÍTIMOS[[#This Row],[Placa Tracto]]),"")</f>
        <v>TFH-903</v>
      </c>
      <c r="K223" s="2" t="str">
        <f>IFERROR(IF(MARÍTIMOS[[#This Row],[Placa Carreta]]="","",MARÍTIMOS[[#This Row],[Placa Carreta]]),"")</f>
        <v>T0R-993</v>
      </c>
      <c r="L223" s="46" t="str">
        <f>IFERROR(IF(MARÍTIMOS[[#This Row],[Conductor]]="","",MARÍTIMOS[[#This Row],[Conductor]]),"")</f>
        <v>ORTIZ MOORE VICENTE VICTOR</v>
      </c>
      <c r="M223" s="2" t="str">
        <f>IFERROR(IF(MARÍTIMOS[[#This Row],[Licencia]]="","",MARÍTIMOS[[#This Row],[Licencia]]),"")</f>
        <v>E32961998</v>
      </c>
      <c r="N223" s="2">
        <f>IFERROR(IF(MARÍTIMOS[[#This Row],[Número de Contacto]]="","",MARÍTIMOS[[#This Row],[Número de Contacto]]),"")</f>
        <v>952102899</v>
      </c>
      <c r="O223" s="10" t="str">
        <f>IFERROR(IF(MARÍTIMOS[[#This Row],[Booking|AWB|CRT]]="","",MARÍTIMOS[[#This Row],[Booking|AWB|CRT]]),"")</f>
        <v>PER9185427A</v>
      </c>
      <c r="P223" s="2" t="str">
        <f>IFERROR(IF(MARÍTIMOS[[#This Row],[Contenedor]]="","",MARÍTIMOS[[#This Row],[Contenedor]]),"")</f>
        <v>SEKU9425294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DPW</v>
      </c>
      <c r="S223" s="11">
        <f>IFERROR(IF(MARÍTIMOS[[#This Row],[Etapa Retiro - Cita]]="","",MARÍTIMOS[[#This Row],[Etapa Retiro - Cita]]),"")</f>
        <v>46251.458333333336</v>
      </c>
      <c r="T223" s="11">
        <f>IFERROR(IF(MARÍTIMOS[[#This Row],[Etapa Retiro - Llegada]]="","",MARÍTIMOS[[#This Row],[Etapa Retiro - Llegada]]),"")</f>
        <v>46251.474999999999</v>
      </c>
      <c r="U223" s="11">
        <f>IFERROR(IF(MARÍTIMOS[[#This Row],[Etapa Retiro - Ingreso]]="","",MARÍTIMOS[[#This Row],[Etapa Retiro - Ingreso]]),"")</f>
        <v>46251.479166666664</v>
      </c>
      <c r="V223" s="11">
        <f>IFERROR(IF(MARÍTIMOS[[#This Row],[Etapa Retiro - Atención]]="","",MARÍTIMOS[[#This Row],[Etapa Retiro - Atención]]),"")</f>
        <v>46251.495833333334</v>
      </c>
      <c r="W223" s="11">
        <f>IFERROR(IF(MARÍTIMOS[[#This Row],[Etapa Retiro - Salida]]="","",MARÍTIMOS[[#This Row],[Etapa Retiro - Salida]]),"")</f>
        <v>46251.513888888891</v>
      </c>
      <c r="X223" s="11">
        <f>IFERROR(IF(MARÍTIMOS[[#This Row],[Etapa Retiro - Inicio de Ruta]]="","",MARÍTIMOS[[#This Row],[Etapa Retiro - Inicio de Ruta]]),"")</f>
        <v>46251.543749999997</v>
      </c>
      <c r="Y223" s="11">
        <f>IFERROR(IF(MARÍTIMOS[[#This Row],[Hora de Posicionamiento]]="","",MARÍTIMOS[[#This Row],[Hora de Carga]]+MARÍTIMOS[[#This Row],[Hora de Posicionamiento]]),"")</f>
        <v>0.75</v>
      </c>
      <c r="Z223" s="11">
        <f>IFERROR(IF(MARÍTIMOS[[#This Row],[Etapa Despacho -  Llegada]]="","",MARÍTIMOS[[#This Row],[Etapa Despacho -  Llegada]]),"")</f>
        <v>46252.272916666669</v>
      </c>
      <c r="AA223" s="11">
        <f>IFERROR(IF(MARÍTIMOS[[#This Row],[Etapa Despacho -  Registro]]="","",MARÍTIMOS[[#This Row],[Etapa Despacho -  Registro]]),"")</f>
        <v>46252.277777777781</v>
      </c>
      <c r="AB223" s="11">
        <f>IFERROR(IF(MARÍTIMOS[[#This Row],[Inspección Externa]]="","",MARÍTIMOS[[#This Row],[Inspección Externa]]),"")</f>
        <v>46252.291666666664</v>
      </c>
      <c r="AC223" s="11">
        <f>IFERROR(IF(MARÍTIMOS[[#This Row],[Etapa Despacho -  Inicio de Carga]]="","",MARÍTIMOS[[#This Row],[Etapa Despacho -  Inicio de Carga]]),"")</f>
        <v>46252.319444444445</v>
      </c>
      <c r="AD223" s="11">
        <f>IFERROR(IF(MARÍTIMOS[[#This Row],[Etapa Despacho -  Fin de Carga]]="","",MARÍTIMOS[[#This Row],[Etapa Despacho -  Fin de Carga]]),"")</f>
        <v>46252.520833333336</v>
      </c>
      <c r="AE223" s="11">
        <f>IFERROR(IF(MARÍTIMOS[[#This Row],[Etapa Despacho -  Salida]]="","",MARÍTIMOS[[#This Row],[Etapa Despacho -  Salida]]),"")</f>
        <v>46252.529861111114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46253.041666666664</v>
      </c>
      <c r="AI223" s="11">
        <f>IFERROR(IF(MARÍTIMOS[[#This Row],[Etapa Ingreso - Llegada]]="","",MARÍTIMOS[[#This Row],[Etapa Ingreso - Llegada]]),"")</f>
        <v>46253.053472222222</v>
      </c>
      <c r="AJ223" s="11">
        <f>IFERROR(IF(MARÍTIMOS[[#This Row],[Etapa Ingreso - Ingeso]]="","",MARÍTIMOS[[#This Row],[Etapa Ingreso - Ingeso]]),"")</f>
        <v>46253.061111111114</v>
      </c>
      <c r="AK223" s="11">
        <f>IFERROR(IF(MARÍTIMOS[[#This Row],[Etapa Ingreso - Atención]]="","",MARÍTIMOS[[#This Row],[Etapa Ingreso - Atención]]),"")</f>
        <v>46253.063888888886</v>
      </c>
      <c r="AL223" s="11">
        <f>IFERROR(IF(MARÍTIMOS[[#This Row],[Etapa Ingreso - Salida]]="","",MARÍTIMOS[[#This Row],[Etapa Ingreso - Salida]]),"")</f>
        <v>46253.077777777777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0.72916666667151731</v>
      </c>
      <c r="AQ223" s="6">
        <f>IFERROR(OLDBD[[#This Row],[Inicio de Ruta]]-OLDBD[[#This Row],[Salida de almacén de retiro]],"")</f>
        <v>2.9861111106583849E-2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1.3888888883229811E-2</v>
      </c>
      <c r="AV223" s="9">
        <f>IFERROR(OLDBD[[#This Row],[Ingreso Packing]]-OLDBD[[#This Row],[Llegada a packing]],"")</f>
        <v>1.8749999995634425E-2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3" s="5">
        <f>IFERROR(OLDBD[[#This Row],[Llegada Almacén de Ingreso]]-OLDBD[[#This Row],[Salida Packing]],"")</f>
        <v>0.52361111110803904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5" t="s">
        <v>181</v>
      </c>
      <c r="BB223" s="53" t="str">
        <f>IFERROR(IF(MARÍTIMOS[[#This Row],[Estatus]]="","",MARÍTIMOS[[#This Row],[Estatus]]),"")</f>
        <v>Confirmado</v>
      </c>
      <c r="BC223" s="45"/>
      <c r="BD223" s="52">
        <f>IFERROR(OLDBD[[#This Row],[Salida de almacén de retiro]]-OLDBD[[#This Row],[Ingreso Almacén de retiro]],"")</f>
        <v>3.4722222226264421E-2</v>
      </c>
      <c r="BE223" s="52">
        <f>IFERROR(OLDBD[[#This Row],[Fin de Carga]]-OLDBD[[#This Row],[Inicio de Carga]],"")</f>
        <v>0.20138888889050577</v>
      </c>
    </row>
    <row r="224" spans="1:57" x14ac:dyDescent="0.35">
      <c r="A224" s="1"/>
      <c r="B224" s="1">
        <f>IFERROR(IF(MARÍTIMOS[[#This Row],[PP]]="","",MARÍTIMOS[[#This Row],[PP]]),"")</f>
        <v>33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RH-0511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SI</v>
      </c>
      <c r="H224" s="2" t="str">
        <f>IFERROR(IF(MARÍTIMOS[[#This Row],[Razón Social]]="","",MARÍTIMOS[[#This Row],[Razón Social]]),"")</f>
        <v>LOGISTICS TRANSPORT SOCIEDAD ANONIMA CERRADA</v>
      </c>
      <c r="I224" s="2">
        <f>IFERROR(IF(MARÍTIMOS[[#This Row],[RUC]]="","",MARÍTIMOS[[#This Row],[RUC]]),"")</f>
        <v>20614402246</v>
      </c>
      <c r="J224" s="2" t="str">
        <f>IFERROR(IF(MARÍTIMOS[[#This Row],[Placa Tracto]]="","",MARÍTIMOS[[#This Row],[Placa Tracto]]),"")</f>
        <v>D4J-829</v>
      </c>
      <c r="K224" s="2" t="str">
        <f>IFERROR(IF(MARÍTIMOS[[#This Row],[Placa Carreta]]="","",MARÍTIMOS[[#This Row],[Placa Carreta]]),"")</f>
        <v>TJZ-980</v>
      </c>
      <c r="L224" s="46" t="str">
        <f>IFERROR(IF(MARÍTIMOS[[#This Row],[Conductor]]="","",MARÍTIMOS[[#This Row],[Conductor]]),"")</f>
        <v>CHIROQUE IMAN JOSE NICOLAS</v>
      </c>
      <c r="M224" s="2" t="str">
        <f>IFERROR(IF(MARÍTIMOS[[#This Row],[Licencia]]="","",MARÍTIMOS[[#This Row],[Licencia]]),"")</f>
        <v>C16578741</v>
      </c>
      <c r="N224" s="2">
        <f>IFERROR(IF(MARÍTIMOS[[#This Row],[Número de Contacto]]="","",MARÍTIMOS[[#This Row],[Número de Contacto]]),"")</f>
        <v>914113779</v>
      </c>
      <c r="O224" s="10" t="str">
        <f>IFERROR(IF(MARÍTIMOS[[#This Row],[Booking|AWB|CRT]]="","",MARÍTIMOS[[#This Row],[Booking|AWB|CRT]]),"")</f>
        <v>PER9185428A</v>
      </c>
      <c r="P224" s="2" t="str">
        <f>IFERROR(IF(MARÍTIMOS[[#This Row],[Contenedor]]="","",MARÍTIMOS[[#This Row],[Contenedor]]),"")</f>
        <v>SZLU5008558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46251.458333333336</v>
      </c>
      <c r="T224" s="11">
        <f>IFERROR(IF(MARÍTIMOS[[#This Row],[Etapa Retiro - Llegada]]="","",MARÍTIMOS[[#This Row],[Etapa Retiro - Llegada]]),"")</f>
        <v>46251.486111111109</v>
      </c>
      <c r="U224" s="11">
        <f>IFERROR(IF(MARÍTIMOS[[#This Row],[Etapa Retiro - Ingreso]]="","",MARÍTIMOS[[#This Row],[Etapa Retiro - Ingreso]]),"")</f>
        <v>46251.489583333336</v>
      </c>
      <c r="V224" s="11">
        <f>IFERROR(IF(MARÍTIMOS[[#This Row],[Etapa Retiro - Atención]]="","",MARÍTIMOS[[#This Row],[Etapa Retiro - Atención]]),"")</f>
        <v>46251.499305555553</v>
      </c>
      <c r="W224" s="11">
        <f>IFERROR(IF(MARÍTIMOS[[#This Row],[Etapa Retiro - Salida]]="","",MARÍTIMOS[[#This Row],[Etapa Retiro - Salida]]),"")</f>
        <v>46251.513888888891</v>
      </c>
      <c r="X224" s="11">
        <f>IFERROR(IF(MARÍTIMOS[[#This Row],[Etapa Retiro - Inicio de Ruta]]="","",MARÍTIMOS[[#This Row],[Etapa Retiro - Inicio de Ruta]]),"")</f>
        <v>46251.551388888889</v>
      </c>
      <c r="Y224" s="11">
        <f>IFERROR(IF(MARÍTIMOS[[#This Row],[Hora de Posicionamiento]]="","",MARÍTIMOS[[#This Row],[Hora de Carga]]+MARÍTIMOS[[#This Row],[Hora de Posicionamiento]]),"")</f>
        <v>0.75</v>
      </c>
      <c r="Z224" s="11">
        <f>IFERROR(IF(MARÍTIMOS[[#This Row],[Etapa Despacho -  Llegada]]="","",MARÍTIMOS[[#This Row],[Etapa Despacho -  Llegada]]),"")</f>
        <v>46252.372916666667</v>
      </c>
      <c r="AA224" s="11">
        <f>IFERROR(IF(MARÍTIMOS[[#This Row],[Etapa Despacho -  Registro]]="","",MARÍTIMOS[[#This Row],[Etapa Despacho -  Registro]]),"")</f>
        <v>46252.375</v>
      </c>
      <c r="AB224" s="11">
        <f>IFERROR(IF(MARÍTIMOS[[#This Row],[Inspección Externa]]="","",MARÍTIMOS[[#This Row],[Inspección Externa]]),"")</f>
        <v>46252.388888888891</v>
      </c>
      <c r="AC224" s="11">
        <f>IFERROR(IF(MARÍTIMOS[[#This Row],[Etapa Despacho -  Inicio de Carga]]="","",MARÍTIMOS[[#This Row],[Etapa Despacho -  Inicio de Carga]]),"")</f>
        <v>46252.423611111109</v>
      </c>
      <c r="AD224" s="11">
        <f>IFERROR(IF(MARÍTIMOS[[#This Row],[Etapa Despacho -  Fin de Carga]]="","",MARÍTIMOS[[#This Row],[Etapa Despacho -  Fin de Carga]]),"")</f>
        <v>46252.520833333336</v>
      </c>
      <c r="AE224" s="11">
        <f>IFERROR(IF(MARÍTIMOS[[#This Row],[Etapa Despacho -  Salida]]="","",MARÍTIMOS[[#This Row],[Etapa Despacho -  Salida]]),"")</f>
        <v>46252.53402777778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46253.291666666664</v>
      </c>
      <c r="AI224" s="11">
        <f>IFERROR(IF(MARÍTIMOS[[#This Row],[Etapa Ingreso - Llegada]]="","",MARÍTIMOS[[#This Row],[Etapa Ingreso - Llegada]]),"")</f>
        <v>46253.311805555553</v>
      </c>
      <c r="AJ224" s="11">
        <f>IFERROR(IF(MARÍTIMOS[[#This Row],[Etapa Ingreso - Ingeso]]="","",MARÍTIMOS[[#This Row],[Etapa Ingreso - Ingeso]]),"")</f>
        <v>46253.318055555559</v>
      </c>
      <c r="AK224" s="11">
        <f>IFERROR(IF(MARÍTIMOS[[#This Row],[Etapa Ingreso - Atención]]="","",MARÍTIMOS[[#This Row],[Etapa Ingreso - Atención]]),"")</f>
        <v>46253.320833333331</v>
      </c>
      <c r="AL224" s="11">
        <f>IFERROR(IF(MARÍTIMOS[[#This Row],[Etapa Ingreso - Salida]]="","",MARÍTIMOS[[#This Row],[Etapa Ingreso - Salida]]),"")</f>
        <v>46253.322916666664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0.82152777777810115</v>
      </c>
      <c r="AQ224" s="6">
        <f>IFERROR(OLDBD[[#This Row],[Inicio de Ruta]]-OLDBD[[#This Row],[Salida de almacén de retiro]],"")</f>
        <v>3.7499999998544808E-2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1.3888888890505768E-2</v>
      </c>
      <c r="AV224" s="9">
        <f>IFERROR(OLDBD[[#This Row],[Ingreso Packing]]-OLDBD[[#This Row],[Llegada a packing]],"")</f>
        <v>1.5972222223354038E-2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4" s="5">
        <f>IFERROR(OLDBD[[#This Row],[Llegada Almacén de Ingreso]]-OLDBD[[#This Row],[Salida Packing]],"")</f>
        <v>0.77777777777373558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5" t="s">
        <v>181</v>
      </c>
      <c r="BB224" s="53" t="str">
        <f>IFERROR(IF(MARÍTIMOS[[#This Row],[Estatus]]="","",MARÍTIMOS[[#This Row],[Estatus]]),"")</f>
        <v>Confirmado</v>
      </c>
      <c r="BC224" s="45"/>
      <c r="BD224" s="52">
        <f>IFERROR(OLDBD[[#This Row],[Salida de almacén de retiro]]-OLDBD[[#This Row],[Ingreso Almacén de retiro]],"")</f>
        <v>2.4305555554747116E-2</v>
      </c>
      <c r="BE224" s="52">
        <f>IFERROR(OLDBD[[#This Row],[Fin de Carga]]-OLDBD[[#This Row],[Inicio de Carga]],"")</f>
        <v>9.7222222226264421E-2</v>
      </c>
    </row>
    <row r="225" spans="1:57" x14ac:dyDescent="0.35">
      <c r="A225" s="1"/>
      <c r="B225" s="1">
        <f>IFERROR(IF(MARÍTIMOS[[#This Row],[PP]]="","",MARÍTIMOS[[#This Row],[PP]]),"")</f>
        <v>34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RH-0542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/>
      </c>
      <c r="H225" s="2" t="str">
        <f>IFERROR(IF(MARÍTIMOS[[#This Row],[Razón Social]]="","",MARÍTIMOS[[#This Row],[Razón Social]]),"")</f>
        <v/>
      </c>
      <c r="I225" s="2" t="str">
        <f>IFERROR(IF(MARÍTIMOS[[#This Row],[RUC]]="","",MARÍTIMOS[[#This Row],[RUC]]),"")</f>
        <v/>
      </c>
      <c r="J225" s="2" t="str">
        <f>IFERROR(IF(MARÍTIMOS[[#This Row],[Placa Tracto]]="","",MARÍTIMOS[[#This Row],[Placa Tracto]]),"")</f>
        <v/>
      </c>
      <c r="K225" s="2" t="str">
        <f>IFERROR(IF(MARÍTIMOS[[#This Row],[Placa Carreta]]="","",MARÍTIMOS[[#This Row],[Placa Carreta]]),"")</f>
        <v/>
      </c>
      <c r="L225" s="46" t="str">
        <f>IFERROR(IF(MARÍTIMOS[[#This Row],[Conductor]]="","",MARÍTIMOS[[#This Row],[Conductor]]),"")</f>
        <v/>
      </c>
      <c r="M225" s="2" t="str">
        <f>IFERROR(IF(MARÍTIMOS[[#This Row],[Licencia]]="","",MARÍTIMOS[[#This Row],[Licencia]]),"")</f>
        <v/>
      </c>
      <c r="N225" s="2" t="str">
        <f>IFERROR(IF(MARÍTIMOS[[#This Row],[Número de Contacto]]="","",MARÍTIMOS[[#This Row],[Número de Contacto]]),"")</f>
        <v/>
      </c>
      <c r="O225" s="10">
        <f>IFERROR(IF(MARÍTIMOS[[#This Row],[Booking|AWB|CRT]]="","",MARÍTIMOS[[#This Row],[Booking|AWB|CRT]]),"")</f>
        <v>275833094</v>
      </c>
      <c r="P225" s="2" t="str">
        <f>IFERROR(IF(MARÍTIMOS[[#This Row],[Contenedor]]="","",MARÍTIMOS[[#This Row],[Contenedor]]),"")</f>
        <v>MNBU9152081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/>
      </c>
      <c r="S225" s="11" t="str">
        <f>IFERROR(IF(MARÍTIMOS[[#This Row],[Etapa Retiro - Cita]]="","",MARÍTIMOS[[#This Row],[Etapa Retiro - Cita]]),"")</f>
        <v/>
      </c>
      <c r="T225" s="11" t="str">
        <f>IFERROR(IF(MARÍTIMOS[[#This Row],[Etapa Retiro - Llegada]]="","",MARÍTIMOS[[#This Row],[Etapa Retiro - Llegada]]),"")</f>
        <v/>
      </c>
      <c r="U225" s="11" t="str">
        <f>IFERROR(IF(MARÍTIMOS[[#This Row],[Etapa Retiro - Ingreso]]="","",MARÍTIMOS[[#This Row],[Etapa Retiro - Ingreso]]),"")</f>
        <v/>
      </c>
      <c r="V225" s="11" t="str">
        <f>IFERROR(IF(MARÍTIMOS[[#This Row],[Etapa Retiro - Atención]]="","",MARÍTIMOS[[#This Row],[Etapa Retiro - Atención]]),"")</f>
        <v/>
      </c>
      <c r="W225" s="11" t="str">
        <f>IFERROR(IF(MARÍTIMOS[[#This Row],[Etapa Retiro - Salida]]="","",MARÍTIMOS[[#This Row],[Etapa Retiro - Salida]]),"")</f>
        <v/>
      </c>
      <c r="X225" s="11" t="str">
        <f>IFERROR(IF(MARÍTIMOS[[#This Row],[Etapa Retiro - Inicio de Ruta]]="","",MARÍTIMOS[[#This Row],[Etapa Retiro - Inicio de Ruta]]),"")</f>
        <v/>
      </c>
      <c r="Y225" s="11">
        <f>IFERROR(IF(MARÍTIMOS[[#This Row],[Hora de Posicionamiento]]="","",MARÍTIMOS[[#This Row],[Hora de Carga]]+MARÍTIMOS[[#This Row],[Hora de Posicionamiento]]),"")</f>
        <v>1.1666666666666665</v>
      </c>
      <c r="Z225" s="11" t="str">
        <f>IFERROR(IF(MARÍTIMOS[[#This Row],[Etapa Despacho -  Llegada]]="","",MARÍTIMOS[[#This Row],[Etapa Despacho -  Llegada]]),"")</f>
        <v/>
      </c>
      <c r="AA225" s="11" t="str">
        <f>IFERROR(IF(MARÍTIMOS[[#This Row],[Etapa Despacho -  Registro]]="","",MARÍTIMOS[[#This Row],[Etapa Despacho -  Registro]]),"")</f>
        <v/>
      </c>
      <c r="AB225" s="11" t="str">
        <f>IFERROR(IF(MARÍTIMOS[[#This Row],[Inspección Externa]]="","",MARÍTIMOS[[#This Row],[Inspección Externa]]),"")</f>
        <v/>
      </c>
      <c r="AC225" s="11" t="str">
        <f>IFERROR(IF(MARÍTIMOS[[#This Row],[Etapa Despacho -  Inicio de Carga]]="","",MARÍTIMOS[[#This Row],[Etapa Despacho -  Inicio de Carga]]),"")</f>
        <v/>
      </c>
      <c r="AD225" s="11" t="str">
        <f>IFERROR(IF(MARÍTIMOS[[#This Row],[Etapa Despacho -  Fin de Carga]]="","",MARÍTIMOS[[#This Row],[Etapa Despacho -  Fin de Carga]]),"")</f>
        <v/>
      </c>
      <c r="AE225" s="11" t="str">
        <f>IFERROR(IF(MARÍTIMOS[[#This Row],[Etapa Despacho -  Salida]]="","",MARÍTIMOS[[#This Row],[Etapa Despacho -  Salida]]),"")</f>
        <v/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 t="str">
        <f>IFERROR(IF(MARÍTIMOS[[#This Row],[Etapa Ingreso - Cita]]="","",MARÍTIMOS[[#This Row],[Etapa Ingreso - Cita]]),"")</f>
        <v/>
      </c>
      <c r="AI225" s="11" t="str">
        <f>IFERROR(IF(MARÍTIMOS[[#This Row],[Etapa Ingreso - Llegada]]="","",MARÍTIMOS[[#This Row],[Etapa Ingreso - Llegada]]),"")</f>
        <v/>
      </c>
      <c r="AJ225" s="11" t="str">
        <f>IFERROR(IF(MARÍTIMOS[[#This Row],[Etapa Ingreso - Ingeso]]="","",MARÍTIMOS[[#This Row],[Etapa Ingreso - Ingeso]]),"")</f>
        <v/>
      </c>
      <c r="AK225" s="11" t="str">
        <f>IFERROR(IF(MARÍTIMOS[[#This Row],[Etapa Ingreso - Atención]]="","",MARÍTIMOS[[#This Row],[Etapa Ingreso - Atención]]),"")</f>
        <v/>
      </c>
      <c r="AL225" s="11" t="str">
        <f>IFERROR(IF(MARÍTIMOS[[#This Row],[Etapa Ingreso - Salida]]="","",MARÍTIMOS[[#This Row],[Etapa Ingreso - Salida]]),"")</f>
        <v/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25" s="5" t="str">
        <f>IFERROR(OLDBD[[#This Row],[Llegada a packing]]-OLDBD[[#This Row],[Inicio de Ruta]],"")</f>
        <v/>
      </c>
      <c r="AQ225" s="6" t="str">
        <f>IFERROR(OLDBD[[#This Row],[Inicio de Ruta]]-OLDBD[[#This Row],[Salida de almacén de retiro]],"")</f>
        <v/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25" s="9" t="str">
        <f>IFERROR(OLDBD[[#This Row],[Ingreso Packing]]-OLDBD[[#This Row],[Registro en Packing]],"")</f>
        <v/>
      </c>
      <c r="AV225" s="9" t="str">
        <f>IFERROR(OLDBD[[#This Row],[Ingreso Packing]]-OLDBD[[#This Row],[Llegada a packing]],"")</f>
        <v/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25" s="5" t="str">
        <f>IFERROR(OLDBD[[#This Row],[Llegada Almacén de Ingreso]]-OLDBD[[#This Row],[Salida Packing]],"")</f>
        <v/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25" s="45" t="s">
        <v>181</v>
      </c>
      <c r="BB225" s="53" t="str">
        <f>IFERROR(IF(MARÍTIMOS[[#This Row],[Estatus]]="","",MARÍTIMOS[[#This Row],[Estatus]]),"")</f>
        <v>Confirmado</v>
      </c>
      <c r="BC225" s="45"/>
      <c r="BD225" s="52" t="str">
        <f>IFERROR(OLDBD[[#This Row],[Salida de almacén de retiro]]-OLDBD[[#This Row],[Ingreso Almacén de retiro]],"")</f>
        <v/>
      </c>
      <c r="BE225" s="52" t="str">
        <f>IFERROR(OLDBD[[#This Row],[Fin de Carga]]-OLDBD[[#This Row],[Inicio de Carga]],"")</f>
        <v/>
      </c>
    </row>
    <row r="226" spans="1:57" x14ac:dyDescent="0.35">
      <c r="A226" s="1"/>
      <c r="B226" s="1">
        <f>IFERROR(IF(MARÍTIMOS[[#This Row],[PP]]="","",MARÍTIMOS[[#This Row],[PP]]),"")</f>
        <v>34</v>
      </c>
      <c r="C226" s="1" t="str">
        <f>IFERROR(IF(MARÍTIMOS[[#This Row],[Sede]]="","",MARÍTIMOS[[#This Row],[Sede]]),"")</f>
        <v>Olmos</v>
      </c>
      <c r="D226" s="1" t="str">
        <f>IFERROR(IF(MARÍTIMOS[[#This Row],[Instruction]]="","",MARÍTIMOS[[#This Row],[Instruction]]),"")</f>
        <v>RH-0542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/>
      </c>
      <c r="H226" s="2" t="str">
        <f>IFERROR(IF(MARÍTIMOS[[#This Row],[Razón Social]]="","",MARÍTIMOS[[#This Row],[Razón Social]]),"")</f>
        <v/>
      </c>
      <c r="I226" s="2" t="str">
        <f>IFERROR(IF(MARÍTIMOS[[#This Row],[RUC]]="","",MARÍTIMOS[[#This Row],[RUC]]),"")</f>
        <v/>
      </c>
      <c r="J226" s="2" t="str">
        <f>IFERROR(IF(MARÍTIMOS[[#This Row],[Placa Tracto]]="","",MARÍTIMOS[[#This Row],[Placa Tracto]]),"")</f>
        <v/>
      </c>
      <c r="K226" s="2" t="str">
        <f>IFERROR(IF(MARÍTIMOS[[#This Row],[Placa Carreta]]="","",MARÍTIMOS[[#This Row],[Placa Carreta]]),"")</f>
        <v/>
      </c>
      <c r="L226" s="46" t="str">
        <f>IFERROR(IF(MARÍTIMOS[[#This Row],[Conductor]]="","",MARÍTIMOS[[#This Row],[Conductor]]),"")</f>
        <v/>
      </c>
      <c r="M226" s="2" t="str">
        <f>IFERROR(IF(MARÍTIMOS[[#This Row],[Licencia]]="","",MARÍTIMOS[[#This Row],[Licencia]]),"")</f>
        <v/>
      </c>
      <c r="N226" s="2" t="str">
        <f>IFERROR(IF(MARÍTIMOS[[#This Row],[Número de Contacto]]="","",MARÍTIMOS[[#This Row],[Número de Contacto]]),"")</f>
        <v/>
      </c>
      <c r="O226" s="10">
        <f>IFERROR(IF(MARÍTIMOS[[#This Row],[Booking|AWB|CRT]]="","",MARÍTIMOS[[#This Row],[Booking|AWB|CRT]]),"")</f>
        <v>275833094</v>
      </c>
      <c r="P226" s="2" t="str">
        <f>IFERROR(IF(MARÍTIMOS[[#This Row],[Contenedor]]="","",MARÍTIMOS[[#This Row],[Contenedor]]),"")</f>
        <v>MNBU9152081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/>
      </c>
      <c r="S226" s="11" t="str">
        <f>IFERROR(IF(MARÍTIMOS[[#This Row],[Etapa Retiro - Cita]]="","",MARÍTIMOS[[#This Row],[Etapa Retiro - Cita]]),"")</f>
        <v/>
      </c>
      <c r="T226" s="11" t="str">
        <f>IFERROR(IF(MARÍTIMOS[[#This Row],[Etapa Retiro - Llegada]]="","",MARÍTIMOS[[#This Row],[Etapa Retiro - Llegada]]),"")</f>
        <v/>
      </c>
      <c r="U226" s="11" t="str">
        <f>IFERROR(IF(MARÍTIMOS[[#This Row],[Etapa Retiro - Ingreso]]="","",MARÍTIMOS[[#This Row],[Etapa Retiro - Ingreso]]),"")</f>
        <v/>
      </c>
      <c r="V226" s="11" t="str">
        <f>IFERROR(IF(MARÍTIMOS[[#This Row],[Etapa Retiro - Atención]]="","",MARÍTIMOS[[#This Row],[Etapa Retiro - Atención]]),"")</f>
        <v/>
      </c>
      <c r="W226" s="11" t="str">
        <f>IFERROR(IF(MARÍTIMOS[[#This Row],[Etapa Retiro - Salida]]="","",MARÍTIMOS[[#This Row],[Etapa Retiro - Salida]]),"")</f>
        <v/>
      </c>
      <c r="X226" s="11" t="str">
        <f>IFERROR(IF(MARÍTIMOS[[#This Row],[Etapa Retiro - Inicio de Ruta]]="","",MARÍTIMOS[[#This Row],[Etapa Retiro - Inicio de Ruta]]),"")</f>
        <v/>
      </c>
      <c r="Y226" s="11">
        <f>IFERROR(IF(MARÍTIMOS[[#This Row],[Hora de Posicionamiento]]="","",MARÍTIMOS[[#This Row],[Hora de Carga]]+MARÍTIMOS[[#This Row],[Hora de Posicionamiento]]),"")</f>
        <v>0.75</v>
      </c>
      <c r="Z226" s="11" t="str">
        <f>IFERROR(IF(MARÍTIMOS[[#This Row],[Etapa Despacho -  Llegada]]="","",MARÍTIMOS[[#This Row],[Etapa Despacho -  Llegada]]),"")</f>
        <v/>
      </c>
      <c r="AA226" s="11" t="str">
        <f>IFERROR(IF(MARÍTIMOS[[#This Row],[Etapa Despacho -  Registro]]="","",MARÍTIMOS[[#This Row],[Etapa Despacho -  Registro]]),"")</f>
        <v/>
      </c>
      <c r="AB226" s="11" t="str">
        <f>IFERROR(IF(MARÍTIMOS[[#This Row],[Inspección Externa]]="","",MARÍTIMOS[[#This Row],[Inspección Externa]]),"")</f>
        <v/>
      </c>
      <c r="AC226" s="11" t="str">
        <f>IFERROR(IF(MARÍTIMOS[[#This Row],[Etapa Despacho -  Inicio de Carga]]="","",MARÍTIMOS[[#This Row],[Etapa Despacho -  Inicio de Carga]]),"")</f>
        <v/>
      </c>
      <c r="AD226" s="11" t="str">
        <f>IFERROR(IF(MARÍTIMOS[[#This Row],[Etapa Despacho -  Fin de Carga]]="","",MARÍTIMOS[[#This Row],[Etapa Despacho -  Fin de Carga]]),"")</f>
        <v/>
      </c>
      <c r="AE226" s="11" t="str">
        <f>IFERROR(IF(MARÍTIMOS[[#This Row],[Etapa Despacho -  Salida]]="","",MARÍTIMOS[[#This Row],[Etapa Despacho -  Salida]]),"")</f>
        <v/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 t="str">
        <f>IFERROR(IF(MARÍTIMOS[[#This Row],[Etapa Ingreso - Cita]]="","",MARÍTIMOS[[#This Row],[Etapa Ingreso - Cita]]),"")</f>
        <v/>
      </c>
      <c r="AI226" s="11" t="str">
        <f>IFERROR(IF(MARÍTIMOS[[#This Row],[Etapa Ingreso - Llegada]]="","",MARÍTIMOS[[#This Row],[Etapa Ingreso - Llegada]]),"")</f>
        <v/>
      </c>
      <c r="AJ226" s="11" t="str">
        <f>IFERROR(IF(MARÍTIMOS[[#This Row],[Etapa Ingreso - Ingeso]]="","",MARÍTIMOS[[#This Row],[Etapa Ingreso - Ingeso]]),"")</f>
        <v/>
      </c>
      <c r="AK226" s="11" t="str">
        <f>IFERROR(IF(MARÍTIMOS[[#This Row],[Etapa Ingreso - Atención]]="","",MARÍTIMOS[[#This Row],[Etapa Ingreso - Atención]]),"")</f>
        <v/>
      </c>
      <c r="AL226" s="11" t="str">
        <f>IFERROR(IF(MARÍTIMOS[[#This Row],[Etapa Ingreso - Salida]]="","",MARÍTIMOS[[#This Row],[Etapa Ingreso - Salida]]),"")</f>
        <v/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26" s="5" t="str">
        <f>IFERROR(OLDBD[[#This Row],[Llegada a packing]]-OLDBD[[#This Row],[Inicio de Ruta]],"")</f>
        <v/>
      </c>
      <c r="AQ226" s="6" t="str">
        <f>IFERROR(OLDBD[[#This Row],[Inicio de Ruta]]-OLDBD[[#This Row],[Salida de almacén de retiro]],"")</f>
        <v/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26" s="9" t="str">
        <f>IFERROR(OLDBD[[#This Row],[Ingreso Packing]]-OLDBD[[#This Row],[Registro en Packing]],"")</f>
        <v/>
      </c>
      <c r="AV226" s="9" t="str">
        <f>IFERROR(OLDBD[[#This Row],[Ingreso Packing]]-OLDBD[[#This Row],[Llegada a packing]],"")</f>
        <v/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26" s="5" t="str">
        <f>IFERROR(OLDBD[[#This Row],[Llegada Almacén de Ingreso]]-OLDBD[[#This Row],[Salida Packing]],"")</f>
        <v/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26" s="45" t="s">
        <v>181</v>
      </c>
      <c r="BB226" s="53" t="str">
        <f>IFERROR(IF(MARÍTIMOS[[#This Row],[Estatus]]="","",MARÍTIMOS[[#This Row],[Estatus]]),"")</f>
        <v>Confirmado</v>
      </c>
      <c r="BC226" s="45"/>
      <c r="BD226" s="52" t="str">
        <f>IFERROR(OLDBD[[#This Row],[Salida de almacén de retiro]]-OLDBD[[#This Row],[Ingreso Almacén de retiro]],"")</f>
        <v/>
      </c>
      <c r="BE226" s="52" t="str">
        <f>IFERROR(OLDBD[[#This Row],[Fin de Carga]]-OLDBD[[#This Row],[Inicio de Carga]],"")</f>
        <v/>
      </c>
    </row>
    <row r="227" spans="1:57" x14ac:dyDescent="0.35">
      <c r="A227" s="1"/>
      <c r="B227" s="1">
        <f>IFERROR(IF(MARÍTIMOS[[#This Row],[PP]]="","",MARÍTIMOS[[#This Row],[PP]]),"")</f>
        <v>28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RH-0150</v>
      </c>
      <c r="E227" s="1"/>
      <c r="F227" s="2" t="str">
        <f>IFERROR(IF(MARÍTIMOS[[#This Row],[Transportista]]="","",MARÍTIMOS[[#This Row],[Transportista]]),"")</f>
        <v>Maersk</v>
      </c>
      <c r="G227" s="2" t="str">
        <f>IFERROR(IF(MARÍTIMOS[[#This Row],[Tercero]]="","",MARÍTIMOS[[#This Row],[Tercero]]),"")</f>
        <v>NO</v>
      </c>
      <c r="H227" s="2" t="str">
        <f>IFERROR(IF(MARÍTIMOS[[#This Row],[Razón Social]]="","",MARÍTIMOS[[#This Row],[Razón Social]]),"")</f>
        <v>MAERK LOGISTIC &amp; SERVICES PERU S.A</v>
      </c>
      <c r="I227" s="2">
        <f>IFERROR(IF(MARÍTIMOS[[#This Row],[RUC]]="","",MARÍTIMOS[[#This Row],[RUC]]),"")</f>
        <v>20107012011</v>
      </c>
      <c r="J227" s="2" t="str">
        <f>IFERROR(IF(MARÍTIMOS[[#This Row],[Placa Tracto]]="","",MARÍTIMOS[[#This Row],[Placa Tracto]]),"")</f>
        <v>BTE787</v>
      </c>
      <c r="K227" s="2" t="str">
        <f>IFERROR(IF(MARÍTIMOS[[#This Row],[Placa Carreta]]="","",MARÍTIMOS[[#This Row],[Placa Carreta]]),"")</f>
        <v>ATI981</v>
      </c>
      <c r="L227" s="46" t="str">
        <f>IFERROR(IF(MARÍTIMOS[[#This Row],[Conductor]]="","",MARÍTIMOS[[#This Row],[Conductor]]),"")</f>
        <v>JUANITO HUAMANI / MIGUEL POZO</v>
      </c>
      <c r="M227" s="2" t="str">
        <f>IFERROR(IF(MARÍTIMOS[[#This Row],[Licencia]]="","",MARÍTIMOS[[#This Row],[Licencia]]),"")</f>
        <v>Q41649189 / Q10069791</v>
      </c>
      <c r="N227" s="2" t="str">
        <f>IFERROR(IF(MARÍTIMOS[[#This Row],[Número de Contacto]]="","",MARÍTIMOS[[#This Row],[Número de Contacto]]),"")</f>
        <v/>
      </c>
      <c r="O227" s="10">
        <f>IFERROR(IF(MARÍTIMOS[[#This Row],[Booking|AWB|CRT]]="","",MARÍTIMOS[[#This Row],[Booking|AWB|CRT]]),"")</f>
        <v>274024236</v>
      </c>
      <c r="P227" s="2" t="str">
        <f>IFERROR(IF(MARÍTIMOS[[#This Row],[Contenedor]]="","",MARÍTIMOS[[#This Row],[Contenedor]]),"")</f>
        <v>MNBU0267346</v>
      </c>
      <c r="Q227" s="2" t="str">
        <f>IFERROR(IF(MARÍTIMOS[[#This Row],[Puerto de Retiro]]="","",MARÍTIMOS[[#This Row],[Puerto de Retiro]]),"")</f>
        <v>CALLAO</v>
      </c>
      <c r="R227" s="2" t="str">
        <f>IFERROR(IF(MARÍTIMOS[[#This Row],[Almacén de Retiro]]="","",MARÍTIMOS[[#This Row],[Almacén de Retiro]]),"")</f>
        <v>DEMARES</v>
      </c>
      <c r="S227" s="11">
        <f>IFERROR(IF(MARÍTIMOS[[#This Row],[Etapa Retiro - Cita]]="","",MARÍTIMOS[[#This Row],[Etapa Retiro - Cita]]),"")</f>
        <v>46211.625</v>
      </c>
      <c r="T227" s="11">
        <f>IFERROR(IF(MARÍTIMOS[[#This Row],[Etapa Retiro - Llegada]]="","",MARÍTIMOS[[#This Row],[Etapa Retiro - Llegada]]),"")</f>
        <v>46211.64166666667</v>
      </c>
      <c r="U227" s="11">
        <f>IFERROR(IF(MARÍTIMOS[[#This Row],[Etapa Retiro - Ingreso]]="","",MARÍTIMOS[[#This Row],[Etapa Retiro - Ingreso]]),"")</f>
        <v>46211.682638888888</v>
      </c>
      <c r="V227" s="11">
        <f>IFERROR(IF(MARÍTIMOS[[#This Row],[Etapa Retiro - Atención]]="","",MARÍTIMOS[[#This Row],[Etapa Retiro - Atención]]),"")</f>
        <v>46211.6875</v>
      </c>
      <c r="W227" s="11">
        <f>IFERROR(IF(MARÍTIMOS[[#This Row],[Etapa Retiro - Salida]]="","",MARÍTIMOS[[#This Row],[Etapa Retiro - Salida]]),"")</f>
        <v>46211.699305555558</v>
      </c>
      <c r="X227" s="11">
        <f>IFERROR(IF(MARÍTIMOS[[#This Row],[Etapa Retiro - Inicio de Ruta]]="","",MARÍTIMOS[[#This Row],[Etapa Retiro - Inicio de Ruta]]),"")</f>
        <v>46211.8125</v>
      </c>
      <c r="Y227" s="11">
        <f>IFERROR(IF(MARÍTIMOS[[#This Row],[Hora de Posicionamiento]]="","",MARÍTIMOS[[#This Row],[Hora de Carga]]+MARÍTIMOS[[#This Row],[Hora de Posicionamiento]]),"")</f>
        <v>0.33333333333333331</v>
      </c>
      <c r="Z227" s="11">
        <f>IFERROR(IF(MARÍTIMOS[[#This Row],[Etapa Despacho -  Llegada]]="","",MARÍTIMOS[[#This Row],[Etapa Despacho -  Llegada]]),"")</f>
        <v>46212.416666666664</v>
      </c>
      <c r="AA227" s="11">
        <f>IFERROR(IF(MARÍTIMOS[[#This Row],[Etapa Despacho -  Registro]]="","",MARÍTIMOS[[#This Row],[Etapa Despacho -  Registro]]),"")</f>
        <v>46212.422222222223</v>
      </c>
      <c r="AB227" s="11">
        <f>IFERROR(IF(MARÍTIMOS[[#This Row],[Inspección Externa]]="","",MARÍTIMOS[[#This Row],[Inspección Externa]]),"")</f>
        <v>46212.446527777778</v>
      </c>
      <c r="AC227" s="11">
        <f>IFERROR(IF(MARÍTIMOS[[#This Row],[Etapa Despacho -  Inicio de Carga]]="","",MARÍTIMOS[[#This Row],[Etapa Despacho -  Inicio de Carga]]),"")</f>
        <v>46212.479166666664</v>
      </c>
      <c r="AD227" s="11">
        <f>IFERROR(IF(MARÍTIMOS[[#This Row],[Etapa Despacho -  Fin de Carga]]="","",MARÍTIMOS[[#This Row],[Etapa Despacho -  Fin de Carga]]),"")</f>
        <v>46212.605555555558</v>
      </c>
      <c r="AE227" s="11">
        <f>IFERROR(IF(MARÍTIMOS[[#This Row],[Etapa Despacho -  Salida]]="","",MARÍTIMOS[[#This Row],[Etapa Despacho -  Salida]]),"")</f>
        <v>46212.625</v>
      </c>
      <c r="AF227" s="2" t="str">
        <f>IFERROR(IF(MARÍTIMOS[[#This Row],[Puerto de Embarque]]="","",MARÍTIMOS[[#This Row],[Puerto de Embarque]]),"")</f>
        <v>CALLAO</v>
      </c>
      <c r="AG227" s="2" t="str">
        <f>IFERROR(IF(MARÍTIMOS[[#This Row],[Almacén de Ingreso]]="","",MARÍTIMOS[[#This Row],[Almacén de Ingreso]]),"")</f>
        <v>APM</v>
      </c>
      <c r="AH227" s="11">
        <f>IFERROR(IF(MARÍTIMOS[[#This Row],[Etapa Ingreso - Cita]]="","",MARÍTIMOS[[#This Row],[Etapa Ingreso - Cita]]),"")</f>
        <v>46213.25</v>
      </c>
      <c r="AI227" s="11">
        <f>IFERROR(IF(MARÍTIMOS[[#This Row],[Etapa Ingreso - Llegada]]="","",MARÍTIMOS[[#This Row],[Etapa Ingreso - Llegada]]),"")</f>
        <v>46213.25</v>
      </c>
      <c r="AJ227" s="11">
        <f>IFERROR(IF(MARÍTIMOS[[#This Row],[Etapa Ingreso - Ingeso]]="","",MARÍTIMOS[[#This Row],[Etapa Ingreso - Ingeso]]),"")</f>
        <v>46213.341666666667</v>
      </c>
      <c r="AK227" s="11">
        <f>IFERROR(IF(MARÍTIMOS[[#This Row],[Etapa Ingreso - Atención]]="","",MARÍTIMOS[[#This Row],[Etapa Ingreso - Atención]]),"")</f>
        <v>46213.347222222219</v>
      </c>
      <c r="AL227" s="11">
        <f>IFERROR(IF(MARÍTIMOS[[#This Row],[Etapa Ingreso - Salida]]="","",MARÍTIMOS[[#This Row],[Etapa Ingreso - Salida]]),"")</f>
        <v>46213.352083333331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0.60416666666424135</v>
      </c>
      <c r="AQ227" s="6">
        <f>IFERROR(OLDBD[[#This Row],[Inicio de Ruta]]-OLDBD[[#This Row],[Salida de almacén de retiro]],"")</f>
        <v>0.1131944444423425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7" s="9">
        <f>IFERROR(OLDBD[[#This Row],[Ingreso Packing]]-OLDBD[[#This Row],[Registro en Packing]],"")</f>
        <v>2.4305555554747116E-2</v>
      </c>
      <c r="AV227" s="9">
        <f>IFERROR(OLDBD[[#This Row],[Ingreso Packing]]-OLDBD[[#This Row],[Llegada a packing]],"")</f>
        <v>2.9861111113859806E-2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7" s="5">
        <f>IFERROR(OLDBD[[#This Row],[Llegada Almacén de Ingreso]]-OLDBD[[#This Row],[Salida Packing]],"")</f>
        <v>0.625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7" s="45" t="s">
        <v>181</v>
      </c>
      <c r="BB227" s="53" t="str">
        <f>IFERROR(IF(MARÍTIMOS[[#This Row],[Estatus]]="","",MARÍTIMOS[[#This Row],[Estatus]]),"")</f>
        <v>Confirmado</v>
      </c>
      <c r="BC227" s="45"/>
      <c r="BD227" s="52">
        <f>IFERROR(OLDBD[[#This Row],[Salida de almacén de retiro]]-OLDBD[[#This Row],[Ingreso Almacén de retiro]],"")</f>
        <v>1.6666666670062114E-2</v>
      </c>
      <c r="BE227" s="52">
        <f>IFERROR(OLDBD[[#This Row],[Fin de Carga]]-OLDBD[[#This Row],[Inicio de Carga]],"")</f>
        <v>0.12638888889341615</v>
      </c>
    </row>
    <row r="228" spans="1:57" x14ac:dyDescent="0.35">
      <c r="A228" s="1"/>
      <c r="B228" s="1">
        <f>IFERROR(IF(MARÍTIMOS[[#This Row],[PP]]="","",MARÍTIMOS[[#This Row],[PP]]),"")</f>
        <v>28</v>
      </c>
      <c r="C228" s="1" t="str">
        <f>IFERROR(IF(MARÍTIMOS[[#This Row],[Sede]]="","",MARÍTIMOS[[#This Row],[Sede]]),"")</f>
        <v>Chao</v>
      </c>
      <c r="D228" s="1" t="str">
        <f>IFERROR(IF(MARÍTIMOS[[#This Row],[Instruction]]="","",MARÍTIMOS[[#This Row],[Instruction]]),"")</f>
        <v>RH-0160</v>
      </c>
      <c r="E228" s="1"/>
      <c r="F228" s="2" t="str">
        <f>IFERROR(IF(MARÍTIMOS[[#This Row],[Transportista]]="","",MARÍTIMOS[[#This Row],[Transportista]]),"")</f>
        <v>Maersk</v>
      </c>
      <c r="G228" s="2" t="str">
        <f>IFERROR(IF(MARÍTIMOS[[#This Row],[Tercero]]="","",MARÍTIMOS[[#This Row],[Tercero]]),"")</f>
        <v>NO</v>
      </c>
      <c r="H228" s="2" t="str">
        <f>IFERROR(IF(MARÍTIMOS[[#This Row],[Razón Social]]="","",MARÍTIMOS[[#This Row],[Razón Social]]),"")</f>
        <v>MAERK LOGISTIC &amp; SERVICES PERU S.A</v>
      </c>
      <c r="I228" s="2">
        <f>IFERROR(IF(MARÍTIMOS[[#This Row],[RUC]]="","",MARÍTIMOS[[#This Row],[RUC]]),"")</f>
        <v>20107012011</v>
      </c>
      <c r="J228" s="2" t="str">
        <f>IFERROR(IF(MARÍTIMOS[[#This Row],[Placa Tracto]]="","",MARÍTIMOS[[#This Row],[Placa Tracto]]),"")</f>
        <v>APC756</v>
      </c>
      <c r="K228" s="2" t="str">
        <f>IFERROR(IF(MARÍTIMOS[[#This Row],[Placa Carreta]]="","",MARÍTIMOS[[#This Row],[Placa Carreta]]),"")</f>
        <v>BEC984</v>
      </c>
      <c r="L228" s="46" t="str">
        <f>IFERROR(IF(MARÍTIMOS[[#This Row],[Conductor]]="","",MARÍTIMOS[[#This Row],[Conductor]]),"")</f>
        <v>LUIS MENDOZA / CESAR GUTIERREZ</v>
      </c>
      <c r="M228" s="2" t="str">
        <f>IFERROR(IF(MARÍTIMOS[[#This Row],[Licencia]]="","",MARÍTIMOS[[#This Row],[Licencia]]),"")</f>
        <v>Q41419684 / Q25719865</v>
      </c>
      <c r="N228" s="2" t="str">
        <f>IFERROR(IF(MARÍTIMOS[[#This Row],[Número de Contacto]]="","",MARÍTIMOS[[#This Row],[Número de Contacto]]),"")</f>
        <v/>
      </c>
      <c r="O228" s="10">
        <f>IFERROR(IF(MARÍTIMOS[[#This Row],[Booking|AWB|CRT]]="","",MARÍTIMOS[[#This Row],[Booking|AWB|CRT]]),"")</f>
        <v>751600038522</v>
      </c>
      <c r="P228" s="2" t="str">
        <f>IFERROR(IF(MARÍTIMOS[[#This Row],[Contenedor]]="","",MARÍTIMOS[[#This Row],[Contenedor]]),"")</f>
        <v>EMCU5697765</v>
      </c>
      <c r="Q228" s="2" t="str">
        <f>IFERROR(IF(MARÍTIMOS[[#This Row],[Puerto de Retiro]]="","",MARÍTIMOS[[#This Row],[Puerto de Retiro]]),"")</f>
        <v>CALLAO</v>
      </c>
      <c r="R228" s="2" t="str">
        <f>IFERROR(IF(MARÍTIMOS[[#This Row],[Almacén de Retiro]]="","",MARÍTIMOS[[#This Row],[Almacén de Retiro]]),"")</f>
        <v>DPW</v>
      </c>
      <c r="S228" s="11">
        <f>IFERROR(IF(MARÍTIMOS[[#This Row],[Etapa Retiro - Cita]]="","",MARÍTIMOS[[#This Row],[Etapa Retiro - Cita]]),"")</f>
        <v>46212.583333333336</v>
      </c>
      <c r="T228" s="11">
        <f>IFERROR(IF(MARÍTIMOS[[#This Row],[Etapa Retiro - Llegada]]="","",MARÍTIMOS[[#This Row],[Etapa Retiro - Llegada]]),"")</f>
        <v>46212.557638888888</v>
      </c>
      <c r="U228" s="11">
        <f>IFERROR(IF(MARÍTIMOS[[#This Row],[Etapa Retiro - Ingreso]]="","",MARÍTIMOS[[#This Row],[Etapa Retiro - Ingreso]]),"")</f>
        <v>46212.593055555553</v>
      </c>
      <c r="V228" s="11">
        <f>IFERROR(IF(MARÍTIMOS[[#This Row],[Etapa Retiro - Atención]]="","",MARÍTIMOS[[#This Row],[Etapa Retiro - Atención]]),"")</f>
        <v>46212.598611111112</v>
      </c>
      <c r="W228" s="11">
        <f>IFERROR(IF(MARÍTIMOS[[#This Row],[Etapa Retiro - Salida]]="","",MARÍTIMOS[[#This Row],[Etapa Retiro - Salida]]),"")</f>
        <v>46212.654166666667</v>
      </c>
      <c r="X228" s="11">
        <f>IFERROR(IF(MARÍTIMOS[[#This Row],[Etapa Retiro - Inicio de Ruta]]="","",MARÍTIMOS[[#This Row],[Etapa Retiro - Inicio de Ruta]]),"")</f>
        <v>46212.668055555558</v>
      </c>
      <c r="Y228" s="11">
        <f>IFERROR(IF(MARÍTIMOS[[#This Row],[Hora de Posicionamiento]]="","",MARÍTIMOS[[#This Row],[Hora de Carga]]+MARÍTIMOS[[#This Row],[Hora de Posicionamiento]]),"")</f>
        <v>0.54166666666666663</v>
      </c>
      <c r="Z228" s="11">
        <f>IFERROR(IF(MARÍTIMOS[[#This Row],[Etapa Despacho -  Llegada]]="","",MARÍTIMOS[[#This Row],[Etapa Despacho -  Llegada]]),"")</f>
        <v>46213.263888888891</v>
      </c>
      <c r="AA228" s="11">
        <f>IFERROR(IF(MARÍTIMOS[[#This Row],[Etapa Despacho -  Registro]]="","",MARÍTIMOS[[#This Row],[Etapa Despacho -  Registro]]),"")</f>
        <v>46213.354166666664</v>
      </c>
      <c r="AB228" s="11">
        <f>IFERROR(IF(MARÍTIMOS[[#This Row],[Inspección Externa]]="","",MARÍTIMOS[[#This Row],[Inspección Externa]]),"")</f>
        <v>46213.384722222225</v>
      </c>
      <c r="AC228" s="11">
        <f>IFERROR(IF(MARÍTIMOS[[#This Row],[Etapa Despacho -  Inicio de Carga]]="","",MARÍTIMOS[[#This Row],[Etapa Despacho -  Inicio de Carga]]),"")</f>
        <v>46213.420138888891</v>
      </c>
      <c r="AD228" s="11">
        <f>IFERROR(IF(MARÍTIMOS[[#This Row],[Etapa Despacho -  Fin de Carga]]="","",MARÍTIMOS[[#This Row],[Etapa Despacho -  Fin de Carga]]),"")</f>
        <v>46213.725694444445</v>
      </c>
      <c r="AE228" s="11">
        <f>IFERROR(IF(MARÍTIMOS[[#This Row],[Etapa Despacho -  Salida]]="","",MARÍTIMOS[[#This Row],[Etapa Despacho -  Salida]]),"")</f>
        <v>46213.743055555555</v>
      </c>
      <c r="AF228" s="2" t="str">
        <f>IFERROR(IF(MARÍTIMOS[[#This Row],[Puerto de Embarque]]="","",MARÍTIMOS[[#This Row],[Puerto de Embarque]]),"")</f>
        <v>CALLAO</v>
      </c>
      <c r="AG228" s="2" t="str">
        <f>IFERROR(IF(MARÍTIMOS[[#This Row],[Almacén de Ingreso]]="","",MARÍTIMOS[[#This Row],[Almacén de Ingreso]]),"")</f>
        <v>DPW</v>
      </c>
      <c r="AH228" s="11">
        <f>IFERROR(IF(MARÍTIMOS[[#This Row],[Etapa Ingreso - Cita]]="","",MARÍTIMOS[[#This Row],[Etapa Ingreso - Cita]]),"")</f>
        <v>46214.333333333336</v>
      </c>
      <c r="AI228" s="11">
        <f>IFERROR(IF(MARÍTIMOS[[#This Row],[Etapa Ingreso - Llegada]]="","",MARÍTIMOS[[#This Row],[Etapa Ingreso - Llegada]]),"")</f>
        <v>46214.34652777778</v>
      </c>
      <c r="AJ228" s="11">
        <f>IFERROR(IF(MARÍTIMOS[[#This Row],[Etapa Ingreso - Ingeso]]="","",MARÍTIMOS[[#This Row],[Etapa Ingreso - Ingeso]]),"")</f>
        <v>46214.355555555558</v>
      </c>
      <c r="AK228" s="11">
        <f>IFERROR(IF(MARÍTIMOS[[#This Row],[Etapa Ingreso - Atención]]="","",MARÍTIMOS[[#This Row],[Etapa Ingreso - Atención]]),"")</f>
        <v>46214.364583333336</v>
      </c>
      <c r="AL228" s="11">
        <f>IFERROR(IF(MARÍTIMOS[[#This Row],[Etapa Ingreso - Salida]]="","",MARÍTIMOS[[#This Row],[Etapa Ingreso - Salida]]),"")</f>
        <v>46214.372916666667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0.59583333333284827</v>
      </c>
      <c r="AQ228" s="6">
        <f>IFERROR(OLDBD[[#This Row],[Inicio de Ruta]]-OLDBD[[#This Row],[Salida de almacén de retiro]],"")</f>
        <v>1.3888888890505768E-2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8" s="9">
        <f>IFERROR(OLDBD[[#This Row],[Ingreso Packing]]-OLDBD[[#This Row],[Registro en Packing]],"")</f>
        <v>3.0555555560567882E-2</v>
      </c>
      <c r="AV228" s="9">
        <f>IFERROR(OLDBD[[#This Row],[Ingreso Packing]]-OLDBD[[#This Row],[Llegada a packing]],"")</f>
        <v>0.12083333333430346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8" s="5">
        <f>IFERROR(OLDBD[[#This Row],[Llegada Almacén de Ingreso]]-OLDBD[[#This Row],[Salida Packing]],"")</f>
        <v>0.60347222222480923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8" s="45" t="s">
        <v>181</v>
      </c>
      <c r="BB228" s="53" t="str">
        <f>IFERROR(IF(MARÍTIMOS[[#This Row],[Estatus]]="","",MARÍTIMOS[[#This Row],[Estatus]]),"")</f>
        <v>Confirmado</v>
      </c>
      <c r="BC228" s="45"/>
      <c r="BD228" s="52">
        <f>IFERROR(OLDBD[[#This Row],[Salida de almacén de retiro]]-OLDBD[[#This Row],[Ingreso Almacén de retiro]],"")</f>
        <v>6.1111111113859806E-2</v>
      </c>
      <c r="BE228" s="52">
        <f>IFERROR(OLDBD[[#This Row],[Fin de Carga]]-OLDBD[[#This Row],[Inicio de Carga]],"")</f>
        <v>0.30555555555474712</v>
      </c>
    </row>
    <row r="229" spans="1:57" x14ac:dyDescent="0.35">
      <c r="A229" s="1"/>
      <c r="B229" s="1">
        <f>IFERROR(IF(MARÍTIMOS[[#This Row],[PP]]="","",MARÍTIMOS[[#This Row],[PP]]),"")</f>
        <v>28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RH-0141</v>
      </c>
      <c r="E229" s="1"/>
      <c r="F229" s="2" t="str">
        <f>IFERROR(IF(MARÍTIMOS[[#This Row],[Transportista]]="","",MARÍTIMOS[[#This Row],[Transportista]]),"")</f>
        <v>Maersk</v>
      </c>
      <c r="G229" s="2" t="str">
        <f>IFERROR(IF(MARÍTIMOS[[#This Row],[Tercero]]="","",MARÍTIMOS[[#This Row],[Tercero]]),"")</f>
        <v>NO</v>
      </c>
      <c r="H229" s="2" t="str">
        <f>IFERROR(IF(MARÍTIMOS[[#This Row],[Razón Social]]="","",MARÍTIMOS[[#This Row],[Razón Social]]),"")</f>
        <v>MAERK LOGISTIC &amp; SERVICES PERU S.A</v>
      </c>
      <c r="I229" s="2">
        <f>IFERROR(IF(MARÍTIMOS[[#This Row],[RUC]]="","",MARÍTIMOS[[#This Row],[RUC]]),"")</f>
        <v>20107012011</v>
      </c>
      <c r="J229" s="2" t="str">
        <f>IFERROR(IF(MARÍTIMOS[[#This Row],[Placa Tracto]]="","",MARÍTIMOS[[#This Row],[Placa Tracto]]),"")</f>
        <v>BTL946</v>
      </c>
      <c r="K229" s="2" t="str">
        <f>IFERROR(IF(MARÍTIMOS[[#This Row],[Placa Carreta]]="","",MARÍTIMOS[[#This Row],[Placa Carreta]]),"")</f>
        <v>D9Z973</v>
      </c>
      <c r="L229" s="46" t="str">
        <f>IFERROR(IF(MARÍTIMOS[[#This Row],[Conductor]]="","",MARÍTIMOS[[#This Row],[Conductor]]),"")</f>
        <v>HERLIN RIVERA / JORGE VERA</v>
      </c>
      <c r="M229" s="2" t="str">
        <f>IFERROR(IF(MARÍTIMOS[[#This Row],[Licencia]]="","",MARÍTIMOS[[#This Row],[Licencia]]),"")</f>
        <v>Q44998824 / Q08155962</v>
      </c>
      <c r="N229" s="2" t="str">
        <f>IFERROR(IF(MARÍTIMOS[[#This Row],[Número de Contacto]]="","",MARÍTIMOS[[#This Row],[Número de Contacto]]),"")</f>
        <v/>
      </c>
      <c r="O229" s="10">
        <f>IFERROR(IF(MARÍTIMOS[[#This Row],[Booking|AWB|CRT]]="","",MARÍTIMOS[[#This Row],[Booking|AWB|CRT]]),"")</f>
        <v>751600038726</v>
      </c>
      <c r="P229" s="2" t="str">
        <f>IFERROR(IF(MARÍTIMOS[[#This Row],[Contenedor]]="","",MARÍTIMOS[[#This Row],[Contenedor]]),"")</f>
        <v>EMCU5622750</v>
      </c>
      <c r="Q229" s="2" t="str">
        <f>IFERROR(IF(MARÍTIMOS[[#This Row],[Puerto de Retiro]]="","",MARÍTIMOS[[#This Row],[Puerto de Retiro]]),"")</f>
        <v>CALLAO</v>
      </c>
      <c r="R229" s="2" t="str">
        <f>IFERROR(IF(MARÍTIMOS[[#This Row],[Almacén de Retiro]]="","",MARÍTIMOS[[#This Row],[Almacén de Retiro]]),"")</f>
        <v>IMUPESA</v>
      </c>
      <c r="S229" s="11">
        <f>IFERROR(IF(MARÍTIMOS[[#This Row],[Etapa Retiro - Cita]]="","",MARÍTIMOS[[#This Row],[Etapa Retiro - Cita]]),"")</f>
        <v>46214.625</v>
      </c>
      <c r="T229" s="11">
        <f>IFERROR(IF(MARÍTIMOS[[#This Row],[Etapa Retiro - Llegada]]="","",MARÍTIMOS[[#This Row],[Etapa Retiro - Llegada]]),"")</f>
        <v>46214.628472222219</v>
      </c>
      <c r="U229" s="11">
        <f>IFERROR(IF(MARÍTIMOS[[#This Row],[Etapa Retiro - Ingreso]]="","",MARÍTIMOS[[#This Row],[Etapa Retiro - Ingreso]]),"")</f>
        <v>46214.645833333336</v>
      </c>
      <c r="V229" s="11">
        <f>IFERROR(IF(MARÍTIMOS[[#This Row],[Etapa Retiro - Atención]]="","",MARÍTIMOS[[#This Row],[Etapa Retiro - Atención]]),"")</f>
        <v>46214.663888888892</v>
      </c>
      <c r="W229" s="11">
        <f>IFERROR(IF(MARÍTIMOS[[#This Row],[Etapa Retiro - Salida]]="","",MARÍTIMOS[[#This Row],[Etapa Retiro - Salida]]),"")</f>
        <v>46214.74722222222</v>
      </c>
      <c r="X229" s="11">
        <f>IFERROR(IF(MARÍTIMOS[[#This Row],[Etapa Retiro - Inicio de Ruta]]="","",MARÍTIMOS[[#This Row],[Etapa Retiro - Inicio de Ruta]]),"")</f>
        <v>46214.995833333334</v>
      </c>
      <c r="Y229" s="11">
        <f>IFERROR(IF(MARÍTIMOS[[#This Row],[Hora de Posicionamiento]]="","",MARÍTIMOS[[#This Row],[Hora de Carga]]+MARÍTIMOS[[#This Row],[Hora de Posicionamiento]]),"")</f>
        <v>0.33333333333333331</v>
      </c>
      <c r="Z229" s="11">
        <f>IFERROR(IF(MARÍTIMOS[[#This Row],[Etapa Despacho -  Llegada]]="","",MARÍTIMOS[[#This Row],[Etapa Despacho -  Llegada]]),"")</f>
        <v>46215.495833333334</v>
      </c>
      <c r="AA229" s="11">
        <f>IFERROR(IF(MARÍTIMOS[[#This Row],[Etapa Despacho -  Registro]]="","",MARÍTIMOS[[#This Row],[Etapa Despacho -  Registro]]),"")</f>
        <v>46215.504166666666</v>
      </c>
      <c r="AB229" s="11">
        <f>IFERROR(IF(MARÍTIMOS[[#This Row],[Inspección Externa]]="","",MARÍTIMOS[[#This Row],[Inspección Externa]]),"")</f>
        <v>46215.509722222225</v>
      </c>
      <c r="AC229" s="11">
        <f>IFERROR(IF(MARÍTIMOS[[#This Row],[Etapa Despacho -  Inicio de Carga]]="","",MARÍTIMOS[[#This Row],[Etapa Despacho -  Inicio de Carga]]),"")</f>
        <v>46215.552083333336</v>
      </c>
      <c r="AD229" s="11">
        <f>IFERROR(IF(MARÍTIMOS[[#This Row],[Etapa Despacho -  Fin de Carga]]="","",MARÍTIMOS[[#This Row],[Etapa Despacho -  Fin de Carga]]),"")</f>
        <v>194.72222222222223</v>
      </c>
      <c r="AE229" s="11">
        <f>IFERROR(IF(MARÍTIMOS[[#This Row],[Etapa Despacho -  Salida]]="","",MARÍTIMOS[[#This Row],[Etapa Despacho -  Salida]]),"")</f>
        <v>46215.746527777781</v>
      </c>
      <c r="AF229" s="2" t="str">
        <f>IFERROR(IF(MARÍTIMOS[[#This Row],[Puerto de Embarque]]="","",MARÍTIMOS[[#This Row],[Puerto de Embarque]]),"")</f>
        <v>CALLAO</v>
      </c>
      <c r="AG229" s="2" t="str">
        <f>IFERROR(IF(MARÍTIMOS[[#This Row],[Almacén de Ingreso]]="","",MARÍTIMOS[[#This Row],[Almacén de Ingreso]]),"")</f>
        <v>DPW</v>
      </c>
      <c r="AH229" s="11">
        <f>IFERROR(IF(MARÍTIMOS[[#This Row],[Etapa Ingreso - Cita]]="","",MARÍTIMOS[[#This Row],[Etapa Ingreso - Cita]]),"")</f>
        <v>46216.208333333336</v>
      </c>
      <c r="AI229" s="11">
        <f>IFERROR(IF(MARÍTIMOS[[#This Row],[Etapa Ingreso - Llegada]]="","",MARÍTIMOS[[#This Row],[Etapa Ingreso - Llegada]]),"")</f>
        <v>46216.195833333331</v>
      </c>
      <c r="AJ229" s="11">
        <f>IFERROR(IF(MARÍTIMOS[[#This Row],[Etapa Ingreso - Ingeso]]="","",MARÍTIMOS[[#This Row],[Etapa Ingreso - Ingeso]]),"")</f>
        <v>46216.202777777777</v>
      </c>
      <c r="AK229" s="11">
        <f>IFERROR(IF(MARÍTIMOS[[#This Row],[Etapa Ingreso - Atención]]="","",MARÍTIMOS[[#This Row],[Etapa Ingreso - Atención]]),"")</f>
        <v>46216.206944444442</v>
      </c>
      <c r="AL229" s="11">
        <f>IFERROR(IF(MARÍTIMOS[[#This Row],[Etapa Ingreso - Salida]]="","",MARÍTIMOS[[#This Row],[Etapa Ingreso - Salida]]),"")</f>
        <v>46216.215277777781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9" s="5">
        <f>IFERROR(OLDBD[[#This Row],[Llegada a packing]]-OLDBD[[#This Row],[Inicio de Ruta]],"")</f>
        <v>0.5</v>
      </c>
      <c r="AQ229" s="6">
        <f>IFERROR(OLDBD[[#This Row],[Inicio de Ruta]]-OLDBD[[#This Row],[Salida de almacén de retiro]],"")</f>
        <v>0.24861111111385981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9" s="9">
        <f>IFERROR(OLDBD[[#This Row],[Ingreso Packing]]-OLDBD[[#This Row],[Registro en Packing]],"")</f>
        <v>5.5555555591126904E-3</v>
      </c>
      <c r="AV229" s="9">
        <f>IFERROR(OLDBD[[#This Row],[Ingreso Packing]]-OLDBD[[#This Row],[Llegada a packing]],"")</f>
        <v>1.3888888890505768E-2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9" s="5">
        <f>IFERROR(OLDBD[[#This Row],[Llegada Almacén de Ingreso]]-OLDBD[[#This Row],[Salida Packing]],"")</f>
        <v>0.44930555555038154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9" s="45" t="s">
        <v>181</v>
      </c>
      <c r="BB229" s="53" t="str">
        <f>IFERROR(IF(MARÍTIMOS[[#This Row],[Estatus]]="","",MARÍTIMOS[[#This Row],[Estatus]]),"")</f>
        <v>Confirmado</v>
      </c>
      <c r="BC229" s="45"/>
      <c r="BD229" s="52">
        <f>IFERROR(OLDBD[[#This Row],[Salida de almacén de retiro]]-OLDBD[[#This Row],[Ingreso Almacén de retiro]],"")</f>
        <v>0.101388888884685</v>
      </c>
      <c r="BE229" s="52">
        <f>IFERROR(OLDBD[[#This Row],[Fin de Carga]]-OLDBD[[#This Row],[Inicio de Carga]],"")</f>
        <v>-46020.829861111117</v>
      </c>
    </row>
    <row r="230" spans="1:57" x14ac:dyDescent="0.35">
      <c r="A230" s="1"/>
      <c r="B230" s="1">
        <f>IFERROR(IF(MARÍTIMOS[[#This Row],[PP]]="","",MARÍTIMOS[[#This Row],[PP]]),"")</f>
        <v>28</v>
      </c>
      <c r="C230" s="1" t="str">
        <f>IFERROR(IF(MARÍTIMOS[[#This Row],[Sede]]="","",MARÍTIMOS[[#This Row],[Sede]]),"")</f>
        <v>Chao</v>
      </c>
      <c r="D230" s="1" t="str">
        <f>IFERROR(IF(MARÍTIMOS[[#This Row],[Instruction]]="","",MARÍTIMOS[[#This Row],[Instruction]]),"")</f>
        <v>RH-0142</v>
      </c>
      <c r="E230" s="1"/>
      <c r="F230" s="2" t="str">
        <f>IFERROR(IF(MARÍTIMOS[[#This Row],[Transportista]]="","",MARÍTIMOS[[#This Row],[Transportista]]),"")</f>
        <v>Maersk</v>
      </c>
      <c r="G230" s="2" t="str">
        <f>IFERROR(IF(MARÍTIMOS[[#This Row],[Tercero]]="","",MARÍTIMOS[[#This Row],[Tercero]]),"")</f>
        <v>NO</v>
      </c>
      <c r="H230" s="2" t="str">
        <f>IFERROR(IF(MARÍTIMOS[[#This Row],[Razón Social]]="","",MARÍTIMOS[[#This Row],[Razón Social]]),"")</f>
        <v>MAERK LOGISTIC &amp; SERVICES PERU S.A</v>
      </c>
      <c r="I230" s="2">
        <f>IFERROR(IF(MARÍTIMOS[[#This Row],[RUC]]="","",MARÍTIMOS[[#This Row],[RUC]]),"")</f>
        <v>20107012011</v>
      </c>
      <c r="J230" s="2" t="str">
        <f>IFERROR(IF(MARÍTIMOS[[#This Row],[Placa Tracto]]="","",MARÍTIMOS[[#This Row],[Placa Tracto]]),"")</f>
        <v>AJP729</v>
      </c>
      <c r="K230" s="2" t="str">
        <f>IFERROR(IF(MARÍTIMOS[[#This Row],[Placa Carreta]]="","",MARÍTIMOS[[#This Row],[Placa Carreta]]),"")</f>
        <v>BFJ970</v>
      </c>
      <c r="L230" s="46" t="str">
        <f>IFERROR(IF(MARÍTIMOS[[#This Row],[Conductor]]="","",MARÍTIMOS[[#This Row],[Conductor]]),"")</f>
        <v>LUIS VILLANUEVA / ROLANDO TICLIAHUANCA</v>
      </c>
      <c r="M230" s="2" t="str">
        <f>IFERROR(IF(MARÍTIMOS[[#This Row],[Licencia]]="","",MARÍTIMOS[[#This Row],[Licencia]]),"")</f>
        <v>P44024941 / Q42765284</v>
      </c>
      <c r="N230" s="2" t="str">
        <f>IFERROR(IF(MARÍTIMOS[[#This Row],[Número de Contacto]]="","",MARÍTIMOS[[#This Row],[Número de Contacto]]),"")</f>
        <v/>
      </c>
      <c r="O230" s="10">
        <f>IFERROR(IF(MARÍTIMOS[[#This Row],[Booking|AWB|CRT]]="","",MARÍTIMOS[[#This Row],[Booking|AWB|CRT]]),"")</f>
        <v>751600038742</v>
      </c>
      <c r="P230" s="2" t="str">
        <f>IFERROR(IF(MARÍTIMOS[[#This Row],[Contenedor]]="","",MARÍTIMOS[[#This Row],[Contenedor]]),"")</f>
        <v>EMCU5588050</v>
      </c>
      <c r="Q230" s="2" t="str">
        <f>IFERROR(IF(MARÍTIMOS[[#This Row],[Puerto de Retiro]]="","",MARÍTIMOS[[#This Row],[Puerto de Retiro]]),"")</f>
        <v>CALLAO</v>
      </c>
      <c r="R230" s="2" t="str">
        <f>IFERROR(IF(MARÍTIMOS[[#This Row],[Almacén de Retiro]]="","",MARÍTIMOS[[#This Row],[Almacén de Retiro]]),"")</f>
        <v>IMUPESA</v>
      </c>
      <c r="S230" s="11">
        <f>IFERROR(IF(MARÍTIMOS[[#This Row],[Etapa Retiro - Cita]]="","",MARÍTIMOS[[#This Row],[Etapa Retiro - Cita]]),"")</f>
        <v>46214.625</v>
      </c>
      <c r="T230" s="11">
        <f>IFERROR(IF(MARÍTIMOS[[#This Row],[Etapa Retiro - Llegada]]="","",MARÍTIMOS[[#This Row],[Etapa Retiro - Llegada]]),"")</f>
        <v>46214.7</v>
      </c>
      <c r="U230" s="11">
        <f>IFERROR(IF(MARÍTIMOS[[#This Row],[Etapa Retiro - Ingreso]]="","",MARÍTIMOS[[#This Row],[Etapa Retiro - Ingreso]]),"")</f>
        <v>46214.706250000003</v>
      </c>
      <c r="V230" s="11">
        <f>IFERROR(IF(MARÍTIMOS[[#This Row],[Etapa Retiro - Atención]]="","",MARÍTIMOS[[#This Row],[Etapa Retiro - Atención]]),"")</f>
        <v>46214.713888888888</v>
      </c>
      <c r="W230" s="11">
        <f>IFERROR(IF(MARÍTIMOS[[#This Row],[Etapa Retiro - Salida]]="","",MARÍTIMOS[[#This Row],[Etapa Retiro - Salida]]),"")</f>
        <v>46214.878472222219</v>
      </c>
      <c r="X230" s="11">
        <f>IFERROR(IF(MARÍTIMOS[[#This Row],[Etapa Retiro - Inicio de Ruta]]="","",MARÍTIMOS[[#This Row],[Etapa Retiro - Inicio de Ruta]]),"")</f>
        <v>46214.989583333336</v>
      </c>
      <c r="Y230" s="11">
        <f>IFERROR(IF(MARÍTIMOS[[#This Row],[Hora de Posicionamiento]]="","",MARÍTIMOS[[#This Row],[Hora de Carga]]+MARÍTIMOS[[#This Row],[Hora de Posicionamiento]]),"")</f>
        <v>0.33333333333333331</v>
      </c>
      <c r="Z230" s="11">
        <f>IFERROR(IF(MARÍTIMOS[[#This Row],[Etapa Despacho -  Llegada]]="","",MARÍTIMOS[[#This Row],[Etapa Despacho -  Llegada]]),"")</f>
        <v>46215.493055555555</v>
      </c>
      <c r="AA230" s="11">
        <f>IFERROR(IF(MARÍTIMOS[[#This Row],[Etapa Despacho -  Registro]]="","",MARÍTIMOS[[#This Row],[Etapa Despacho -  Registro]]),"")</f>
        <v>46215.5</v>
      </c>
      <c r="AB230" s="11">
        <f>IFERROR(IF(MARÍTIMOS[[#This Row],[Inspección Externa]]="","",MARÍTIMOS[[#This Row],[Inspección Externa]]),"")</f>
        <v>46215.506944444445</v>
      </c>
      <c r="AC230" s="11">
        <f>IFERROR(IF(MARÍTIMOS[[#This Row],[Etapa Despacho -  Inicio de Carga]]="","",MARÍTIMOS[[#This Row],[Etapa Despacho -  Inicio de Carga]]),"")</f>
        <v>46215.545138888891</v>
      </c>
      <c r="AD230" s="11">
        <f>IFERROR(IF(MARÍTIMOS[[#This Row],[Etapa Despacho -  Fin de Carga]]="","",MARÍTIMOS[[#This Row],[Etapa Despacho -  Fin de Carga]]),"")</f>
        <v>46215.736111111109</v>
      </c>
      <c r="AE230" s="11">
        <f>IFERROR(IF(MARÍTIMOS[[#This Row],[Etapa Despacho -  Salida]]="","",MARÍTIMOS[[#This Row],[Etapa Despacho -  Salida]]),"")</f>
        <v>46215.763194444444</v>
      </c>
      <c r="AF230" s="2" t="str">
        <f>IFERROR(IF(MARÍTIMOS[[#This Row],[Puerto de Embarque]]="","",MARÍTIMOS[[#This Row],[Puerto de Embarque]]),"")</f>
        <v>CALLAO</v>
      </c>
      <c r="AG230" s="2" t="str">
        <f>IFERROR(IF(MARÍTIMOS[[#This Row],[Almacén de Ingreso]]="","",MARÍTIMOS[[#This Row],[Almacén de Ingreso]]),"")</f>
        <v>DPW</v>
      </c>
      <c r="AH230" s="11">
        <f>IFERROR(IF(MARÍTIMOS[[#This Row],[Etapa Ingreso - Cita]]="","",MARÍTIMOS[[#This Row],[Etapa Ingreso - Cita]]),"")</f>
        <v>46216.25</v>
      </c>
      <c r="AI230" s="11">
        <f>IFERROR(IF(MARÍTIMOS[[#This Row],[Etapa Ingreso - Llegada]]="","",MARÍTIMOS[[#This Row],[Etapa Ingreso - Llegada]]),"")</f>
        <v>46216.306944444441</v>
      </c>
      <c r="AJ230" s="11">
        <f>IFERROR(IF(MARÍTIMOS[[#This Row],[Etapa Ingreso - Ingeso]]="","",MARÍTIMOS[[#This Row],[Etapa Ingreso - Ingeso]]),"")</f>
        <v>46216.324999999997</v>
      </c>
      <c r="AK230" s="11">
        <f>IFERROR(IF(MARÍTIMOS[[#This Row],[Etapa Ingreso - Atención]]="","",MARÍTIMOS[[#This Row],[Etapa Ingreso - Atención]]),"")</f>
        <v>46216.327777777777</v>
      </c>
      <c r="AL230" s="11">
        <f>IFERROR(IF(MARÍTIMOS[[#This Row],[Etapa Ingreso - Salida]]="","",MARÍTIMOS[[#This Row],[Etapa Ingreso - Salida]]),"")</f>
        <v>46216.335416666669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30" s="5">
        <f>IFERROR(OLDBD[[#This Row],[Llegada a packing]]-OLDBD[[#This Row],[Inicio de Ruta]],"")</f>
        <v>0.50347222221898846</v>
      </c>
      <c r="AQ230" s="6">
        <f>IFERROR(OLDBD[[#This Row],[Inicio de Ruta]]-OLDBD[[#This Row],[Salida de almacén de retiro]],"")</f>
        <v>0.11111111111677019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0" s="9">
        <f>IFERROR(OLDBD[[#This Row],[Ingreso Packing]]-OLDBD[[#This Row],[Registro en Packing]],"")</f>
        <v>6.9444444452528842E-3</v>
      </c>
      <c r="AV230" s="9">
        <f>IFERROR(OLDBD[[#This Row],[Ingreso Packing]]-OLDBD[[#This Row],[Llegada a packing]],"")</f>
        <v>1.3888888890505768E-2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0" s="5">
        <f>IFERROR(OLDBD[[#This Row],[Llegada Almacén de Ingreso]]-OLDBD[[#This Row],[Salida Packing]],"")</f>
        <v>0.54374999999708962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0" s="45" t="s">
        <v>181</v>
      </c>
      <c r="BB230" s="53" t="str">
        <f>IFERROR(IF(MARÍTIMOS[[#This Row],[Estatus]]="","",MARÍTIMOS[[#This Row],[Estatus]]),"")</f>
        <v>Confirmado</v>
      </c>
      <c r="BC230" s="45"/>
      <c r="BD230" s="52">
        <f>IFERROR(OLDBD[[#This Row],[Salida de almacén de retiro]]-OLDBD[[#This Row],[Ingreso Almacén de retiro]],"")</f>
        <v>0.17222222221607808</v>
      </c>
      <c r="BE230" s="52">
        <f>IFERROR(OLDBD[[#This Row],[Fin de Carga]]-OLDBD[[#This Row],[Inicio de Carga]],"")</f>
        <v>0.19097222221898846</v>
      </c>
    </row>
    <row r="231" spans="1:57" x14ac:dyDescent="0.35">
      <c r="A231" s="1"/>
      <c r="B231" s="1">
        <f>IFERROR(IF(MARÍTIMOS[[#This Row],[PP]]="","",MARÍTIMOS[[#This Row],[PP]]),"")</f>
        <v>28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RH-0143</v>
      </c>
      <c r="E231" s="1"/>
      <c r="F231" s="2" t="str">
        <f>IFERROR(IF(MARÍTIMOS[[#This Row],[Transportista]]="","",MARÍTIMOS[[#This Row],[Transportista]]),"")</f>
        <v>Maersk</v>
      </c>
      <c r="G231" s="2" t="str">
        <f>IFERROR(IF(MARÍTIMOS[[#This Row],[Tercero]]="","",MARÍTIMOS[[#This Row],[Tercero]]),"")</f>
        <v>NO</v>
      </c>
      <c r="H231" s="2" t="str">
        <f>IFERROR(IF(MARÍTIMOS[[#This Row],[Razón Social]]="","",MARÍTIMOS[[#This Row],[Razón Social]]),"")</f>
        <v>MAERK LOGISTIC &amp; SERVICES PERU S.A</v>
      </c>
      <c r="I231" s="2">
        <f>IFERROR(IF(MARÍTIMOS[[#This Row],[RUC]]="","",MARÍTIMOS[[#This Row],[RUC]]),"")</f>
        <v>20107012011</v>
      </c>
      <c r="J231" s="2" t="str">
        <f>IFERROR(IF(MARÍTIMOS[[#This Row],[Placa Tracto]]="","",MARÍTIMOS[[#This Row],[Placa Tracto]]),"")</f>
        <v>APC756</v>
      </c>
      <c r="K231" s="2" t="str">
        <f>IFERROR(IF(MARÍTIMOS[[#This Row],[Placa Carreta]]="","",MARÍTIMOS[[#This Row],[Placa Carreta]]),"")</f>
        <v>BEC984</v>
      </c>
      <c r="L231" s="46" t="str">
        <f>IFERROR(IF(MARÍTIMOS[[#This Row],[Conductor]]="","",MARÍTIMOS[[#This Row],[Conductor]]),"")</f>
        <v>PATRICK ERIK ATENCIO/ LUIS MENDOZA</v>
      </c>
      <c r="M231" s="2" t="str">
        <f>IFERROR(IF(MARÍTIMOS[[#This Row],[Licencia]]="","",MARÍTIMOS[[#This Row],[Licencia]]),"")</f>
        <v>Q41655436 / Q41419684</v>
      </c>
      <c r="N231" s="2" t="str">
        <f>IFERROR(IF(MARÍTIMOS[[#This Row],[Número de Contacto]]="","",MARÍTIMOS[[#This Row],[Número de Contacto]]),"")</f>
        <v/>
      </c>
      <c r="O231" s="10">
        <f>IFERROR(IF(MARÍTIMOS[[#This Row],[Booking|AWB|CRT]]="","",MARÍTIMOS[[#This Row],[Booking|AWB|CRT]]),"")</f>
        <v>751600038751</v>
      </c>
      <c r="P231" s="2" t="str">
        <f>IFERROR(IF(MARÍTIMOS[[#This Row],[Contenedor]]="","",MARÍTIMOS[[#This Row],[Contenedor]]),"")</f>
        <v>EMCU5662394</v>
      </c>
      <c r="Q231" s="2" t="str">
        <f>IFERROR(IF(MARÍTIMOS[[#This Row],[Puerto de Retiro]]="","",MARÍTIMOS[[#This Row],[Puerto de Retiro]]),"")</f>
        <v>CALLAO</v>
      </c>
      <c r="R231" s="2" t="str">
        <f>IFERROR(IF(MARÍTIMOS[[#This Row],[Almacén de Retiro]]="","",MARÍTIMOS[[#This Row],[Almacén de Retiro]]),"")</f>
        <v>IMUPESA</v>
      </c>
      <c r="S231" s="11">
        <f>IFERROR(IF(MARÍTIMOS[[#This Row],[Etapa Retiro - Cita]]="","",MARÍTIMOS[[#This Row],[Etapa Retiro - Cita]]),"")</f>
        <v>46214.666666666664</v>
      </c>
      <c r="T231" s="11">
        <f>IFERROR(IF(MARÍTIMOS[[#This Row],[Etapa Retiro - Llegada]]="","",MARÍTIMOS[[#This Row],[Etapa Retiro - Llegada]]),"")</f>
        <v>46214.665277777778</v>
      </c>
      <c r="U231" s="11">
        <f>IFERROR(IF(MARÍTIMOS[[#This Row],[Etapa Retiro - Ingreso]]="","",MARÍTIMOS[[#This Row],[Etapa Retiro - Ingreso]]),"")</f>
        <v>46214.67083333333</v>
      </c>
      <c r="V231" s="11">
        <f>IFERROR(IF(MARÍTIMOS[[#This Row],[Etapa Retiro - Atención]]="","",MARÍTIMOS[[#This Row],[Etapa Retiro - Atención]]),"")</f>
        <v>46214.683333333334</v>
      </c>
      <c r="W231" s="11">
        <f>IFERROR(IF(MARÍTIMOS[[#This Row],[Etapa Retiro - Salida]]="","",MARÍTIMOS[[#This Row],[Etapa Retiro - Salida]]),"")</f>
        <v>46214.800694444442</v>
      </c>
      <c r="X231" s="11">
        <f>IFERROR(IF(MARÍTIMOS[[#This Row],[Etapa Retiro - Inicio de Ruta]]="","",MARÍTIMOS[[#This Row],[Etapa Retiro - Inicio de Ruta]]),"")</f>
        <v>46214.802777777775</v>
      </c>
      <c r="Y231" s="11">
        <f>IFERROR(IF(MARÍTIMOS[[#This Row],[Hora de Posicionamiento]]="","",MARÍTIMOS[[#This Row],[Hora de Carga]]+MARÍTIMOS[[#This Row],[Hora de Posicionamiento]]),"")</f>
        <v>0.33333333333333331</v>
      </c>
      <c r="Z231" s="11">
        <f>IFERROR(IF(MARÍTIMOS[[#This Row],[Etapa Despacho -  Llegada]]="","",MARÍTIMOS[[#This Row],[Etapa Despacho -  Llegada]]),"")</f>
        <v>46216.222222222219</v>
      </c>
      <c r="AA231" s="11">
        <f>IFERROR(IF(MARÍTIMOS[[#This Row],[Etapa Despacho -  Registro]]="","",MARÍTIMOS[[#This Row],[Etapa Despacho -  Registro]]),"")</f>
        <v>46216.28125</v>
      </c>
      <c r="AB231" s="11">
        <f>IFERROR(IF(MARÍTIMOS[[#This Row],[Inspección Externa]]="","",MARÍTIMOS[[#This Row],[Inspección Externa]]),"")</f>
        <v>46216.311805555553</v>
      </c>
      <c r="AC231" s="11">
        <f>IFERROR(IF(MARÍTIMOS[[#This Row],[Etapa Despacho -  Inicio de Carga]]="","",MARÍTIMOS[[#This Row],[Etapa Despacho -  Inicio de Carga]]),"")</f>
        <v>46216.354166666664</v>
      </c>
      <c r="AD231" s="11">
        <f>IFERROR(IF(MARÍTIMOS[[#This Row],[Etapa Despacho -  Fin de Carga]]="","",MARÍTIMOS[[#This Row],[Etapa Despacho -  Fin de Carga]]),"")</f>
        <v>46216.739583333336</v>
      </c>
      <c r="AE231" s="11">
        <f>IFERROR(IF(MARÍTIMOS[[#This Row],[Etapa Despacho -  Salida]]="","",MARÍTIMOS[[#This Row],[Etapa Despacho -  Salida]]),"")</f>
        <v>46216.768055555556</v>
      </c>
      <c r="AF231" s="2" t="str">
        <f>IFERROR(IF(MARÍTIMOS[[#This Row],[Puerto de Embarque]]="","",MARÍTIMOS[[#This Row],[Puerto de Embarque]]),"")</f>
        <v>CALLAO</v>
      </c>
      <c r="AG231" s="2" t="str">
        <f>IFERROR(IF(MARÍTIMOS[[#This Row],[Almacén de Ingreso]]="","",MARÍTIMOS[[#This Row],[Almacén de Ingreso]]),"")</f>
        <v>DPW</v>
      </c>
      <c r="AH231" s="11">
        <f>IFERROR(IF(MARÍTIMOS[[#This Row],[Etapa Ingreso - Cita]]="","",MARÍTIMOS[[#This Row],[Etapa Ingreso - Cita]]),"")</f>
        <v>46217.291666666664</v>
      </c>
      <c r="AI231" s="11">
        <f>IFERROR(IF(MARÍTIMOS[[#This Row],[Etapa Ingreso - Llegada]]="","",MARÍTIMOS[[#This Row],[Etapa Ingreso - Llegada]]),"")</f>
        <v>46217.343055555553</v>
      </c>
      <c r="AJ231" s="11">
        <f>IFERROR(IF(MARÍTIMOS[[#This Row],[Etapa Ingreso - Ingeso]]="","",MARÍTIMOS[[#This Row],[Etapa Ingreso - Ingeso]]),"")</f>
        <v>46217.347222222219</v>
      </c>
      <c r="AK231" s="11">
        <f>IFERROR(IF(MARÍTIMOS[[#This Row],[Etapa Ingreso - Atención]]="","",MARÍTIMOS[[#This Row],[Etapa Ingreso - Atención]]),"")</f>
        <v>46217.361111111109</v>
      </c>
      <c r="AL231" s="11">
        <f>IFERROR(IF(MARÍTIMOS[[#This Row],[Etapa Ingreso - Salida]]="","",MARÍTIMOS[[#This Row],[Etapa Ingreso - Salida]]),"")</f>
        <v>46217.368750000001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1" s="5">
        <f>IFERROR(OLDBD[[#This Row],[Llegada a packing]]-OLDBD[[#This Row],[Inicio de Ruta]],"")</f>
        <v>1.4194444444437977</v>
      </c>
      <c r="AQ231" s="6">
        <f>IFERROR(OLDBD[[#This Row],[Inicio de Ruta]]-OLDBD[[#This Row],[Salida de almacén de retiro]],"")</f>
        <v>2.0833333328482695E-3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1" s="9">
        <f>IFERROR(OLDBD[[#This Row],[Ingreso Packing]]-OLDBD[[#This Row],[Registro en Packing]],"")</f>
        <v>3.0555555553291924E-2</v>
      </c>
      <c r="AV231" s="9">
        <f>IFERROR(OLDBD[[#This Row],[Ingreso Packing]]-OLDBD[[#This Row],[Llegada a packing]],"")</f>
        <v>8.9583333334303461E-2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1" s="5">
        <f>IFERROR(OLDBD[[#This Row],[Llegada Almacén de Ingreso]]-OLDBD[[#This Row],[Salida Packing]],"")</f>
        <v>0.57499999999708962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1" s="45" t="s">
        <v>181</v>
      </c>
      <c r="BB231" s="53" t="str">
        <f>IFERROR(IF(MARÍTIMOS[[#This Row],[Estatus]]="","",MARÍTIMOS[[#This Row],[Estatus]]),"")</f>
        <v>Confirmado</v>
      </c>
      <c r="BC231" s="45"/>
      <c r="BD231" s="52">
        <f>IFERROR(OLDBD[[#This Row],[Salida de almacén de retiro]]-OLDBD[[#This Row],[Ingreso Almacén de retiro]],"")</f>
        <v>0.12986111111240461</v>
      </c>
      <c r="BE231" s="52">
        <f>IFERROR(OLDBD[[#This Row],[Fin de Carga]]-OLDBD[[#This Row],[Inicio de Carga]],"")</f>
        <v>0.38541666667151731</v>
      </c>
    </row>
    <row r="232" spans="1:57" x14ac:dyDescent="0.35">
      <c r="A232" s="1"/>
      <c r="B232" s="1">
        <f>IFERROR(IF(MARÍTIMOS[[#This Row],[PP]]="","",MARÍTIMOS[[#This Row],[PP]]),"")</f>
        <v>28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RH-0162</v>
      </c>
      <c r="E232" s="1"/>
      <c r="F232" s="2" t="str">
        <f>IFERROR(IF(MARÍTIMOS[[#This Row],[Transportista]]="","",MARÍTIMOS[[#This Row],[Transportista]]),"")</f>
        <v>Maersk</v>
      </c>
      <c r="G232" s="2" t="str">
        <f>IFERROR(IF(MARÍTIMOS[[#This Row],[Tercero]]="","",MARÍTIMOS[[#This Row],[Tercero]]),"")</f>
        <v>NO</v>
      </c>
      <c r="H232" s="2" t="str">
        <f>IFERROR(IF(MARÍTIMOS[[#This Row],[Razón Social]]="","",MARÍTIMOS[[#This Row],[Razón Social]]),"")</f>
        <v>MAERK LOGISTIC &amp; SERVICES PERU S.A</v>
      </c>
      <c r="I232" s="2">
        <f>IFERROR(IF(MARÍTIMOS[[#This Row],[RUC]]="","",MARÍTIMOS[[#This Row],[RUC]]),"")</f>
        <v>20107012011</v>
      </c>
      <c r="J232" s="2" t="str">
        <f>IFERROR(IF(MARÍTIMOS[[#This Row],[Placa Tracto]]="","",MARÍTIMOS[[#This Row],[Placa Tracto]]),"")</f>
        <v>BTM764</v>
      </c>
      <c r="K232" s="2" t="str">
        <f>IFERROR(IF(MARÍTIMOS[[#This Row],[Placa Carreta]]="","",MARÍTIMOS[[#This Row],[Placa Carreta]]),"")</f>
        <v>BDW976</v>
      </c>
      <c r="L232" s="46" t="str">
        <f>IFERROR(IF(MARÍTIMOS[[#This Row],[Conductor]]="","",MARÍTIMOS[[#This Row],[Conductor]]),"")</f>
        <v>WILDER IBAZETA / REMIGIO FLAVIO</v>
      </c>
      <c r="M232" s="2" t="str">
        <f>IFERROR(IF(MARÍTIMOS[[#This Row],[Licencia]]="","",MARÍTIMOS[[#This Row],[Licencia]]),"")</f>
        <v>E43472986 / E15756744</v>
      </c>
      <c r="N232" s="2" t="str">
        <f>IFERROR(IF(MARÍTIMOS[[#This Row],[Número de Contacto]]="","",MARÍTIMOS[[#This Row],[Número de Contacto]]),"")</f>
        <v/>
      </c>
      <c r="O232" s="10">
        <f>IFERROR(IF(MARÍTIMOS[[#This Row],[Booking|AWB|CRT]]="","",MARÍTIMOS[[#This Row],[Booking|AWB|CRT]]),"")</f>
        <v>751600038548</v>
      </c>
      <c r="P232" s="2" t="str">
        <f>IFERROR(IF(MARÍTIMOS[[#This Row],[Contenedor]]="","",MARÍTIMOS[[#This Row],[Contenedor]]),"")</f>
        <v>EMCU5714477</v>
      </c>
      <c r="Q232" s="2" t="str">
        <f>IFERROR(IF(MARÍTIMOS[[#This Row],[Puerto de Retiro]]="","",MARÍTIMOS[[#This Row],[Puerto de Retiro]]),"")</f>
        <v>CALLAO</v>
      </c>
      <c r="R232" s="2" t="str">
        <f>IFERROR(IF(MARÍTIMOS[[#This Row],[Almacén de Retiro]]="","",MARÍTIMOS[[#This Row],[Almacén de Retiro]]),"")</f>
        <v>DPW</v>
      </c>
      <c r="S232" s="11">
        <f>IFERROR(IF(MARÍTIMOS[[#This Row],[Etapa Retiro - Cita]]="","",MARÍTIMOS[[#This Row],[Etapa Retiro - Cita]]),"")</f>
        <v>46215.583333333336</v>
      </c>
      <c r="T232" s="11">
        <f>IFERROR(IF(MARÍTIMOS[[#This Row],[Etapa Retiro - Llegada]]="","",MARÍTIMOS[[#This Row],[Etapa Retiro - Llegada]]),"")</f>
        <v>46215.458333333336</v>
      </c>
      <c r="U232" s="11">
        <f>IFERROR(IF(MARÍTIMOS[[#This Row],[Etapa Retiro - Ingreso]]="","",MARÍTIMOS[[#This Row],[Etapa Retiro - Ingreso]]),"")</f>
        <v>46215.55</v>
      </c>
      <c r="V232" s="11">
        <f>IFERROR(IF(MARÍTIMOS[[#This Row],[Etapa Retiro - Atención]]="","",MARÍTIMOS[[#This Row],[Etapa Retiro - Atención]]),"")</f>
        <v>46215.588888888888</v>
      </c>
      <c r="W232" s="11">
        <f>IFERROR(IF(MARÍTIMOS[[#This Row],[Etapa Retiro - Salida]]="","",MARÍTIMOS[[#This Row],[Etapa Retiro - Salida]]),"")</f>
        <v>46215.661111111112</v>
      </c>
      <c r="X232" s="11">
        <f>IFERROR(IF(MARÍTIMOS[[#This Row],[Etapa Retiro - Inicio de Ruta]]="","",MARÍTIMOS[[#This Row],[Etapa Retiro - Inicio de Ruta]]),"")</f>
        <v>46215.936805555553</v>
      </c>
      <c r="Y232" s="11">
        <f>IFERROR(IF(MARÍTIMOS[[#This Row],[Hora de Posicionamiento]]="","",MARÍTIMOS[[#This Row],[Hora de Carga]]+MARÍTIMOS[[#This Row],[Hora de Posicionamiento]]),"")</f>
        <v>0.33333333333333331</v>
      </c>
      <c r="Z232" s="11">
        <f>IFERROR(IF(MARÍTIMOS[[#This Row],[Etapa Despacho -  Llegada]]="","",MARÍTIMOS[[#This Row],[Etapa Despacho -  Llegada]]),"")</f>
        <v>46216.362500000003</v>
      </c>
      <c r="AA232" s="11">
        <f>IFERROR(IF(MARÍTIMOS[[#This Row],[Etapa Despacho -  Registro]]="","",MARÍTIMOS[[#This Row],[Etapa Despacho -  Registro]]),"")</f>
        <v>46216.458333333336</v>
      </c>
      <c r="AB232" s="11">
        <f>IFERROR(IF(MARÍTIMOS[[#This Row],[Inspección Externa]]="","",MARÍTIMOS[[#This Row],[Inspección Externa]]),"")</f>
        <v>46216.474305555559</v>
      </c>
      <c r="AC232" s="11">
        <f>IFERROR(IF(MARÍTIMOS[[#This Row],[Etapa Despacho -  Inicio de Carga]]="","",MARÍTIMOS[[#This Row],[Etapa Despacho -  Inicio de Carga]]),"")</f>
        <v>46216.510416666664</v>
      </c>
      <c r="AD232" s="11">
        <f>IFERROR(IF(MARÍTIMOS[[#This Row],[Etapa Despacho -  Fin de Carga]]="","",MARÍTIMOS[[#This Row],[Etapa Despacho -  Fin de Carga]]),"")</f>
        <v>46216.819444444445</v>
      </c>
      <c r="AE232" s="11">
        <f>IFERROR(IF(MARÍTIMOS[[#This Row],[Etapa Despacho -  Salida]]="","",MARÍTIMOS[[#This Row],[Etapa Despacho -  Salida]]),"")</f>
        <v>46216.851388888892</v>
      </c>
      <c r="AF232" s="2" t="str">
        <f>IFERROR(IF(MARÍTIMOS[[#This Row],[Puerto de Embarque]]="","",MARÍTIMOS[[#This Row],[Puerto de Embarque]]),"")</f>
        <v>CALLAO</v>
      </c>
      <c r="AG232" s="2" t="str">
        <f>IFERROR(IF(MARÍTIMOS[[#This Row],[Almacén de Ingreso]]="","",MARÍTIMOS[[#This Row],[Almacén de Ingreso]]),"")</f>
        <v>DPW</v>
      </c>
      <c r="AH232" s="11">
        <f>IFERROR(IF(MARÍTIMOS[[#This Row],[Etapa Ingreso - Cita]]="","",MARÍTIMOS[[#This Row],[Etapa Ingreso - Cita]]),"")</f>
        <v>46217.375</v>
      </c>
      <c r="AI232" s="11">
        <f>IFERROR(IF(MARÍTIMOS[[#This Row],[Etapa Ingreso - Llegada]]="","",MARÍTIMOS[[#This Row],[Etapa Ingreso - Llegada]]),"")</f>
        <v>46217.39166666667</v>
      </c>
      <c r="AJ232" s="11">
        <f>IFERROR(IF(MARÍTIMOS[[#This Row],[Etapa Ingreso - Ingeso]]="","",MARÍTIMOS[[#This Row],[Etapa Ingreso - Ingeso]]),"")</f>
        <v>46217.407638888886</v>
      </c>
      <c r="AK232" s="11">
        <f>IFERROR(IF(MARÍTIMOS[[#This Row],[Etapa Ingreso - Atención]]="","",MARÍTIMOS[[#This Row],[Etapa Ingreso - Atención]]),"")</f>
        <v>46217.4375</v>
      </c>
      <c r="AL232" s="11">
        <f>IFERROR(IF(MARÍTIMOS[[#This Row],[Etapa Ingreso - Salida]]="","",MARÍTIMOS[[#This Row],[Etapa Ingreso - Salida]]),"")</f>
        <v>46217.449305555558</v>
      </c>
      <c r="AM232" s="2">
        <f>IFERROR(IF(MARÍTIMOS[[#This Row],[FCL]]="","",MARÍTIMOS[[#This Row],[FCL]]),"")</f>
        <v>1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2" s="5">
        <f>IFERROR(OLDBD[[#This Row],[Llegada a packing]]-OLDBD[[#This Row],[Inicio de Ruta]],"")</f>
        <v>0.42569444444961846</v>
      </c>
      <c r="AQ232" s="6">
        <f>IFERROR(OLDBD[[#This Row],[Inicio de Ruta]]-OLDBD[[#This Row],[Salida de almacén de retiro]],"")</f>
        <v>0.27569444444088731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2" s="9">
        <f>IFERROR(OLDBD[[#This Row],[Ingreso Packing]]-OLDBD[[#This Row],[Registro en Packing]],"")</f>
        <v>1.5972222223354038E-2</v>
      </c>
      <c r="AV232" s="9">
        <f>IFERROR(OLDBD[[#This Row],[Ingreso Packing]]-OLDBD[[#This Row],[Llegada a packing]],"")</f>
        <v>0.11180555555620231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2" s="5">
        <f>IFERROR(OLDBD[[#This Row],[Llegada Almacén de Ingreso]]-OLDBD[[#This Row],[Salida Packing]],"")</f>
        <v>0.54027777777810115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2" s="45" t="s">
        <v>181</v>
      </c>
      <c r="BB232" s="53" t="str">
        <f>IFERROR(IF(MARÍTIMOS[[#This Row],[Estatus]]="","",MARÍTIMOS[[#This Row],[Estatus]]),"")</f>
        <v>Confirmado</v>
      </c>
      <c r="BC232" s="45"/>
      <c r="BD232" s="52">
        <f>IFERROR(OLDBD[[#This Row],[Salida de almacén de retiro]]-OLDBD[[#This Row],[Ingreso Almacén de retiro]],"")</f>
        <v>0.11111111110949423</v>
      </c>
      <c r="BE232" s="52">
        <f>IFERROR(OLDBD[[#This Row],[Fin de Carga]]-OLDBD[[#This Row],[Inicio de Carga]],"")</f>
        <v>0.30902777778101154</v>
      </c>
    </row>
    <row r="233" spans="1:57" x14ac:dyDescent="0.35">
      <c r="A233" s="1"/>
      <c r="B233" s="1">
        <f>IFERROR(IF(MARÍTIMOS[[#This Row],[PP]]="","",MARÍTIMOS[[#This Row],[PP]]),"")</f>
        <v>28</v>
      </c>
      <c r="C233" s="1" t="str">
        <f>IFERROR(IF(MARÍTIMOS[[#This Row],[Sede]]="","",MARÍTIMOS[[#This Row],[Sede]]),"")</f>
        <v>Chao</v>
      </c>
      <c r="D233" s="1" t="str">
        <f>IFERROR(IF(MARÍTIMOS[[#This Row],[Instruction]]="","",MARÍTIMOS[[#This Row],[Instruction]]),"")</f>
        <v>RH-0163</v>
      </c>
      <c r="E233" s="1"/>
      <c r="F233" s="2" t="str">
        <f>IFERROR(IF(MARÍTIMOS[[#This Row],[Transportista]]="","",MARÍTIMOS[[#This Row],[Transportista]]),"")</f>
        <v>Maersk</v>
      </c>
      <c r="G233" s="2" t="str">
        <f>IFERROR(IF(MARÍTIMOS[[#This Row],[Tercero]]="","",MARÍTIMOS[[#This Row],[Tercero]]),"")</f>
        <v>NO</v>
      </c>
      <c r="H233" s="2" t="str">
        <f>IFERROR(IF(MARÍTIMOS[[#This Row],[Razón Social]]="","",MARÍTIMOS[[#This Row],[Razón Social]]),"")</f>
        <v>MAERK LOGISTIC &amp; SERVICES PERU S.A</v>
      </c>
      <c r="I233" s="2">
        <f>IFERROR(IF(MARÍTIMOS[[#This Row],[RUC]]="","",MARÍTIMOS[[#This Row],[RUC]]),"")</f>
        <v>20107012011</v>
      </c>
      <c r="J233" s="2" t="str">
        <f>IFERROR(IF(MARÍTIMOS[[#This Row],[Placa Tracto]]="","",MARÍTIMOS[[#This Row],[Placa Tracto]]),"")</f>
        <v>BTF751</v>
      </c>
      <c r="K233" s="2" t="str">
        <f>IFERROR(IF(MARÍTIMOS[[#This Row],[Placa Carreta]]="","",MARÍTIMOS[[#This Row],[Placa Carreta]]),"")</f>
        <v>BDV980</v>
      </c>
      <c r="L233" s="46" t="str">
        <f>IFERROR(IF(MARÍTIMOS[[#This Row],[Conductor]]="","",MARÍTIMOS[[#This Row],[Conductor]]),"")</f>
        <v>JOEL  ALAMA / WILMER BAUTISTA</v>
      </c>
      <c r="M233" s="2" t="str">
        <f>IFERROR(IF(MARÍTIMOS[[#This Row],[Licencia]]="","",MARÍTIMOS[[#This Row],[Licencia]]),"")</f>
        <v>Q40411001</v>
      </c>
      <c r="N233" s="2" t="str">
        <f>IFERROR(IF(MARÍTIMOS[[#This Row],[Número de Contacto]]="","",MARÍTIMOS[[#This Row],[Número de Contacto]]),"")</f>
        <v/>
      </c>
      <c r="O233" s="10">
        <f>IFERROR(IF(MARÍTIMOS[[#This Row],[Booking|AWB|CRT]]="","",MARÍTIMOS[[#This Row],[Booking|AWB|CRT]]),"")</f>
        <v>751600038556</v>
      </c>
      <c r="P233" s="2" t="str">
        <f>IFERROR(IF(MARÍTIMOS[[#This Row],[Contenedor]]="","",MARÍTIMOS[[#This Row],[Contenedor]]),"")</f>
        <v>EMCU5972466</v>
      </c>
      <c r="Q233" s="2" t="str">
        <f>IFERROR(IF(MARÍTIMOS[[#This Row],[Puerto de Retiro]]="","",MARÍTIMOS[[#This Row],[Puerto de Retiro]]),"")</f>
        <v>CALLAO</v>
      </c>
      <c r="R233" s="2" t="str">
        <f>IFERROR(IF(MARÍTIMOS[[#This Row],[Almacén de Retiro]]="","",MARÍTIMOS[[#This Row],[Almacén de Retiro]]),"")</f>
        <v>DPW</v>
      </c>
      <c r="S233" s="11">
        <f>IFERROR(IF(MARÍTIMOS[[#This Row],[Etapa Retiro - Cita]]="","",MARÍTIMOS[[#This Row],[Etapa Retiro - Cita]]),"")</f>
        <v>46215.541666666664</v>
      </c>
      <c r="T233" s="11">
        <f>IFERROR(IF(MARÍTIMOS[[#This Row],[Etapa Retiro - Llegada]]="","",MARÍTIMOS[[#This Row],[Etapa Retiro - Llegada]]),"")</f>
        <v>46215.513888888891</v>
      </c>
      <c r="U233" s="11">
        <f>IFERROR(IF(MARÍTIMOS[[#This Row],[Etapa Retiro - Ingreso]]="","",MARÍTIMOS[[#This Row],[Etapa Retiro - Ingreso]]),"")</f>
        <v>46215.568055555559</v>
      </c>
      <c r="V233" s="11">
        <f>IFERROR(IF(MARÍTIMOS[[#This Row],[Etapa Retiro - Atención]]="","",MARÍTIMOS[[#This Row],[Etapa Retiro - Atención]]),"")</f>
        <v>46215.636805555558</v>
      </c>
      <c r="W233" s="11">
        <f>IFERROR(IF(MARÍTIMOS[[#This Row],[Etapa Retiro - Salida]]="","",MARÍTIMOS[[#This Row],[Etapa Retiro - Salida]]),"")</f>
        <v>46215.76458333333</v>
      </c>
      <c r="X233" s="11">
        <f>IFERROR(IF(MARÍTIMOS[[#This Row],[Etapa Retiro - Inicio de Ruta]]="","",MARÍTIMOS[[#This Row],[Etapa Retiro - Inicio de Ruta]]),"")</f>
        <v>46215.877083333333</v>
      </c>
      <c r="Y233" s="11">
        <f>IFERROR(IF(MARÍTIMOS[[#This Row],[Hora de Posicionamiento]]="","",MARÍTIMOS[[#This Row],[Hora de Carga]]+MARÍTIMOS[[#This Row],[Hora de Posicionamiento]]),"")</f>
        <v>0.33333333333333331</v>
      </c>
      <c r="Z233" s="11">
        <f>IFERROR(IF(MARÍTIMOS[[#This Row],[Etapa Despacho -  Llegada]]="","",MARÍTIMOS[[#This Row],[Etapa Despacho -  Llegada]]),"")</f>
        <v>46216.299305555556</v>
      </c>
      <c r="AA233" s="11">
        <f>IFERROR(IF(MARÍTIMOS[[#This Row],[Etapa Despacho -  Registro]]="","",MARÍTIMOS[[#This Row],[Etapa Despacho -  Registro]]),"")</f>
        <v>46216.336805555555</v>
      </c>
      <c r="AB233" s="11">
        <f>IFERROR(IF(MARÍTIMOS[[#This Row],[Inspección Externa]]="","",MARÍTIMOS[[#This Row],[Inspección Externa]]),"")</f>
        <v>46216.36041666667</v>
      </c>
      <c r="AC233" s="11">
        <f>IFERROR(IF(MARÍTIMOS[[#This Row],[Etapa Despacho -  Inicio de Carga]]="","",MARÍTIMOS[[#This Row],[Etapa Despacho -  Inicio de Carga]]),"")</f>
        <v>46216.402777777781</v>
      </c>
      <c r="AD233" s="11">
        <f>IFERROR(IF(MARÍTIMOS[[#This Row],[Etapa Despacho -  Fin de Carga]]="","",MARÍTIMOS[[#This Row],[Etapa Despacho -  Fin de Carga]]),"")</f>
        <v>46216.873611111114</v>
      </c>
      <c r="AE233" s="11">
        <f>IFERROR(IF(MARÍTIMOS[[#This Row],[Etapa Despacho -  Salida]]="","",MARÍTIMOS[[#This Row],[Etapa Despacho -  Salida]]),"")</f>
        <v>46216.897916666669</v>
      </c>
      <c r="AF233" s="2" t="str">
        <f>IFERROR(IF(MARÍTIMOS[[#This Row],[Puerto de Embarque]]="","",MARÍTIMOS[[#This Row],[Puerto de Embarque]]),"")</f>
        <v>CALLAO</v>
      </c>
      <c r="AG233" s="2" t="str">
        <f>IFERROR(IF(MARÍTIMOS[[#This Row],[Almacén de Ingreso]]="","",MARÍTIMOS[[#This Row],[Almacén de Ingreso]]),"")</f>
        <v>DPW</v>
      </c>
      <c r="AH233" s="11">
        <f>IFERROR(IF(MARÍTIMOS[[#This Row],[Etapa Ingreso - Cita]]="","",MARÍTIMOS[[#This Row],[Etapa Ingreso - Cita]]),"")</f>
        <v>46216.458333333336</v>
      </c>
      <c r="AI233" s="11">
        <f>IFERROR(IF(MARÍTIMOS[[#This Row],[Etapa Ingreso - Llegada]]="","",MARÍTIMOS[[#This Row],[Etapa Ingreso - Llegada]]),"")</f>
        <v>46217.4</v>
      </c>
      <c r="AJ233" s="11">
        <f>IFERROR(IF(MARÍTIMOS[[#This Row],[Etapa Ingreso - Ingeso]]="","",MARÍTIMOS[[#This Row],[Etapa Ingreso - Ingeso]]),"")</f>
        <v>44026.412499999999</v>
      </c>
      <c r="AK233" s="11">
        <f>IFERROR(IF(MARÍTIMOS[[#This Row],[Etapa Ingreso - Atención]]="","",MARÍTIMOS[[#This Row],[Etapa Ingreso - Atención]]),"")</f>
        <v>46217.420138888891</v>
      </c>
      <c r="AL233" s="11">
        <f>IFERROR(IF(MARÍTIMOS[[#This Row],[Etapa Ingreso - Salida]]="","",MARÍTIMOS[[#This Row],[Etapa Ingreso - Salida]]),"")</f>
        <v>46217.433333333334</v>
      </c>
      <c r="AM233" s="2">
        <f>IFERROR(IF(MARÍTIMOS[[#This Row],[FCL]]="","",MARÍTIMOS[[#This Row],[FCL]]),"")</f>
        <v>1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33" s="5">
        <f>IFERROR(OLDBD[[#This Row],[Llegada a packing]]-OLDBD[[#This Row],[Inicio de Ruta]],"")</f>
        <v>0.42222222222335404</v>
      </c>
      <c r="AQ233" s="6">
        <f>IFERROR(OLDBD[[#This Row],[Inicio de Ruta]]-OLDBD[[#This Row],[Salida de almacén de retiro]],"")</f>
        <v>0.11250000000291038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2.3611111115314998E-2</v>
      </c>
      <c r="AV233" s="9">
        <f>IFERROR(OLDBD[[#This Row],[Ingreso Packing]]-OLDBD[[#This Row],[Llegada a packing]],"")</f>
        <v>6.1111111113859806E-2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3" s="5">
        <f>IFERROR(OLDBD[[#This Row],[Llegada Almacén de Ingreso]]-OLDBD[[#This Row],[Salida Packing]],"")</f>
        <v>0.50208333333284827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5" t="s">
        <v>181</v>
      </c>
      <c r="BB233" s="53" t="str">
        <f>IFERROR(IF(MARÍTIMOS[[#This Row],[Estatus]]="","",MARÍTIMOS[[#This Row],[Estatus]]),"")</f>
        <v>Confirmado</v>
      </c>
      <c r="BC233" s="45"/>
      <c r="BD233" s="52">
        <f>IFERROR(OLDBD[[#This Row],[Salida de almacén de retiro]]-OLDBD[[#This Row],[Ingreso Almacén de retiro]],"")</f>
        <v>0.1965277777708252</v>
      </c>
      <c r="BE233" s="52">
        <f>IFERROR(OLDBD[[#This Row],[Fin de Carga]]-OLDBD[[#This Row],[Inicio de Carga]],"")</f>
        <v>0.47083333333284827</v>
      </c>
    </row>
    <row r="234" spans="1:57" x14ac:dyDescent="0.35">
      <c r="A234" s="1"/>
      <c r="B234" s="1">
        <f>IFERROR(IF(MARÍTIMOS[[#This Row],[PP]]="","",MARÍTIMOS[[#This Row],[PP]]),"")</f>
        <v>29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RH-0179</v>
      </c>
      <c r="E234" s="1"/>
      <c r="F234" s="2" t="str">
        <f>IFERROR(IF(MARÍTIMOS[[#This Row],[Transportista]]="","",MARÍTIMOS[[#This Row],[Transportista]]),"")</f>
        <v>Maersk</v>
      </c>
      <c r="G234" s="2" t="str">
        <f>IFERROR(IF(MARÍTIMOS[[#This Row],[Tercero]]="","",MARÍTIMOS[[#This Row],[Tercero]]),"")</f>
        <v>SI</v>
      </c>
      <c r="H234" s="2" t="str">
        <f>IFERROR(IF(MARÍTIMOS[[#This Row],[Razón Social]]="","",MARÍTIMOS[[#This Row],[Razón Social]]),"")</f>
        <v>TRANSPORTES ENERGIA LIMPIA S.A.C.</v>
      </c>
      <c r="I234" s="2">
        <f>IFERROR(IF(MARÍTIMOS[[#This Row],[RUC]]="","",MARÍTIMOS[[#This Row],[RUC]]),"")</f>
        <v>20604847142</v>
      </c>
      <c r="J234" s="2" t="str">
        <f>IFERROR(IF(MARÍTIMOS[[#This Row],[Placa Tracto]]="","",MARÍTIMOS[[#This Row],[Placa Tracto]]),"")</f>
        <v>ALR-741</v>
      </c>
      <c r="K234" s="2" t="str">
        <f>IFERROR(IF(MARÍTIMOS[[#This Row],[Placa Carreta]]="","",MARÍTIMOS[[#This Row],[Placa Carreta]]),"")</f>
        <v>ATP-984</v>
      </c>
      <c r="L234" s="46" t="str">
        <f>IFERROR(IF(MARÍTIMOS[[#This Row],[Conductor]]="","",MARÍTIMOS[[#This Row],[Conductor]]),"")</f>
        <v>GABINO CORAHUA FRANCO</v>
      </c>
      <c r="M234" s="2" t="str">
        <f>IFERROR(IF(MARÍTIMOS[[#This Row],[Licencia]]="","",MARÍTIMOS[[#This Row],[Licencia]]),"")</f>
        <v>Q42637753</v>
      </c>
      <c r="N234" s="2" t="str">
        <f>IFERROR(IF(MARÍTIMOS[[#This Row],[Número de Contacto]]="","",MARÍTIMOS[[#This Row],[Número de Contacto]]),"")</f>
        <v/>
      </c>
      <c r="O234" s="10">
        <f>IFERROR(IF(MARÍTIMOS[[#This Row],[Booking|AWB|CRT]]="","",MARÍTIMOS[[#This Row],[Booking|AWB|CRT]]),"")</f>
        <v>6508150050</v>
      </c>
      <c r="P234" s="2" t="str">
        <f>IFERROR(IF(MARÍTIMOS[[#This Row],[Contenedor]]="","",MARÍTIMOS[[#This Row],[Contenedor]]),"")</f>
        <v>FBIU5663004</v>
      </c>
      <c r="Q234" s="2" t="str">
        <f>IFERROR(IF(MARÍTIMOS[[#This Row],[Puerto de Retiro]]="","",MARÍTIMOS[[#This Row],[Puerto de Retiro]]),"")</f>
        <v>CHANCAY</v>
      </c>
      <c r="R234" s="2" t="str">
        <f>IFERROR(IF(MARÍTIMOS[[#This Row],[Almacén de Retiro]]="","",MARÍTIMOS[[#This Row],[Almacén de Retiro]]),"")</f>
        <v>CSPCP</v>
      </c>
      <c r="S234" s="11">
        <f>IFERROR(IF(MARÍTIMOS[[#This Row],[Etapa Retiro - Cita]]="","",MARÍTIMOS[[#This Row],[Etapa Retiro - Cita]]),"")</f>
        <v>46218.666666666664</v>
      </c>
      <c r="T234" s="11">
        <f>IFERROR(IF(MARÍTIMOS[[#This Row],[Etapa Retiro - Llegada]]="","",MARÍTIMOS[[#This Row],[Etapa Retiro - Llegada]]),"")</f>
        <v>46218.84375</v>
      </c>
      <c r="U234" s="11">
        <f>IFERROR(IF(MARÍTIMOS[[#This Row],[Etapa Retiro - Ingreso]]="","",MARÍTIMOS[[#This Row],[Etapa Retiro - Ingreso]]),"")</f>
        <v>46218.854166666664</v>
      </c>
      <c r="V234" s="11">
        <f>IFERROR(IF(MARÍTIMOS[[#This Row],[Etapa Retiro - Atención]]="","",MARÍTIMOS[[#This Row],[Etapa Retiro - Atención]]),"")</f>
        <v>46218.870138888888</v>
      </c>
      <c r="W234" s="11">
        <f>IFERROR(IF(MARÍTIMOS[[#This Row],[Etapa Retiro - Salida]]="","",MARÍTIMOS[[#This Row],[Etapa Retiro - Salida]]),"")</f>
        <v>46218.92291666667</v>
      </c>
      <c r="X234" s="11">
        <f>IFERROR(IF(MARÍTIMOS[[#This Row],[Etapa Retiro - Inicio de Ruta]]="","",MARÍTIMOS[[#This Row],[Etapa Retiro - Inicio de Ruta]]),"")</f>
        <v>46218.94027777778</v>
      </c>
      <c r="Y234" s="11">
        <f>IFERROR(IF(MARÍTIMOS[[#This Row],[Hora de Posicionamiento]]="","",MARÍTIMOS[[#This Row],[Hora de Carga]]+MARÍTIMOS[[#This Row],[Hora de Posicionamiento]]),"")</f>
        <v>0.33333333333333331</v>
      </c>
      <c r="Z234" s="11">
        <f>IFERROR(IF(MARÍTIMOS[[#This Row],[Etapa Despacho -  Llegada]]="","",MARÍTIMOS[[#This Row],[Etapa Despacho -  Llegada]]),"")</f>
        <v>46219.425694444442</v>
      </c>
      <c r="AA234" s="11">
        <f>IFERROR(IF(MARÍTIMOS[[#This Row],[Etapa Despacho -  Registro]]="","",MARÍTIMOS[[#This Row],[Etapa Despacho -  Registro]]),"")</f>
        <v>46219.426388888889</v>
      </c>
      <c r="AB234" s="11">
        <f>IFERROR(IF(MARÍTIMOS[[#This Row],[Inspección Externa]]="","",MARÍTIMOS[[#This Row],[Inspección Externa]]),"")</f>
        <v>46219.427083333336</v>
      </c>
      <c r="AC234" s="11">
        <f>IFERROR(IF(MARÍTIMOS[[#This Row],[Etapa Despacho -  Inicio de Carga]]="","",MARÍTIMOS[[#This Row],[Etapa Despacho -  Inicio de Carga]]),"")</f>
        <v>46219.465277777781</v>
      </c>
      <c r="AD234" s="11">
        <f>IFERROR(IF(MARÍTIMOS[[#This Row],[Etapa Despacho -  Fin de Carga]]="","",MARÍTIMOS[[#This Row],[Etapa Despacho -  Fin de Carga]]),"")</f>
        <v>46219.675000000003</v>
      </c>
      <c r="AE234" s="11">
        <f>IFERROR(IF(MARÍTIMOS[[#This Row],[Etapa Despacho -  Salida]]="","",MARÍTIMOS[[#This Row],[Etapa Despacho -  Salida]]),"")</f>
        <v>46219.702777777777</v>
      </c>
      <c r="AF234" s="2" t="str">
        <f>IFERROR(IF(MARÍTIMOS[[#This Row],[Puerto de Embarque]]="","",MARÍTIMOS[[#This Row],[Puerto de Embarque]]),"")</f>
        <v>CHANCAY</v>
      </c>
      <c r="AG234" s="2" t="str">
        <f>IFERROR(IF(MARÍTIMOS[[#This Row],[Almacén de Ingreso]]="","",MARÍTIMOS[[#This Row],[Almacén de Ingreso]]),"")</f>
        <v>CSPCP</v>
      </c>
      <c r="AH234" s="11" t="str">
        <f>IFERROR(IF(MARÍTIMOS[[#This Row],[Etapa Ingreso - Cita]]="","",MARÍTIMOS[[#This Row],[Etapa Ingreso - Cita]]),"")</f>
        <v/>
      </c>
      <c r="AI234" s="11">
        <f>IFERROR(IF(MARÍTIMOS[[#This Row],[Etapa Ingreso - Llegada]]="","",MARÍTIMOS[[#This Row],[Etapa Ingreso - Llegada]]),"")</f>
        <v>39280.268750000003</v>
      </c>
      <c r="AJ234" s="11">
        <f>IFERROR(IF(MARÍTIMOS[[#This Row],[Etapa Ingreso - Ingeso]]="","",MARÍTIMOS[[#This Row],[Etapa Ingreso - Ingeso]]),"")</f>
        <v>46220.284722222219</v>
      </c>
      <c r="AK234" s="11">
        <f>IFERROR(IF(MARÍTIMOS[[#This Row],[Etapa Ingreso - Atención]]="","",MARÍTIMOS[[#This Row],[Etapa Ingreso - Atención]]),"")</f>
        <v>46220.291666666664</v>
      </c>
      <c r="AL234" s="11">
        <f>IFERROR(IF(MARÍTIMOS[[#This Row],[Etapa Ingreso - Salida]]="","",MARÍTIMOS[[#This Row],[Etapa Ingreso - Salida]]),"")</f>
        <v>46220.29791666667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4" s="5">
        <f>IFERROR(OLDBD[[#This Row],[Llegada a packing]]-OLDBD[[#This Row],[Inicio de Ruta]],"")</f>
        <v>0.48541666666278616</v>
      </c>
      <c r="AQ234" s="6">
        <f>IFERROR(OLDBD[[#This Row],[Inicio de Ruta]]-OLDBD[[#This Row],[Salida de almacén de retiro]],"")</f>
        <v>1.7361111109494232E-2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4" s="9">
        <f>IFERROR(OLDBD[[#This Row],[Ingreso Packing]]-OLDBD[[#This Row],[Registro en Packing]],"")</f>
        <v>6.944444467080757E-4</v>
      </c>
      <c r="AV234" s="9">
        <f>IFERROR(OLDBD[[#This Row],[Ingreso Packing]]-OLDBD[[#This Row],[Llegada a packing]],"")</f>
        <v>1.3888888934161514E-3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4" s="5">
        <f>IFERROR(OLDBD[[#This Row],[Llegada Almacén de Ingreso]]-OLDBD[[#This Row],[Salida Packing]],"")</f>
        <v>-6939.4340277777737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34" s="45" t="s">
        <v>181</v>
      </c>
      <c r="BB234" s="53" t="str">
        <f>IFERROR(IF(MARÍTIMOS[[#This Row],[Estatus]]="","",MARÍTIMOS[[#This Row],[Estatus]]),"")</f>
        <v>Confirmado</v>
      </c>
      <c r="BC234" s="45"/>
      <c r="BD234" s="52">
        <f>IFERROR(OLDBD[[#This Row],[Salida de almacén de retiro]]-OLDBD[[#This Row],[Ingreso Almacén de retiro]],"")</f>
        <v>6.8750000005820766E-2</v>
      </c>
      <c r="BE234" s="52">
        <f>IFERROR(OLDBD[[#This Row],[Fin de Carga]]-OLDBD[[#This Row],[Inicio de Carga]],"")</f>
        <v>0.20972222222189885</v>
      </c>
    </row>
    <row r="235" spans="1:57" x14ac:dyDescent="0.35">
      <c r="A235" s="1"/>
      <c r="B235" s="1">
        <f>IFERROR(IF(MARÍTIMOS[[#This Row],[PP]]="","",MARÍTIMOS[[#This Row],[PP]]),"")</f>
        <v>29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RH-0180</v>
      </c>
      <c r="E235" s="1"/>
      <c r="F235" s="2" t="str">
        <f>IFERROR(IF(MARÍTIMOS[[#This Row],[Transportista]]="","",MARÍTIMOS[[#This Row],[Transportista]]),"")</f>
        <v>Maersk</v>
      </c>
      <c r="G235" s="2" t="str">
        <f>IFERROR(IF(MARÍTIMOS[[#This Row],[Tercero]]="","",MARÍTIMOS[[#This Row],[Tercero]]),"")</f>
        <v>SI</v>
      </c>
      <c r="H235" s="2" t="str">
        <f>IFERROR(IF(MARÍTIMOS[[#This Row],[Razón Social]]="","",MARÍTIMOS[[#This Row],[Razón Social]]),"")</f>
        <v>TRANSPORTES ENERGIA LIMPIA S.A.C.</v>
      </c>
      <c r="I235" s="2">
        <f>IFERROR(IF(MARÍTIMOS[[#This Row],[RUC]]="","",MARÍTIMOS[[#This Row],[RUC]]),"")</f>
        <v>20604847142</v>
      </c>
      <c r="J235" s="2" t="str">
        <f>IFERROR(IF(MARÍTIMOS[[#This Row],[Placa Tracto]]="","",MARÍTIMOS[[#This Row],[Placa Tracto]]),"")</f>
        <v>F4R-748</v>
      </c>
      <c r="K235" s="2" t="str">
        <f>IFERROR(IF(MARÍTIMOS[[#This Row],[Placa Carreta]]="","",MARÍTIMOS[[#This Row],[Placa Carreta]]),"")</f>
        <v>C3O-984</v>
      </c>
      <c r="L235" s="46" t="str">
        <f>IFERROR(IF(MARÍTIMOS[[#This Row],[Conductor]]="","",MARÍTIMOS[[#This Row],[Conductor]]),"")</f>
        <v>CARLOS GRADOS TRINIDAD</v>
      </c>
      <c r="M235" s="2" t="str">
        <f>IFERROR(IF(MARÍTIMOS[[#This Row],[Licencia]]="","",MARÍTIMOS[[#This Row],[Licencia]]),"")</f>
        <v>Q42085812</v>
      </c>
      <c r="N235" s="2" t="str">
        <f>IFERROR(IF(MARÍTIMOS[[#This Row],[Número de Contacto]]="","",MARÍTIMOS[[#This Row],[Número de Contacto]]),"")</f>
        <v/>
      </c>
      <c r="O235" s="10">
        <f>IFERROR(IF(MARÍTIMOS[[#This Row],[Booking|AWB|CRT]]="","",MARÍTIMOS[[#This Row],[Booking|AWB|CRT]]),"")</f>
        <v>6508149950</v>
      </c>
      <c r="P235" s="2" t="str">
        <f>IFERROR(IF(MARÍTIMOS[[#This Row],[Contenedor]]="","",MARÍTIMOS[[#This Row],[Contenedor]]),"")</f>
        <v>FBIU5178863</v>
      </c>
      <c r="Q235" s="2" t="str">
        <f>IFERROR(IF(MARÍTIMOS[[#This Row],[Puerto de Retiro]]="","",MARÍTIMOS[[#This Row],[Puerto de Retiro]]),"")</f>
        <v>CHANCAY</v>
      </c>
      <c r="R235" s="2" t="str">
        <f>IFERROR(IF(MARÍTIMOS[[#This Row],[Almacén de Retiro]]="","",MARÍTIMOS[[#This Row],[Almacén de Retiro]]),"")</f>
        <v>CSPCP</v>
      </c>
      <c r="S235" s="11">
        <f>IFERROR(IF(MARÍTIMOS[[#This Row],[Etapa Retiro - Cita]]="","",MARÍTIMOS[[#This Row],[Etapa Retiro - Cita]]),"")</f>
        <v>46218.666666666664</v>
      </c>
      <c r="T235" s="11">
        <f>IFERROR(IF(MARÍTIMOS[[#This Row],[Etapa Retiro - Llegada]]="","",MARÍTIMOS[[#This Row],[Etapa Retiro - Llegada]]),"")</f>
        <v>46218.765972222223</v>
      </c>
      <c r="U235" s="11">
        <f>IFERROR(IF(MARÍTIMOS[[#This Row],[Etapa Retiro - Ingreso]]="","",MARÍTIMOS[[#This Row],[Etapa Retiro - Ingreso]]),"")</f>
        <v>46218.774305555555</v>
      </c>
      <c r="V235" s="11">
        <f>IFERROR(IF(MARÍTIMOS[[#This Row],[Etapa Retiro - Atención]]="","",MARÍTIMOS[[#This Row],[Etapa Retiro - Atención]]),"")</f>
        <v>46218.787499999999</v>
      </c>
      <c r="W235" s="11">
        <f>IFERROR(IF(MARÍTIMOS[[#This Row],[Etapa Retiro - Salida]]="","",MARÍTIMOS[[#This Row],[Etapa Retiro - Salida]]),"")</f>
        <v>46218.856944444444</v>
      </c>
      <c r="X235" s="11">
        <f>IFERROR(IF(MARÍTIMOS[[#This Row],[Etapa Retiro - Inicio de Ruta]]="","",MARÍTIMOS[[#This Row],[Etapa Retiro - Inicio de Ruta]]),"")</f>
        <v>46218.87222222222</v>
      </c>
      <c r="Y235" s="11">
        <f>IFERROR(IF(MARÍTIMOS[[#This Row],[Hora de Posicionamiento]]="","",MARÍTIMOS[[#This Row],[Hora de Carga]]+MARÍTIMOS[[#This Row],[Hora de Posicionamiento]]),"")</f>
        <v>0.33333333333333331</v>
      </c>
      <c r="Z235" s="11">
        <f>IFERROR(IF(MARÍTIMOS[[#This Row],[Etapa Despacho -  Llegada]]="","",MARÍTIMOS[[#This Row],[Etapa Despacho -  Llegada]]),"")</f>
        <v>46219.480555555558</v>
      </c>
      <c r="AA235" s="11">
        <f>IFERROR(IF(MARÍTIMOS[[#This Row],[Etapa Despacho -  Registro]]="","",MARÍTIMOS[[#This Row],[Etapa Despacho -  Registro]]),"")</f>
        <v>46219.493055555555</v>
      </c>
      <c r="AB235" s="11">
        <f>IFERROR(IF(MARÍTIMOS[[#This Row],[Inspección Externa]]="","",MARÍTIMOS[[#This Row],[Inspección Externa]]),"")</f>
        <v>46219.510416666664</v>
      </c>
      <c r="AC235" s="11">
        <f>IFERROR(IF(MARÍTIMOS[[#This Row],[Etapa Despacho -  Inicio de Carga]]="","",MARÍTIMOS[[#This Row],[Etapa Despacho -  Inicio de Carga]]),"")</f>
        <v>46219.552083333336</v>
      </c>
      <c r="AD235" s="11">
        <f>IFERROR(IF(MARÍTIMOS[[#This Row],[Etapa Despacho -  Fin de Carga]]="","",MARÍTIMOS[[#This Row],[Etapa Despacho -  Fin de Carga]]),"")</f>
        <v>46219.673611111109</v>
      </c>
      <c r="AE235" s="11">
        <f>IFERROR(IF(MARÍTIMOS[[#This Row],[Etapa Despacho -  Salida]]="","",MARÍTIMOS[[#This Row],[Etapa Despacho -  Salida]]),"")</f>
        <v>46219.70208333333</v>
      </c>
      <c r="AF235" s="2" t="str">
        <f>IFERROR(IF(MARÍTIMOS[[#This Row],[Puerto de Embarque]]="","",MARÍTIMOS[[#This Row],[Puerto de Embarque]]),"")</f>
        <v>CHANCAY</v>
      </c>
      <c r="AG235" s="2" t="str">
        <f>IFERROR(IF(MARÍTIMOS[[#This Row],[Almacén de Ingreso]]="","",MARÍTIMOS[[#This Row],[Almacén de Ingreso]]),"")</f>
        <v>CSPCP</v>
      </c>
      <c r="AH235" s="11" t="str">
        <f>IFERROR(IF(MARÍTIMOS[[#This Row],[Etapa Ingreso - Cita]]="","",MARÍTIMOS[[#This Row],[Etapa Ingreso - Cita]]),"")</f>
        <v/>
      </c>
      <c r="AI235" s="11">
        <f>IFERROR(IF(MARÍTIMOS[[#This Row],[Etapa Ingreso - Llegada]]="","",MARÍTIMOS[[#This Row],[Etapa Ingreso - Llegada]]),"")</f>
        <v>46220.263194444444</v>
      </c>
      <c r="AJ235" s="11">
        <f>IFERROR(IF(MARÍTIMOS[[#This Row],[Etapa Ingreso - Ingeso]]="","",MARÍTIMOS[[#This Row],[Etapa Ingreso - Ingeso]]),"")</f>
        <v>46220.286111111112</v>
      </c>
      <c r="AK235" s="11">
        <f>IFERROR(IF(MARÍTIMOS[[#This Row],[Etapa Ingreso - Atención]]="","",MARÍTIMOS[[#This Row],[Etapa Ingreso - Atención]]),"")</f>
        <v>46220.290277777778</v>
      </c>
      <c r="AL235" s="11">
        <f>IFERROR(IF(MARÍTIMOS[[#This Row],[Etapa Ingreso - Salida]]="","",MARÍTIMOS[[#This Row],[Etapa Ingreso - Salida]]),"")</f>
        <v>46220.295138888891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5" s="5">
        <f>IFERROR(OLDBD[[#This Row],[Llegada a packing]]-OLDBD[[#This Row],[Inicio de Ruta]],"")</f>
        <v>0.60833333333721384</v>
      </c>
      <c r="AQ235" s="6">
        <f>IFERROR(OLDBD[[#This Row],[Inicio de Ruta]]-OLDBD[[#This Row],[Salida de almacén de retiro]],"")</f>
        <v>1.5277777776645962E-2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5" s="9">
        <f>IFERROR(OLDBD[[#This Row],[Ingreso Packing]]-OLDBD[[#This Row],[Registro en Packing]],"")</f>
        <v>1.7361111109494232E-2</v>
      </c>
      <c r="AV235" s="9">
        <f>IFERROR(OLDBD[[#This Row],[Ingreso Packing]]-OLDBD[[#This Row],[Llegada a packing]],"")</f>
        <v>2.9861111106583849E-2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5" s="5">
        <f>IFERROR(OLDBD[[#This Row],[Llegada Almacén de Ingreso]]-OLDBD[[#This Row],[Salida Packing]],"")</f>
        <v>0.56111111111385981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35" s="45" t="s">
        <v>181</v>
      </c>
      <c r="BB235" s="53" t="str">
        <f>IFERROR(IF(MARÍTIMOS[[#This Row],[Estatus]]="","",MARÍTIMOS[[#This Row],[Estatus]]),"")</f>
        <v>Confirmado</v>
      </c>
      <c r="BC235" s="45"/>
      <c r="BD235" s="52">
        <f>IFERROR(OLDBD[[#This Row],[Salida de almacén de retiro]]-OLDBD[[#This Row],[Ingreso Almacén de retiro]],"")</f>
        <v>8.2638888889050577E-2</v>
      </c>
      <c r="BE235" s="52">
        <f>IFERROR(OLDBD[[#This Row],[Fin de Carga]]-OLDBD[[#This Row],[Inicio de Carga]],"")</f>
        <v>0.12152777777373558</v>
      </c>
    </row>
    <row r="236" spans="1:57" x14ac:dyDescent="0.35">
      <c r="A236" s="1"/>
      <c r="B236" s="1">
        <f>IFERROR(IF(MARÍTIMOS[[#This Row],[PP]]="","",MARÍTIMOS[[#This Row],[PP]]),"")</f>
        <v>29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RH-0181</v>
      </c>
      <c r="E236" s="1"/>
      <c r="F236" s="2" t="str">
        <f>IFERROR(IF(MARÍTIMOS[[#This Row],[Transportista]]="","",MARÍTIMOS[[#This Row],[Transportista]]),"")</f>
        <v>Maersk</v>
      </c>
      <c r="G236" s="2" t="str">
        <f>IFERROR(IF(MARÍTIMOS[[#This Row],[Tercero]]="","",MARÍTIMOS[[#This Row],[Tercero]]),"")</f>
        <v>SI</v>
      </c>
      <c r="H236" s="2" t="str">
        <f>IFERROR(IF(MARÍTIMOS[[#This Row],[Razón Social]]="","",MARÍTIMOS[[#This Row],[Razón Social]]),"")</f>
        <v>GRUPO ANDIBA S.A.C.</v>
      </c>
      <c r="I236" s="2">
        <f>IFERROR(IF(MARÍTIMOS[[#This Row],[RUC]]="","",MARÍTIMOS[[#This Row],[RUC]]),"")</f>
        <v>20606818930</v>
      </c>
      <c r="J236" s="2" t="str">
        <f>IFERROR(IF(MARÍTIMOS[[#This Row],[Placa Tracto]]="","",MARÍTIMOS[[#This Row],[Placa Tracto]]),"")</f>
        <v>BNG736</v>
      </c>
      <c r="K236" s="2" t="str">
        <f>IFERROR(IF(MARÍTIMOS[[#This Row],[Placa Carreta]]="","",MARÍTIMOS[[#This Row],[Placa Carreta]]),"")</f>
        <v>TPQ987</v>
      </c>
      <c r="L236" s="46" t="str">
        <f>IFERROR(IF(MARÍTIMOS[[#This Row],[Conductor]]="","",MARÍTIMOS[[#This Row],[Conductor]]),"")</f>
        <v>JOSE ARTURO REYES ROJAS</v>
      </c>
      <c r="M236" s="2" t="str">
        <f>IFERROR(IF(MARÍTIMOS[[#This Row],[Licencia]]="","",MARÍTIMOS[[#This Row],[Licencia]]),"")</f>
        <v>E70471871</v>
      </c>
      <c r="N236" s="2" t="str">
        <f>IFERROR(IF(MARÍTIMOS[[#This Row],[Número de Contacto]]="","",MARÍTIMOS[[#This Row],[Número de Contacto]]),"")</f>
        <v/>
      </c>
      <c r="O236" s="10">
        <f>IFERROR(IF(MARÍTIMOS[[#This Row],[Booking|AWB|CRT]]="","",MARÍTIMOS[[#This Row],[Booking|AWB|CRT]]),"")</f>
        <v>6508149930</v>
      </c>
      <c r="P236" s="2" t="str">
        <f>IFERROR(IF(MARÍTIMOS[[#This Row],[Contenedor]]="","",MARÍTIMOS[[#This Row],[Contenedor]]),"")</f>
        <v>FBIU5627922</v>
      </c>
      <c r="Q236" s="2" t="str">
        <f>IFERROR(IF(MARÍTIMOS[[#This Row],[Puerto de Retiro]]="","",MARÍTIMOS[[#This Row],[Puerto de Retiro]]),"")</f>
        <v>CHANCAY</v>
      </c>
      <c r="R236" s="2" t="str">
        <f>IFERROR(IF(MARÍTIMOS[[#This Row],[Almacén de Retiro]]="","",MARÍTIMOS[[#This Row],[Almacén de Retiro]]),"")</f>
        <v>CSPCP</v>
      </c>
      <c r="S236" s="11">
        <f>IFERROR(IF(MARÍTIMOS[[#This Row],[Etapa Retiro - Cita]]="","",MARÍTIMOS[[#This Row],[Etapa Retiro - Cita]]),"")</f>
        <v>46218.666666666664</v>
      </c>
      <c r="T236" s="11">
        <f>IFERROR(IF(MARÍTIMOS[[#This Row],[Etapa Retiro - Llegada]]="","",MARÍTIMOS[[#This Row],[Etapa Retiro - Llegada]]),"")</f>
        <v>46218.925694444442</v>
      </c>
      <c r="U236" s="11">
        <f>IFERROR(IF(MARÍTIMOS[[#This Row],[Etapa Retiro - Ingreso]]="","",MARÍTIMOS[[#This Row],[Etapa Retiro - Ingreso]]),"")</f>
        <v>46218.947916666664</v>
      </c>
      <c r="V236" s="11">
        <f>IFERROR(IF(MARÍTIMOS[[#This Row],[Etapa Retiro - Atención]]="","",MARÍTIMOS[[#This Row],[Etapa Retiro - Atención]]),"")</f>
        <v>46218.95208333333</v>
      </c>
      <c r="W236" s="11">
        <f>IFERROR(IF(MARÍTIMOS[[#This Row],[Etapa Retiro - Salida]]="","",MARÍTIMOS[[#This Row],[Etapa Retiro - Salida]]),"")</f>
        <v>46218.96875</v>
      </c>
      <c r="X236" s="11">
        <f>IFERROR(IF(MARÍTIMOS[[#This Row],[Etapa Retiro - Inicio de Ruta]]="","",MARÍTIMOS[[#This Row],[Etapa Retiro - Inicio de Ruta]]),"")</f>
        <v>46219.027777777781</v>
      </c>
      <c r="Y236" s="11">
        <f>IFERROR(IF(MARÍTIMOS[[#This Row],[Hora de Posicionamiento]]="","",MARÍTIMOS[[#This Row],[Hora de Carga]]+MARÍTIMOS[[#This Row],[Hora de Posicionamiento]]),"")</f>
        <v>0.5</v>
      </c>
      <c r="Z236" s="11">
        <f>IFERROR(IF(MARÍTIMOS[[#This Row],[Etapa Despacho -  Llegada]]="","",MARÍTIMOS[[#This Row],[Etapa Despacho -  Llegada]]),"")</f>
        <v>46219.600694444445</v>
      </c>
      <c r="AA236" s="11">
        <f>IFERROR(IF(MARÍTIMOS[[#This Row],[Etapa Despacho -  Registro]]="","",MARÍTIMOS[[#This Row],[Etapa Despacho -  Registro]]),"")</f>
        <v>46219.637499999997</v>
      </c>
      <c r="AB236" s="11">
        <f>IFERROR(IF(MARÍTIMOS[[#This Row],[Inspección Externa]]="","",MARÍTIMOS[[#This Row],[Inspección Externa]]),"")</f>
        <v>46219.643750000003</v>
      </c>
      <c r="AC236" s="11">
        <f>IFERROR(IF(MARÍTIMOS[[#This Row],[Etapa Despacho -  Inicio de Carga]]="","",MARÍTIMOS[[#This Row],[Etapa Despacho -  Inicio de Carga]]),"")</f>
        <v>46219.680555555555</v>
      </c>
      <c r="AD236" s="11">
        <f>IFERROR(IF(MARÍTIMOS[[#This Row],[Etapa Despacho -  Fin de Carga]]="","",MARÍTIMOS[[#This Row],[Etapa Despacho -  Fin de Carga]]),"")</f>
        <v>46219.739583333336</v>
      </c>
      <c r="AE236" s="11">
        <f>IFERROR(IF(MARÍTIMOS[[#This Row],[Etapa Despacho -  Salida]]="","",MARÍTIMOS[[#This Row],[Etapa Despacho -  Salida]]),"")</f>
        <v>46219.761111111111</v>
      </c>
      <c r="AF236" s="2" t="str">
        <f>IFERROR(IF(MARÍTIMOS[[#This Row],[Puerto de Embarque]]="","",MARÍTIMOS[[#This Row],[Puerto de Embarque]]),"")</f>
        <v>CHANCAY</v>
      </c>
      <c r="AG236" s="2" t="str">
        <f>IFERROR(IF(MARÍTIMOS[[#This Row],[Almacén de Ingreso]]="","",MARÍTIMOS[[#This Row],[Almacén de Ingreso]]),"")</f>
        <v>CSPCP</v>
      </c>
      <c r="AH236" s="11" t="str">
        <f>IFERROR(IF(MARÍTIMOS[[#This Row],[Etapa Ingreso - Cita]]="","",MARÍTIMOS[[#This Row],[Etapa Ingreso - Cita]]),"")</f>
        <v/>
      </c>
      <c r="AI236" s="11">
        <f>IFERROR(IF(MARÍTIMOS[[#This Row],[Etapa Ingreso - Llegada]]="","",MARÍTIMOS[[#This Row],[Etapa Ingreso - Llegada]]),"")</f>
        <v>46220.393750000003</v>
      </c>
      <c r="AJ236" s="11">
        <f>IFERROR(IF(MARÍTIMOS[[#This Row],[Etapa Ingreso - Ingeso]]="","",MARÍTIMOS[[#This Row],[Etapa Ingreso - Ingeso]]),"")</f>
        <v>46220.411805555559</v>
      </c>
      <c r="AK236" s="11">
        <f>IFERROR(IF(MARÍTIMOS[[#This Row],[Etapa Ingreso - Atención]]="","",MARÍTIMOS[[#This Row],[Etapa Ingreso - Atención]]),"")</f>
        <v>46220.417361111111</v>
      </c>
      <c r="AL236" s="11">
        <f>IFERROR(IF(MARÍTIMOS[[#This Row],[Etapa Ingreso - Salida]]="","",MARÍTIMOS[[#This Row],[Etapa Ingreso - Salida]]),"")</f>
        <v>46220.42291666667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6" s="5">
        <f>IFERROR(OLDBD[[#This Row],[Llegada a packing]]-OLDBD[[#This Row],[Inicio de Ruta]],"")</f>
        <v>0.57291666666424135</v>
      </c>
      <c r="AQ236" s="6">
        <f>IFERROR(OLDBD[[#This Row],[Inicio de Ruta]]-OLDBD[[#This Row],[Salida de almacén de retiro]],"")</f>
        <v>5.9027777781011537E-2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6" s="9">
        <f>IFERROR(OLDBD[[#This Row],[Ingreso Packing]]-OLDBD[[#This Row],[Registro en Packing]],"")</f>
        <v>6.2500000058207661E-3</v>
      </c>
      <c r="AV236" s="9">
        <f>IFERROR(OLDBD[[#This Row],[Ingreso Packing]]-OLDBD[[#This Row],[Llegada a packing]],"")</f>
        <v>4.3055555557657499E-2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6" s="5">
        <f>IFERROR(OLDBD[[#This Row],[Llegada Almacén de Ingreso]]-OLDBD[[#This Row],[Salida Packing]],"")</f>
        <v>0.63263888889196096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36" s="45" t="s">
        <v>181</v>
      </c>
      <c r="BB236" s="53" t="str">
        <f>IFERROR(IF(MARÍTIMOS[[#This Row],[Estatus]]="","",MARÍTIMOS[[#This Row],[Estatus]]),"")</f>
        <v>Confirmado</v>
      </c>
      <c r="BC236" s="45"/>
      <c r="BD236" s="52">
        <f>IFERROR(OLDBD[[#This Row],[Salida de almacén de retiro]]-OLDBD[[#This Row],[Ingreso Almacén de retiro]],"")</f>
        <v>2.0833333335758653E-2</v>
      </c>
      <c r="BE236" s="52">
        <f>IFERROR(OLDBD[[#This Row],[Fin de Carga]]-OLDBD[[#This Row],[Inicio de Carga]],"")</f>
        <v>5.9027777781011537E-2</v>
      </c>
    </row>
    <row r="237" spans="1:57" x14ac:dyDescent="0.35">
      <c r="A237" s="1"/>
      <c r="B237" s="1">
        <f>IFERROR(IF(MARÍTIMOS[[#This Row],[PP]]="","",MARÍTIMOS[[#This Row],[PP]]),"")</f>
        <v>29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RH-0183</v>
      </c>
      <c r="E237" s="1"/>
      <c r="F237" s="2" t="str">
        <f>IFERROR(IF(MARÍTIMOS[[#This Row],[Transportista]]="","",MARÍTIMOS[[#This Row],[Transportista]]),"")</f>
        <v>Maersk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>MAERK LOGISTIC &amp; SERVICES PERU S.A</v>
      </c>
      <c r="I237" s="2">
        <f>IFERROR(IF(MARÍTIMOS[[#This Row],[RUC]]="","",MARÍTIMOS[[#This Row],[RUC]]),"")</f>
        <v>20107012011</v>
      </c>
      <c r="J237" s="2" t="str">
        <f>IFERROR(IF(MARÍTIMOS[[#This Row],[Placa Tracto]]="","",MARÍTIMOS[[#This Row],[Placa Tracto]]),"")</f>
        <v>BTM764</v>
      </c>
      <c r="K237" s="2" t="str">
        <f>IFERROR(IF(MARÍTIMOS[[#This Row],[Placa Carreta]]="","",MARÍTIMOS[[#This Row],[Placa Carreta]]),"")</f>
        <v>BDW976</v>
      </c>
      <c r="L237" s="46" t="str">
        <f>IFERROR(IF(MARÍTIMOS[[#This Row],[Conductor]]="","",MARÍTIMOS[[#This Row],[Conductor]]),"")</f>
        <v>WILDER IBAZETA / REMIGIO FLAVIO</v>
      </c>
      <c r="M237" s="2" t="str">
        <f>IFERROR(IF(MARÍTIMOS[[#This Row],[Licencia]]="","",MARÍTIMOS[[#This Row],[Licencia]]),"")</f>
        <v>E43472986 / E15756744</v>
      </c>
      <c r="N237" s="2" t="str">
        <f>IFERROR(IF(MARÍTIMOS[[#This Row],[Número de Contacto]]="","",MARÍTIMOS[[#This Row],[Número de Contacto]]),"")</f>
        <v/>
      </c>
      <c r="O237" s="10">
        <f>IFERROR(IF(MARÍTIMOS[[#This Row],[Booking|AWB|CRT]]="","",MARÍTIMOS[[#This Row],[Booking|AWB|CRT]]),"")</f>
        <v>751600040135</v>
      </c>
      <c r="P237" s="2" t="str">
        <f>IFERROR(IF(MARÍTIMOS[[#This Row],[Contenedor]]="","",MARÍTIMOS[[#This Row],[Contenedor]]),"")</f>
        <v>EMCU5686014</v>
      </c>
      <c r="Q237" s="2" t="str">
        <f>IFERROR(IF(MARÍTIMOS[[#This Row],[Puerto de Retiro]]="","",MARÍTIMOS[[#This Row],[Puerto de Retiro]]),"")</f>
        <v>CALLAO</v>
      </c>
      <c r="R237" s="2" t="str">
        <f>IFERROR(IF(MARÍTIMOS[[#This Row],[Almacén de Retiro]]="","",MARÍTIMOS[[#This Row],[Almacén de Retiro]]),"")</f>
        <v>IMUPESA</v>
      </c>
      <c r="S237" s="11">
        <f>IFERROR(IF(MARÍTIMOS[[#This Row],[Etapa Retiro - Cita]]="","",MARÍTIMOS[[#This Row],[Etapa Retiro - Cita]]),"")</f>
        <v>46221.625</v>
      </c>
      <c r="T237" s="11">
        <f>IFERROR(IF(MARÍTIMOS[[#This Row],[Etapa Retiro - Llegada]]="","",MARÍTIMOS[[#This Row],[Etapa Retiro - Llegada]]),"")</f>
        <v>46221.815972222219</v>
      </c>
      <c r="U237" s="11">
        <f>IFERROR(IF(MARÍTIMOS[[#This Row],[Etapa Retiro - Ingreso]]="","",MARÍTIMOS[[#This Row],[Etapa Retiro - Ingreso]]),"")</f>
        <v>46221.897916666669</v>
      </c>
      <c r="V237" s="11">
        <f>IFERROR(IF(MARÍTIMOS[[#This Row],[Etapa Retiro - Atención]]="","",MARÍTIMOS[[#This Row],[Etapa Retiro - Atención]]),"")</f>
        <v>46221.925000000003</v>
      </c>
      <c r="W237" s="11">
        <f>IFERROR(IF(MARÍTIMOS[[#This Row],[Etapa Retiro - Salida]]="","",MARÍTIMOS[[#This Row],[Etapa Retiro - Salida]]),"")</f>
        <v>46222.015277777777</v>
      </c>
      <c r="X237" s="11">
        <f>IFERROR(IF(MARÍTIMOS[[#This Row],[Etapa Retiro - Inicio de Ruta]]="","",MARÍTIMOS[[#This Row],[Etapa Retiro - Inicio de Ruta]]),"")</f>
        <v>46222.069444444445</v>
      </c>
      <c r="Y237" s="11">
        <f>IFERROR(IF(MARÍTIMOS[[#This Row],[Hora de Posicionamiento]]="","",MARÍTIMOS[[#This Row],[Hora de Carga]]+MARÍTIMOS[[#This Row],[Hora de Posicionamiento]]),"")</f>
        <v>0.33333333333333331</v>
      </c>
      <c r="Z237" s="11">
        <f>IFERROR(IF(MARÍTIMOS[[#This Row],[Etapa Despacho -  Llegada]]="","",MARÍTIMOS[[#This Row],[Etapa Despacho -  Llegada]]),"")</f>
        <v>46222.451388888891</v>
      </c>
      <c r="AA237" s="11">
        <f>IFERROR(IF(MARÍTIMOS[[#This Row],[Etapa Despacho -  Registro]]="","",MARÍTIMOS[[#This Row],[Etapa Despacho -  Registro]]),"")</f>
        <v>46222.524305555555</v>
      </c>
      <c r="AB237" s="11">
        <f>IFERROR(IF(MARÍTIMOS[[#This Row],[Inspección Externa]]="","",MARÍTIMOS[[#This Row],[Inspección Externa]]),"")</f>
        <v>46222.534722222219</v>
      </c>
      <c r="AC237" s="11">
        <f>IFERROR(IF(MARÍTIMOS[[#This Row],[Etapa Despacho -  Inicio de Carga]]="","",MARÍTIMOS[[#This Row],[Etapa Despacho -  Inicio de Carga]]),"")</f>
        <v>46222.572916666664</v>
      </c>
      <c r="AD237" s="11">
        <f>IFERROR(IF(MARÍTIMOS[[#This Row],[Etapa Despacho -  Fin de Carga]]="","",MARÍTIMOS[[#This Row],[Etapa Despacho -  Fin de Carga]]),"")</f>
        <v>46222.672222222223</v>
      </c>
      <c r="AE237" s="11">
        <f>IFERROR(IF(MARÍTIMOS[[#This Row],[Etapa Despacho -  Salida]]="","",MARÍTIMOS[[#This Row],[Etapa Despacho -  Salida]]),"")</f>
        <v>46222.695138888892</v>
      </c>
      <c r="AF237" s="2" t="str">
        <f>IFERROR(IF(MARÍTIMOS[[#This Row],[Puerto de Embarque]]="","",MARÍTIMOS[[#This Row],[Puerto de Embarque]]),"")</f>
        <v>CALLAO</v>
      </c>
      <c r="AG237" s="2" t="str">
        <f>IFERROR(IF(MARÍTIMOS[[#This Row],[Almacén de Ingreso]]="","",MARÍTIMOS[[#This Row],[Almacén de Ingreso]]),"")</f>
        <v>DPW</v>
      </c>
      <c r="AH237" s="11">
        <f>IFERROR(IF(MARÍTIMOS[[#This Row],[Etapa Ingreso - Cita]]="","",MARÍTIMOS[[#This Row],[Etapa Ingreso - Cita]]),"")</f>
        <v>46223.333333333336</v>
      </c>
      <c r="AI237" s="11">
        <f>IFERROR(IF(MARÍTIMOS[[#This Row],[Etapa Ingreso - Llegada]]="","",MARÍTIMOS[[#This Row],[Etapa Ingreso - Llegada]]),"")</f>
        <v>46223.257638888892</v>
      </c>
      <c r="AJ237" s="11">
        <f>IFERROR(IF(MARÍTIMOS[[#This Row],[Etapa Ingreso - Ingeso]]="","",MARÍTIMOS[[#This Row],[Etapa Ingreso - Ingeso]]),"")</f>
        <v>46223.284722222219</v>
      </c>
      <c r="AK237" s="11">
        <f>IFERROR(IF(MARÍTIMOS[[#This Row],[Etapa Ingreso - Atención]]="","",MARÍTIMOS[[#This Row],[Etapa Ingreso - Atención]]),"")</f>
        <v>46223.322916666664</v>
      </c>
      <c r="AL237" s="11">
        <f>IFERROR(IF(MARÍTIMOS[[#This Row],[Etapa Ingreso - Salida]]="","",MARÍTIMOS[[#This Row],[Etapa Ingreso - Salida]]),"")</f>
        <v>46223.333333333336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7" s="5">
        <f>IFERROR(OLDBD[[#This Row],[Llegada a packing]]-OLDBD[[#This Row],[Inicio de Ruta]],"")</f>
        <v>0.38194444444525288</v>
      </c>
      <c r="AQ237" s="6">
        <f>IFERROR(OLDBD[[#This Row],[Inicio de Ruta]]-OLDBD[[#This Row],[Salida de almacén de retiro]],"")</f>
        <v>5.4166666668606922E-2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7" s="9">
        <f>IFERROR(OLDBD[[#This Row],[Ingreso Packing]]-OLDBD[[#This Row],[Registro en Packing]],"")</f>
        <v>1.0416666664241347E-2</v>
      </c>
      <c r="AV237" s="9">
        <f>IFERROR(OLDBD[[#This Row],[Ingreso Packing]]-OLDBD[[#This Row],[Llegada a packing]],"")</f>
        <v>8.3333333328482695E-2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7" s="5">
        <f>IFERROR(OLDBD[[#This Row],[Llegada Almacén de Ingreso]]-OLDBD[[#This Row],[Salida Packing]],"")</f>
        <v>0.5625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7" s="45" t="s">
        <v>181</v>
      </c>
      <c r="BB237" s="53" t="str">
        <f>IFERROR(IF(MARÍTIMOS[[#This Row],[Estatus]]="","",MARÍTIMOS[[#This Row],[Estatus]]),"")</f>
        <v>Confirmado</v>
      </c>
      <c r="BC237" s="45"/>
      <c r="BD237" s="52">
        <f>IFERROR(OLDBD[[#This Row],[Salida de almacén de retiro]]-OLDBD[[#This Row],[Ingreso Almacén de retiro]],"")</f>
        <v>0.11736111110803904</v>
      </c>
      <c r="BE237" s="52">
        <f>IFERROR(OLDBD[[#This Row],[Fin de Carga]]-OLDBD[[#This Row],[Inicio de Carga]],"")</f>
        <v>9.930555555911269E-2</v>
      </c>
    </row>
    <row r="238" spans="1:57" x14ac:dyDescent="0.35">
      <c r="A238" s="1"/>
      <c r="B238" s="1">
        <f>IFERROR(IF(MARÍTIMOS[[#This Row],[PP]]="","",MARÍTIMOS[[#This Row],[PP]]),"")</f>
        <v>29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RH-0184</v>
      </c>
      <c r="E238" s="1"/>
      <c r="F238" s="2" t="str">
        <f>IFERROR(IF(MARÍTIMOS[[#This Row],[Transportista]]="","",MARÍTIMOS[[#This Row],[Transportista]]),"")</f>
        <v>Maersk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>MAERK LOGISTIC &amp; SERVICES PERU S.A</v>
      </c>
      <c r="I238" s="2">
        <f>IFERROR(IF(MARÍTIMOS[[#This Row],[RUC]]="","",MARÍTIMOS[[#This Row],[RUC]]),"")</f>
        <v>20107012011</v>
      </c>
      <c r="J238" s="2" t="str">
        <f>IFERROR(IF(MARÍTIMOS[[#This Row],[Placa Tracto]]="","",MARÍTIMOS[[#This Row],[Placa Tracto]]),"")</f>
        <v>BTM725</v>
      </c>
      <c r="K238" s="2" t="str">
        <f>IFERROR(IF(MARÍTIMOS[[#This Row],[Placa Carreta]]="","",MARÍTIMOS[[#This Row],[Placa Carreta]]),"")</f>
        <v>BDV988</v>
      </c>
      <c r="L238" s="46" t="str">
        <f>IFERROR(IF(MARÍTIMOS[[#This Row],[Conductor]]="","",MARÍTIMOS[[#This Row],[Conductor]]),"")</f>
        <v>RODDY DE LA CRUZ / EMILIO CHIROQUE</v>
      </c>
      <c r="M238" s="2" t="str">
        <f>IFERROR(IF(MARÍTIMOS[[#This Row],[Licencia]]="","",MARÍTIMOS[[#This Row],[Licencia]]),"")</f>
        <v>B48103960 / Q40943334</v>
      </c>
      <c r="N238" s="2" t="str">
        <f>IFERROR(IF(MARÍTIMOS[[#This Row],[Número de Contacto]]="","",MARÍTIMOS[[#This Row],[Número de Contacto]]),"")</f>
        <v/>
      </c>
      <c r="O238" s="10">
        <f>IFERROR(IF(MARÍTIMOS[[#This Row],[Booking|AWB|CRT]]="","",MARÍTIMOS[[#This Row],[Booking|AWB|CRT]]),"")</f>
        <v>751600040143</v>
      </c>
      <c r="P238" s="2" t="str">
        <f>IFERROR(IF(MARÍTIMOS[[#This Row],[Contenedor]]="","",MARÍTIMOS[[#This Row],[Contenedor]]),"")</f>
        <v>EMCU5685091</v>
      </c>
      <c r="Q238" s="2" t="str">
        <f>IFERROR(IF(MARÍTIMOS[[#This Row],[Puerto de Retiro]]="","",MARÍTIMOS[[#This Row],[Puerto de Retiro]]),"")</f>
        <v>CALLAO</v>
      </c>
      <c r="R238" s="2" t="str">
        <f>IFERROR(IF(MARÍTIMOS[[#This Row],[Almacén de Retiro]]="","",MARÍTIMOS[[#This Row],[Almacén de Retiro]]),"")</f>
        <v>IMUPESA</v>
      </c>
      <c r="S238" s="11">
        <f>IFERROR(IF(MARÍTIMOS[[#This Row],[Etapa Retiro - Cita]]="","",MARÍTIMOS[[#This Row],[Etapa Retiro - Cita]]),"")</f>
        <v>46221.625</v>
      </c>
      <c r="T238" s="11">
        <f>IFERROR(IF(MARÍTIMOS[[#This Row],[Etapa Retiro - Llegada]]="","",MARÍTIMOS[[#This Row],[Etapa Retiro - Llegada]]),"")</f>
        <v>46221.673611111109</v>
      </c>
      <c r="U238" s="11">
        <f>IFERROR(IF(MARÍTIMOS[[#This Row],[Etapa Retiro - Ingreso]]="","",MARÍTIMOS[[#This Row],[Etapa Retiro - Ingreso]]),"")</f>
        <v>46221.791666666664</v>
      </c>
      <c r="V238" s="11">
        <f>IFERROR(IF(MARÍTIMOS[[#This Row],[Etapa Retiro - Atención]]="","",MARÍTIMOS[[#This Row],[Etapa Retiro - Atención]]),"")</f>
        <v>46221.853472222225</v>
      </c>
      <c r="W238" s="11">
        <f>IFERROR(IF(MARÍTIMOS[[#This Row],[Etapa Retiro - Salida]]="","",MARÍTIMOS[[#This Row],[Etapa Retiro - Salida]]),"")</f>
        <v>46221.907638888886</v>
      </c>
      <c r="X238" s="11">
        <f>IFERROR(IF(MARÍTIMOS[[#This Row],[Etapa Retiro - Inicio de Ruta]]="","",MARÍTIMOS[[#This Row],[Etapa Retiro - Inicio de Ruta]]),"")</f>
        <v>46222.020833333336</v>
      </c>
      <c r="Y238" s="11">
        <f>IFERROR(IF(MARÍTIMOS[[#This Row],[Hora de Posicionamiento]]="","",MARÍTIMOS[[#This Row],[Hora de Carga]]+MARÍTIMOS[[#This Row],[Hora de Posicionamiento]]),"")</f>
        <v>0.33333333333333331</v>
      </c>
      <c r="Z238" s="11">
        <f>IFERROR(IF(MARÍTIMOS[[#This Row],[Etapa Despacho -  Llegada]]="","",MARÍTIMOS[[#This Row],[Etapa Despacho -  Llegada]]),"")</f>
        <v>46222.455555555556</v>
      </c>
      <c r="AA238" s="11">
        <f>IFERROR(IF(MARÍTIMOS[[#This Row],[Etapa Despacho -  Registro]]="","",MARÍTIMOS[[#This Row],[Etapa Despacho -  Registro]]),"")</f>
        <v>46222.510416666664</v>
      </c>
      <c r="AB238" s="11">
        <f>IFERROR(IF(MARÍTIMOS[[#This Row],[Inspección Externa]]="","",MARÍTIMOS[[#This Row],[Inspección Externa]]),"")</f>
        <v>46222.531944444447</v>
      </c>
      <c r="AC238" s="11">
        <f>IFERROR(IF(MARÍTIMOS[[#This Row],[Etapa Despacho -  Inicio de Carga]]="","",MARÍTIMOS[[#This Row],[Etapa Despacho -  Inicio de Carga]]),"")</f>
        <v>46222.576388888891</v>
      </c>
      <c r="AD238" s="11">
        <f>IFERROR(IF(MARÍTIMOS[[#This Row],[Etapa Despacho -  Fin de Carga]]="","",MARÍTIMOS[[#This Row],[Etapa Despacho -  Fin de Carga]]),"")</f>
        <v>46222.673611111109</v>
      </c>
      <c r="AE238" s="11">
        <f>IFERROR(IF(MARÍTIMOS[[#This Row],[Etapa Despacho -  Salida]]="","",MARÍTIMOS[[#This Row],[Etapa Despacho -  Salida]]),"")</f>
        <v>46222.697916666664</v>
      </c>
      <c r="AF238" s="2" t="str">
        <f>IFERROR(IF(MARÍTIMOS[[#This Row],[Puerto de Embarque]]="","",MARÍTIMOS[[#This Row],[Puerto de Embarque]]),"")</f>
        <v>CALLAO</v>
      </c>
      <c r="AG238" s="2" t="str">
        <f>IFERROR(IF(MARÍTIMOS[[#This Row],[Almacén de Ingreso]]="","",MARÍTIMOS[[#This Row],[Almacén de Ingreso]]),"")</f>
        <v>DPW</v>
      </c>
      <c r="AH238" s="11">
        <f>IFERROR(IF(MARÍTIMOS[[#This Row],[Etapa Ingreso - Cita]]="","",MARÍTIMOS[[#This Row],[Etapa Ingreso - Cita]]),"")</f>
        <v>46223.291666666664</v>
      </c>
      <c r="AI238" s="11">
        <f>IFERROR(IF(MARÍTIMOS[[#This Row],[Etapa Ingreso - Llegada]]="","",MARÍTIMOS[[#This Row],[Etapa Ingreso - Llegada]]),"")</f>
        <v>46223.209722222222</v>
      </c>
      <c r="AJ238" s="11">
        <f>IFERROR(IF(MARÍTIMOS[[#This Row],[Etapa Ingreso - Ingeso]]="","",MARÍTIMOS[[#This Row],[Etapa Ingreso - Ingeso]]),"")</f>
        <v>46223.229166666664</v>
      </c>
      <c r="AK238" s="11">
        <f>IFERROR(IF(MARÍTIMOS[[#This Row],[Etapa Ingreso - Atención]]="","",MARÍTIMOS[[#This Row],[Etapa Ingreso - Atención]]),"")</f>
        <v>46223.237500000003</v>
      </c>
      <c r="AL238" s="11">
        <f>IFERROR(IF(MARÍTIMOS[[#This Row],[Etapa Ingreso - Salida]]="","",MARÍTIMOS[[#This Row],[Etapa Ingreso - Salida]]),"")</f>
        <v>46223.244444444441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8" s="5">
        <f>IFERROR(OLDBD[[#This Row],[Llegada a packing]]-OLDBD[[#This Row],[Inicio de Ruta]],"")</f>
        <v>0.43472222222044365</v>
      </c>
      <c r="AQ238" s="6">
        <f>IFERROR(OLDBD[[#This Row],[Inicio de Ruta]]-OLDBD[[#This Row],[Salida de almacén de retiro]],"")</f>
        <v>0.11319444444961846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8" s="9">
        <f>IFERROR(OLDBD[[#This Row],[Ingreso Packing]]-OLDBD[[#This Row],[Registro en Packing]],"")</f>
        <v>2.1527777782466728E-2</v>
      </c>
      <c r="AV238" s="9">
        <f>IFERROR(OLDBD[[#This Row],[Ingreso Packing]]-OLDBD[[#This Row],[Llegada a packing]],"")</f>
        <v>7.6388888890505768E-2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8" s="5">
        <f>IFERROR(OLDBD[[#This Row],[Llegada Almacén de Ingreso]]-OLDBD[[#This Row],[Salida Packing]],"")</f>
        <v>0.5118055555576575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8" s="45" t="s">
        <v>181</v>
      </c>
      <c r="BB238" s="53" t="str">
        <f>IFERROR(IF(MARÍTIMOS[[#This Row],[Estatus]]="","",MARÍTIMOS[[#This Row],[Estatus]]),"")</f>
        <v>Confirmado</v>
      </c>
      <c r="BC238" s="45"/>
      <c r="BD238" s="52">
        <f>IFERROR(OLDBD[[#This Row],[Salida de almacén de retiro]]-OLDBD[[#This Row],[Ingreso Almacén de retiro]],"")</f>
        <v>0.11597222222189885</v>
      </c>
      <c r="BE238" s="52">
        <f>IFERROR(OLDBD[[#This Row],[Fin de Carga]]-OLDBD[[#This Row],[Inicio de Carga]],"")</f>
        <v>9.7222222218988463E-2</v>
      </c>
    </row>
    <row r="239" spans="1:57" x14ac:dyDescent="0.35">
      <c r="A239" s="1"/>
      <c r="B239" s="1">
        <f>IFERROR(IF(MARÍTIMOS[[#This Row],[PP]]="","",MARÍTIMOS[[#This Row],[PP]]),"")</f>
        <v>30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RH-0249</v>
      </c>
      <c r="E239" s="1"/>
      <c r="F239" s="2" t="str">
        <f>IFERROR(IF(MARÍTIMOS[[#This Row],[Transportista]]="","",MARÍTIMOS[[#This Row],[Transportista]]),"")</f>
        <v>Maersk</v>
      </c>
      <c r="G239" s="2" t="str">
        <f>IFERROR(IF(MARÍTIMOS[[#This Row],[Tercero]]="","",MARÍTIMOS[[#This Row],[Tercero]]),"")</f>
        <v>NO</v>
      </c>
      <c r="H239" s="2" t="str">
        <f>IFERROR(IF(MARÍTIMOS[[#This Row],[Razón Social]]="","",MARÍTIMOS[[#This Row],[Razón Social]]),"")</f>
        <v>MAERK LOGISTIC &amp; SERVICES PERU S.A</v>
      </c>
      <c r="I239" s="2">
        <f>IFERROR(IF(MARÍTIMOS[[#This Row],[RUC]]="","",MARÍTIMOS[[#This Row],[RUC]]),"")</f>
        <v>20107012011</v>
      </c>
      <c r="J239" s="2" t="str">
        <f>IFERROR(IF(MARÍTIMOS[[#This Row],[Placa Tracto]]="","",MARÍTIMOS[[#This Row],[Placa Tracto]]),"")</f>
        <v>BTM788</v>
      </c>
      <c r="K239" s="2" t="str">
        <f>IFERROR(IF(MARÍTIMOS[[#This Row],[Placa Carreta]]="","",MARÍTIMOS[[#This Row],[Placa Carreta]]),"")</f>
        <v>BEC971</v>
      </c>
      <c r="L239" s="46" t="str">
        <f>IFERROR(IF(MARÍTIMOS[[#This Row],[Conductor]]="","",MARÍTIMOS[[#This Row],[Conductor]]),"")</f>
        <v>FERNANDEZ SALAZAR JAIME/ EDMUNDO EDUARDO DIAZ LEON</v>
      </c>
      <c r="M239" s="2" t="str">
        <f>IFERROR(IF(MARÍTIMOS[[#This Row],[Licencia]]="","",MARÍTIMOS[[#This Row],[Licencia]]),"")</f>
        <v>Q46559572 /Q42107613</v>
      </c>
      <c r="N239" s="2" t="str">
        <f>IFERROR(IF(MARÍTIMOS[[#This Row],[Número de Contacto]]="","",MARÍTIMOS[[#This Row],[Número de Contacto]]),"")</f>
        <v/>
      </c>
      <c r="O239" s="10">
        <f>IFERROR(IF(MARÍTIMOS[[#This Row],[Booking|AWB|CRT]]="","",MARÍTIMOS[[#This Row],[Booking|AWB|CRT]]),"")</f>
        <v>274512926</v>
      </c>
      <c r="P239" s="2" t="str">
        <f>IFERROR(IF(MARÍTIMOS[[#This Row],[Contenedor]]="","",MARÍTIMOS[[#This Row],[Contenedor]]),"")</f>
        <v>MNBU3017382</v>
      </c>
      <c r="Q239" s="2" t="str">
        <f>IFERROR(IF(MARÍTIMOS[[#This Row],[Puerto de Retiro]]="","",MARÍTIMOS[[#This Row],[Puerto de Retiro]]),"")</f>
        <v>CALLAO</v>
      </c>
      <c r="R239" s="2" t="str">
        <f>IFERROR(IF(MARÍTIMOS[[#This Row],[Almacén de Retiro]]="","",MARÍTIMOS[[#This Row],[Almacén de Retiro]]),"")</f>
        <v>DEMARES</v>
      </c>
      <c r="S239" s="11">
        <f>IFERROR(IF(MARÍTIMOS[[#This Row],[Etapa Retiro - Cita]]="","",MARÍTIMOS[[#This Row],[Etapa Retiro - Cita]]),"")</f>
        <v>46225.583333333336</v>
      </c>
      <c r="T239" s="11">
        <f>IFERROR(IF(MARÍTIMOS[[#This Row],[Etapa Retiro - Llegada]]="","",MARÍTIMOS[[#This Row],[Etapa Retiro - Llegada]]),"")</f>
        <v>46225.576388888891</v>
      </c>
      <c r="U239" s="11">
        <f>IFERROR(IF(MARÍTIMOS[[#This Row],[Etapa Retiro - Ingreso]]="","",MARÍTIMOS[[#This Row],[Etapa Retiro - Ingreso]]),"")</f>
        <v>46225.584027777775</v>
      </c>
      <c r="V239" s="11" t="str">
        <f>IFERROR(IF(MARÍTIMOS[[#This Row],[Etapa Retiro - Atención]]="","",MARÍTIMOS[[#This Row],[Etapa Retiro - Atención]]),"")</f>
        <v/>
      </c>
      <c r="W239" s="11">
        <f>IFERROR(IF(MARÍTIMOS[[#This Row],[Etapa Retiro - Salida]]="","",MARÍTIMOS[[#This Row],[Etapa Retiro - Salida]]),"")</f>
        <v>46225.652777777781</v>
      </c>
      <c r="X239" s="11">
        <f>IFERROR(IF(MARÍTIMOS[[#This Row],[Etapa Retiro - Inicio de Ruta]]="","",MARÍTIMOS[[#This Row],[Etapa Retiro - Inicio de Ruta]]),"")</f>
        <v>46225.715277777781</v>
      </c>
      <c r="Y239" s="11">
        <f>IFERROR(IF(MARÍTIMOS[[#This Row],[Hora de Posicionamiento]]="","",MARÍTIMOS[[#This Row],[Hora de Carga]]+MARÍTIMOS[[#This Row],[Hora de Posicionamiento]]),"")</f>
        <v>0.33333333333333331</v>
      </c>
      <c r="Z239" s="11">
        <f>IFERROR(IF(MARÍTIMOS[[#This Row],[Etapa Despacho -  Llegada]]="","",MARÍTIMOS[[#This Row],[Etapa Despacho -  Llegada]]),"")</f>
        <v>46226.263194444444</v>
      </c>
      <c r="AA239" s="11">
        <f>IFERROR(IF(MARÍTIMOS[[#This Row],[Etapa Despacho -  Registro]]="","",MARÍTIMOS[[#This Row],[Etapa Despacho -  Registro]]),"")</f>
        <v>46226.338888888888</v>
      </c>
      <c r="AB239" s="11">
        <f>IFERROR(IF(MARÍTIMOS[[#This Row],[Inspección Externa]]="","",MARÍTIMOS[[#This Row],[Inspección Externa]]),"")</f>
        <v>46226.347222222219</v>
      </c>
      <c r="AC239" s="11">
        <f>IFERROR(IF(MARÍTIMOS[[#This Row],[Etapa Despacho -  Inicio de Carga]]="","",MARÍTIMOS[[#This Row],[Etapa Despacho -  Inicio de Carga]]),"")</f>
        <v>46226.387499999997</v>
      </c>
      <c r="AD239" s="11">
        <f>IFERROR(IF(MARÍTIMOS[[#This Row],[Etapa Despacho -  Fin de Carga]]="","",MARÍTIMOS[[#This Row],[Etapa Despacho -  Fin de Carga]]),"")</f>
        <v>46226.520833333336</v>
      </c>
      <c r="AE239" s="11">
        <f>IFERROR(IF(MARÍTIMOS[[#This Row],[Etapa Despacho -  Salida]]="","",MARÍTIMOS[[#This Row],[Etapa Despacho -  Salida]]),"")</f>
        <v>46226.554166666669</v>
      </c>
      <c r="AF239" s="2" t="str">
        <f>IFERROR(IF(MARÍTIMOS[[#This Row],[Puerto de Embarque]]="","",MARÍTIMOS[[#This Row],[Puerto de Embarque]]),"")</f>
        <v>CALLAO</v>
      </c>
      <c r="AG239" s="2" t="str">
        <f>IFERROR(IF(MARÍTIMOS[[#This Row],[Almacén de Ingreso]]="","",MARÍTIMOS[[#This Row],[Almacén de Ingreso]]),"")</f>
        <v>APM</v>
      </c>
      <c r="AH239" s="11">
        <f>IFERROR(IF(MARÍTIMOS[[#This Row],[Etapa Ingreso - Cita]]="","",MARÍTIMOS[[#This Row],[Etapa Ingreso - Cita]]),"")</f>
        <v>46227.041666666664</v>
      </c>
      <c r="AI239" s="11">
        <f>IFERROR(IF(MARÍTIMOS[[#This Row],[Etapa Ingreso - Llegada]]="","",MARÍTIMOS[[#This Row],[Etapa Ingreso - Llegada]]),"")</f>
        <v>46227.043055555558</v>
      </c>
      <c r="AJ239" s="11">
        <f>IFERROR(IF(MARÍTIMOS[[#This Row],[Etapa Ingreso - Ingeso]]="","",MARÍTIMOS[[#This Row],[Etapa Ingreso - Ingeso]]),"")</f>
        <v>46227.145833333336</v>
      </c>
      <c r="AK239" s="11">
        <f>IFERROR(IF(MARÍTIMOS[[#This Row],[Etapa Ingreso - Atención]]="","",MARÍTIMOS[[#This Row],[Etapa Ingreso - Atención]]),"")</f>
        <v>46227.15625</v>
      </c>
      <c r="AL239" s="11">
        <f>IFERROR(IF(MARÍTIMOS[[#This Row],[Etapa Ingreso - Salida]]="","",MARÍTIMOS[[#This Row],[Etapa Ingreso - Salida]]),"")</f>
        <v>46227.169444444444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9" s="5">
        <f>IFERROR(OLDBD[[#This Row],[Llegada a packing]]-OLDBD[[#This Row],[Inicio de Ruta]],"")</f>
        <v>0.54791666666278616</v>
      </c>
      <c r="AQ239" s="6">
        <f>IFERROR(OLDBD[[#This Row],[Inicio de Ruta]]-OLDBD[[#This Row],[Salida de almacén de retiro]],"")</f>
        <v>6.25E-2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9" s="9">
        <f>IFERROR(OLDBD[[#This Row],[Ingreso Packing]]-OLDBD[[#This Row],[Registro en Packing]],"")</f>
        <v>8.333333331393078E-3</v>
      </c>
      <c r="AV239" s="9">
        <f>IFERROR(OLDBD[[#This Row],[Ingreso Packing]]-OLDBD[[#This Row],[Llegada a packing]],"")</f>
        <v>8.4027777775190771E-2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9" s="5">
        <f>IFERROR(OLDBD[[#This Row],[Llegada Almacén de Ingreso]]-OLDBD[[#This Row],[Salida Packing]],"")</f>
        <v>0.48888888888905058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5" t="s">
        <v>181</v>
      </c>
      <c r="BB239" s="53" t="str">
        <f>IFERROR(IF(MARÍTIMOS[[#This Row],[Estatus]]="","",MARÍTIMOS[[#This Row],[Estatus]]),"")</f>
        <v>Confirmado</v>
      </c>
      <c r="BC239" s="45"/>
      <c r="BD239" s="52">
        <f>IFERROR(OLDBD[[#This Row],[Salida de almacén de retiro]]-OLDBD[[#This Row],[Ingreso Almacén de retiro]],"")</f>
        <v>6.8750000005820766E-2</v>
      </c>
      <c r="BE239" s="52">
        <f>IFERROR(OLDBD[[#This Row],[Fin de Carga]]-OLDBD[[#This Row],[Inicio de Carga]],"")</f>
        <v>0.13333333333866904</v>
      </c>
    </row>
    <row r="240" spans="1:57" x14ac:dyDescent="0.35">
      <c r="A240" s="1"/>
      <c r="B240" s="1">
        <f>IFERROR(IF(MARÍTIMOS[[#This Row],[PP]]="","",MARÍTIMOS[[#This Row],[PP]]),"")</f>
        <v>30</v>
      </c>
      <c r="C240" s="1" t="str">
        <f>IFERROR(IF(MARÍTIMOS[[#This Row],[Sede]]="","",MARÍTIMOS[[#This Row],[Sede]]),"")</f>
        <v>Chao</v>
      </c>
      <c r="D240" s="1" t="str">
        <f>IFERROR(IF(MARÍTIMOS[[#This Row],[Instruction]]="","",MARÍTIMOS[[#This Row],[Instruction]]),"")</f>
        <v>RH-0243</v>
      </c>
      <c r="E240" s="1"/>
      <c r="F240" s="2" t="str">
        <f>IFERROR(IF(MARÍTIMOS[[#This Row],[Transportista]]="","",MARÍTIMOS[[#This Row],[Transportista]]),"")</f>
        <v>Maersk</v>
      </c>
      <c r="G240" s="2" t="str">
        <f>IFERROR(IF(MARÍTIMOS[[#This Row],[Tercero]]="","",MARÍTIMOS[[#This Row],[Tercero]]),"")</f>
        <v>NO</v>
      </c>
      <c r="H240" s="2" t="str">
        <f>IFERROR(IF(MARÍTIMOS[[#This Row],[Razón Social]]="","",MARÍTIMOS[[#This Row],[Razón Social]]),"")</f>
        <v>MAERK LOGISTIC &amp; SERVICES PERU S.A</v>
      </c>
      <c r="I240" s="2">
        <f>IFERROR(IF(MARÍTIMOS[[#This Row],[RUC]]="","",MARÍTIMOS[[#This Row],[RUC]]),"")</f>
        <v>20107012011</v>
      </c>
      <c r="J240" s="2" t="str">
        <f>IFERROR(IF(MARÍTIMOS[[#This Row],[Placa Tracto]]="","",MARÍTIMOS[[#This Row],[Placa Tracto]]),"")</f>
        <v>BTM788</v>
      </c>
      <c r="K240" s="2" t="str">
        <f>IFERROR(IF(MARÍTIMOS[[#This Row],[Placa Carreta]]="","",MARÍTIMOS[[#This Row],[Placa Carreta]]),"")</f>
        <v>BDU999</v>
      </c>
      <c r="L240" s="46" t="str">
        <f>IFERROR(IF(MARÍTIMOS[[#This Row],[Conductor]]="","",MARÍTIMOS[[#This Row],[Conductor]]),"")</f>
        <v>YEMBER JANAKA TORREJON DAGA/EDMUNDO EDUARDO DIAZ LEON</v>
      </c>
      <c r="M240" s="2" t="str">
        <f>IFERROR(IF(MARÍTIMOS[[#This Row],[Licencia]]="","",MARÍTIMOS[[#This Row],[Licencia]]),"")</f>
        <v>Q40908517/Q42107613</v>
      </c>
      <c r="N240" s="2" t="str">
        <f>IFERROR(IF(MARÍTIMOS[[#This Row],[Número de Contacto]]="","",MARÍTIMOS[[#This Row],[Número de Contacto]]),"")</f>
        <v/>
      </c>
      <c r="O240" s="10">
        <f>IFERROR(IF(MARÍTIMOS[[#This Row],[Booking|AWB|CRT]]="","",MARÍTIMOS[[#This Row],[Booking|AWB|CRT]]),"")</f>
        <v>751600040780</v>
      </c>
      <c r="P240" s="2" t="str">
        <f>IFERROR(IF(MARÍTIMOS[[#This Row],[Contenedor]]="","",MARÍTIMOS[[#This Row],[Contenedor]]),"")</f>
        <v>EMCU5687453</v>
      </c>
      <c r="Q240" s="2" t="str">
        <f>IFERROR(IF(MARÍTIMOS[[#This Row],[Puerto de Retiro]]="","",MARÍTIMOS[[#This Row],[Puerto de Retiro]]),"")</f>
        <v>CALLAO</v>
      </c>
      <c r="R240" s="2" t="str">
        <f>IFERROR(IF(MARÍTIMOS[[#This Row],[Almacén de Retiro]]="","",MARÍTIMOS[[#This Row],[Almacén de Retiro]]),"")</f>
        <v>DPW</v>
      </c>
      <c r="S240" s="11">
        <f>IFERROR(IF(MARÍTIMOS[[#This Row],[Etapa Retiro - Cita]]="","",MARÍTIMOS[[#This Row],[Etapa Retiro - Cita]]),"")</f>
        <v>46228.666666666664</v>
      </c>
      <c r="T240" s="11">
        <f>IFERROR(IF(MARÍTIMOS[[#This Row],[Etapa Retiro - Llegada]]="","",MARÍTIMOS[[#This Row],[Etapa Retiro - Llegada]]),"")</f>
        <v>46228.65347222222</v>
      </c>
      <c r="U240" s="11">
        <f>IFERROR(IF(MARÍTIMOS[[#This Row],[Etapa Retiro - Ingreso]]="","",MARÍTIMOS[[#This Row],[Etapa Retiro - Ingreso]]),"")</f>
        <v>46228.657638888886</v>
      </c>
      <c r="V240" s="11">
        <f>IFERROR(IF(MARÍTIMOS[[#This Row],[Etapa Retiro - Atención]]="","",MARÍTIMOS[[#This Row],[Etapa Retiro - Atención]]),"")</f>
        <v>46228.668055555558</v>
      </c>
      <c r="W240" s="11">
        <f>IFERROR(IF(MARÍTIMOS[[#This Row],[Etapa Retiro - Salida]]="","",MARÍTIMOS[[#This Row],[Etapa Retiro - Salida]]),"")</f>
        <v>46228.706944444442</v>
      </c>
      <c r="X240" s="11">
        <f>IFERROR(IF(MARÍTIMOS[[#This Row],[Etapa Retiro - Inicio de Ruta]]="","",MARÍTIMOS[[#This Row],[Etapa Retiro - Inicio de Ruta]]),"")</f>
        <v>46228.840277777781</v>
      </c>
      <c r="Y240" s="11">
        <f>IFERROR(IF(MARÍTIMOS[[#This Row],[Hora de Posicionamiento]]="","",MARÍTIMOS[[#This Row],[Hora de Carga]]+MARÍTIMOS[[#This Row],[Hora de Posicionamiento]]),"")</f>
        <v>0.33333333333333331</v>
      </c>
      <c r="Z240" s="11">
        <f>IFERROR(IF(MARÍTIMOS[[#This Row],[Etapa Despacho -  Llegada]]="","",MARÍTIMOS[[#This Row],[Etapa Despacho -  Llegada]]),"")</f>
        <v>46229.354861111111</v>
      </c>
      <c r="AA240" s="11">
        <f>IFERROR(IF(MARÍTIMOS[[#This Row],[Etapa Despacho -  Registro]]="","",MARÍTIMOS[[#This Row],[Etapa Despacho -  Registro]]),"")</f>
        <v>46229.413194444445</v>
      </c>
      <c r="AB240" s="11">
        <f>IFERROR(IF(MARÍTIMOS[[#This Row],[Inspección Externa]]="","",MARÍTIMOS[[#This Row],[Inspección Externa]]),"")</f>
        <v>46229.448611111111</v>
      </c>
      <c r="AC240" s="11">
        <f>IFERROR(IF(MARÍTIMOS[[#This Row],[Etapa Despacho -  Inicio de Carga]]="","",MARÍTIMOS[[#This Row],[Etapa Despacho -  Inicio de Carga]]),"")</f>
        <v>46229.493055555555</v>
      </c>
      <c r="AD240" s="11">
        <f>IFERROR(IF(MARÍTIMOS[[#This Row],[Etapa Despacho -  Fin de Carga]]="","",MARÍTIMOS[[#This Row],[Etapa Despacho -  Fin de Carga]]),"")</f>
        <v>46229.777777777781</v>
      </c>
      <c r="AE240" s="11">
        <f>IFERROR(IF(MARÍTIMOS[[#This Row],[Etapa Despacho -  Salida]]="","",MARÍTIMOS[[#This Row],[Etapa Despacho -  Salida]]),"")</f>
        <v>46229.803472222222</v>
      </c>
      <c r="AF240" s="2" t="str">
        <f>IFERROR(IF(MARÍTIMOS[[#This Row],[Puerto de Embarque]]="","",MARÍTIMOS[[#This Row],[Puerto de Embarque]]),"")</f>
        <v>CALLAO</v>
      </c>
      <c r="AG240" s="2" t="str">
        <f>IFERROR(IF(MARÍTIMOS[[#This Row],[Almacén de Ingreso]]="","",MARÍTIMOS[[#This Row],[Almacén de Ingreso]]),"")</f>
        <v>DPW</v>
      </c>
      <c r="AH240" s="11">
        <f>IFERROR(IF(MARÍTIMOS[[#This Row],[Etapa Ingreso - Cita]]="","",MARÍTIMOS[[#This Row],[Etapa Ingreso - Cita]]),"")</f>
        <v>46230.416666666664</v>
      </c>
      <c r="AI240" s="11">
        <f>IFERROR(IF(MARÍTIMOS[[#This Row],[Etapa Ingreso - Llegada]]="","",MARÍTIMOS[[#This Row],[Etapa Ingreso - Llegada]]),"")</f>
        <v>46230.345138888886</v>
      </c>
      <c r="AJ240" s="11">
        <f>IFERROR(IF(MARÍTIMOS[[#This Row],[Etapa Ingreso - Ingeso]]="","",MARÍTIMOS[[#This Row],[Etapa Ingreso - Ingeso]]),"")</f>
        <v>46230.510416666664</v>
      </c>
      <c r="AK240" s="11">
        <f>IFERROR(IF(MARÍTIMOS[[#This Row],[Etapa Ingreso - Atención]]="","",MARÍTIMOS[[#This Row],[Etapa Ingreso - Atención]]),"")</f>
        <v>46230.515972222223</v>
      </c>
      <c r="AL240" s="11">
        <f>IFERROR(IF(MARÍTIMOS[[#This Row],[Etapa Ingreso - Salida]]="","",MARÍTIMOS[[#This Row],[Etapa Ingreso - Salida]]),"")</f>
        <v>46230.529166666667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0" s="5">
        <f>IFERROR(OLDBD[[#This Row],[Llegada a packing]]-OLDBD[[#This Row],[Inicio de Ruta]],"")</f>
        <v>0.51458333332993789</v>
      </c>
      <c r="AQ240" s="6">
        <f>IFERROR(OLDBD[[#This Row],[Inicio de Ruta]]-OLDBD[[#This Row],[Salida de almacén de retiro]],"")</f>
        <v>0.13333333333866904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0" s="9">
        <f>IFERROR(OLDBD[[#This Row],[Ingreso Packing]]-OLDBD[[#This Row],[Registro en Packing]],"")</f>
        <v>3.5416666665696539E-2</v>
      </c>
      <c r="AV240" s="9">
        <f>IFERROR(OLDBD[[#This Row],[Ingreso Packing]]-OLDBD[[#This Row],[Llegada a packing]],"")</f>
        <v>9.375E-2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0" s="5">
        <f>IFERROR(OLDBD[[#This Row],[Llegada Almacén de Ingreso]]-OLDBD[[#This Row],[Salida Packing]],"")</f>
        <v>0.54166666666424135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0" s="45" t="s">
        <v>181</v>
      </c>
      <c r="BB240" s="53" t="str">
        <f>IFERROR(IF(MARÍTIMOS[[#This Row],[Estatus]]="","",MARÍTIMOS[[#This Row],[Estatus]]),"")</f>
        <v>Confirmado</v>
      </c>
      <c r="BC240" s="45"/>
      <c r="BD240" s="52">
        <f>IFERROR(OLDBD[[#This Row],[Salida de almacén de retiro]]-OLDBD[[#This Row],[Ingreso Almacén de retiro]],"")</f>
        <v>4.9305555556202307E-2</v>
      </c>
      <c r="BE240" s="52">
        <f>IFERROR(OLDBD[[#This Row],[Fin de Carga]]-OLDBD[[#This Row],[Inicio de Carga]],"")</f>
        <v>0.28472222222626442</v>
      </c>
    </row>
    <row r="241" spans="1:57" x14ac:dyDescent="0.35">
      <c r="A241" s="1"/>
      <c r="B241" s="1">
        <f>IFERROR(IF(MARÍTIMOS[[#This Row],[PP]]="","",MARÍTIMOS[[#This Row],[PP]]),"")</f>
        <v>31</v>
      </c>
      <c r="C241" s="1" t="str">
        <f>IFERROR(IF(MARÍTIMOS[[#This Row],[Sede]]="","",MARÍTIMOS[[#This Row],[Sede]]),"")</f>
        <v>Chao</v>
      </c>
      <c r="D241" s="1" t="str">
        <f>IFERROR(IF(MARÍTIMOS[[#This Row],[Instruction]]="","",MARÍTIMOS[[#This Row],[Instruction]]),"")</f>
        <v>RH-0330</v>
      </c>
      <c r="E241" s="1"/>
      <c r="F241" s="2" t="str">
        <f>IFERROR(IF(MARÍTIMOS[[#This Row],[Transportista]]="","",MARÍTIMOS[[#This Row],[Transportista]]),"")</f>
        <v>Maersk</v>
      </c>
      <c r="G241" s="2" t="str">
        <f>IFERROR(IF(MARÍTIMOS[[#This Row],[Tercero]]="","",MARÍTIMOS[[#This Row],[Tercero]]),"")</f>
        <v>NO</v>
      </c>
      <c r="H241" s="2" t="str">
        <f>IFERROR(IF(MARÍTIMOS[[#This Row],[Razón Social]]="","",MARÍTIMOS[[#This Row],[Razón Social]]),"")</f>
        <v>MAERK LOGISTIC &amp; SERVICES PERU S.A</v>
      </c>
      <c r="I241" s="2">
        <f>IFERROR(IF(MARÍTIMOS[[#This Row],[RUC]]="","",MARÍTIMOS[[#This Row],[RUC]]),"")</f>
        <v>20107012011</v>
      </c>
      <c r="J241" s="2" t="str">
        <f>IFERROR(IF(MARÍTIMOS[[#This Row],[Placa Tracto]]="","",MARÍTIMOS[[#This Row],[Placa Tracto]]),"")</f>
        <v>APC791</v>
      </c>
      <c r="K241" s="2" t="str">
        <f>IFERROR(IF(MARÍTIMOS[[#This Row],[Placa Carreta]]="","",MARÍTIMOS[[#This Row],[Placa Carreta]]),"")</f>
        <v>BFI994</v>
      </c>
      <c r="L241" s="46" t="str">
        <f>IFERROR(IF(MARÍTIMOS[[#This Row],[Conductor]]="","",MARÍTIMOS[[#This Row],[Conductor]]),"")</f>
        <v>PEDRO ERICO GERONIMO CHACALTANA/  JUAN VILCASTRO ROJAS</v>
      </c>
      <c r="M241" s="2" t="str">
        <f>IFERROR(IF(MARÍTIMOS[[#This Row],[Licencia]]="","",MARÍTIMOS[[#This Row],[Licencia]]),"")</f>
        <v>Q08459779/Q41598703</v>
      </c>
      <c r="N241" s="2" t="str">
        <f>IFERROR(IF(MARÍTIMOS[[#This Row],[Número de Contacto]]="","",MARÍTIMOS[[#This Row],[Número de Contacto]]),"")</f>
        <v/>
      </c>
      <c r="O241" s="10">
        <f>IFERROR(IF(MARÍTIMOS[[#This Row],[Booking|AWB|CRT]]="","",MARÍTIMOS[[#This Row],[Booking|AWB|CRT]]),"")</f>
        <v>274926136</v>
      </c>
      <c r="P241" s="2" t="str">
        <f>IFERROR(IF(MARÍTIMOS[[#This Row],[Contenedor]]="","",MARÍTIMOS[[#This Row],[Contenedor]]),"")</f>
        <v>MNBU0223353</v>
      </c>
      <c r="Q241" s="2" t="str">
        <f>IFERROR(IF(MARÍTIMOS[[#This Row],[Puerto de Retiro]]="","",MARÍTIMOS[[#This Row],[Puerto de Retiro]]),"")</f>
        <v>CALLAO</v>
      </c>
      <c r="R241" s="2" t="str">
        <f>IFERROR(IF(MARÍTIMOS[[#This Row],[Almacén de Retiro]]="","",MARÍTIMOS[[#This Row],[Almacén de Retiro]]),"")</f>
        <v>DEMARES</v>
      </c>
      <c r="S241" s="11">
        <f>IFERROR(IF(MARÍTIMOS[[#This Row],[Etapa Retiro - Cita]]="","",MARÍTIMOS[[#This Row],[Etapa Retiro - Cita]]),"")</f>
        <v>46232.583333333336</v>
      </c>
      <c r="T241" s="11">
        <f>IFERROR(IF(MARÍTIMOS[[#This Row],[Etapa Retiro - Llegada]]="","",MARÍTIMOS[[#This Row],[Etapa Retiro - Llegada]]),"")</f>
        <v>46232.879861111112</v>
      </c>
      <c r="U241" s="11">
        <f>IFERROR(IF(MARÍTIMOS[[#This Row],[Etapa Retiro - Ingreso]]="","",MARÍTIMOS[[#This Row],[Etapa Retiro - Ingreso]]),"")</f>
        <v>46232.993055555555</v>
      </c>
      <c r="V241" s="11">
        <f>IFERROR(IF(MARÍTIMOS[[#This Row],[Etapa Retiro - Atención]]="","",MARÍTIMOS[[#This Row],[Etapa Retiro - Atención]]),"")</f>
        <v>46233.008333333331</v>
      </c>
      <c r="W241" s="11">
        <f>IFERROR(IF(MARÍTIMOS[[#This Row],[Etapa Retiro - Salida]]="","",MARÍTIMOS[[#This Row],[Etapa Retiro - Salida]]),"")</f>
        <v>46233.035416666666</v>
      </c>
      <c r="X241" s="11">
        <f>IFERROR(IF(MARÍTIMOS[[#This Row],[Etapa Retiro - Inicio de Ruta]]="","",MARÍTIMOS[[#This Row],[Etapa Retiro - Inicio de Ruta]]),"")</f>
        <v>46233.050694444442</v>
      </c>
      <c r="Y241" s="11">
        <f>IFERROR(IF(MARÍTIMOS[[#This Row],[Hora de Posicionamiento]]="","",MARÍTIMOS[[#This Row],[Hora de Carga]]+MARÍTIMOS[[#This Row],[Hora de Posicionamiento]]),"")</f>
        <v>1.1111111111111112</v>
      </c>
      <c r="Z241" s="11">
        <f>IFERROR(IF(MARÍTIMOS[[#This Row],[Etapa Despacho -  Llegada]]="","",MARÍTIMOS[[#This Row],[Etapa Despacho -  Llegada]]),"")</f>
        <v>46233.565972222219</v>
      </c>
      <c r="AA241" s="11">
        <f>IFERROR(IF(MARÍTIMOS[[#This Row],[Etapa Despacho -  Registro]]="","",MARÍTIMOS[[#This Row],[Etapa Despacho -  Registro]]),"")</f>
        <v>46233.597222222219</v>
      </c>
      <c r="AB241" s="11">
        <f>IFERROR(IF(MARÍTIMOS[[#This Row],[Inspección Externa]]="","",MARÍTIMOS[[#This Row],[Inspección Externa]]),"")</f>
        <v>46233.675000000003</v>
      </c>
      <c r="AC241" s="11">
        <f>IFERROR(IF(MARÍTIMOS[[#This Row],[Etapa Despacho -  Inicio de Carga]]="","",MARÍTIMOS[[#This Row],[Etapa Despacho -  Inicio de Carga]]),"")</f>
        <v>46233.694444444445</v>
      </c>
      <c r="AD241" s="11">
        <f>IFERROR(IF(MARÍTIMOS[[#This Row],[Etapa Despacho -  Fin de Carga]]="","",MARÍTIMOS[[#This Row],[Etapa Despacho -  Fin de Carga]]),"")</f>
        <v>46233.739583333336</v>
      </c>
      <c r="AE241" s="11">
        <f>IFERROR(IF(MARÍTIMOS[[#This Row],[Etapa Despacho -  Salida]]="","",MARÍTIMOS[[#This Row],[Etapa Despacho -  Salida]]),"")</f>
        <v>46233.75277777778</v>
      </c>
      <c r="AF241" s="2" t="str">
        <f>IFERROR(IF(MARÍTIMOS[[#This Row],[Puerto de Embarque]]="","",MARÍTIMOS[[#This Row],[Puerto de Embarque]]),"")</f>
        <v>CALLAO</v>
      </c>
      <c r="AG241" s="2" t="str">
        <f>IFERROR(IF(MARÍTIMOS[[#This Row],[Almacén de Ingreso]]="","",MARÍTIMOS[[#This Row],[Almacén de Ingreso]]),"")</f>
        <v>APM</v>
      </c>
      <c r="AH241" s="11">
        <f>IFERROR(IF(MARÍTIMOS[[#This Row],[Etapa Ingreso - Cita]]="","",MARÍTIMOS[[#This Row],[Etapa Ingreso - Cita]]),"")</f>
        <v>46234.416666666664</v>
      </c>
      <c r="AI241" s="11">
        <f>IFERROR(IF(MARÍTIMOS[[#This Row],[Etapa Ingreso - Llegada]]="","",MARÍTIMOS[[#This Row],[Etapa Ingreso - Llegada]]),"")</f>
        <v>46234.3125</v>
      </c>
      <c r="AJ241" s="11">
        <f>IFERROR(IF(MARÍTIMOS[[#This Row],[Etapa Ingreso - Ingeso]]="","",MARÍTIMOS[[#This Row],[Etapa Ingreso - Ingeso]]),"")</f>
        <v>46234.392361111109</v>
      </c>
      <c r="AK241" s="11">
        <f>IFERROR(IF(MARÍTIMOS[[#This Row],[Etapa Ingreso - Atención]]="","",MARÍTIMOS[[#This Row],[Etapa Ingreso - Atención]]),"")</f>
        <v>46234.408333333333</v>
      </c>
      <c r="AL241" s="11">
        <f>IFERROR(IF(MARÍTIMOS[[#This Row],[Etapa Ingreso - Salida]]="","",MARÍTIMOS[[#This Row],[Etapa Ingreso - Salida]]),"")</f>
        <v>46234.417361111111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1" s="5">
        <f>IFERROR(OLDBD[[#This Row],[Llegada a packing]]-OLDBD[[#This Row],[Inicio de Ruta]],"")</f>
        <v>0.51527777777664596</v>
      </c>
      <c r="AQ241" s="6">
        <f>IFERROR(OLDBD[[#This Row],[Inicio de Ruta]]-OLDBD[[#This Row],[Salida de almacén de retiro]],"")</f>
        <v>1.5277777776645962E-2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1" s="9">
        <f>IFERROR(OLDBD[[#This Row],[Ingreso Packing]]-OLDBD[[#This Row],[Registro en Packing]],"")</f>
        <v>7.777777778392192E-2</v>
      </c>
      <c r="AV241" s="9">
        <f>IFERROR(OLDBD[[#This Row],[Ingreso Packing]]-OLDBD[[#This Row],[Llegada a packing]],"")</f>
        <v>0.10902777778392192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1" s="5">
        <f>IFERROR(OLDBD[[#This Row],[Llegada Almacén de Ingreso]]-OLDBD[[#This Row],[Salida Packing]],"")</f>
        <v>0.55972222222044365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1" s="45" t="s">
        <v>181</v>
      </c>
      <c r="BB241" s="53" t="str">
        <f>IFERROR(IF(MARÍTIMOS[[#This Row],[Estatus]]="","",MARÍTIMOS[[#This Row],[Estatus]]),"")</f>
        <v>Confirmado</v>
      </c>
      <c r="BC241" s="45"/>
      <c r="BD241" s="52">
        <f>IFERROR(OLDBD[[#This Row],[Salida de almacén de retiro]]-OLDBD[[#This Row],[Ingreso Almacén de retiro]],"")</f>
        <v>4.2361111110949423E-2</v>
      </c>
      <c r="BE241" s="52">
        <f>IFERROR(OLDBD[[#This Row],[Fin de Carga]]-OLDBD[[#This Row],[Inicio de Carga]],"")</f>
        <v>4.5138888890505768E-2</v>
      </c>
    </row>
    <row r="242" spans="1:57" x14ac:dyDescent="0.35">
      <c r="A242" s="1"/>
      <c r="B242" s="1">
        <f>IFERROR(IF(MARÍTIMOS[[#This Row],[PP]]="","",MARÍTIMOS[[#This Row],[PP]]),"")</f>
        <v>31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RH-0324</v>
      </c>
      <c r="E242" s="1"/>
      <c r="F242" s="2" t="str">
        <f>IFERROR(IF(MARÍTIMOS[[#This Row],[Transportista]]="","",MARÍTIMOS[[#This Row],[Transportista]]),"")</f>
        <v>Maersk</v>
      </c>
      <c r="G242" s="2" t="str">
        <f>IFERROR(IF(MARÍTIMOS[[#This Row],[Tercero]]="","",MARÍTIMOS[[#This Row],[Tercero]]),"")</f>
        <v>NO</v>
      </c>
      <c r="H242" s="2" t="str">
        <f>IFERROR(IF(MARÍTIMOS[[#This Row],[Razón Social]]="","",MARÍTIMOS[[#This Row],[Razón Social]]),"")</f>
        <v>MAERK LOGISTIC &amp; SERVICES PERU S.A</v>
      </c>
      <c r="I242" s="2">
        <f>IFERROR(IF(MARÍTIMOS[[#This Row],[RUC]]="","",MARÍTIMOS[[#This Row],[RUC]]),"")</f>
        <v>20107012011</v>
      </c>
      <c r="J242" s="2" t="str">
        <f>IFERROR(IF(MARÍTIMOS[[#This Row],[Placa Tracto]]="","",MARÍTIMOS[[#This Row],[Placa Tracto]]),"")</f>
        <v>BTE787</v>
      </c>
      <c r="K242" s="2" t="str">
        <f>IFERROR(IF(MARÍTIMOS[[#This Row],[Placa Carreta]]="","",MARÍTIMOS[[#This Row],[Placa Carreta]]),"")</f>
        <v>ATI981</v>
      </c>
      <c r="L242" s="46" t="str">
        <f>IFERROR(IF(MARÍTIMOS[[#This Row],[Conductor]]="","",MARÍTIMOS[[#This Row],[Conductor]]),"")</f>
        <v>HELMER CIRILO HUAMANI HUAMANI/MIGUEL JACINTO POZO LUNA</v>
      </c>
      <c r="M242" s="2" t="str">
        <f>IFERROR(IF(MARÍTIMOS[[#This Row],[Licencia]]="","",MARÍTIMOS[[#This Row],[Licencia]]),"")</f>
        <v>Q44302459/Q10069791</v>
      </c>
      <c r="N242" s="2" t="str">
        <f>IFERROR(IF(MARÍTIMOS[[#This Row],[Número de Contacto]]="","",MARÍTIMOS[[#This Row],[Número de Contacto]]),"")</f>
        <v/>
      </c>
      <c r="O242" s="10">
        <f>IFERROR(IF(MARÍTIMOS[[#This Row],[Booking|AWB|CRT]]="","",MARÍTIMOS[[#This Row],[Booking|AWB|CRT]]),"")</f>
        <v>6509439020</v>
      </c>
      <c r="P242" s="2" t="str">
        <f>IFERROR(IF(MARÍTIMOS[[#This Row],[Contenedor]]="","",MARÍTIMOS[[#This Row],[Contenedor]]),"")</f>
        <v>FBIU5757865</v>
      </c>
      <c r="Q242" s="2" t="str">
        <f>IFERROR(IF(MARÍTIMOS[[#This Row],[Puerto de Retiro]]="","",MARÍTIMOS[[#This Row],[Puerto de Retiro]]),"")</f>
        <v>CALLAO</v>
      </c>
      <c r="R242" s="2" t="str">
        <f>IFERROR(IF(MARÍTIMOS[[#This Row],[Almacén de Retiro]]="","",MARÍTIMOS[[#This Row],[Almacén de Retiro]]),"")</f>
        <v>FARGOLINE</v>
      </c>
      <c r="S242" s="11">
        <f>IFERROR(IF(MARÍTIMOS[[#This Row],[Etapa Retiro - Cita]]="","",MARÍTIMOS[[#This Row],[Etapa Retiro - Cita]]),"")</f>
        <v>46235.708333333336</v>
      </c>
      <c r="T242" s="11">
        <f>IFERROR(IF(MARÍTIMOS[[#This Row],[Etapa Retiro - Llegada]]="","",MARÍTIMOS[[#This Row],[Etapa Retiro - Llegada]]),"")</f>
        <v>46235.734027777777</v>
      </c>
      <c r="U242" s="11">
        <f>IFERROR(IF(MARÍTIMOS[[#This Row],[Etapa Retiro - Ingreso]]="","",MARÍTIMOS[[#This Row],[Etapa Retiro - Ingreso]]),"")</f>
        <v>46235.743055555555</v>
      </c>
      <c r="V242" s="11">
        <f>IFERROR(IF(MARÍTIMOS[[#This Row],[Etapa Retiro - Atención]]="","",MARÍTIMOS[[#This Row],[Etapa Retiro - Atención]]),"")</f>
        <v>46235.758333333331</v>
      </c>
      <c r="W242" s="11">
        <f>IFERROR(IF(MARÍTIMOS[[#This Row],[Etapa Retiro - Salida]]="","",MARÍTIMOS[[#This Row],[Etapa Retiro - Salida]]),"")</f>
        <v>46235.781944444447</v>
      </c>
      <c r="X242" s="11">
        <f>IFERROR(IF(MARÍTIMOS[[#This Row],[Etapa Retiro - Inicio de Ruta]]="","",MARÍTIMOS[[#This Row],[Etapa Retiro - Inicio de Ruta]]),"")</f>
        <v>46235.847222222219</v>
      </c>
      <c r="Y242" s="11">
        <f>IFERROR(IF(MARÍTIMOS[[#This Row],[Hora de Posicionamiento]]="","",MARÍTIMOS[[#This Row],[Hora de Carga]]+MARÍTIMOS[[#This Row],[Hora de Posicionamiento]]),"")</f>
        <v>0.94305555555555554</v>
      </c>
      <c r="Z242" s="11">
        <f>IFERROR(IF(MARÍTIMOS[[#This Row],[Etapa Despacho -  Llegada]]="","",MARÍTIMOS[[#This Row],[Etapa Despacho -  Llegada]]),"")</f>
        <v>46236.4</v>
      </c>
      <c r="AA242" s="11">
        <f>IFERROR(IF(MARÍTIMOS[[#This Row],[Etapa Despacho -  Registro]]="","",MARÍTIMOS[[#This Row],[Etapa Despacho -  Registro]]),"")</f>
        <v>46236.422222222223</v>
      </c>
      <c r="AB242" s="11">
        <f>IFERROR(IF(MARÍTIMOS[[#This Row],[Inspección Externa]]="","",MARÍTIMOS[[#This Row],[Inspección Externa]]),"")</f>
        <v>46236.482638888891</v>
      </c>
      <c r="AC242" s="11">
        <f>IFERROR(IF(MARÍTIMOS[[#This Row],[Etapa Despacho -  Inicio de Carga]]="","",MARÍTIMOS[[#This Row],[Etapa Despacho -  Inicio de Carga]]),"")</f>
        <v>46236.526388888888</v>
      </c>
      <c r="AD242" s="11">
        <f>IFERROR(IF(MARÍTIMOS[[#This Row],[Etapa Despacho -  Fin de Carga]]="","",MARÍTIMOS[[#This Row],[Etapa Despacho -  Fin de Carga]]),"")</f>
        <v>46236.675000000003</v>
      </c>
      <c r="AE242" s="11">
        <f>IFERROR(IF(MARÍTIMOS[[#This Row],[Etapa Despacho -  Salida]]="","",MARÍTIMOS[[#This Row],[Etapa Despacho -  Salida]]),"")</f>
        <v>46236.699305555558</v>
      </c>
      <c r="AF242" s="2" t="str">
        <f>IFERROR(IF(MARÍTIMOS[[#This Row],[Puerto de Embarque]]="","",MARÍTIMOS[[#This Row],[Puerto de Embarque]]),"")</f>
        <v>CALLAO</v>
      </c>
      <c r="AG242" s="2" t="str">
        <f>IFERROR(IF(MARÍTIMOS[[#This Row],[Almacén de Ingreso]]="","",MARÍTIMOS[[#This Row],[Almacén de Ingreso]]),"")</f>
        <v>CSPCP</v>
      </c>
      <c r="AH242" s="11" t="str">
        <f>IFERROR(IF(MARÍTIMOS[[#This Row],[Etapa Ingreso - Cita]]="","",MARÍTIMOS[[#This Row],[Etapa Ingreso - Cita]]),"")</f>
        <v/>
      </c>
      <c r="AI242" s="11">
        <f>IFERROR(IF(MARÍTIMOS[[#This Row],[Etapa Ingreso - Llegada]]="","",MARÍTIMOS[[#This Row],[Etapa Ingreso - Llegada]]),"")</f>
        <v>46237.138194444444</v>
      </c>
      <c r="AJ242" s="11">
        <f>IFERROR(IF(MARÍTIMOS[[#This Row],[Etapa Ingreso - Ingeso]]="","",MARÍTIMOS[[#This Row],[Etapa Ingreso - Ingeso]]),"")</f>
        <v>46237.184027777781</v>
      </c>
      <c r="AK242" s="11">
        <f>IFERROR(IF(MARÍTIMOS[[#This Row],[Etapa Ingreso - Atención]]="","",MARÍTIMOS[[#This Row],[Etapa Ingreso - Atención]]),"")</f>
        <v>46237.195833333331</v>
      </c>
      <c r="AL242" s="11">
        <f>IFERROR(IF(MARÍTIMOS[[#This Row],[Etapa Ingreso - Salida]]="","",MARÍTIMOS[[#This Row],[Etapa Ingreso - Salida]]),"")</f>
        <v>46237.214583333334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0.55277777778246673</v>
      </c>
      <c r="AQ242" s="6">
        <f>IFERROR(OLDBD[[#This Row],[Inicio de Ruta]]-OLDBD[[#This Row],[Salida de almacén de retiro]],"")</f>
        <v>6.5277777772280388E-2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2" s="9">
        <f>IFERROR(OLDBD[[#This Row],[Ingreso Packing]]-OLDBD[[#This Row],[Registro en Packing]],"")</f>
        <v>6.0416666667151731E-2</v>
      </c>
      <c r="AV242" s="9">
        <f>IFERROR(OLDBD[[#This Row],[Ingreso Packing]]-OLDBD[[#This Row],[Llegada a packing]],"")</f>
        <v>8.2638888889050577E-2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2" s="5">
        <f>IFERROR(OLDBD[[#This Row],[Llegada Almacén de Ingreso]]-OLDBD[[#This Row],[Salida Packing]],"")</f>
        <v>0.43888888888614019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2" s="45" t="s">
        <v>181</v>
      </c>
      <c r="BB242" s="53" t="str">
        <f>IFERROR(IF(MARÍTIMOS[[#This Row],[Estatus]]="","",MARÍTIMOS[[#This Row],[Estatus]]),"")</f>
        <v>Confirmado</v>
      </c>
      <c r="BC242" s="45"/>
      <c r="BD242" s="52">
        <f>IFERROR(OLDBD[[#This Row],[Salida de almacén de retiro]]-OLDBD[[#This Row],[Ingreso Almacén de retiro]],"")</f>
        <v>3.888888889196096E-2</v>
      </c>
      <c r="BE242" s="52">
        <f>IFERROR(OLDBD[[#This Row],[Fin de Carga]]-OLDBD[[#This Row],[Inicio de Carga]],"")</f>
        <v>0.148611111115315</v>
      </c>
    </row>
    <row r="243" spans="1:57" x14ac:dyDescent="0.35">
      <c r="A243" s="1"/>
      <c r="B243" s="1">
        <f>IFERROR(IF(MARÍTIMOS[[#This Row],[PP]]="","",MARÍTIMOS[[#This Row],[PP]]),"")</f>
        <v>31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RH-0325</v>
      </c>
      <c r="E243" s="1"/>
      <c r="F243" s="2" t="str">
        <f>IFERROR(IF(MARÍTIMOS[[#This Row],[Transportista]]="","",MARÍTIMOS[[#This Row],[Transportista]]),"")</f>
        <v>Maersk</v>
      </c>
      <c r="G243" s="2" t="str">
        <f>IFERROR(IF(MARÍTIMOS[[#This Row],[Tercero]]="","",MARÍTIMOS[[#This Row],[Tercero]]),"")</f>
        <v>NO</v>
      </c>
      <c r="H243" s="2" t="str">
        <f>IFERROR(IF(MARÍTIMOS[[#This Row],[Razón Social]]="","",MARÍTIMOS[[#This Row],[Razón Social]]),"")</f>
        <v>MAERK LOGISTIC &amp; SERVICES PERU S.A</v>
      </c>
      <c r="I243" s="2">
        <f>IFERROR(IF(MARÍTIMOS[[#This Row],[RUC]]="","",MARÍTIMOS[[#This Row],[RUC]]),"")</f>
        <v>20107012011</v>
      </c>
      <c r="J243" s="2" t="str">
        <f>IFERROR(IF(MARÍTIMOS[[#This Row],[Placa Tracto]]="","",MARÍTIMOS[[#This Row],[Placa Tracto]]),"")</f>
        <v>BTL897</v>
      </c>
      <c r="K243" s="2" t="str">
        <f>IFERROR(IF(MARÍTIMOS[[#This Row],[Placa Carreta]]="","",MARÍTIMOS[[#This Row],[Placa Carreta]]),"")</f>
        <v>BEC970</v>
      </c>
      <c r="L243" s="46" t="str">
        <f>IFERROR(IF(MARÍTIMOS[[#This Row],[Conductor]]="","",MARÍTIMOS[[#This Row],[Conductor]]),"")</f>
        <v>MARCO ANTONIO CHAVEZ OSCANOA/ANGEL GABRIEL CLAROS ROMAN</v>
      </c>
      <c r="M243" s="2" t="str">
        <f>IFERROR(IF(MARÍTIMOS[[#This Row],[Licencia]]="","",MARÍTIMOS[[#This Row],[Licencia]]),"")</f>
        <v>Q20038840/Q44502727</v>
      </c>
      <c r="N243" s="2" t="str">
        <f>IFERROR(IF(MARÍTIMOS[[#This Row],[Número de Contacto]]="","",MARÍTIMOS[[#This Row],[Número de Contacto]]),"")</f>
        <v/>
      </c>
      <c r="O243" s="10">
        <f>IFERROR(IF(MARÍTIMOS[[#This Row],[Booking|AWB|CRT]]="","",MARÍTIMOS[[#This Row],[Booking|AWB|CRT]]),"")</f>
        <v>6509439010</v>
      </c>
      <c r="P243" s="2" t="str">
        <f>IFERROR(IF(MARÍTIMOS[[#This Row],[Contenedor]]="","",MARÍTIMOS[[#This Row],[Contenedor]]),"")</f>
        <v>FBIU5578216</v>
      </c>
      <c r="Q243" s="2" t="str">
        <f>IFERROR(IF(MARÍTIMOS[[#This Row],[Puerto de Retiro]]="","",MARÍTIMOS[[#This Row],[Puerto de Retiro]]),"")</f>
        <v>CALLAO</v>
      </c>
      <c r="R243" s="2" t="str">
        <f>IFERROR(IF(MARÍTIMOS[[#This Row],[Almacén de Retiro]]="","",MARÍTIMOS[[#This Row],[Almacén de Retiro]]),"")</f>
        <v>FARGOLINE</v>
      </c>
      <c r="S243" s="11">
        <f>IFERROR(IF(MARÍTIMOS[[#This Row],[Etapa Retiro - Cita]]="","",MARÍTIMOS[[#This Row],[Etapa Retiro - Cita]]),"")</f>
        <v>46235.708333333336</v>
      </c>
      <c r="T243" s="11">
        <f>IFERROR(IF(MARÍTIMOS[[#This Row],[Etapa Retiro - Llegada]]="","",MARÍTIMOS[[#This Row],[Etapa Retiro - Llegada]]),"")</f>
        <v>46235.734027777777</v>
      </c>
      <c r="U243" s="11">
        <f>IFERROR(IF(MARÍTIMOS[[#This Row],[Etapa Retiro - Ingreso]]="","",MARÍTIMOS[[#This Row],[Etapa Retiro - Ingreso]]),"")</f>
        <v>46235.742361111108</v>
      </c>
      <c r="V243" s="11">
        <f>IFERROR(IF(MARÍTIMOS[[#This Row],[Etapa Retiro - Atención]]="","",MARÍTIMOS[[#This Row],[Etapa Retiro - Atención]]),"")</f>
        <v>46235.770833333336</v>
      </c>
      <c r="W243" s="11">
        <f>IFERROR(IF(MARÍTIMOS[[#This Row],[Etapa Retiro - Salida]]="","",MARÍTIMOS[[#This Row],[Etapa Retiro - Salida]]),"")</f>
        <v>46235.931250000001</v>
      </c>
      <c r="X243" s="11">
        <f>IFERROR(IF(MARÍTIMOS[[#This Row],[Etapa Retiro - Inicio de Ruta]]="","",MARÍTIMOS[[#This Row],[Etapa Retiro - Inicio de Ruta]]),"")</f>
        <v>46235.958333333336</v>
      </c>
      <c r="Y243" s="11">
        <f>IFERROR(IF(MARÍTIMOS[[#This Row],[Hora de Posicionamiento]]="","",MARÍTIMOS[[#This Row],[Hora de Carga]]+MARÍTIMOS[[#This Row],[Hora de Posicionamiento]]),"")</f>
        <v>0.94097222222222232</v>
      </c>
      <c r="Z243" s="11">
        <f>IFERROR(IF(MARÍTIMOS[[#This Row],[Etapa Despacho -  Llegada]]="","",MARÍTIMOS[[#This Row],[Etapa Despacho -  Llegada]]),"")</f>
        <v>46236.390277777777</v>
      </c>
      <c r="AA243" s="11">
        <f>IFERROR(IF(MARÍTIMOS[[#This Row],[Etapa Despacho -  Registro]]="","",MARÍTIMOS[[#This Row],[Etapa Despacho -  Registro]]),"")</f>
        <v>46236.415277777778</v>
      </c>
      <c r="AB243" s="11">
        <f>IFERROR(IF(MARÍTIMOS[[#This Row],[Inspección Externa]]="","",MARÍTIMOS[[#This Row],[Inspección Externa]]),"")</f>
        <v>46236.481944444444</v>
      </c>
      <c r="AC243" s="11">
        <f>IFERROR(IF(MARÍTIMOS[[#This Row],[Etapa Despacho -  Inicio de Carga]]="","",MARÍTIMOS[[#This Row],[Etapa Despacho -  Inicio de Carga]]),"")</f>
        <v>46236.524305555555</v>
      </c>
      <c r="AD243" s="11">
        <f>IFERROR(IF(MARÍTIMOS[[#This Row],[Etapa Despacho -  Fin de Carga]]="","",MARÍTIMOS[[#This Row],[Etapa Despacho -  Fin de Carga]]),"")</f>
        <v>46236.679166666669</v>
      </c>
      <c r="AE243" s="11">
        <f>IFERROR(IF(MARÍTIMOS[[#This Row],[Etapa Despacho -  Salida]]="","",MARÍTIMOS[[#This Row],[Etapa Despacho -  Salida]]),"")</f>
        <v>46236.705555555556</v>
      </c>
      <c r="AF243" s="2" t="str">
        <f>IFERROR(IF(MARÍTIMOS[[#This Row],[Puerto de Embarque]]="","",MARÍTIMOS[[#This Row],[Puerto de Embarque]]),"")</f>
        <v>CALLAO</v>
      </c>
      <c r="AG243" s="2" t="str">
        <f>IFERROR(IF(MARÍTIMOS[[#This Row],[Almacén de Ingreso]]="","",MARÍTIMOS[[#This Row],[Almacén de Ingreso]]),"")</f>
        <v>CSPCP</v>
      </c>
      <c r="AH243" s="11" t="str">
        <f>IFERROR(IF(MARÍTIMOS[[#This Row],[Etapa Ingreso - Cita]]="","",MARÍTIMOS[[#This Row],[Etapa Ingreso - Cita]]),"")</f>
        <v/>
      </c>
      <c r="AI243" s="11">
        <f>IFERROR(IF(MARÍTIMOS[[#This Row],[Etapa Ingreso - Llegada]]="","",MARÍTIMOS[[#This Row],[Etapa Ingreso - Llegada]]),"")</f>
        <v>46237.138194444444</v>
      </c>
      <c r="AJ243" s="11">
        <f>IFERROR(IF(MARÍTIMOS[[#This Row],[Etapa Ingreso - Ingeso]]="","",MARÍTIMOS[[#This Row],[Etapa Ingreso - Ingeso]]),"")</f>
        <v>46237.178472222222</v>
      </c>
      <c r="AK243" s="11">
        <f>IFERROR(IF(MARÍTIMOS[[#This Row],[Etapa Ingreso - Atención]]="","",MARÍTIMOS[[#This Row],[Etapa Ingreso - Atención]]),"")</f>
        <v>46237.190972222219</v>
      </c>
      <c r="AL243" s="11">
        <f>IFERROR(IF(MARÍTIMOS[[#This Row],[Etapa Ingreso - Salida]]="","",MARÍTIMOS[[#This Row],[Etapa Ingreso - Salida]]),"")</f>
        <v>46237.207638888889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43" s="5">
        <f>IFERROR(OLDBD[[#This Row],[Llegada a packing]]-OLDBD[[#This Row],[Inicio de Ruta]],"")</f>
        <v>0.43194444444088731</v>
      </c>
      <c r="AQ243" s="6">
        <f>IFERROR(OLDBD[[#This Row],[Inicio de Ruta]]-OLDBD[[#This Row],[Salida de almacén de retiro]],"")</f>
        <v>2.7083333334303461E-2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3" s="9">
        <f>IFERROR(OLDBD[[#This Row],[Ingreso Packing]]-OLDBD[[#This Row],[Registro en Packing]],"")</f>
        <v>6.6666666665696539E-2</v>
      </c>
      <c r="AV243" s="9">
        <f>IFERROR(OLDBD[[#This Row],[Ingreso Packing]]-OLDBD[[#This Row],[Llegada a packing]],"")</f>
        <v>9.1666666667151731E-2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3" s="5">
        <f>IFERROR(OLDBD[[#This Row],[Llegada Almacén de Ingreso]]-OLDBD[[#This Row],[Salida Packing]],"")</f>
        <v>0.43263888888759539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3" s="45" t="s">
        <v>181</v>
      </c>
      <c r="BB243" s="53" t="str">
        <f>IFERROR(IF(MARÍTIMOS[[#This Row],[Estatus]]="","",MARÍTIMOS[[#This Row],[Estatus]]),"")</f>
        <v>Confirmado</v>
      </c>
      <c r="BC243" s="45"/>
      <c r="BD243" s="52">
        <f>IFERROR(OLDBD[[#This Row],[Salida de almacén de retiro]]-OLDBD[[#This Row],[Ingreso Almacén de retiro]],"")</f>
        <v>0.18888888889341615</v>
      </c>
      <c r="BE243" s="52">
        <f>IFERROR(OLDBD[[#This Row],[Fin de Carga]]-OLDBD[[#This Row],[Inicio de Carga]],"")</f>
        <v>0.15486111111385981</v>
      </c>
    </row>
    <row r="244" spans="1:57" x14ac:dyDescent="0.35">
      <c r="A244" s="1"/>
      <c r="B244" s="1">
        <f>IFERROR(IF(MARÍTIMOS[[#This Row],[PP]]="","",MARÍTIMOS[[#This Row],[PP]]),"")</f>
        <v>32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RH-0427</v>
      </c>
      <c r="E244" s="1"/>
      <c r="F244" s="2" t="str">
        <f>IFERROR(IF(MARÍTIMOS[[#This Row],[Transportista]]="","",MARÍTIMOS[[#This Row],[Transportista]]),"")</f>
        <v>Maersk</v>
      </c>
      <c r="G244" s="2" t="str">
        <f>IFERROR(IF(MARÍTIMOS[[#This Row],[Tercero]]="","",MARÍTIMOS[[#This Row],[Tercero]]),"")</f>
        <v>NO</v>
      </c>
      <c r="H244" s="2" t="str">
        <f>IFERROR(IF(MARÍTIMOS[[#This Row],[Razón Social]]="","",MARÍTIMOS[[#This Row],[Razón Social]]),"")</f>
        <v>MAERK LOGISTIC &amp; SERVICES PERU S.A</v>
      </c>
      <c r="I244" s="2">
        <f>IFERROR(IF(MARÍTIMOS[[#This Row],[RUC]]="","",MARÍTIMOS[[#This Row],[RUC]]),"")</f>
        <v>20107012011</v>
      </c>
      <c r="J244" s="2" t="str">
        <f>IFERROR(IF(MARÍTIMOS[[#This Row],[Placa Tracto]]="","",MARÍTIMOS[[#This Row],[Placa Tracto]]),"")</f>
        <v>BTF807</v>
      </c>
      <c r="K244" s="2" t="str">
        <f>IFERROR(IF(MARÍTIMOS[[#This Row],[Placa Carreta]]="","",MARÍTIMOS[[#This Row],[Placa Carreta]]),"")</f>
        <v>TBR992</v>
      </c>
      <c r="L244" s="46" t="str">
        <f>IFERROR(IF(MARÍTIMOS[[#This Row],[Conductor]]="","",MARÍTIMOS[[#This Row],[Conductor]]),"")</f>
        <v>VICTOR EDUARDO VILLAVICENCIO OBREGON/ ALFREDO AUCCAPURI MIYO</v>
      </c>
      <c r="M244" s="2" t="str">
        <f>IFERROR(IF(MARÍTIMOS[[#This Row],[Licencia]]="","",MARÍTIMOS[[#This Row],[Licencia]]),"")</f>
        <v>Q16023460/Q40993130</v>
      </c>
      <c r="N244" s="2" t="str">
        <f>IFERROR(IF(MARÍTIMOS[[#This Row],[Número de Contacto]]="","",MARÍTIMOS[[#This Row],[Número de Contacto]]),"")</f>
        <v/>
      </c>
      <c r="O244" s="10">
        <f>IFERROR(IF(MARÍTIMOS[[#This Row],[Booking|AWB|CRT]]="","",MARÍTIMOS[[#This Row],[Booking|AWB|CRT]]),"")</f>
        <v>275171571</v>
      </c>
      <c r="P244" s="2" t="str">
        <f>IFERROR(IF(MARÍTIMOS[[#This Row],[Contenedor]]="","",MARÍTIMOS[[#This Row],[Contenedor]]),"")</f>
        <v>MNBU3190470</v>
      </c>
      <c r="Q244" s="2" t="str">
        <f>IFERROR(IF(MARÍTIMOS[[#This Row],[Puerto de Retiro]]="","",MARÍTIMOS[[#This Row],[Puerto de Retiro]]),"")</f>
        <v>CALLAO</v>
      </c>
      <c r="R244" s="2" t="str">
        <f>IFERROR(IF(MARÍTIMOS[[#This Row],[Almacén de Retiro]]="","",MARÍTIMOS[[#This Row],[Almacén de Retiro]]),"")</f>
        <v>DEMARES</v>
      </c>
      <c r="S244" s="11">
        <f>IFERROR(IF(MARÍTIMOS[[#This Row],[Etapa Retiro - Cita]]="","",MARÍTIMOS[[#This Row],[Etapa Retiro - Cita]]),"")</f>
        <v>46239.583333333336</v>
      </c>
      <c r="T244" s="11">
        <f>IFERROR(IF(MARÍTIMOS[[#This Row],[Etapa Retiro - Llegada]]="","",MARÍTIMOS[[#This Row],[Etapa Retiro - Llegada]]),"")</f>
        <v>46239.788194444445</v>
      </c>
      <c r="U244" s="11">
        <f>IFERROR(IF(MARÍTIMOS[[#This Row],[Etapa Retiro - Ingreso]]="","",MARÍTIMOS[[#This Row],[Etapa Retiro - Ingreso]]),"")</f>
        <v>46239.887499999997</v>
      </c>
      <c r="V244" s="11">
        <f>IFERROR(IF(MARÍTIMOS[[#This Row],[Etapa Retiro - Atención]]="","",MARÍTIMOS[[#This Row],[Etapa Retiro - Atención]]),"")</f>
        <v>46239.916666666664</v>
      </c>
      <c r="W244" s="11">
        <f>IFERROR(IF(MARÍTIMOS[[#This Row],[Etapa Retiro - Salida]]="","",MARÍTIMOS[[#This Row],[Etapa Retiro - Salida]]),"")</f>
        <v>46240.065972222219</v>
      </c>
      <c r="X244" s="11">
        <f>IFERROR(IF(MARÍTIMOS[[#This Row],[Etapa Retiro - Inicio de Ruta]]="","",MARÍTIMOS[[#This Row],[Etapa Retiro - Inicio de Ruta]]),"")</f>
        <v>46240.070138888892</v>
      </c>
      <c r="Y244" s="11">
        <f>IFERROR(IF(MARÍTIMOS[[#This Row],[Hora de Posicionamiento]]="","",MARÍTIMOS[[#This Row],[Hora de Carga]]+MARÍTIMOS[[#This Row],[Hora de Posicionamiento]]),"")</f>
        <v>1.1652777777777779</v>
      </c>
      <c r="Z244" s="11">
        <f>IFERROR(IF(MARÍTIMOS[[#This Row],[Etapa Despacho -  Llegada]]="","",MARÍTIMOS[[#This Row],[Etapa Despacho -  Llegada]]),"")</f>
        <v>46240.588194444441</v>
      </c>
      <c r="AA244" s="11">
        <f>IFERROR(IF(MARÍTIMOS[[#This Row],[Etapa Despacho -  Registro]]="","",MARÍTIMOS[[#This Row],[Etapa Despacho -  Registro]]),"")</f>
        <v>46240.62777777778</v>
      </c>
      <c r="AB244" s="11">
        <f>IFERROR(IF(MARÍTIMOS[[#This Row],[Inspección Externa]]="","",MARÍTIMOS[[#This Row],[Inspección Externa]]),"")</f>
        <v>46240.638888888891</v>
      </c>
      <c r="AC244" s="11">
        <f>IFERROR(IF(MARÍTIMOS[[#This Row],[Etapa Despacho -  Inicio de Carga]]="","",MARÍTIMOS[[#This Row],[Etapa Despacho -  Inicio de Carga]]),"")</f>
        <v>46240.665277777778</v>
      </c>
      <c r="AD244" s="11">
        <f>IFERROR(IF(MARÍTIMOS[[#This Row],[Etapa Despacho -  Fin de Carga]]="","",MARÍTIMOS[[#This Row],[Etapa Despacho -  Fin de Carga]]),"")</f>
        <v>46240.708333333336</v>
      </c>
      <c r="AE244" s="11">
        <f>IFERROR(IF(MARÍTIMOS[[#This Row],[Etapa Despacho -  Salida]]="","",MARÍTIMOS[[#This Row],[Etapa Despacho -  Salida]]),"")</f>
        <v>46240.731249999997</v>
      </c>
      <c r="AF244" s="2" t="str">
        <f>IFERROR(IF(MARÍTIMOS[[#This Row],[Puerto de Embarque]]="","",MARÍTIMOS[[#This Row],[Puerto de Embarque]]),"")</f>
        <v>CALLAO</v>
      </c>
      <c r="AG244" s="2" t="str">
        <f>IFERROR(IF(MARÍTIMOS[[#This Row],[Almacén de Ingreso]]="","",MARÍTIMOS[[#This Row],[Almacén de Ingreso]]),"")</f>
        <v>APM</v>
      </c>
      <c r="AH244" s="11">
        <f>IFERROR(IF(MARÍTIMOS[[#This Row],[Etapa Ingreso - Cita]]="","",MARÍTIMOS[[#This Row],[Etapa Ingreso - Cita]]),"")</f>
        <v>46241.166666666664</v>
      </c>
      <c r="AI244" s="11">
        <f>IFERROR(IF(MARÍTIMOS[[#This Row],[Etapa Ingreso - Llegada]]="","",MARÍTIMOS[[#This Row],[Etapa Ingreso - Llegada]]),"")</f>
        <v>46241.211111111108</v>
      </c>
      <c r="AJ244" s="11">
        <f>IFERROR(IF(MARÍTIMOS[[#This Row],[Etapa Ingreso - Ingeso]]="","",MARÍTIMOS[[#This Row],[Etapa Ingreso - Ingeso]]),"")</f>
        <v>46241.214583333334</v>
      </c>
      <c r="AK244" s="11">
        <f>IFERROR(IF(MARÍTIMOS[[#This Row],[Etapa Ingreso - Atención]]="","",MARÍTIMOS[[#This Row],[Etapa Ingreso - Atención]]),"")</f>
        <v>46241.21875</v>
      </c>
      <c r="AL244" s="11">
        <f>IFERROR(IF(MARÍTIMOS[[#This Row],[Etapa Ingreso - Salida]]="","",MARÍTIMOS[[#This Row],[Etapa Ingreso - Salida]]),"")</f>
        <v>46241.234027777777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44" s="5">
        <f>IFERROR(OLDBD[[#This Row],[Llegada a packing]]-OLDBD[[#This Row],[Inicio de Ruta]],"")</f>
        <v>0.51805555554892635</v>
      </c>
      <c r="AQ244" s="6">
        <f>IFERROR(OLDBD[[#This Row],[Inicio de Ruta]]-OLDBD[[#This Row],[Salida de almacén de retiro]],"")</f>
        <v>4.1666666729724966E-3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1.1111111110949423E-2</v>
      </c>
      <c r="AV244" s="9">
        <f>IFERROR(OLDBD[[#This Row],[Ingreso Packing]]-OLDBD[[#This Row],[Llegada a packing]],"")</f>
        <v>5.0694444449618459E-2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0.47986111111094942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4" s="45" t="s">
        <v>181</v>
      </c>
      <c r="BB244" s="53" t="str">
        <f>IFERROR(IF(MARÍTIMOS[[#This Row],[Estatus]]="","",MARÍTIMOS[[#This Row],[Estatus]]),"")</f>
        <v>Confirmado</v>
      </c>
      <c r="BC244" s="45"/>
      <c r="BD244" s="52">
        <f>IFERROR(OLDBD[[#This Row],[Salida de almacén de retiro]]-OLDBD[[#This Row],[Ingreso Almacén de retiro]],"")</f>
        <v>0.17847222222189885</v>
      </c>
      <c r="BE244" s="52">
        <f>IFERROR(OLDBD[[#This Row],[Fin de Carga]]-OLDBD[[#This Row],[Inicio de Carga]],"")</f>
        <v>4.3055555557657499E-2</v>
      </c>
    </row>
    <row r="245" spans="1:57" x14ac:dyDescent="0.35">
      <c r="A245" s="1"/>
      <c r="B245" s="1">
        <f>IFERROR(IF(MARÍTIMOS[[#This Row],[PP]]="","",MARÍTIMOS[[#This Row],[PP]]),"")</f>
        <v>32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RH-0428</v>
      </c>
      <c r="E245" s="1"/>
      <c r="F245" s="2" t="str">
        <f>IFERROR(IF(MARÍTIMOS[[#This Row],[Transportista]]="","",MARÍTIMOS[[#This Row],[Transportista]]),"")</f>
        <v>Maersk</v>
      </c>
      <c r="G245" s="2" t="str">
        <f>IFERROR(IF(MARÍTIMOS[[#This Row],[Tercero]]="","",MARÍTIMOS[[#This Row],[Tercero]]),"")</f>
        <v>NO</v>
      </c>
      <c r="H245" s="2" t="str">
        <f>IFERROR(IF(MARÍTIMOS[[#This Row],[Razón Social]]="","",MARÍTIMOS[[#This Row],[Razón Social]]),"")</f>
        <v>MAERK LOGISTIC &amp; SERVICES PERU S.A</v>
      </c>
      <c r="I245" s="2">
        <f>IFERROR(IF(MARÍTIMOS[[#This Row],[RUC]]="","",MARÍTIMOS[[#This Row],[RUC]]),"")</f>
        <v>20107012011</v>
      </c>
      <c r="J245" s="2" t="str">
        <f>IFERROR(IF(MARÍTIMOS[[#This Row],[Placa Tracto]]="","",MARÍTIMOS[[#This Row],[Placa Tracto]]),"")</f>
        <v>BTM788</v>
      </c>
      <c r="K245" s="2" t="str">
        <f>IFERROR(IF(MARÍTIMOS[[#This Row],[Placa Carreta]]="","",MARÍTIMOS[[#This Row],[Placa Carreta]]),"")</f>
        <v>BDU999</v>
      </c>
      <c r="L245" s="46" t="str">
        <f>IFERROR(IF(MARÍTIMOS[[#This Row],[Conductor]]="","",MARÍTIMOS[[#This Row],[Conductor]]),"")</f>
        <v>YEMBER JANAKA TORREJON DAGA/ EDMUNDO EDUARDO DIAZ LEON</v>
      </c>
      <c r="M245" s="2" t="str">
        <f>IFERROR(IF(MARÍTIMOS[[#This Row],[Licencia]]="","",MARÍTIMOS[[#This Row],[Licencia]]),"")</f>
        <v>Q40908517/ Q42107613</v>
      </c>
      <c r="N245" s="2" t="str">
        <f>IFERROR(IF(MARÍTIMOS[[#This Row],[Número de Contacto]]="","",MARÍTIMOS[[#This Row],[Número de Contacto]]),"")</f>
        <v/>
      </c>
      <c r="O245" s="10">
        <f>IFERROR(IF(MARÍTIMOS[[#This Row],[Booking|AWB|CRT]]="","",MARÍTIMOS[[#This Row],[Booking|AWB|CRT]]),"")</f>
        <v>275171607</v>
      </c>
      <c r="P245" s="2" t="str">
        <f>IFERROR(IF(MARÍTIMOS[[#This Row],[Contenedor]]="","",MARÍTIMOS[[#This Row],[Contenedor]]),"")</f>
        <v>MNBU3860606</v>
      </c>
      <c r="Q245" s="2" t="str">
        <f>IFERROR(IF(MARÍTIMOS[[#This Row],[Puerto de Retiro]]="","",MARÍTIMOS[[#This Row],[Puerto de Retiro]]),"")</f>
        <v>CALLAO</v>
      </c>
      <c r="R245" s="2" t="str">
        <f>IFERROR(IF(MARÍTIMOS[[#This Row],[Almacén de Retiro]]="","",MARÍTIMOS[[#This Row],[Almacén de Retiro]]),"")</f>
        <v>DEMARES</v>
      </c>
      <c r="S245" s="11">
        <f>IFERROR(IF(MARÍTIMOS[[#This Row],[Etapa Retiro - Cita]]="","",MARÍTIMOS[[#This Row],[Etapa Retiro - Cita]]),"")</f>
        <v>46239.583333333336</v>
      </c>
      <c r="T245" s="11">
        <f>IFERROR(IF(MARÍTIMOS[[#This Row],[Etapa Retiro - Llegada]]="","",MARÍTIMOS[[#This Row],[Etapa Retiro - Llegada]]),"")</f>
        <v>46240.045138888891</v>
      </c>
      <c r="U245" s="11">
        <f>IFERROR(IF(MARÍTIMOS[[#This Row],[Etapa Retiro - Ingreso]]="","",MARÍTIMOS[[#This Row],[Etapa Retiro - Ingreso]]),"")</f>
        <v>46240.140277777777</v>
      </c>
      <c r="V245" s="11">
        <f>IFERROR(IF(MARÍTIMOS[[#This Row],[Etapa Retiro - Atención]]="","",MARÍTIMOS[[#This Row],[Etapa Retiro - Atención]]),"")</f>
        <v>46240.15625</v>
      </c>
      <c r="W245" s="11">
        <f>IFERROR(IF(MARÍTIMOS[[#This Row],[Etapa Retiro - Salida]]="","",MARÍTIMOS[[#This Row],[Etapa Retiro - Salida]]),"")</f>
        <v>46240.166666666664</v>
      </c>
      <c r="X245" s="11">
        <f>IFERROR(IF(MARÍTIMOS[[#This Row],[Etapa Retiro - Inicio de Ruta]]="","",MARÍTIMOS[[#This Row],[Etapa Retiro - Inicio de Ruta]]),"")</f>
        <v>46240.23541666667</v>
      </c>
      <c r="Y245" s="11">
        <f>IFERROR(IF(MARÍTIMOS[[#This Row],[Hora de Posicionamiento]]="","",MARÍTIMOS[[#This Row],[Hora de Carga]]+MARÍTIMOS[[#This Row],[Hora de Posicionamiento]]),"")</f>
        <v>1.2222222222222223</v>
      </c>
      <c r="Z245" s="11">
        <f>IFERROR(IF(MARÍTIMOS[[#This Row],[Etapa Despacho -  Llegada]]="","",MARÍTIMOS[[#This Row],[Etapa Despacho -  Llegada]]),"")</f>
        <v>46240.686111111114</v>
      </c>
      <c r="AA245" s="11">
        <f>IFERROR(IF(MARÍTIMOS[[#This Row],[Etapa Despacho -  Registro]]="","",MARÍTIMOS[[#This Row],[Etapa Despacho -  Registro]]),"")</f>
        <v>46240.695833333331</v>
      </c>
      <c r="AB245" s="11">
        <f>IFERROR(IF(MARÍTIMOS[[#This Row],[Inspección Externa]]="","",MARÍTIMOS[[#This Row],[Inspección Externa]]),"")</f>
        <v>46240.708333333336</v>
      </c>
      <c r="AC245" s="11">
        <f>IFERROR(IF(MARÍTIMOS[[#This Row],[Etapa Despacho -  Inicio de Carga]]="","",MARÍTIMOS[[#This Row],[Etapa Despacho -  Inicio de Carga]]),"")</f>
        <v>46240.722222222219</v>
      </c>
      <c r="AD245" s="11">
        <f>IFERROR(IF(MARÍTIMOS[[#This Row],[Etapa Despacho -  Fin de Carga]]="","",MARÍTIMOS[[#This Row],[Etapa Despacho -  Fin de Carga]]),"")</f>
        <v>46240.760416666664</v>
      </c>
      <c r="AE245" s="11">
        <f>IFERROR(IF(MARÍTIMOS[[#This Row],[Etapa Despacho -  Salida]]="","",MARÍTIMOS[[#This Row],[Etapa Despacho -  Salida]]),"")</f>
        <v>46240.779166666667</v>
      </c>
      <c r="AF245" s="2" t="str">
        <f>IFERROR(IF(MARÍTIMOS[[#This Row],[Puerto de Embarque]]="","",MARÍTIMOS[[#This Row],[Puerto de Embarque]]),"")</f>
        <v>CALLAO</v>
      </c>
      <c r="AG245" s="2" t="str">
        <f>IFERROR(IF(MARÍTIMOS[[#This Row],[Almacén de Ingreso]]="","",MARÍTIMOS[[#This Row],[Almacén de Ingreso]]),"")</f>
        <v>APM</v>
      </c>
      <c r="AH245" s="11">
        <f>IFERROR(IF(MARÍTIMOS[[#This Row],[Etapa Ingreso - Cita]]="","",MARÍTIMOS[[#This Row],[Etapa Ingreso - Cita]]),"")</f>
        <v>46241.5</v>
      </c>
      <c r="AI245" s="11">
        <f>IFERROR(IF(MARÍTIMOS[[#This Row],[Etapa Ingreso - Llegada]]="","",MARÍTIMOS[[#This Row],[Etapa Ingreso - Llegada]]),"")</f>
        <v>46241.460416666669</v>
      </c>
      <c r="AJ245" s="11">
        <f>IFERROR(IF(MARÍTIMOS[[#This Row],[Etapa Ingreso - Ingeso]]="","",MARÍTIMOS[[#This Row],[Etapa Ingreso - Ingeso]]),"")</f>
        <v>46241.463888888888</v>
      </c>
      <c r="AK245" s="11">
        <f>IFERROR(IF(MARÍTIMOS[[#This Row],[Etapa Ingreso - Atención]]="","",MARÍTIMOS[[#This Row],[Etapa Ingreso - Atención]]),"")</f>
        <v>46241.468055555553</v>
      </c>
      <c r="AL245" s="11">
        <f>IFERROR(IF(MARÍTIMOS[[#This Row],[Etapa Ingreso - Salida]]="","",MARÍTIMOS[[#This Row],[Etapa Ingreso - Salida]]),"")</f>
        <v>46241.481249999997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5" s="5">
        <f>IFERROR(OLDBD[[#This Row],[Llegada a packing]]-OLDBD[[#This Row],[Inicio de Ruta]],"")</f>
        <v>0.45069444444379769</v>
      </c>
      <c r="AQ245" s="6">
        <f>IFERROR(OLDBD[[#This Row],[Inicio de Ruta]]-OLDBD[[#This Row],[Salida de almacén de retiro]],"")</f>
        <v>6.8750000005820766E-2</v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1.2500000004365575E-2</v>
      </c>
      <c r="AV245" s="9">
        <f>IFERROR(OLDBD[[#This Row],[Ingreso Packing]]-OLDBD[[#This Row],[Llegada a packing]],"")</f>
        <v>2.2222222221898846E-2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5" s="5">
        <f>IFERROR(OLDBD[[#This Row],[Llegada Almacén de Ingreso]]-OLDBD[[#This Row],[Salida Packing]],"")</f>
        <v>0.68125000000145519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5" s="45" t="s">
        <v>181</v>
      </c>
      <c r="BB245" s="53" t="str">
        <f>IFERROR(IF(MARÍTIMOS[[#This Row],[Estatus]]="","",MARÍTIMOS[[#This Row],[Estatus]]),"")</f>
        <v>Confirmado</v>
      </c>
      <c r="BC245" s="45"/>
      <c r="BD245" s="52">
        <f>IFERROR(OLDBD[[#This Row],[Salida de almacén de retiro]]-OLDBD[[#This Row],[Ingreso Almacén de retiro]],"")</f>
        <v>2.6388888887595385E-2</v>
      </c>
      <c r="BE245" s="52">
        <f>IFERROR(OLDBD[[#This Row],[Fin de Carga]]-OLDBD[[#This Row],[Inicio de Carga]],"")</f>
        <v>3.8194444445252884E-2</v>
      </c>
    </row>
    <row r="246" spans="1:57" x14ac:dyDescent="0.35">
      <c r="A246" s="1"/>
      <c r="B246" s="1">
        <f>IFERROR(IF(MARÍTIMOS[[#This Row],[PP]]="","",MARÍTIMOS[[#This Row],[PP]]),"")</f>
        <v>32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RH-0422</v>
      </c>
      <c r="E246" s="1"/>
      <c r="F246" s="2" t="str">
        <f>IFERROR(IF(MARÍTIMOS[[#This Row],[Transportista]]="","",MARÍTIMOS[[#This Row],[Transportista]]),"")</f>
        <v>Maersk</v>
      </c>
      <c r="G246" s="2" t="str">
        <f>IFERROR(IF(MARÍTIMOS[[#This Row],[Tercero]]="","",MARÍTIMOS[[#This Row],[Tercero]]),"")</f>
        <v>SI</v>
      </c>
      <c r="H246" s="2" t="str">
        <f>IFERROR(IF(MARÍTIMOS[[#This Row],[Razón Social]]="","",MARÍTIMOS[[#This Row],[Razón Social]]),"")</f>
        <v>ROADPOWER FRESH LOGISTICS S.A.C.</v>
      </c>
      <c r="I246" s="2">
        <f>IFERROR(IF(MARÍTIMOS[[#This Row],[RUC]]="","",MARÍTIMOS[[#This Row],[RUC]]),"")</f>
        <v>20615410544</v>
      </c>
      <c r="J246" s="2" t="str">
        <f>IFERROR(IF(MARÍTIMOS[[#This Row],[Placa Tracto]]="","",MARÍTIMOS[[#This Row],[Placa Tracto]]),"")</f>
        <v>AXV848</v>
      </c>
      <c r="K246" s="2" t="str">
        <f>IFERROR(IF(MARÍTIMOS[[#This Row],[Placa Carreta]]="","",MARÍTIMOS[[#This Row],[Placa Carreta]]),"")</f>
        <v>AJZ987</v>
      </c>
      <c r="L246" s="46" t="str">
        <f>IFERROR(IF(MARÍTIMOS[[#This Row],[Conductor]]="","",MARÍTIMOS[[#This Row],[Conductor]]),"")</f>
        <v>WALTER CARUAJULCA</v>
      </c>
      <c r="M246" s="2" t="str">
        <f>IFERROR(IF(MARÍTIMOS[[#This Row],[Licencia]]="","",MARÍTIMOS[[#This Row],[Licencia]]),"")</f>
        <v>Q41054100</v>
      </c>
      <c r="N246" s="2" t="str">
        <f>IFERROR(IF(MARÍTIMOS[[#This Row],[Número de Contacto]]="","",MARÍTIMOS[[#This Row],[Número de Contacto]]),"")</f>
        <v/>
      </c>
      <c r="O246" s="10">
        <f>IFERROR(IF(MARÍTIMOS[[#This Row],[Booking|AWB|CRT]]="","",MARÍTIMOS[[#This Row],[Booking|AWB|CRT]]),"")</f>
        <v>6461847770</v>
      </c>
      <c r="P246" s="2" t="str">
        <f>IFERROR(IF(MARÍTIMOS[[#This Row],[Contenedor]]="","",MARÍTIMOS[[#This Row],[Contenedor]]),"")</f>
        <v>FBIU5459794</v>
      </c>
      <c r="Q246" s="2" t="str">
        <f>IFERROR(IF(MARÍTIMOS[[#This Row],[Puerto de Retiro]]="","",MARÍTIMOS[[#This Row],[Puerto de Retiro]]),"")</f>
        <v>CALLAO</v>
      </c>
      <c r="R246" s="2" t="str">
        <f>IFERROR(IF(MARÍTIMOS[[#This Row],[Almacén de Retiro]]="","",MARÍTIMOS[[#This Row],[Almacén de Retiro]]),"")</f>
        <v>FARGOLINE</v>
      </c>
      <c r="S246" s="11">
        <f>IFERROR(IF(MARÍTIMOS[[#This Row],[Etapa Retiro - Cita]]="","",MARÍTIMOS[[#This Row],[Etapa Retiro - Cita]]),"")</f>
        <v>46242.708333333336</v>
      </c>
      <c r="T246" s="11">
        <f>IFERROR(IF(MARÍTIMOS[[#This Row],[Etapa Retiro - Llegada]]="","",MARÍTIMOS[[#This Row],[Etapa Retiro - Llegada]]),"")</f>
        <v>46242.725694444445</v>
      </c>
      <c r="U246" s="11">
        <f>IFERROR(IF(MARÍTIMOS[[#This Row],[Etapa Retiro - Ingreso]]="","",MARÍTIMOS[[#This Row],[Etapa Retiro - Ingreso]]),"")</f>
        <v>46242.731944444444</v>
      </c>
      <c r="V246" s="11">
        <f>IFERROR(IF(MARÍTIMOS[[#This Row],[Etapa Retiro - Atención]]="","",MARÍTIMOS[[#This Row],[Etapa Retiro - Atención]]),"")</f>
        <v>46242.739583333336</v>
      </c>
      <c r="W246" s="11">
        <f>IFERROR(IF(MARÍTIMOS[[#This Row],[Etapa Retiro - Salida]]="","",MARÍTIMOS[[#This Row],[Etapa Retiro - Salida]]),"")</f>
        <v>46242.765277777777</v>
      </c>
      <c r="X246" s="11">
        <f>IFERROR(IF(MARÍTIMOS[[#This Row],[Etapa Retiro - Inicio de Ruta]]="","",MARÍTIMOS[[#This Row],[Etapa Retiro - Inicio de Ruta]]),"")</f>
        <v>46242.925694444442</v>
      </c>
      <c r="Y246" s="11">
        <f>IFERROR(IF(MARÍTIMOS[[#This Row],[Hora de Posicionamiento]]="","",MARÍTIMOS[[#This Row],[Hora de Carga]]+MARÍTIMOS[[#This Row],[Hora de Posicionamiento]]),"")</f>
        <v>1.2013888888888888</v>
      </c>
      <c r="Z246" s="11">
        <f>IFERROR(IF(MARÍTIMOS[[#This Row],[Etapa Despacho -  Llegada]]="","",MARÍTIMOS[[#This Row],[Etapa Despacho -  Llegada]]),"")</f>
        <v>46243.579861111109</v>
      </c>
      <c r="AA246" s="11">
        <f>IFERROR(IF(MARÍTIMOS[[#This Row],[Etapa Despacho -  Registro]]="","",MARÍTIMOS[[#This Row],[Etapa Despacho -  Registro]]),"")</f>
        <v>46243.584027777775</v>
      </c>
      <c r="AB246" s="11">
        <f>IFERROR(IF(MARÍTIMOS[[#This Row],[Inspección Externa]]="","",MARÍTIMOS[[#This Row],[Inspección Externa]]),"")</f>
        <v>46243.595138888886</v>
      </c>
      <c r="AC246" s="11">
        <f>IFERROR(IF(MARÍTIMOS[[#This Row],[Etapa Despacho -  Inicio de Carga]]="","",MARÍTIMOS[[#This Row],[Etapa Despacho -  Inicio de Carga]]),"")</f>
        <v>46243.618055555555</v>
      </c>
      <c r="AD246" s="11">
        <f>IFERROR(IF(MARÍTIMOS[[#This Row],[Etapa Despacho -  Fin de Carga]]="","",MARÍTIMOS[[#This Row],[Etapa Despacho -  Fin de Carga]]),"")</f>
        <v>46243.753472222219</v>
      </c>
      <c r="AE246" s="11">
        <f>IFERROR(IF(MARÍTIMOS[[#This Row],[Etapa Despacho -  Salida]]="","",MARÍTIMOS[[#This Row],[Etapa Despacho -  Salida]]),"")</f>
        <v>46243.775000000001</v>
      </c>
      <c r="AF246" s="2" t="str">
        <f>IFERROR(IF(MARÍTIMOS[[#This Row],[Puerto de Embarque]]="","",MARÍTIMOS[[#This Row],[Puerto de Embarque]]),"")</f>
        <v>CALLAO</v>
      </c>
      <c r="AG246" s="2" t="str">
        <f>IFERROR(IF(MARÍTIMOS[[#This Row],[Almacén de Ingreso]]="","",MARÍTIMOS[[#This Row],[Almacén de Ingreso]]),"")</f>
        <v>CSPCP</v>
      </c>
      <c r="AH246" s="11" t="str">
        <f>IFERROR(IF(MARÍTIMOS[[#This Row],[Etapa Ingreso - Cita]]="","",MARÍTIMOS[[#This Row],[Etapa Ingreso - Cita]]),"")</f>
        <v/>
      </c>
      <c r="AI246" s="11">
        <f>IFERROR(IF(MARÍTIMOS[[#This Row],[Etapa Ingreso - Llegada]]="","",MARÍTIMOS[[#This Row],[Etapa Ingreso - Llegada]]),"")</f>
        <v>46244.489583333336</v>
      </c>
      <c r="AJ246" s="11">
        <f>IFERROR(IF(MARÍTIMOS[[#This Row],[Etapa Ingreso - Ingeso]]="","",MARÍTIMOS[[#This Row],[Etapa Ingreso - Ingeso]]),"")</f>
        <v>46244.493055555555</v>
      </c>
      <c r="AK246" s="11">
        <f>IFERROR(IF(MARÍTIMOS[[#This Row],[Etapa Ingreso - Atención]]="","",MARÍTIMOS[[#This Row],[Etapa Ingreso - Atención]]),"")</f>
        <v>46244.5</v>
      </c>
      <c r="AL246" s="11">
        <f>IFERROR(IF(MARÍTIMOS[[#This Row],[Etapa Ingreso - Salida]]="","",MARÍTIMOS[[#This Row],[Etapa Ingreso - Salida]]),"")</f>
        <v>46244.515277777777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0.65416666666715173</v>
      </c>
      <c r="AQ246" s="6">
        <f>IFERROR(OLDBD[[#This Row],[Inicio de Ruta]]-OLDBD[[#This Row],[Salida de almacén de retiro]],"")</f>
        <v>0.16041666666569654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6" s="9">
        <f>IFERROR(OLDBD[[#This Row],[Ingreso Packing]]-OLDBD[[#This Row],[Registro en Packing]],"")</f>
        <v>1.1111111110949423E-2</v>
      </c>
      <c r="AV246" s="9">
        <f>IFERROR(OLDBD[[#This Row],[Ingreso Packing]]-OLDBD[[#This Row],[Llegada a packing]],"")</f>
        <v>1.5277777776645962E-2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6" s="5">
        <f>IFERROR(OLDBD[[#This Row],[Llegada Almacén de Ingreso]]-OLDBD[[#This Row],[Salida Packing]],"")</f>
        <v>0.71458333333430346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6" s="45" t="s">
        <v>181</v>
      </c>
      <c r="BB246" s="53" t="str">
        <f>IFERROR(IF(MARÍTIMOS[[#This Row],[Estatus]]="","",MARÍTIMOS[[#This Row],[Estatus]]),"")</f>
        <v>Confirmado</v>
      </c>
      <c r="BC246" s="45"/>
      <c r="BD246" s="52">
        <f>IFERROR(OLDBD[[#This Row],[Salida de almacén de retiro]]-OLDBD[[#This Row],[Ingreso Almacén de retiro]],"")</f>
        <v>3.3333333332848269E-2</v>
      </c>
      <c r="BE246" s="52">
        <f>IFERROR(OLDBD[[#This Row],[Fin de Carga]]-OLDBD[[#This Row],[Inicio de Carga]],"")</f>
        <v>0.13541666666424135</v>
      </c>
    </row>
    <row r="247" spans="1:57" x14ac:dyDescent="0.35">
      <c r="A247" s="1"/>
      <c r="B247" s="1">
        <f>IFERROR(IF(MARÍTIMOS[[#This Row],[PP]]="","",MARÍTIMOS[[#This Row],[PP]]),"")</f>
        <v>32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RH-0423</v>
      </c>
      <c r="E247" s="1"/>
      <c r="F247" s="2" t="str">
        <f>IFERROR(IF(MARÍTIMOS[[#This Row],[Transportista]]="","",MARÍTIMOS[[#This Row],[Transportista]]),"")</f>
        <v>Maersk</v>
      </c>
      <c r="G247" s="2" t="str">
        <f>IFERROR(IF(MARÍTIMOS[[#This Row],[Tercero]]="","",MARÍTIMOS[[#This Row],[Tercero]]),"")</f>
        <v>SI</v>
      </c>
      <c r="H247" s="2" t="str">
        <f>IFERROR(IF(MARÍTIMOS[[#This Row],[Razón Social]]="","",MARÍTIMOS[[#This Row],[Razón Social]]),"")</f>
        <v>CITITRANS S.A.C.</v>
      </c>
      <c r="I247" s="2">
        <f>IFERROR(IF(MARÍTIMOS[[#This Row],[RUC]]="","",MARÍTIMOS[[#This Row],[RUC]]),"")</f>
        <v>20609553376</v>
      </c>
      <c r="J247" s="2" t="str">
        <f>IFERROR(IF(MARÍTIMOS[[#This Row],[Placa Tracto]]="","",MARÍTIMOS[[#This Row],[Placa Tracto]]),"")</f>
        <v>BWP-883</v>
      </c>
      <c r="K247" s="2" t="str">
        <f>IFERROR(IF(MARÍTIMOS[[#This Row],[Placa Carreta]]="","",MARÍTIMOS[[#This Row],[Placa Carreta]]),"")</f>
        <v>BJU-988</v>
      </c>
      <c r="L247" s="46" t="str">
        <f>IFERROR(IF(MARÍTIMOS[[#This Row],[Conductor]]="","",MARÍTIMOS[[#This Row],[Conductor]]),"")</f>
        <v>ENGELTH JOSE MELENDEZ VILLALOBOS</v>
      </c>
      <c r="M247" s="2" t="str">
        <f>IFERROR(IF(MARÍTIMOS[[#This Row],[Licencia]]="","",MARÍTIMOS[[#This Row],[Licencia]]),"")</f>
        <v>Q002619828</v>
      </c>
      <c r="N247" s="2" t="str">
        <f>IFERROR(IF(MARÍTIMOS[[#This Row],[Número de Contacto]]="","",MARÍTIMOS[[#This Row],[Número de Contacto]]),"")</f>
        <v/>
      </c>
      <c r="O247" s="10">
        <f>IFERROR(IF(MARÍTIMOS[[#This Row],[Booking|AWB|CRT]]="","",MARÍTIMOS[[#This Row],[Booking|AWB|CRT]]),"")</f>
        <v>6461847730</v>
      </c>
      <c r="P247" s="2" t="str">
        <f>IFERROR(IF(MARÍTIMOS[[#This Row],[Contenedor]]="","",MARÍTIMOS[[#This Row],[Contenedor]]),"")</f>
        <v>SEKU9357184</v>
      </c>
      <c r="Q247" s="2" t="str">
        <f>IFERROR(IF(MARÍTIMOS[[#This Row],[Puerto de Retiro]]="","",MARÍTIMOS[[#This Row],[Puerto de Retiro]]),"")</f>
        <v>CALLAO</v>
      </c>
      <c r="R247" s="2" t="str">
        <f>IFERROR(IF(MARÍTIMOS[[#This Row],[Almacén de Retiro]]="","",MARÍTIMOS[[#This Row],[Almacén de Retiro]]),"")</f>
        <v>FARGOLINE</v>
      </c>
      <c r="S247" s="11">
        <f>IFERROR(IF(MARÍTIMOS[[#This Row],[Etapa Retiro - Cita]]="","",MARÍTIMOS[[#This Row],[Etapa Retiro - Cita]]),"")</f>
        <v>46242.666666666664</v>
      </c>
      <c r="T247" s="11">
        <f>IFERROR(IF(MARÍTIMOS[[#This Row],[Etapa Retiro - Llegada]]="","",MARÍTIMOS[[#This Row],[Etapa Retiro - Llegada]]),"")</f>
        <v>46242.683333333334</v>
      </c>
      <c r="U247" s="11">
        <f>IFERROR(IF(MARÍTIMOS[[#This Row],[Etapa Retiro - Ingreso]]="","",MARÍTIMOS[[#This Row],[Etapa Retiro - Ingreso]]),"")</f>
        <v>46242.6875</v>
      </c>
      <c r="V247" s="11">
        <f>IFERROR(IF(MARÍTIMOS[[#This Row],[Etapa Retiro - Atención]]="","",MARÍTIMOS[[#This Row],[Etapa Retiro - Atención]]),"")</f>
        <v>46242.737500000003</v>
      </c>
      <c r="W247" s="11">
        <f>IFERROR(IF(MARÍTIMOS[[#This Row],[Etapa Retiro - Salida]]="","",MARÍTIMOS[[#This Row],[Etapa Retiro - Salida]]),"")</f>
        <v>46242.847916666666</v>
      </c>
      <c r="X247" s="11">
        <f>IFERROR(IF(MARÍTIMOS[[#This Row],[Etapa Retiro - Inicio de Ruta]]="","",MARÍTIMOS[[#This Row],[Etapa Retiro - Inicio de Ruta]]),"")</f>
        <v>46242.943749999999</v>
      </c>
      <c r="Y247" s="11">
        <f>IFERROR(IF(MARÍTIMOS[[#This Row],[Hora de Posicionamiento]]="","",MARÍTIMOS[[#This Row],[Hora de Carga]]+MARÍTIMOS[[#This Row],[Hora de Posicionamiento]]),"")</f>
        <v>1.4375</v>
      </c>
      <c r="Z247" s="11">
        <f>IFERROR(IF(MARÍTIMOS[[#This Row],[Etapa Despacho -  Llegada]]="","",MARÍTIMOS[[#This Row],[Etapa Despacho -  Llegada]]),"")</f>
        <v>46243.634722222225</v>
      </c>
      <c r="AA247" s="11">
        <f>IFERROR(IF(MARÍTIMOS[[#This Row],[Etapa Despacho -  Registro]]="","",MARÍTIMOS[[#This Row],[Etapa Despacho -  Registro]]),"")</f>
        <v>46243.834027777775</v>
      </c>
      <c r="AB247" s="11">
        <f>IFERROR(IF(MARÍTIMOS[[#This Row],[Inspección Externa]]="","",MARÍTIMOS[[#This Row],[Inspección Externa]]),"")</f>
        <v>46243.842361111114</v>
      </c>
      <c r="AC247" s="11">
        <f>IFERROR(IF(MARÍTIMOS[[#This Row],[Etapa Despacho -  Inicio de Carga]]="","",MARÍTIMOS[[#This Row],[Etapa Despacho -  Inicio de Carga]]),"")</f>
        <v>46243.854166666664</v>
      </c>
      <c r="AD247" s="11">
        <f>IFERROR(IF(MARÍTIMOS[[#This Row],[Etapa Despacho -  Fin de Carga]]="","",MARÍTIMOS[[#This Row],[Etapa Despacho -  Fin de Carga]]),"")</f>
        <v>46243.880555555559</v>
      </c>
      <c r="AE247" s="11">
        <f>IFERROR(IF(MARÍTIMOS[[#This Row],[Etapa Despacho -  Salida]]="","",MARÍTIMOS[[#This Row],[Etapa Despacho -  Salida]]),"")</f>
        <v>46243.897916666669</v>
      </c>
      <c r="AF247" s="2" t="str">
        <f>IFERROR(IF(MARÍTIMOS[[#This Row],[Puerto de Embarque]]="","",MARÍTIMOS[[#This Row],[Puerto de Embarque]]),"")</f>
        <v>CALLAO</v>
      </c>
      <c r="AG247" s="2" t="str">
        <f>IFERROR(IF(MARÍTIMOS[[#This Row],[Almacén de Ingreso]]="","",MARÍTIMOS[[#This Row],[Almacén de Ingreso]]),"")</f>
        <v>CSPCP</v>
      </c>
      <c r="AH247" s="11" t="str">
        <f>IFERROR(IF(MARÍTIMOS[[#This Row],[Etapa Ingreso - Cita]]="","",MARÍTIMOS[[#This Row],[Etapa Ingreso - Cita]]),"")</f>
        <v/>
      </c>
      <c r="AI247" s="11">
        <f>IFERROR(IF(MARÍTIMOS[[#This Row],[Etapa Ingreso - Llegada]]="","",MARÍTIMOS[[#This Row],[Etapa Ingreso - Llegada]]),"")</f>
        <v>46244.513888888891</v>
      </c>
      <c r="AJ247" s="11">
        <f>IFERROR(IF(MARÍTIMOS[[#This Row],[Etapa Ingreso - Ingeso]]="","",MARÍTIMOS[[#This Row],[Etapa Ingreso - Ingeso]]),"")</f>
        <v>46244.51666666667</v>
      </c>
      <c r="AK247" s="11">
        <f>IFERROR(IF(MARÍTIMOS[[#This Row],[Etapa Ingreso - Atención]]="","",MARÍTIMOS[[#This Row],[Etapa Ingreso - Atención]]),"")</f>
        <v>46244.520833333336</v>
      </c>
      <c r="AL247" s="11">
        <f>IFERROR(IF(MARÍTIMOS[[#This Row],[Etapa Ingreso - Salida]]="","",MARÍTIMOS[[#This Row],[Etapa Ingreso - Salida]]),"")</f>
        <v>46244.527777777781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47" s="5">
        <f>IFERROR(OLDBD[[#This Row],[Llegada a packing]]-OLDBD[[#This Row],[Inicio de Ruta]],"")</f>
        <v>0.69097222222626442</v>
      </c>
      <c r="AQ247" s="6">
        <f>IFERROR(OLDBD[[#This Row],[Inicio de Ruta]]-OLDBD[[#This Row],[Salida de almacén de retiro]],"")</f>
        <v>9.5833333332848269E-2</v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7" s="9">
        <f>IFERROR(OLDBD[[#This Row],[Ingreso Packing]]-OLDBD[[#This Row],[Registro en Packing]],"")</f>
        <v>8.3333333386690356E-3</v>
      </c>
      <c r="AV247" s="9">
        <f>IFERROR(OLDBD[[#This Row],[Ingreso Packing]]-OLDBD[[#This Row],[Llegada a packing]],"")</f>
        <v>0.20763888888905058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7" s="5">
        <f>IFERROR(OLDBD[[#This Row],[Llegada Almacén de Ingreso]]-OLDBD[[#This Row],[Salida Packing]],"")</f>
        <v>0.61597222222189885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7" s="45" t="s">
        <v>181</v>
      </c>
      <c r="BB247" s="53" t="str">
        <f>IFERROR(IF(MARÍTIMOS[[#This Row],[Estatus]]="","",MARÍTIMOS[[#This Row],[Estatus]]),"")</f>
        <v>Confirmado</v>
      </c>
      <c r="BC247" s="45"/>
      <c r="BD247" s="52">
        <f>IFERROR(OLDBD[[#This Row],[Salida de almacén de retiro]]-OLDBD[[#This Row],[Ingreso Almacén de retiro]],"")</f>
        <v>0.16041666666569654</v>
      </c>
      <c r="BE247" s="52">
        <f>IFERROR(OLDBD[[#This Row],[Fin de Carga]]-OLDBD[[#This Row],[Inicio de Carga]],"")</f>
        <v>2.6388888894871343E-2</v>
      </c>
    </row>
    <row r="248" spans="1:57" x14ac:dyDescent="0.35">
      <c r="A248" s="1"/>
      <c r="B248" s="1">
        <f>IFERROR(IF(MARÍTIMOS[[#This Row],[PP]]="","",MARÍTIMOS[[#This Row],[PP]]),"")</f>
        <v>33</v>
      </c>
      <c r="C248" s="1" t="str">
        <f>IFERROR(IF(MARÍTIMOS[[#This Row],[Sede]]="","",MARÍTIMOS[[#This Row],[Sede]]),"")</f>
        <v>Chao</v>
      </c>
      <c r="D248" s="1" t="str">
        <f>IFERROR(IF(MARÍTIMOS[[#This Row],[Instruction]]="","",MARÍTIMOS[[#This Row],[Instruction]]),"")</f>
        <v>RH-0477</v>
      </c>
      <c r="E248" s="1"/>
      <c r="F248" s="2" t="str">
        <f>IFERROR(IF(MARÍTIMOS[[#This Row],[Transportista]]="","",MARÍTIMOS[[#This Row],[Transportista]]),"")</f>
        <v>Maersk</v>
      </c>
      <c r="G248" s="2" t="str">
        <f>IFERROR(IF(MARÍTIMOS[[#This Row],[Tercero]]="","",MARÍTIMOS[[#This Row],[Tercero]]),"")</f>
        <v>NO</v>
      </c>
      <c r="H248" s="2" t="str">
        <f>IFERROR(IF(MARÍTIMOS[[#This Row],[Razón Social]]="","",MARÍTIMOS[[#This Row],[Razón Social]]),"")</f>
        <v>MAERSK LOGISTICS &amp; SERVICES PERU S.A.</v>
      </c>
      <c r="I248" s="2">
        <f>IFERROR(IF(MARÍTIMOS[[#This Row],[RUC]]="","",MARÍTIMOS[[#This Row],[RUC]]),"")</f>
        <v>20107012011</v>
      </c>
      <c r="J248" s="2" t="str">
        <f>IFERROR(IF(MARÍTIMOS[[#This Row],[Placa Tracto]]="","",MARÍTIMOS[[#This Row],[Placa Tracto]]),"")</f>
        <v>BTM725</v>
      </c>
      <c r="K248" s="2" t="str">
        <f>IFERROR(IF(MARÍTIMOS[[#This Row],[Placa Carreta]]="","",MARÍTIMOS[[#This Row],[Placa Carreta]]),"")</f>
        <v>BDV988</v>
      </c>
      <c r="L248" s="46" t="str">
        <f>IFERROR(IF(MARÍTIMOS[[#This Row],[Conductor]]="","",MARÍTIMOS[[#This Row],[Conductor]]),"")</f>
        <v>RODDY JAVIER DE LA CRUZ VILLALTA/ ANGEL GABRIEL CLAROS ROMAN</v>
      </c>
      <c r="M248" s="2" t="str">
        <f>IFERROR(IF(MARÍTIMOS[[#This Row],[Licencia]]="","",MARÍTIMOS[[#This Row],[Licencia]]),"")</f>
        <v>B48103960</v>
      </c>
      <c r="N248" s="2" t="str">
        <f>IFERROR(IF(MARÍTIMOS[[#This Row],[Número de Contacto]]="","",MARÍTIMOS[[#This Row],[Número de Contacto]]),"")</f>
        <v/>
      </c>
      <c r="O248" s="10">
        <f>IFERROR(IF(MARÍTIMOS[[#This Row],[Booking|AWB|CRT]]="","",MARÍTIMOS[[#This Row],[Booking|AWB|CRT]]),"")</f>
        <v>275501236</v>
      </c>
      <c r="P248" s="2" t="str">
        <f>IFERROR(IF(MARÍTIMOS[[#This Row],[Contenedor]]="","",MARÍTIMOS[[#This Row],[Contenedor]]),"")</f>
        <v>MNBU3107594</v>
      </c>
      <c r="Q248" s="2" t="str">
        <f>IFERROR(IF(MARÍTIMOS[[#This Row],[Puerto de Retiro]]="","",MARÍTIMOS[[#This Row],[Puerto de Retiro]]),"")</f>
        <v>CALLAO</v>
      </c>
      <c r="R248" s="2" t="str">
        <f>IFERROR(IF(MARÍTIMOS[[#This Row],[Almacén de Retiro]]="","",MARÍTIMOS[[#This Row],[Almacén de Retiro]]),"")</f>
        <v>DEMARES</v>
      </c>
      <c r="S248" s="11">
        <f>IFERROR(IF(MARÍTIMOS[[#This Row],[Etapa Retiro - Cita]]="","",MARÍTIMOS[[#This Row],[Etapa Retiro - Cita]]),"")</f>
        <v>46247.166666666664</v>
      </c>
      <c r="T248" s="11">
        <f>IFERROR(IF(MARÍTIMOS[[#This Row],[Etapa Retiro - Llegada]]="","",MARÍTIMOS[[#This Row],[Etapa Retiro - Llegada]]),"")</f>
        <v>46247.076388888891</v>
      </c>
      <c r="U248" s="11">
        <f>IFERROR(IF(MARÍTIMOS[[#This Row],[Etapa Retiro - Ingreso]]="","",MARÍTIMOS[[#This Row],[Etapa Retiro - Ingreso]]),"")</f>
        <v>46247.378472222219</v>
      </c>
      <c r="V248" s="11">
        <f>IFERROR(IF(MARÍTIMOS[[#This Row],[Etapa Retiro - Atención]]="","",MARÍTIMOS[[#This Row],[Etapa Retiro - Atención]]),"")</f>
        <v>46247.388888888891</v>
      </c>
      <c r="W248" s="11">
        <f>IFERROR(IF(MARÍTIMOS[[#This Row],[Etapa Retiro - Salida]]="","",MARÍTIMOS[[#This Row],[Etapa Retiro - Salida]]),"")</f>
        <v>46247.413194444445</v>
      </c>
      <c r="X248" s="11">
        <f>IFERROR(IF(MARÍTIMOS[[#This Row],[Etapa Retiro - Inicio de Ruta]]="","",MARÍTIMOS[[#This Row],[Etapa Retiro - Inicio de Ruta]]),"")</f>
        <v>46247.426388888889</v>
      </c>
      <c r="Y248" s="11">
        <f>IFERROR(IF(MARÍTIMOS[[#This Row],[Hora de Posicionamiento]]="","",MARÍTIMOS[[#This Row],[Hora de Carga]]+MARÍTIMOS[[#This Row],[Hora de Posicionamiento]]),"")</f>
        <v>1.3715277777777779</v>
      </c>
      <c r="Z248" s="11">
        <f>IFERROR(IF(MARÍTIMOS[[#This Row],[Etapa Despacho -  Llegada]]="","",MARÍTIMOS[[#This Row],[Etapa Despacho -  Llegada]]),"")</f>
        <v>46247.92083333333</v>
      </c>
      <c r="AA248" s="11">
        <f>IFERROR(IF(MARÍTIMOS[[#This Row],[Etapa Despacho -  Registro]]="","",MARÍTIMOS[[#This Row],[Etapa Despacho -  Registro]]),"")</f>
        <v>46247.936111111114</v>
      </c>
      <c r="AB248" s="11">
        <f>IFERROR(IF(MARÍTIMOS[[#This Row],[Inspección Externa]]="","",MARÍTIMOS[[#This Row],[Inspección Externa]]),"")</f>
        <v>46247.944444444445</v>
      </c>
      <c r="AC248" s="11">
        <f>IFERROR(IF(MARÍTIMOS[[#This Row],[Etapa Despacho -  Inicio de Carga]]="","",MARÍTIMOS[[#This Row],[Etapa Despacho -  Inicio de Carga]]),"")</f>
        <v>46247.954861111109</v>
      </c>
      <c r="AD248" s="11">
        <f>IFERROR(IF(MARÍTIMOS[[#This Row],[Etapa Despacho -  Fin de Carga]]="","",MARÍTIMOS[[#This Row],[Etapa Despacho -  Fin de Carga]]),"")</f>
        <v>46248.04791666667</v>
      </c>
      <c r="AE248" s="11">
        <f>IFERROR(IF(MARÍTIMOS[[#This Row],[Etapa Despacho -  Salida]]="","",MARÍTIMOS[[#This Row],[Etapa Despacho -  Salida]]),"")</f>
        <v>46248.072916666664</v>
      </c>
      <c r="AF248" s="2" t="str">
        <f>IFERROR(IF(MARÍTIMOS[[#This Row],[Puerto de Embarque]]="","",MARÍTIMOS[[#This Row],[Puerto de Embarque]]),"")</f>
        <v>CALLAO</v>
      </c>
      <c r="AG248" s="2" t="str">
        <f>IFERROR(IF(MARÍTIMOS[[#This Row],[Almacén de Ingreso]]="","",MARÍTIMOS[[#This Row],[Almacén de Ingreso]]),"")</f>
        <v>APM</v>
      </c>
      <c r="AH248" s="11" t="str">
        <f>IFERROR(IF(MARÍTIMOS[[#This Row],[Etapa Ingreso - Cita]]="","",MARÍTIMOS[[#This Row],[Etapa Ingreso - Cita]]),"")</f>
        <v/>
      </c>
      <c r="AI248" s="11">
        <f>IFERROR(IF(MARÍTIMOS[[#This Row],[Etapa Ingreso - Llegada]]="","",MARÍTIMOS[[#This Row],[Etapa Ingreso - Llegada]]),"")</f>
        <v>46248.552777777775</v>
      </c>
      <c r="AJ248" s="11">
        <f>IFERROR(IF(MARÍTIMOS[[#This Row],[Etapa Ingreso - Ingeso]]="","",MARÍTIMOS[[#This Row],[Etapa Ingreso - Ingeso]]),"")</f>
        <v>46248.559027777781</v>
      </c>
      <c r="AK248" s="11">
        <f>IFERROR(IF(MARÍTIMOS[[#This Row],[Etapa Ingreso - Atención]]="","",MARÍTIMOS[[#This Row],[Etapa Ingreso - Atención]]),"")</f>
        <v>46248.574999999997</v>
      </c>
      <c r="AL248" s="11">
        <f>IFERROR(IF(MARÍTIMOS[[#This Row],[Etapa Ingreso - Salida]]="","",MARÍTIMOS[[#This Row],[Etapa Ingreso - Salida]]),"")</f>
        <v>46248.673611111109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0.49444444444088731</v>
      </c>
      <c r="AQ248" s="6">
        <f>IFERROR(OLDBD[[#This Row],[Inicio de Ruta]]-OLDBD[[#This Row],[Salida de almacén de retiro]],"")</f>
        <v>1.3194444443797693E-2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8" s="9">
        <f>IFERROR(OLDBD[[#This Row],[Ingreso Packing]]-OLDBD[[#This Row],[Registro en Packing]],"")</f>
        <v>8.333333331393078E-3</v>
      </c>
      <c r="AV248" s="9">
        <f>IFERROR(OLDBD[[#This Row],[Ingreso Packing]]-OLDBD[[#This Row],[Llegada a packing]],"")</f>
        <v>2.3611111115314998E-2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8" s="5">
        <f>IFERROR(OLDBD[[#This Row],[Llegada Almacén de Ingreso]]-OLDBD[[#This Row],[Salida Packing]],"")</f>
        <v>0.47986111111094942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8" s="45" t="s">
        <v>181</v>
      </c>
      <c r="BB248" s="53" t="str">
        <f>IFERROR(IF(MARÍTIMOS[[#This Row],[Estatus]]="","",MARÍTIMOS[[#This Row],[Estatus]]),"")</f>
        <v>Confirmado</v>
      </c>
      <c r="BC248" s="45"/>
      <c r="BD248" s="52">
        <f>IFERROR(OLDBD[[#This Row],[Salida de almacén de retiro]]-OLDBD[[#This Row],[Ingreso Almacén de retiro]],"")</f>
        <v>3.4722222226264421E-2</v>
      </c>
      <c r="BE248" s="52">
        <f>IFERROR(OLDBD[[#This Row],[Fin de Carga]]-OLDBD[[#This Row],[Inicio de Carga]],"")</f>
        <v>9.3055555560567882E-2</v>
      </c>
    </row>
    <row r="249" spans="1:57" x14ac:dyDescent="0.35">
      <c r="A249" s="1"/>
      <c r="B249" s="1">
        <f>IFERROR(IF(MARÍTIMOS[[#This Row],[PP]]="","",MARÍTIMOS[[#This Row],[PP]]),"")</f>
        <v>33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RH-0476</v>
      </c>
      <c r="E249" s="1"/>
      <c r="F249" s="2" t="str">
        <f>IFERROR(IF(MARÍTIMOS[[#This Row],[Transportista]]="","",MARÍTIMOS[[#This Row],[Transportista]]),"")</f>
        <v>Maersk</v>
      </c>
      <c r="G249" s="2" t="str">
        <f>IFERROR(IF(MARÍTIMOS[[#This Row],[Tercero]]="","",MARÍTIMOS[[#This Row],[Tercero]]),"")</f>
        <v>SI</v>
      </c>
      <c r="H249" s="2" t="str">
        <f>IFERROR(IF(MARÍTIMOS[[#This Row],[Razón Social]]="","",MARÍTIMOS[[#This Row],[Razón Social]]),"")</f>
        <v>CITITRANS S.A.C.</v>
      </c>
      <c r="I249" s="2">
        <f>IFERROR(IF(MARÍTIMOS[[#This Row],[RUC]]="","",MARÍTIMOS[[#This Row],[RUC]]),"")</f>
        <v>20609553376</v>
      </c>
      <c r="J249" s="2" t="str">
        <f>IFERROR(IF(MARÍTIMOS[[#This Row],[Placa Tracto]]="","",MARÍTIMOS[[#This Row],[Placa Tracto]]),"")</f>
        <v>CHE855</v>
      </c>
      <c r="K249" s="2" t="str">
        <f>IFERROR(IF(MARÍTIMOS[[#This Row],[Placa Carreta]]="","",MARÍTIMOS[[#This Row],[Placa Carreta]]),"")</f>
        <v>BUQ972</v>
      </c>
      <c r="L249" s="46" t="str">
        <f>IFERROR(IF(MARÍTIMOS[[#This Row],[Conductor]]="","",MARÍTIMOS[[#This Row],[Conductor]]),"")</f>
        <v>JIMENEZ ESQUIVEL ESTEBAN PATRICIO</v>
      </c>
      <c r="M249" s="2" t="str">
        <f>IFERROR(IF(MARÍTIMOS[[#This Row],[Licencia]]="","",MARÍTIMOS[[#This Row],[Licencia]]),"")</f>
        <v>Q45141972</v>
      </c>
      <c r="N249" s="2" t="str">
        <f>IFERROR(IF(MARÍTIMOS[[#This Row],[Número de Contacto]]="","",MARÍTIMOS[[#This Row],[Número de Contacto]]),"")</f>
        <v/>
      </c>
      <c r="O249" s="10">
        <f>IFERROR(IF(MARÍTIMOS[[#This Row],[Booking|AWB|CRT]]="","",MARÍTIMOS[[#This Row],[Booking|AWB|CRT]]),"")</f>
        <v>6462784200</v>
      </c>
      <c r="P249" s="2" t="str">
        <f>IFERROR(IF(MARÍTIMOS[[#This Row],[Contenedor]]="","",MARÍTIMOS[[#This Row],[Contenedor]]),"")</f>
        <v>OERU4362692</v>
      </c>
      <c r="Q249" s="2" t="str">
        <f>IFERROR(IF(MARÍTIMOS[[#This Row],[Puerto de Retiro]]="","",MARÍTIMOS[[#This Row],[Puerto de Retiro]]),"")</f>
        <v>CHANCAY</v>
      </c>
      <c r="R249" s="2" t="str">
        <f>IFERROR(IF(MARÍTIMOS[[#This Row],[Almacén de Retiro]]="","",MARÍTIMOS[[#This Row],[Almacén de Retiro]]),"")</f>
        <v>CHANCAY</v>
      </c>
      <c r="S249" s="11">
        <f>IFERROR(IF(MARÍTIMOS[[#This Row],[Etapa Retiro - Cita]]="","",MARÍTIMOS[[#This Row],[Etapa Retiro - Cita]]),"")</f>
        <v>46246.791666666664</v>
      </c>
      <c r="T249" s="11">
        <f>IFERROR(IF(MARÍTIMOS[[#This Row],[Etapa Retiro - Llegada]]="","",MARÍTIMOS[[#This Row],[Etapa Retiro - Llegada]]),"")</f>
        <v>46246.856249999997</v>
      </c>
      <c r="U249" s="11">
        <f>IFERROR(IF(MARÍTIMOS[[#This Row],[Etapa Retiro - Ingreso]]="","",MARÍTIMOS[[#This Row],[Etapa Retiro - Ingreso]]),"")</f>
        <v>46246.886111111111</v>
      </c>
      <c r="V249" s="11">
        <f>IFERROR(IF(MARÍTIMOS[[#This Row],[Etapa Retiro - Atención]]="","",MARÍTIMOS[[#This Row],[Etapa Retiro - Atención]]),"")</f>
        <v>46246.895833333336</v>
      </c>
      <c r="W249" s="11">
        <f>IFERROR(IF(MARÍTIMOS[[#This Row],[Etapa Retiro - Salida]]="","",MARÍTIMOS[[#This Row],[Etapa Retiro - Salida]]),"")</f>
        <v>46246.925000000003</v>
      </c>
      <c r="X249" s="11">
        <f>IFERROR(IF(MARÍTIMOS[[#This Row],[Etapa Retiro - Inicio de Ruta]]="","",MARÍTIMOS[[#This Row],[Etapa Retiro - Inicio de Ruta]]),"")</f>
        <v>46246.9375</v>
      </c>
      <c r="Y249" s="11">
        <f>IFERROR(IF(MARÍTIMOS[[#This Row],[Hora de Posicionamiento]]="","",MARÍTIMOS[[#This Row],[Hora de Carga]]+MARÍTIMOS[[#This Row],[Hora de Posicionamiento]]),"")</f>
        <v>1.1388888888888888</v>
      </c>
      <c r="Z249" s="11">
        <f>IFERROR(IF(MARÍTIMOS[[#This Row],[Etapa Despacho -  Llegada]]="","",MARÍTIMOS[[#This Row],[Etapa Despacho -  Llegada]]),"")</f>
        <v>46247.597222222219</v>
      </c>
      <c r="AA249" s="11">
        <f>IFERROR(IF(MARÍTIMOS[[#This Row],[Etapa Despacho -  Registro]]="","",MARÍTIMOS[[#This Row],[Etapa Despacho -  Registro]]),"")</f>
        <v>46247.613888888889</v>
      </c>
      <c r="AB249" s="11">
        <f>IFERROR(IF(MARÍTIMOS[[#This Row],[Inspección Externa]]="","",MARÍTIMOS[[#This Row],[Inspección Externa]]),"")</f>
        <v>46247.625</v>
      </c>
      <c r="AC249" s="11">
        <f>IFERROR(IF(MARÍTIMOS[[#This Row],[Etapa Despacho -  Inicio de Carga]]="","",MARÍTIMOS[[#This Row],[Etapa Despacho -  Inicio de Carga]]),"")</f>
        <v>46247.638888888891</v>
      </c>
      <c r="AD249" s="11">
        <f>IFERROR(IF(MARÍTIMOS[[#This Row],[Etapa Despacho -  Fin de Carga]]="","",MARÍTIMOS[[#This Row],[Etapa Despacho -  Fin de Carga]]),"")</f>
        <v>46247.690972222219</v>
      </c>
      <c r="AE249" s="11">
        <f>IFERROR(IF(MARÍTIMOS[[#This Row],[Etapa Despacho -  Salida]]="","",MARÍTIMOS[[#This Row],[Etapa Despacho -  Salida]]),"")</f>
        <v>46247.716666666667</v>
      </c>
      <c r="AF249" s="2" t="str">
        <f>IFERROR(IF(MARÍTIMOS[[#This Row],[Puerto de Embarque]]="","",MARÍTIMOS[[#This Row],[Puerto de Embarque]]),"")</f>
        <v>CALLAO</v>
      </c>
      <c r="AG249" s="2" t="str">
        <f>IFERROR(IF(MARÍTIMOS[[#This Row],[Almacén de Ingreso]]="","",MARÍTIMOS[[#This Row],[Almacén de Ingreso]]),"")</f>
        <v>CSPCP</v>
      </c>
      <c r="AH249" s="11" t="str">
        <f>IFERROR(IF(MARÍTIMOS[[#This Row],[Etapa Ingreso - Cita]]="","",MARÍTIMOS[[#This Row],[Etapa Ingreso - Cita]]),"")</f>
        <v/>
      </c>
      <c r="AI249" s="11">
        <f>IFERROR(IF(MARÍTIMOS[[#This Row],[Etapa Ingreso - Llegada]]="","",MARÍTIMOS[[#This Row],[Etapa Ingreso - Llegada]]),"")</f>
        <v>46248.119444444441</v>
      </c>
      <c r="AJ249" s="11">
        <f>IFERROR(IF(MARÍTIMOS[[#This Row],[Etapa Ingreso - Ingeso]]="","",MARÍTIMOS[[#This Row],[Etapa Ingreso - Ingeso]]),"")</f>
        <v>46248.124305555553</v>
      </c>
      <c r="AK249" s="11">
        <f>IFERROR(IF(MARÍTIMOS[[#This Row],[Etapa Ingreso - Atención]]="","",MARÍTIMOS[[#This Row],[Etapa Ingreso - Atención]]),"")</f>
        <v>46248.130555555559</v>
      </c>
      <c r="AL249" s="11">
        <f>IFERROR(IF(MARÍTIMOS[[#This Row],[Etapa Ingreso - Salida]]="","",MARÍTIMOS[[#This Row],[Etapa Ingreso - Salida]]),"")</f>
        <v>46248.143055555556</v>
      </c>
      <c r="AM249" s="2">
        <f>IFERROR(IF(MARÍTIMOS[[#This Row],[FCL]]="","",MARÍTIMOS[[#This Row],[FCL]]),"")</f>
        <v>1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9" s="5">
        <f>IFERROR(OLDBD[[#This Row],[Llegada a packing]]-OLDBD[[#This Row],[Inicio de Ruta]],"")</f>
        <v>0.65972222221898846</v>
      </c>
      <c r="AQ249" s="6">
        <f>IFERROR(OLDBD[[#This Row],[Inicio de Ruta]]-OLDBD[[#This Row],[Salida de almacén de retiro]],"")</f>
        <v>1.2499999997089617E-2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9" s="9">
        <f>IFERROR(OLDBD[[#This Row],[Ingreso Packing]]-OLDBD[[#This Row],[Registro en Packing]],"")</f>
        <v>1.1111111110949423E-2</v>
      </c>
      <c r="AV249" s="9">
        <f>IFERROR(OLDBD[[#This Row],[Ingreso Packing]]-OLDBD[[#This Row],[Llegada a packing]],"")</f>
        <v>2.7777777781011537E-2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9" s="5">
        <f>IFERROR(OLDBD[[#This Row],[Llegada Almacén de Ingreso]]-OLDBD[[#This Row],[Salida Packing]],"")</f>
        <v>0.40277777777373558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9" s="45" t="s">
        <v>181</v>
      </c>
      <c r="BB249" s="53" t="str">
        <f>IFERROR(IF(MARÍTIMOS[[#This Row],[Estatus]]="","",MARÍTIMOS[[#This Row],[Estatus]]),"")</f>
        <v>Confirmado</v>
      </c>
      <c r="BC249" s="45"/>
      <c r="BD249" s="52">
        <f>IFERROR(OLDBD[[#This Row],[Salida de almacén de retiro]]-OLDBD[[#This Row],[Ingreso Almacén de retiro]],"")</f>
        <v>3.888888889196096E-2</v>
      </c>
      <c r="BE249" s="52">
        <f>IFERROR(OLDBD[[#This Row],[Fin de Carga]]-OLDBD[[#This Row],[Inicio de Carga]],"")</f>
        <v>5.2083333328482695E-2</v>
      </c>
    </row>
    <row r="250" spans="1:57" x14ac:dyDescent="0.35">
      <c r="A250" s="1"/>
      <c r="B250" s="1">
        <f>IFERROR(IF(MARÍTIMOS[[#This Row],[PP]]="","",MARÍTIMOS[[#This Row],[PP]]),"")</f>
        <v>34</v>
      </c>
      <c r="C250" s="1" t="str">
        <f>IFERROR(IF(MARÍTIMOS[[#This Row],[Sede]]="","",MARÍTIMOS[[#This Row],[Sede]]),"")</f>
        <v>Chao</v>
      </c>
      <c r="D250" s="1" t="str">
        <f>IFERROR(IF(MARÍTIMOS[[#This Row],[Instruction]]="","",MARÍTIMOS[[#This Row],[Instruction]]),"")</f>
        <v>RH-0543</v>
      </c>
      <c r="E250" s="1"/>
      <c r="F250" s="2" t="str">
        <f>IFERROR(IF(MARÍTIMOS[[#This Row],[Transportista]]="","",MARÍTIMOS[[#This Row],[Transportista]]),"")</f>
        <v>Maersk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>MAERK LOGISTIC &amp; SERVICES PERU S.A</v>
      </c>
      <c r="I250" s="2">
        <f>IFERROR(IF(MARÍTIMOS[[#This Row],[RUC]]="","",MARÍTIMOS[[#This Row],[RUC]]),"")</f>
        <v>20107012011</v>
      </c>
      <c r="J250" s="2" t="str">
        <f>IFERROR(IF(MARÍTIMOS[[#This Row],[Placa Tracto]]="","",MARÍTIMOS[[#This Row],[Placa Tracto]]),"")</f>
        <v>BTF789</v>
      </c>
      <c r="K250" s="2" t="str">
        <f>IFERROR(IF(MARÍTIMOS[[#This Row],[Placa Carreta]]="","",MARÍTIMOS[[#This Row],[Placa Carreta]]),"")</f>
        <v>BDV995</v>
      </c>
      <c r="L250" s="46" t="str">
        <f>IFERROR(IF(MARÍTIMOS[[#This Row],[Conductor]]="","",MARÍTIMOS[[#This Row],[Conductor]]),"")</f>
        <v>JUAN GIL CARPIO</v>
      </c>
      <c r="M250" s="2" t="str">
        <f>IFERROR(IF(MARÍTIMOS[[#This Row],[Licencia]]="","",MARÍTIMOS[[#This Row],[Licencia]]),"")</f>
        <v>Q44292669</v>
      </c>
      <c r="N250" s="2" t="str">
        <f>IFERROR(IF(MARÍTIMOS[[#This Row],[Número de Contacto]]="","",MARÍTIMOS[[#This Row],[Número de Contacto]]),"")</f>
        <v/>
      </c>
      <c r="O250" s="10" t="str">
        <f>IFERROR(IF(MARÍTIMOS[[#This Row],[Booking|AWB|CRT]]="","",MARÍTIMOS[[#This Row],[Booking|AWB|CRT]]),"")</f>
        <v>275767030</v>
      </c>
      <c r="P250" s="2" t="str">
        <f>IFERROR(IF(MARÍTIMOS[[#This Row],[Contenedor]]="","",MARÍTIMOS[[#This Row],[Contenedor]]),"")</f>
        <v>MMAU1209290</v>
      </c>
      <c r="Q250" s="2" t="str">
        <f>IFERROR(IF(MARÍTIMOS[[#This Row],[Puerto de Retiro]]="","",MARÍTIMOS[[#This Row],[Puerto de Retiro]]),"")</f>
        <v>CALLAO</v>
      </c>
      <c r="R250" s="2" t="str">
        <f>IFERROR(IF(MARÍTIMOS[[#This Row],[Almacén de Retiro]]="","",MARÍTIMOS[[#This Row],[Almacén de Retiro]]),"")</f>
        <v>DEMARES</v>
      </c>
      <c r="S250" s="11">
        <f>IFERROR(IF(MARÍTIMOS[[#This Row],[Etapa Retiro - Cita]]="","",MARÍTIMOS[[#This Row],[Etapa Retiro - Cita]]),"")</f>
        <v>46252.583333333336</v>
      </c>
      <c r="T250" s="11">
        <f>IFERROR(IF(MARÍTIMOS[[#This Row],[Etapa Retiro - Llegada]]="","",MARÍTIMOS[[#This Row],[Etapa Retiro - Llegada]]),"")</f>
        <v>46252.640972222223</v>
      </c>
      <c r="U250" s="11">
        <f>IFERROR(IF(MARÍTIMOS[[#This Row],[Etapa Retiro - Ingreso]]="","",MARÍTIMOS[[#This Row],[Etapa Retiro - Ingreso]]),"")</f>
        <v>46252.71875</v>
      </c>
      <c r="V250" s="11">
        <f>IFERROR(IF(MARÍTIMOS[[#This Row],[Etapa Retiro - Atención]]="","",MARÍTIMOS[[#This Row],[Etapa Retiro - Atención]]),"")</f>
        <v>46252.76458333333</v>
      </c>
      <c r="W250" s="11">
        <f>IFERROR(IF(MARÍTIMOS[[#This Row],[Etapa Retiro - Salida]]="","",MARÍTIMOS[[#This Row],[Etapa Retiro - Salida]]),"")</f>
        <v>46252.820833333331</v>
      </c>
      <c r="X250" s="11">
        <f>IFERROR(IF(MARÍTIMOS[[#This Row],[Etapa Retiro - Inicio de Ruta]]="","",MARÍTIMOS[[#This Row],[Etapa Retiro - Inicio de Ruta]]),"")</f>
        <v>46252.833333333336</v>
      </c>
      <c r="Y250" s="11">
        <f>IFERROR(IF(MARÍTIMOS[[#This Row],[Hora de Posicionamiento]]="","",MARÍTIMOS[[#This Row],[Hora de Carga]]+MARÍTIMOS[[#This Row],[Hora de Posicionamiento]]),"")</f>
        <v>0.94444444444444442</v>
      </c>
      <c r="Z250" s="11">
        <f>IFERROR(IF(MARÍTIMOS[[#This Row],[Etapa Despacho -  Llegada]]="","",MARÍTIMOS[[#This Row],[Etapa Despacho -  Llegada]]),"")</f>
        <v>46253.392361111109</v>
      </c>
      <c r="AA250" s="11">
        <f>IFERROR(IF(MARÍTIMOS[[#This Row],[Etapa Despacho -  Registro]]="","",MARÍTIMOS[[#This Row],[Etapa Despacho -  Registro]]),"")</f>
        <v>46253.402777777781</v>
      </c>
      <c r="AB250" s="11">
        <f>IFERROR(IF(MARÍTIMOS[[#This Row],[Inspección Externa]]="","",MARÍTIMOS[[#This Row],[Inspección Externa]]),"")</f>
        <v>46253.413194444445</v>
      </c>
      <c r="AC250" s="11">
        <f>IFERROR(IF(MARÍTIMOS[[#This Row],[Etapa Despacho -  Inicio de Carga]]="","",MARÍTIMOS[[#This Row],[Etapa Despacho -  Inicio de Carga]]),"")</f>
        <v>46253.444444444445</v>
      </c>
      <c r="AD250" s="11">
        <f>IFERROR(IF(MARÍTIMOS[[#This Row],[Etapa Despacho -  Fin de Carga]]="","",MARÍTIMOS[[#This Row],[Etapa Despacho -  Fin de Carga]]),"")</f>
        <v>46253.540277777778</v>
      </c>
      <c r="AE250" s="11">
        <f>IFERROR(IF(MARÍTIMOS[[#This Row],[Etapa Despacho -  Salida]]="","",MARÍTIMOS[[#This Row],[Etapa Despacho -  Salida]]),"")</f>
        <v>46253.625</v>
      </c>
      <c r="AF250" s="2" t="str">
        <f>IFERROR(IF(MARÍTIMOS[[#This Row],[Puerto de Embarque]]="","",MARÍTIMOS[[#This Row],[Puerto de Embarque]]),"")</f>
        <v>CALLAO</v>
      </c>
      <c r="AG250" s="2" t="str">
        <f>IFERROR(IF(MARÍTIMOS[[#This Row],[Almacén de Ingreso]]="","",MARÍTIMOS[[#This Row],[Almacén de Ingreso]]),"")</f>
        <v>APM</v>
      </c>
      <c r="AH250" s="11">
        <f>IFERROR(IF(MARÍTIMOS[[#This Row],[Etapa Ingreso - Cita]]="","",MARÍTIMOS[[#This Row],[Etapa Ingreso - Cita]]),"")</f>
        <v>46254.25</v>
      </c>
      <c r="AI250" s="11">
        <f>IFERROR(IF(MARÍTIMOS[[#This Row],[Etapa Ingreso - Llegada]]="","",MARÍTIMOS[[#This Row],[Etapa Ingreso - Llegada]]),"")</f>
        <v>46254.125</v>
      </c>
      <c r="AJ250" s="11">
        <f>IFERROR(IF(MARÍTIMOS[[#This Row],[Etapa Ingreso - Ingeso]]="","",MARÍTIMOS[[#This Row],[Etapa Ingreso - Ingeso]]),"")</f>
        <v>46254.131944444445</v>
      </c>
      <c r="AK250" s="11">
        <f>IFERROR(IF(MARÍTIMOS[[#This Row],[Etapa Ingreso - Atención]]="","",MARÍTIMOS[[#This Row],[Etapa Ingreso - Atención]]),"")</f>
        <v>46254.145138888889</v>
      </c>
      <c r="AL250" s="11">
        <f>IFERROR(IF(MARÍTIMOS[[#This Row],[Etapa Ingreso - Salida]]="","",MARÍTIMOS[[#This Row],[Etapa Ingreso - Salida]]),"")</f>
        <v>46254.335416666669</v>
      </c>
      <c r="AM250" s="2">
        <f>IFERROR(IF(MARÍTIMOS[[#This Row],[FCL]]="","",MARÍTIMOS[[#This Row],[FCL]]),"")</f>
        <v>1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0" s="5">
        <f>IFERROR(OLDBD[[#This Row],[Llegada a packing]]-OLDBD[[#This Row],[Inicio de Ruta]],"")</f>
        <v>0.55902777777373558</v>
      </c>
      <c r="AQ250" s="6">
        <f>IFERROR(OLDBD[[#This Row],[Inicio de Ruta]]-OLDBD[[#This Row],[Salida de almacén de retiro]],"")</f>
        <v>1.2500000004365575E-2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0" s="9">
        <f>IFERROR(OLDBD[[#This Row],[Ingreso Packing]]-OLDBD[[#This Row],[Registro en Packing]],"")</f>
        <v>1.0416666664241347E-2</v>
      </c>
      <c r="AV250" s="9">
        <f>IFERROR(OLDBD[[#This Row],[Ingreso Packing]]-OLDBD[[#This Row],[Llegada a packing]],"")</f>
        <v>2.0833333335758653E-2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0" s="5">
        <f>IFERROR(OLDBD[[#This Row],[Llegada Almacén de Ingreso]]-OLDBD[[#This Row],[Salida Packing]],"")</f>
        <v>0.5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0" s="45" t="s">
        <v>181</v>
      </c>
      <c r="BB250" s="53" t="str">
        <f>IFERROR(IF(MARÍTIMOS[[#This Row],[Estatus]]="","",MARÍTIMOS[[#This Row],[Estatus]]),"")</f>
        <v>Confirmado</v>
      </c>
      <c r="BC250" s="45"/>
      <c r="BD250" s="52">
        <f>IFERROR(OLDBD[[#This Row],[Salida de almacén de retiro]]-OLDBD[[#This Row],[Ingreso Almacén de retiro]],"")</f>
        <v>0.10208333333139308</v>
      </c>
      <c r="BE250" s="52">
        <f>IFERROR(OLDBD[[#This Row],[Fin de Carga]]-OLDBD[[#This Row],[Inicio de Carga]],"")</f>
        <v>9.5833333332848269E-2</v>
      </c>
    </row>
    <row r="251" spans="1:57" x14ac:dyDescent="0.35">
      <c r="A251" s="1"/>
      <c r="B251" s="1">
        <f>IFERROR(IF(MARÍTIMOS[[#This Row],[PP]]="","",MARÍTIMOS[[#This Row],[PP]]),"")</f>
        <v>28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RH-0144</v>
      </c>
      <c r="E251" s="1"/>
      <c r="F251" s="2" t="str">
        <f>IFERROR(IF(MARÍTIMOS[[#This Row],[Transportista]]="","",MARÍTIMOS[[#This Row],[Transportista]]),"")</f>
        <v>VESL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>VE SOLUCIONES LOGISTICAS SAC</v>
      </c>
      <c r="I251" s="2">
        <f>IFERROR(IF(MARÍTIMOS[[#This Row],[RUC]]="","",MARÍTIMOS[[#This Row],[RUC]]),"")</f>
        <v>20557679392</v>
      </c>
      <c r="J251" s="2" t="str">
        <f>IFERROR(IF(MARÍTIMOS[[#This Row],[Placa Tracto]]="","",MARÍTIMOS[[#This Row],[Placa Tracto]]),"")</f>
        <v>BYR-886</v>
      </c>
      <c r="K251" s="2" t="str">
        <f>IFERROR(IF(MARÍTIMOS[[#This Row],[Placa Carreta]]="","",MARÍTIMOS[[#This Row],[Placa Carreta]]),"")</f>
        <v>AMQ-980</v>
      </c>
      <c r="L251" s="46" t="str">
        <f>IFERROR(IF(MARÍTIMOS[[#This Row],[Conductor]]="","",MARÍTIMOS[[#This Row],[Conductor]]),"")</f>
        <v>CHAVEZ SAUCEDO SEGUNDO PORFIRIO</v>
      </c>
      <c r="M251" s="2" t="str">
        <f>IFERROR(IF(MARÍTIMOS[[#This Row],[Licencia]]="","",MARÍTIMOS[[#This Row],[Licencia]]),"")</f>
        <v>Q07525965</v>
      </c>
      <c r="N251" s="2" t="str">
        <f>IFERROR(IF(MARÍTIMOS[[#This Row],[Número de Contacto]]="","",MARÍTIMOS[[#This Row],[Número de Contacto]]),"")</f>
        <v/>
      </c>
      <c r="O251" s="10">
        <f>IFERROR(IF(MARÍTIMOS[[#This Row],[Booking|AWB|CRT]]="","",MARÍTIMOS[[#This Row],[Booking|AWB|CRT]]),"")</f>
        <v>751600038769</v>
      </c>
      <c r="P251" s="2" t="str">
        <f>IFERROR(IF(MARÍTIMOS[[#This Row],[Contenedor]]="","",MARÍTIMOS[[#This Row],[Contenedor]]),"")</f>
        <v>EMCU5749920</v>
      </c>
      <c r="Q251" s="2" t="str">
        <f>IFERROR(IF(MARÍTIMOS[[#This Row],[Puerto de Retiro]]="","",MARÍTIMOS[[#This Row],[Puerto de Retiro]]),"")</f>
        <v>CALLAO</v>
      </c>
      <c r="R251" s="2" t="str">
        <f>IFERROR(IF(MARÍTIMOS[[#This Row],[Almacén de Retiro]]="","",MARÍTIMOS[[#This Row],[Almacén de Retiro]]),"")</f>
        <v>TPP</v>
      </c>
      <c r="S251" s="11">
        <f>IFERROR(IF(MARÍTIMOS[[#This Row],[Etapa Retiro - Cita]]="","",MARÍTIMOS[[#This Row],[Etapa Retiro - Cita]]),"")</f>
        <v>46333.583333333336</v>
      </c>
      <c r="T251" s="11">
        <f>IFERROR(IF(MARÍTIMOS[[#This Row],[Etapa Retiro - Llegada]]="","",MARÍTIMOS[[#This Row],[Etapa Retiro - Llegada]]),"")</f>
        <v>46333.611111111109</v>
      </c>
      <c r="U251" s="11">
        <f>IFERROR(IF(MARÍTIMOS[[#This Row],[Etapa Retiro - Ingreso]]="","",MARÍTIMOS[[#This Row],[Etapa Retiro - Ingreso]]),"")</f>
        <v>46333.617361111108</v>
      </c>
      <c r="V251" s="11">
        <f>IFERROR(IF(MARÍTIMOS[[#This Row],[Etapa Retiro - Atención]]="","",MARÍTIMOS[[#This Row],[Etapa Retiro - Atención]]),"")</f>
        <v>46333.654861111114</v>
      </c>
      <c r="W251" s="11">
        <f>IFERROR(IF(MARÍTIMOS[[#This Row],[Etapa Retiro - Salida]]="","",MARÍTIMOS[[#This Row],[Etapa Retiro - Salida]]),"")</f>
        <v>46333.734027777777</v>
      </c>
      <c r="X251" s="11">
        <f>IFERROR(IF(MARÍTIMOS[[#This Row],[Etapa Retiro - Inicio de Ruta]]="","",MARÍTIMOS[[#This Row],[Etapa Retiro - Inicio de Ruta]]),"")</f>
        <v>46333.734027777777</v>
      </c>
      <c r="Y251" s="11">
        <f>IFERROR(IF(MARÍTIMOS[[#This Row],[Hora de Posicionamiento]]="","",MARÍTIMOS[[#This Row],[Hora de Carga]]+MARÍTIMOS[[#This Row],[Hora de Posicionamiento]]),"")</f>
        <v>0.33333333333333331</v>
      </c>
      <c r="Z251" s="11">
        <f>IFERROR(IF(MARÍTIMOS[[#This Row],[Etapa Despacho -  Llegada]]="","",MARÍTIMOS[[#This Row],[Etapa Despacho -  Llegada]]),"")</f>
        <v>46363.356944444444</v>
      </c>
      <c r="AA251" s="11">
        <f>IFERROR(IF(MARÍTIMOS[[#This Row],[Etapa Despacho -  Registro]]="","",MARÍTIMOS[[#This Row],[Etapa Despacho -  Registro]]),"")</f>
        <v>46363.356944444444</v>
      </c>
      <c r="AB251" s="11">
        <f>IFERROR(IF(MARÍTIMOS[[#This Row],[Inspección Externa]]="","",MARÍTIMOS[[#This Row],[Inspección Externa]]),"")</f>
        <v>46363.37222222222</v>
      </c>
      <c r="AC251" s="11">
        <f>IFERROR(IF(MARÍTIMOS[[#This Row],[Etapa Despacho -  Inicio de Carga]]="","",MARÍTIMOS[[#This Row],[Etapa Despacho -  Inicio de Carga]]),"")</f>
        <v>46215.619444444441</v>
      </c>
      <c r="AD251" s="11">
        <f>IFERROR(IF(MARÍTIMOS[[#This Row],[Etapa Despacho -  Fin de Carga]]="","",MARÍTIMOS[[#This Row],[Etapa Despacho -  Fin de Carga]]),"")</f>
        <v>46363.702777777777</v>
      </c>
      <c r="AE251" s="11">
        <f>IFERROR(IF(MARÍTIMOS[[#This Row],[Etapa Despacho -  Salida]]="","",MARÍTIMOS[[#This Row],[Etapa Despacho -  Salida]]),"")</f>
        <v>46363.74722222222</v>
      </c>
      <c r="AF251" s="2" t="str">
        <f>IFERROR(IF(MARÍTIMOS[[#This Row],[Puerto de Embarque]]="","",MARÍTIMOS[[#This Row],[Puerto de Embarque]]),"")</f>
        <v>CALLAO</v>
      </c>
      <c r="AG251" s="2" t="str">
        <f>IFERROR(IF(MARÍTIMOS[[#This Row],[Almacén de Ingreso]]="","",MARÍTIMOS[[#This Row],[Almacén de Ingreso]]),"")</f>
        <v>DPW</v>
      </c>
      <c r="AH251" s="11">
        <f>IFERROR(IF(MARÍTIMOS[[#This Row],[Etapa Ingreso - Cita]]="","",MARÍTIMOS[[#This Row],[Etapa Ingreso - Cita]]),"")</f>
        <v>46216.583333333336</v>
      </c>
      <c r="AI251" s="11">
        <f>IFERROR(IF(MARÍTIMOS[[#This Row],[Etapa Ingreso - Llegada]]="","",MARÍTIMOS[[#This Row],[Etapa Ingreso - Llegada]]),"")</f>
        <v>46216.482638888891</v>
      </c>
      <c r="AJ251" s="11">
        <f>IFERROR(IF(MARÍTIMOS[[#This Row],[Etapa Ingreso - Ingeso]]="","",MARÍTIMOS[[#This Row],[Etapa Ingreso - Ingeso]]),"")</f>
        <v>46216.584027777775</v>
      </c>
      <c r="AK251" s="11">
        <f>IFERROR(IF(MARÍTIMOS[[#This Row],[Etapa Ingreso - Atención]]="","",MARÍTIMOS[[#This Row],[Etapa Ingreso - Atención]]),"")</f>
        <v>46216.586805555555</v>
      </c>
      <c r="AL251" s="11">
        <f>IFERROR(IF(MARÍTIMOS[[#This Row],[Etapa Ingreso - Salida]]="","",MARÍTIMOS[[#This Row],[Etapa Ingreso - Salida]]),"")</f>
        <v>46216.59652777778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1" s="5">
        <f>IFERROR(OLDBD[[#This Row],[Llegada a packing]]-OLDBD[[#This Row],[Inicio de Ruta]],"")</f>
        <v>29.622916666667152</v>
      </c>
      <c r="AQ251" s="6">
        <f>IFERROR(OLDBD[[#This Row],[Inicio de Ruta]]-OLDBD[[#This Row],[Salida de almacén de retiro]],"")</f>
        <v>0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1" s="9">
        <f>IFERROR(OLDBD[[#This Row],[Ingreso Packing]]-OLDBD[[#This Row],[Registro en Packing]],"")</f>
        <v>1.5277777776645962E-2</v>
      </c>
      <c r="AV251" s="9">
        <f>IFERROR(OLDBD[[#This Row],[Ingreso Packing]]-OLDBD[[#This Row],[Llegada a packing]],"")</f>
        <v>1.5277777776645962E-2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1" s="5">
        <f>IFERROR(OLDBD[[#This Row],[Llegada Almacén de Ingreso]]-OLDBD[[#This Row],[Salida Packing]],"")</f>
        <v>-147.26458333332994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1" s="45" t="s">
        <v>181</v>
      </c>
      <c r="BB251" s="53" t="str">
        <f>IFERROR(IF(MARÍTIMOS[[#This Row],[Estatus]]="","",MARÍTIMOS[[#This Row],[Estatus]]),"")</f>
        <v>Confirmado</v>
      </c>
      <c r="BC251" s="45"/>
      <c r="BD251" s="52">
        <f>IFERROR(OLDBD[[#This Row],[Salida de almacén de retiro]]-OLDBD[[#This Row],[Ingreso Almacén de retiro]],"")</f>
        <v>0.11666666666860692</v>
      </c>
      <c r="BE251" s="52">
        <f>IFERROR(OLDBD[[#This Row],[Fin de Carga]]-OLDBD[[#This Row],[Inicio de Carga]],"")</f>
        <v>148.08333333333576</v>
      </c>
    </row>
    <row r="252" spans="1:57" x14ac:dyDescent="0.35">
      <c r="A252" s="1"/>
      <c r="B252" s="1">
        <f>IFERROR(IF(MARÍTIMOS[[#This Row],[PP]]="","",MARÍTIMOS[[#This Row],[PP]]),"")</f>
        <v>28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RH-0145</v>
      </c>
      <c r="E252" s="1"/>
      <c r="F252" s="2" t="str">
        <f>IFERROR(IF(MARÍTIMOS[[#This Row],[Transportista]]="","",MARÍTIMOS[[#This Row],[Transportista]]),"")</f>
        <v>VESL</v>
      </c>
      <c r="G252" s="2" t="str">
        <f>IFERROR(IF(MARÍTIMOS[[#This Row],[Tercero]]="","",MARÍTIMOS[[#This Row],[Tercero]]),"")</f>
        <v>NO</v>
      </c>
      <c r="H252" s="2" t="str">
        <f>IFERROR(IF(MARÍTIMOS[[#This Row],[Razón Social]]="","",MARÍTIMOS[[#This Row],[Razón Social]]),"")</f>
        <v>VE SOLUCIONES LOGISTICAS SAC</v>
      </c>
      <c r="I252" s="2">
        <f>IFERROR(IF(MARÍTIMOS[[#This Row],[RUC]]="","",MARÍTIMOS[[#This Row],[RUC]]),"")</f>
        <v>20557679392</v>
      </c>
      <c r="J252" s="2" t="str">
        <f>IFERROR(IF(MARÍTIMOS[[#This Row],[Placa Tracto]]="","",MARÍTIMOS[[#This Row],[Placa Tracto]]),"")</f>
        <v>BYS-704</v>
      </c>
      <c r="K252" s="2" t="str">
        <f>IFERROR(IF(MARÍTIMOS[[#This Row],[Placa Carreta]]="","",MARÍTIMOS[[#This Row],[Placa Carreta]]),"")</f>
        <v>AMR-981</v>
      </c>
      <c r="L252" s="46" t="str">
        <f>IFERROR(IF(MARÍTIMOS[[#This Row],[Conductor]]="","",MARÍTIMOS[[#This Row],[Conductor]]),"")</f>
        <v>GALAN CHINCHAY DAVID ROGER</v>
      </c>
      <c r="M252" s="2" t="str">
        <f>IFERROR(IF(MARÍTIMOS[[#This Row],[Licencia]]="","",MARÍTIMOS[[#This Row],[Licencia]]),"")</f>
        <v>E77014924</v>
      </c>
      <c r="N252" s="2" t="str">
        <f>IFERROR(IF(MARÍTIMOS[[#This Row],[Número de Contacto]]="","",MARÍTIMOS[[#This Row],[Número de Contacto]]),"")</f>
        <v/>
      </c>
      <c r="O252" s="10">
        <f>IFERROR(IF(MARÍTIMOS[[#This Row],[Booking|AWB|CRT]]="","",MARÍTIMOS[[#This Row],[Booking|AWB|CRT]]),"")</f>
        <v>751600038777</v>
      </c>
      <c r="P252" s="2" t="str">
        <f>IFERROR(IF(MARÍTIMOS[[#This Row],[Contenedor]]="","",MARÍTIMOS[[#This Row],[Contenedor]]),"")</f>
        <v>EMCU5926413</v>
      </c>
      <c r="Q252" s="2" t="str">
        <f>IFERROR(IF(MARÍTIMOS[[#This Row],[Puerto de Retiro]]="","",MARÍTIMOS[[#This Row],[Puerto de Retiro]]),"")</f>
        <v>CALLAO</v>
      </c>
      <c r="R252" s="2" t="str">
        <f>IFERROR(IF(MARÍTIMOS[[#This Row],[Almacén de Retiro]]="","",MARÍTIMOS[[#This Row],[Almacén de Retiro]]),"")</f>
        <v>TPP</v>
      </c>
      <c r="S252" s="11">
        <f>IFERROR(IF(MARÍTIMOS[[#This Row],[Etapa Retiro - Cita]]="","",MARÍTIMOS[[#This Row],[Etapa Retiro - Cita]]),"")</f>
        <v>46333.583333333336</v>
      </c>
      <c r="T252" s="11">
        <f>IFERROR(IF(MARÍTIMOS[[#This Row],[Etapa Retiro - Llegada]]="","",MARÍTIMOS[[#This Row],[Etapa Retiro - Llegada]]),"")</f>
        <v>46333.615277777775</v>
      </c>
      <c r="U252" s="11">
        <f>IFERROR(IF(MARÍTIMOS[[#This Row],[Etapa Retiro - Ingreso]]="","",MARÍTIMOS[[#This Row],[Etapa Retiro - Ingreso]]),"")</f>
        <v>46333.65</v>
      </c>
      <c r="V252" s="11">
        <f>IFERROR(IF(MARÍTIMOS[[#This Row],[Etapa Retiro - Atención]]="","",MARÍTIMOS[[#This Row],[Etapa Retiro - Atención]]),"")</f>
        <v>46333.704861111109</v>
      </c>
      <c r="W252" s="11">
        <f>IFERROR(IF(MARÍTIMOS[[#This Row],[Etapa Retiro - Salida]]="","",MARÍTIMOS[[#This Row],[Etapa Retiro - Salida]]),"")</f>
        <v>46333.783333333333</v>
      </c>
      <c r="X252" s="11">
        <f>IFERROR(IF(MARÍTIMOS[[#This Row],[Etapa Retiro - Inicio de Ruta]]="","",MARÍTIMOS[[#This Row],[Etapa Retiro - Inicio de Ruta]]),"")</f>
        <v>46333.783333333333</v>
      </c>
      <c r="Y252" s="11">
        <f>IFERROR(IF(MARÍTIMOS[[#This Row],[Hora de Posicionamiento]]="","",MARÍTIMOS[[#This Row],[Hora de Carga]]+MARÍTIMOS[[#This Row],[Hora de Posicionamiento]]),"")</f>
        <v>0.54166666666666663</v>
      </c>
      <c r="Z252" s="11">
        <f>IFERROR(IF(MARÍTIMOS[[#This Row],[Etapa Despacho -  Llegada]]="","",MARÍTIMOS[[#This Row],[Etapa Despacho -  Llegada]]),"")</f>
        <v>46363.508333333331</v>
      </c>
      <c r="AA252" s="11">
        <f>IFERROR(IF(MARÍTIMOS[[#This Row],[Etapa Despacho -  Registro]]="","",MARÍTIMOS[[#This Row],[Etapa Despacho -  Registro]]),"")</f>
        <v>46215.508333333331</v>
      </c>
      <c r="AB252" s="11">
        <f>IFERROR(IF(MARÍTIMOS[[#This Row],[Inspección Externa]]="","",MARÍTIMOS[[#This Row],[Inspección Externa]]),"")</f>
        <v>46363.527777777781</v>
      </c>
      <c r="AC252" s="11">
        <f>IFERROR(IF(MARÍTIMOS[[#This Row],[Etapa Despacho -  Inicio de Carga]]="","",MARÍTIMOS[[#This Row],[Etapa Despacho -  Inicio de Carga]]),"")</f>
        <v>46363.645833333336</v>
      </c>
      <c r="AD252" s="11">
        <f>IFERROR(IF(MARÍTIMOS[[#This Row],[Etapa Despacho -  Fin de Carga]]="","",MARÍTIMOS[[#This Row],[Etapa Despacho -  Fin de Carga]]),"")</f>
        <v>46363.708333333336</v>
      </c>
      <c r="AE252" s="11">
        <f>IFERROR(IF(MARÍTIMOS[[#This Row],[Etapa Despacho -  Salida]]="","",MARÍTIMOS[[#This Row],[Etapa Despacho -  Salida]]),"")</f>
        <v>46363.755555555559</v>
      </c>
      <c r="AF252" s="2" t="str">
        <f>IFERROR(IF(MARÍTIMOS[[#This Row],[Puerto de Embarque]]="","",MARÍTIMOS[[#This Row],[Puerto de Embarque]]),"")</f>
        <v>CALLAO</v>
      </c>
      <c r="AG252" s="2" t="str">
        <f>IFERROR(IF(MARÍTIMOS[[#This Row],[Almacén de Ingreso]]="","",MARÍTIMOS[[#This Row],[Almacén de Ingreso]]),"")</f>
        <v>DPW</v>
      </c>
      <c r="AH252" s="11">
        <f>IFERROR(IF(MARÍTIMOS[[#This Row],[Etapa Ingreso - Cita]]="","",MARÍTIMOS[[#This Row],[Etapa Ingreso - Cita]]),"")</f>
        <v>46216.583333333336</v>
      </c>
      <c r="AI252" s="11">
        <f>IFERROR(IF(MARÍTIMOS[[#This Row],[Etapa Ingreso - Llegada]]="","",MARÍTIMOS[[#This Row],[Etapa Ingreso - Llegada]]),"")</f>
        <v>46216.583333333336</v>
      </c>
      <c r="AJ252" s="11">
        <f>IFERROR(IF(MARÍTIMOS[[#This Row],[Etapa Ingreso - Ingeso]]="","",MARÍTIMOS[[#This Row],[Etapa Ingreso - Ingeso]]),"")</f>
        <v>46216.619444444441</v>
      </c>
      <c r="AK252" s="11">
        <f>IFERROR(IF(MARÍTIMOS[[#This Row],[Etapa Ingreso - Atención]]="","",MARÍTIMOS[[#This Row],[Etapa Ingreso - Atención]]),"")</f>
        <v>46216.621527777781</v>
      </c>
      <c r="AL252" s="11">
        <f>IFERROR(IF(MARÍTIMOS[[#This Row],[Etapa Ingreso - Salida]]="","",MARÍTIMOS[[#This Row],[Etapa Ingreso - Salida]]),"")</f>
        <v>46216.650694444441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2" s="5">
        <f>IFERROR(OLDBD[[#This Row],[Llegada a packing]]-OLDBD[[#This Row],[Inicio de Ruta]],"")</f>
        <v>29.724999999998545</v>
      </c>
      <c r="AQ252" s="6">
        <f>IFERROR(OLDBD[[#This Row],[Inicio de Ruta]]-OLDBD[[#This Row],[Salida de almacén de retiro]],"")</f>
        <v>0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2" s="9">
        <f>IFERROR(OLDBD[[#This Row],[Ingreso Packing]]-OLDBD[[#This Row],[Registro en Packing]],"")</f>
        <v>148.01944444444962</v>
      </c>
      <c r="AV252" s="9">
        <f>IFERROR(OLDBD[[#This Row],[Ingreso Packing]]-OLDBD[[#This Row],[Llegada a packing]],"")</f>
        <v>1.9444444449618459E-2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2" s="5">
        <f>IFERROR(OLDBD[[#This Row],[Llegada Almacén de Ingreso]]-OLDBD[[#This Row],[Salida Packing]],"")</f>
        <v>-147.17222222222335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2" s="45" t="s">
        <v>181</v>
      </c>
      <c r="BB252" s="53" t="str">
        <f>IFERROR(IF(MARÍTIMOS[[#This Row],[Estatus]]="","",MARÍTIMOS[[#This Row],[Estatus]]),"")</f>
        <v>Confirmado</v>
      </c>
      <c r="BC252" s="45"/>
      <c r="BD252" s="52">
        <f>IFERROR(OLDBD[[#This Row],[Salida de almacén de retiro]]-OLDBD[[#This Row],[Ingreso Almacén de retiro]],"")</f>
        <v>0.13333333333139308</v>
      </c>
      <c r="BE252" s="52">
        <f>IFERROR(OLDBD[[#This Row],[Fin de Carga]]-OLDBD[[#This Row],[Inicio de Carga]],"")</f>
        <v>6.25E-2</v>
      </c>
    </row>
    <row r="253" spans="1:57" x14ac:dyDescent="0.35">
      <c r="A253" s="1"/>
      <c r="B253" s="1">
        <f>IFERROR(IF(MARÍTIMOS[[#This Row],[PP]]="","",MARÍTIMOS[[#This Row],[PP]]),"")</f>
        <v>28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RH-0168</v>
      </c>
      <c r="E253" s="1"/>
      <c r="F253" s="2" t="str">
        <f>IFERROR(IF(MARÍTIMOS[[#This Row],[Transportista]]="","",MARÍTIMOS[[#This Row],[Transportista]]),"")</f>
        <v>VESL</v>
      </c>
      <c r="G253" s="2" t="str">
        <f>IFERROR(IF(MARÍTIMOS[[#This Row],[Tercero]]="","",MARÍTIMOS[[#This Row],[Tercero]]),"")</f>
        <v>NO</v>
      </c>
      <c r="H253" s="2" t="str">
        <f>IFERROR(IF(MARÍTIMOS[[#This Row],[Razón Social]]="","",MARÍTIMOS[[#This Row],[Razón Social]]),"")</f>
        <v>VE SOLUCIONES LOGISTICAS SAC</v>
      </c>
      <c r="I253" s="2">
        <f>IFERROR(IF(MARÍTIMOS[[#This Row],[RUC]]="","",MARÍTIMOS[[#This Row],[RUC]]),"")</f>
        <v>20557679392</v>
      </c>
      <c r="J253" s="2" t="str">
        <f>IFERROR(IF(MARÍTIMOS[[#This Row],[Placa Tracto]]="","",MARÍTIMOS[[#This Row],[Placa Tracto]]),"")</f>
        <v>BYR-898</v>
      </c>
      <c r="K253" s="2" t="str">
        <f>IFERROR(IF(MARÍTIMOS[[#This Row],[Placa Carreta]]="","",MARÍTIMOS[[#This Row],[Placa Carreta]]),"")</f>
        <v>AHV-972</v>
      </c>
      <c r="L253" s="46" t="str">
        <f>IFERROR(IF(MARÍTIMOS[[#This Row],[Conductor]]="","",MARÍTIMOS[[#This Row],[Conductor]]),"")</f>
        <v>DANIEL PADILLA DIESTRA</v>
      </c>
      <c r="M253" s="2" t="str">
        <f>IFERROR(IF(MARÍTIMOS[[#This Row],[Licencia]]="","",MARÍTIMOS[[#This Row],[Licencia]]),"")</f>
        <v>Q71081082</v>
      </c>
      <c r="N253" s="2" t="str">
        <f>IFERROR(IF(MARÍTIMOS[[#This Row],[Número de Contacto]]="","",MARÍTIMOS[[#This Row],[Número de Contacto]]),"")</f>
        <v/>
      </c>
      <c r="O253" s="10">
        <f>IFERROR(IF(MARÍTIMOS[[#This Row],[Booking|AWB|CRT]]="","",MARÍTIMOS[[#This Row],[Booking|AWB|CRT]]),"")</f>
        <v>751600038939</v>
      </c>
      <c r="P253" s="2" t="str">
        <f>IFERROR(IF(MARÍTIMOS[[#This Row],[Contenedor]]="","",MARÍTIMOS[[#This Row],[Contenedor]]),"")</f>
        <v>EGSU5062439</v>
      </c>
      <c r="Q253" s="2" t="str">
        <f>IFERROR(IF(MARÍTIMOS[[#This Row],[Puerto de Retiro]]="","",MARÍTIMOS[[#This Row],[Puerto de Retiro]]),"")</f>
        <v>CALLAO</v>
      </c>
      <c r="R253" s="2" t="str">
        <f>IFERROR(IF(MARÍTIMOS[[#This Row],[Almacén de Retiro]]="","",MARÍTIMOS[[#This Row],[Almacén de Retiro]]),"")</f>
        <v>TPP</v>
      </c>
      <c r="S253" s="11">
        <f>IFERROR(IF(MARÍTIMOS[[#This Row],[Etapa Retiro - Cita]]="","",MARÍTIMOS[[#This Row],[Etapa Retiro - Cita]]),"")</f>
        <v>46333.583333333336</v>
      </c>
      <c r="T253" s="11">
        <f>IFERROR(IF(MARÍTIMOS[[#This Row],[Etapa Retiro - Llegada]]="","",MARÍTIMOS[[#This Row],[Etapa Retiro - Llegada]]),"")</f>
        <v>46333.615972222222</v>
      </c>
      <c r="U253" s="11">
        <f>IFERROR(IF(MARÍTIMOS[[#This Row],[Etapa Retiro - Ingreso]]="","",MARÍTIMOS[[#This Row],[Etapa Retiro - Ingreso]]),"")</f>
        <v>46333.645138888889</v>
      </c>
      <c r="V253" s="11">
        <f>IFERROR(IF(MARÍTIMOS[[#This Row],[Etapa Retiro - Atención]]="","",MARÍTIMOS[[#This Row],[Etapa Retiro - Atención]]),"")</f>
        <v>46333.709027777775</v>
      </c>
      <c r="W253" s="11">
        <f>IFERROR(IF(MARÍTIMOS[[#This Row],[Etapa Retiro - Salida]]="","",MARÍTIMOS[[#This Row],[Etapa Retiro - Salida]]),"")</f>
        <v>46333.790972222225</v>
      </c>
      <c r="X253" s="11">
        <f>IFERROR(IF(MARÍTIMOS[[#This Row],[Etapa Retiro - Inicio de Ruta]]="","",MARÍTIMOS[[#This Row],[Etapa Retiro - Inicio de Ruta]]),"")</f>
        <v>46333.790972222225</v>
      </c>
      <c r="Y253" s="11">
        <f>IFERROR(IF(MARÍTIMOS[[#This Row],[Hora de Posicionamiento]]="","",MARÍTIMOS[[#This Row],[Hora de Carga]]+MARÍTIMOS[[#This Row],[Hora de Posicionamiento]]),"")</f>
        <v>0.33333333333333331</v>
      </c>
      <c r="Z253" s="11">
        <f>IFERROR(IF(MARÍTIMOS[[#This Row],[Etapa Despacho -  Llegada]]="","",MARÍTIMOS[[#This Row],[Etapa Despacho -  Llegada]]),"")</f>
        <v>46363.513888888891</v>
      </c>
      <c r="AA253" s="11">
        <f>IFERROR(IF(MARÍTIMOS[[#This Row],[Etapa Despacho -  Registro]]="","",MARÍTIMOS[[#This Row],[Etapa Despacho -  Registro]]),"")</f>
        <v>46363.513888888891</v>
      </c>
      <c r="AB253" s="11">
        <f>IFERROR(IF(MARÍTIMOS[[#This Row],[Inspección Externa]]="","",MARÍTIMOS[[#This Row],[Inspección Externa]]),"")</f>
        <v>46363.536805555559</v>
      </c>
      <c r="AC253" s="11">
        <f>IFERROR(IF(MARÍTIMOS[[#This Row],[Etapa Despacho -  Inicio de Carga]]="","",MARÍTIMOS[[#This Row],[Etapa Despacho -  Inicio de Carga]]),"")</f>
        <v>46363.625</v>
      </c>
      <c r="AD253" s="11">
        <f>IFERROR(IF(MARÍTIMOS[[#This Row],[Etapa Despacho -  Fin de Carga]]="","",MARÍTIMOS[[#This Row],[Etapa Despacho -  Fin de Carga]]),"")</f>
        <v>46363.763194444444</v>
      </c>
      <c r="AE253" s="11">
        <f>IFERROR(IF(MARÍTIMOS[[#This Row],[Etapa Despacho -  Salida]]="","",MARÍTIMOS[[#This Row],[Etapa Despacho -  Salida]]),"")</f>
        <v>46363.782638888886</v>
      </c>
      <c r="AF253" s="2" t="str">
        <f>IFERROR(IF(MARÍTIMOS[[#This Row],[Puerto de Embarque]]="","",MARÍTIMOS[[#This Row],[Puerto de Embarque]]),"")</f>
        <v>CALLAO</v>
      </c>
      <c r="AG253" s="2" t="str">
        <f>IFERROR(IF(MARÍTIMOS[[#This Row],[Almacén de Ingreso]]="","",MARÍTIMOS[[#This Row],[Almacén de Ingreso]]),"")</f>
        <v>DPW</v>
      </c>
      <c r="AH253" s="11">
        <f>IFERROR(IF(MARÍTIMOS[[#This Row],[Etapa Ingreso - Cita]]="","",MARÍTIMOS[[#This Row],[Etapa Ingreso - Cita]]),"")</f>
        <v>46216.583333333336</v>
      </c>
      <c r="AI253" s="11">
        <f>IFERROR(IF(MARÍTIMOS[[#This Row],[Etapa Ingreso - Llegada]]="","",MARÍTIMOS[[#This Row],[Etapa Ingreso - Llegada]]),"")</f>
        <v>46216.538888888892</v>
      </c>
      <c r="AJ253" s="11">
        <f>IFERROR(IF(MARÍTIMOS[[#This Row],[Etapa Ingreso - Ingeso]]="","",MARÍTIMOS[[#This Row],[Etapa Ingreso - Ingeso]]),"")</f>
        <v>46216.581944444442</v>
      </c>
      <c r="AK253" s="11">
        <f>IFERROR(IF(MARÍTIMOS[[#This Row],[Etapa Ingreso - Atención]]="","",MARÍTIMOS[[#This Row],[Etapa Ingreso - Atención]]),"")</f>
        <v>46216.585416666669</v>
      </c>
      <c r="AL253" s="11">
        <f>IFERROR(IF(MARÍTIMOS[[#This Row],[Etapa Ingreso - Salida]]="","",MARÍTIMOS[[#This Row],[Etapa Ingreso - Salida]]),"")</f>
        <v>46216.59375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3" s="5">
        <f>IFERROR(OLDBD[[#This Row],[Llegada a packing]]-OLDBD[[#This Row],[Inicio de Ruta]],"")</f>
        <v>29.722916666665697</v>
      </c>
      <c r="AQ253" s="6">
        <f>IFERROR(OLDBD[[#This Row],[Inicio de Ruta]]-OLDBD[[#This Row],[Salida de almacén de retiro]],"")</f>
        <v>0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3" s="9">
        <f>IFERROR(OLDBD[[#This Row],[Ingreso Packing]]-OLDBD[[#This Row],[Registro en Packing]],"")</f>
        <v>2.2916666668606922E-2</v>
      </c>
      <c r="AV253" s="9">
        <f>IFERROR(OLDBD[[#This Row],[Ingreso Packing]]-OLDBD[[#This Row],[Llegada a packing]],"")</f>
        <v>2.2916666668606922E-2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3" s="5">
        <f>IFERROR(OLDBD[[#This Row],[Llegada Almacén de Ingreso]]-OLDBD[[#This Row],[Salida Packing]],"")</f>
        <v>-147.24374999999418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3" s="45" t="s">
        <v>181</v>
      </c>
      <c r="BB253" s="53" t="str">
        <f>IFERROR(IF(MARÍTIMOS[[#This Row],[Estatus]]="","",MARÍTIMOS[[#This Row],[Estatus]]),"")</f>
        <v>Confirmado</v>
      </c>
      <c r="BC253" s="45"/>
      <c r="BD253" s="52">
        <f>IFERROR(OLDBD[[#This Row],[Salida de almacén de retiro]]-OLDBD[[#This Row],[Ingreso Almacén de retiro]],"")</f>
        <v>0.14583333333575865</v>
      </c>
      <c r="BE253" s="52">
        <f>IFERROR(OLDBD[[#This Row],[Fin de Carga]]-OLDBD[[#This Row],[Inicio de Carga]],"")</f>
        <v>0.13819444444379769</v>
      </c>
    </row>
    <row r="254" spans="1:57" x14ac:dyDescent="0.35">
      <c r="A254" s="1"/>
      <c r="B254" s="1">
        <f>IFERROR(IF(MARÍTIMOS[[#This Row],[PP]]="","",MARÍTIMOS[[#This Row],[PP]]),"")</f>
        <v>28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RH-0188</v>
      </c>
      <c r="E254" s="1"/>
      <c r="F254" s="2" t="str">
        <f>IFERROR(IF(MARÍTIMOS[[#This Row],[Transportista]]="","",MARÍTIMOS[[#This Row],[Transportista]]),"")</f>
        <v>VESL</v>
      </c>
      <c r="G254" s="2" t="str">
        <f>IFERROR(IF(MARÍTIMOS[[#This Row],[Tercero]]="","",MARÍTIMOS[[#This Row],[Tercero]]),"")</f>
        <v>NO</v>
      </c>
      <c r="H254" s="2" t="str">
        <f>IFERROR(IF(MARÍTIMOS[[#This Row],[Razón Social]]="","",MARÍTIMOS[[#This Row],[Razón Social]]),"")</f>
        <v>VE SOLUCIONES LOGISTICAS SAC</v>
      </c>
      <c r="I254" s="2">
        <f>IFERROR(IF(MARÍTIMOS[[#This Row],[RUC]]="","",MARÍTIMOS[[#This Row],[RUC]]),"")</f>
        <v>20557679392</v>
      </c>
      <c r="J254" s="2" t="str">
        <f>IFERROR(IF(MARÍTIMOS[[#This Row],[Placa Tracto]]="","",MARÍTIMOS[[#This Row],[Placa Tracto]]),"")</f>
        <v>BYR873</v>
      </c>
      <c r="K254" s="2" t="str">
        <f>IFERROR(IF(MARÍTIMOS[[#This Row],[Placa Carreta]]="","",MARÍTIMOS[[#This Row],[Placa Carreta]]),"")</f>
        <v>AMQ983</v>
      </c>
      <c r="L254" s="46" t="str">
        <f>IFERROR(IF(MARÍTIMOS[[#This Row],[Conductor]]="","",MARÍTIMOS[[#This Row],[Conductor]]),"")</f>
        <v>ESPINOZA GOICOCHEA HUGO</v>
      </c>
      <c r="M254" s="2" t="str">
        <f>IFERROR(IF(MARÍTIMOS[[#This Row],[Licencia]]="","",MARÍTIMOS[[#This Row],[Licencia]]),"")</f>
        <v>Q06595377</v>
      </c>
      <c r="N254" s="2" t="str">
        <f>IFERROR(IF(MARÍTIMOS[[#This Row],[Número de Contacto]]="","",MARÍTIMOS[[#This Row],[Número de Contacto]]),"")</f>
        <v/>
      </c>
      <c r="O254" s="10">
        <f>IFERROR(IF(MARÍTIMOS[[#This Row],[Booking|AWB|CRT]]="","",MARÍTIMOS[[#This Row],[Booking|AWB|CRT]]),"")</f>
        <v>751600040178</v>
      </c>
      <c r="P254" s="2" t="str">
        <f>IFERROR(IF(MARÍTIMOS[[#This Row],[Contenedor]]="","",MARÍTIMOS[[#This Row],[Contenedor]]),"")</f>
        <v>EMCU5699310</v>
      </c>
      <c r="Q254" s="2" t="str">
        <f>IFERROR(IF(MARÍTIMOS[[#This Row],[Puerto de Retiro]]="","",MARÍTIMOS[[#This Row],[Puerto de Retiro]]),"")</f>
        <v>CALLAO</v>
      </c>
      <c r="R254" s="2" t="str">
        <f>IFERROR(IF(MARÍTIMOS[[#This Row],[Almacén de Retiro]]="","",MARÍTIMOS[[#This Row],[Almacén de Retiro]]),"")</f>
        <v>IMUPESA</v>
      </c>
      <c r="S254" s="11">
        <f>IFERROR(IF(MARÍTIMOS[[#This Row],[Etapa Retiro - Cita]]="","",MARÍTIMOS[[#This Row],[Etapa Retiro - Cita]]),"")</f>
        <v>46221.583333333336</v>
      </c>
      <c r="T254" s="11">
        <f>IFERROR(IF(MARÍTIMOS[[#This Row],[Etapa Retiro - Llegada]]="","",MARÍTIMOS[[#This Row],[Etapa Retiro - Llegada]]),"")</f>
        <v>46221.594444444447</v>
      </c>
      <c r="U254" s="11">
        <f>IFERROR(IF(MARÍTIMOS[[#This Row],[Etapa Retiro - Ingreso]]="","",MARÍTIMOS[[#This Row],[Etapa Retiro - Ingreso]]),"")</f>
        <v>46221.614583333336</v>
      </c>
      <c r="V254" s="11">
        <f>IFERROR(IF(MARÍTIMOS[[#This Row],[Etapa Retiro - Atención]]="","",MARÍTIMOS[[#This Row],[Etapa Retiro - Atención]]),"")</f>
        <v>46221.675000000003</v>
      </c>
      <c r="W254" s="11">
        <f>IFERROR(IF(MARÍTIMOS[[#This Row],[Etapa Retiro - Salida]]="","",MARÍTIMOS[[#This Row],[Etapa Retiro - Salida]]),"")</f>
        <v>46221.886805555558</v>
      </c>
      <c r="X254" s="11">
        <f>IFERROR(IF(MARÍTIMOS[[#This Row],[Etapa Retiro - Inicio de Ruta]]="","",MARÍTIMOS[[#This Row],[Etapa Retiro - Inicio de Ruta]]),"")</f>
        <v>46221.886805555558</v>
      </c>
      <c r="Y254" s="11">
        <f>IFERROR(IF(MARÍTIMOS[[#This Row],[Hora de Posicionamiento]]="","",MARÍTIMOS[[#This Row],[Hora de Carga]]+MARÍTIMOS[[#This Row],[Hora de Posicionamiento]]),"")</f>
        <v>0.33333333333333331</v>
      </c>
      <c r="Z254" s="11">
        <f>IFERROR(IF(MARÍTIMOS[[#This Row],[Etapa Despacho -  Llegada]]="","",MARÍTIMOS[[#This Row],[Etapa Despacho -  Llegada]]),"")</f>
        <v>46222.48333333333</v>
      </c>
      <c r="AA254" s="11">
        <f>IFERROR(IF(MARÍTIMOS[[#This Row],[Etapa Despacho -  Registro]]="","",MARÍTIMOS[[#This Row],[Etapa Despacho -  Registro]]),"")</f>
        <v>46222.486805555556</v>
      </c>
      <c r="AB254" s="11">
        <f>IFERROR(IF(MARÍTIMOS[[#This Row],[Inspección Externa]]="","",MARÍTIMOS[[#This Row],[Inspección Externa]]),"")</f>
        <v>46222.510416666664</v>
      </c>
      <c r="AC254" s="11">
        <f>IFERROR(IF(MARÍTIMOS[[#This Row],[Etapa Despacho -  Inicio de Carga]]="","",MARÍTIMOS[[#This Row],[Etapa Despacho -  Inicio de Carga]]),"")</f>
        <v>46222.590277777781</v>
      </c>
      <c r="AD254" s="11">
        <f>IFERROR(IF(MARÍTIMOS[[#This Row],[Etapa Despacho -  Fin de Carga]]="","",MARÍTIMOS[[#This Row],[Etapa Despacho -  Fin de Carga]]),"")</f>
        <v>46222.666666666664</v>
      </c>
      <c r="AE254" s="11">
        <f>IFERROR(IF(MARÍTIMOS[[#This Row],[Etapa Despacho -  Salida]]="","",MARÍTIMOS[[#This Row],[Etapa Despacho -  Salida]]),"")</f>
        <v>46222.688888888886</v>
      </c>
      <c r="AF254" s="2" t="str">
        <f>IFERROR(IF(MARÍTIMOS[[#This Row],[Puerto de Embarque]]="","",MARÍTIMOS[[#This Row],[Puerto de Embarque]]),"")</f>
        <v>CALLAO</v>
      </c>
      <c r="AG254" s="2" t="str">
        <f>IFERROR(IF(MARÍTIMOS[[#This Row],[Almacén de Ingreso]]="","",MARÍTIMOS[[#This Row],[Almacén de Ingreso]]),"")</f>
        <v>DPW</v>
      </c>
      <c r="AH254" s="11">
        <f>IFERROR(IF(MARÍTIMOS[[#This Row],[Etapa Ingreso - Cita]]="","",MARÍTIMOS[[#This Row],[Etapa Ingreso - Cita]]),"")</f>
        <v>46223.416666666664</v>
      </c>
      <c r="AI254" s="11">
        <f>IFERROR(IF(MARÍTIMOS[[#This Row],[Etapa Ingreso - Llegada]]="","",MARÍTIMOS[[#This Row],[Etapa Ingreso - Llegada]]),"")</f>
        <v>46223.340277777781</v>
      </c>
      <c r="AJ254" s="11">
        <f>IFERROR(IF(MARÍTIMOS[[#This Row],[Etapa Ingreso - Ingeso]]="","",MARÍTIMOS[[#This Row],[Etapa Ingreso - Ingeso]]),"")</f>
        <v>46223.359722222223</v>
      </c>
      <c r="AK254" s="11">
        <f>IFERROR(IF(MARÍTIMOS[[#This Row],[Etapa Ingreso - Atención]]="","",MARÍTIMOS[[#This Row],[Etapa Ingreso - Atención]]),"")</f>
        <v>46223.362500000003</v>
      </c>
      <c r="AL254" s="11">
        <f>IFERROR(IF(MARÍTIMOS[[#This Row],[Etapa Ingreso - Salida]]="","",MARÍTIMOS[[#This Row],[Etapa Ingreso - Salida]]),"")</f>
        <v>46223.397222222222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54" s="5">
        <f>IFERROR(OLDBD[[#This Row],[Llegada a packing]]-OLDBD[[#This Row],[Inicio de Ruta]],"")</f>
        <v>0.59652777777228039</v>
      </c>
      <c r="AQ254" s="6">
        <f>IFERROR(OLDBD[[#This Row],[Inicio de Ruta]]-OLDBD[[#This Row],[Salida de almacén de retiro]],"")</f>
        <v>0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4" s="9">
        <f>IFERROR(OLDBD[[#This Row],[Ingreso Packing]]-OLDBD[[#This Row],[Registro en Packing]],"")</f>
        <v>2.361111110803904E-2</v>
      </c>
      <c r="AV254" s="9">
        <f>IFERROR(OLDBD[[#This Row],[Ingreso Packing]]-OLDBD[[#This Row],[Llegada a packing]],"")</f>
        <v>2.7083333334303461E-2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4" s="5">
        <f>IFERROR(OLDBD[[#This Row],[Llegada Almacén de Ingreso]]-OLDBD[[#This Row],[Salida Packing]],"")</f>
        <v>0.65138888889487134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4" s="45" t="s">
        <v>181</v>
      </c>
      <c r="BB254" s="53" t="str">
        <f>IFERROR(IF(MARÍTIMOS[[#This Row],[Estatus]]="","",MARÍTIMOS[[#This Row],[Estatus]]),"")</f>
        <v>Confirmado</v>
      </c>
      <c r="BC254" s="45"/>
      <c r="BD254" s="52">
        <f>IFERROR(OLDBD[[#This Row],[Salida de almacén de retiro]]-OLDBD[[#This Row],[Ingreso Almacén de retiro]],"")</f>
        <v>0.27222222222189885</v>
      </c>
      <c r="BE254" s="52">
        <f>IFERROR(OLDBD[[#This Row],[Fin de Carga]]-OLDBD[[#This Row],[Inicio de Carga]],"")</f>
        <v>7.6388888883229811E-2</v>
      </c>
    </row>
    <row r="255" spans="1:57" x14ac:dyDescent="0.35">
      <c r="A255" s="1"/>
      <c r="B255" s="1">
        <f>IFERROR(IF(MARÍTIMOS[[#This Row],[PP]]="","",MARÍTIMOS[[#This Row],[PP]]),"")</f>
        <v>28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RH-0189</v>
      </c>
      <c r="E255" s="1"/>
      <c r="F255" s="2" t="str">
        <f>IFERROR(IF(MARÍTIMOS[[#This Row],[Transportista]]="","",MARÍTIMOS[[#This Row],[Transportista]]),"")</f>
        <v>VESL</v>
      </c>
      <c r="G255" s="2" t="str">
        <f>IFERROR(IF(MARÍTIMOS[[#This Row],[Tercero]]="","",MARÍTIMOS[[#This Row],[Tercero]]),"")</f>
        <v>NO</v>
      </c>
      <c r="H255" s="2" t="str">
        <f>IFERROR(IF(MARÍTIMOS[[#This Row],[Razón Social]]="","",MARÍTIMOS[[#This Row],[Razón Social]]),"")</f>
        <v>VE SOLUCIONES LOGISTICAS SAC</v>
      </c>
      <c r="I255" s="2">
        <f>IFERROR(IF(MARÍTIMOS[[#This Row],[RUC]]="","",MARÍTIMOS[[#This Row],[RUC]]),"")</f>
        <v>20557679392</v>
      </c>
      <c r="J255" s="2" t="str">
        <f>IFERROR(IF(MARÍTIMOS[[#This Row],[Placa Tracto]]="","",MARÍTIMOS[[#This Row],[Placa Tracto]]),"")</f>
        <v>BYR886</v>
      </c>
      <c r="K255" s="2" t="str">
        <f>IFERROR(IF(MARÍTIMOS[[#This Row],[Placa Carreta]]="","",MARÍTIMOS[[#This Row],[Placa Carreta]]),"")</f>
        <v>AMQ980</v>
      </c>
      <c r="L255" s="46" t="str">
        <f>IFERROR(IF(MARÍTIMOS[[#This Row],[Conductor]]="","",MARÍTIMOS[[#This Row],[Conductor]]),"")</f>
        <v>CHAVEZ SAUCEDO SEGUNDO PORFIRIO</v>
      </c>
      <c r="M255" s="2" t="str">
        <f>IFERROR(IF(MARÍTIMOS[[#This Row],[Licencia]]="","",MARÍTIMOS[[#This Row],[Licencia]]),"")</f>
        <v>Q07525965</v>
      </c>
      <c r="N255" s="2" t="str">
        <f>IFERROR(IF(MARÍTIMOS[[#This Row],[Número de Contacto]]="","",MARÍTIMOS[[#This Row],[Número de Contacto]]),"")</f>
        <v/>
      </c>
      <c r="O255" s="10">
        <f>IFERROR(IF(MARÍTIMOS[[#This Row],[Booking|AWB|CRT]]="","",MARÍTIMOS[[#This Row],[Booking|AWB|CRT]]),"")</f>
        <v>751600040186</v>
      </c>
      <c r="P255" s="2" t="str">
        <f>IFERROR(IF(MARÍTIMOS[[#This Row],[Contenedor]]="","",MARÍTIMOS[[#This Row],[Contenedor]]),"")</f>
        <v>EMCU5474571</v>
      </c>
      <c r="Q255" s="2" t="str">
        <f>IFERROR(IF(MARÍTIMOS[[#This Row],[Puerto de Retiro]]="","",MARÍTIMOS[[#This Row],[Puerto de Retiro]]),"")</f>
        <v>CALLAO</v>
      </c>
      <c r="R255" s="2" t="str">
        <f>IFERROR(IF(MARÍTIMOS[[#This Row],[Almacén de Retiro]]="","",MARÍTIMOS[[#This Row],[Almacén de Retiro]]),"")</f>
        <v>FARGOLINE</v>
      </c>
      <c r="S255" s="11">
        <f>IFERROR(IF(MARÍTIMOS[[#This Row],[Etapa Retiro - Cita]]="","",MARÍTIMOS[[#This Row],[Etapa Retiro - Cita]]),"")</f>
        <v>46221.583333333336</v>
      </c>
      <c r="T255" s="11">
        <f>IFERROR(IF(MARÍTIMOS[[#This Row],[Etapa Retiro - Llegada]]="","",MARÍTIMOS[[#This Row],[Etapa Retiro - Llegada]]),"")</f>
        <v>46221.583333333336</v>
      </c>
      <c r="U255" s="11">
        <f>IFERROR(IF(MARÍTIMOS[[#This Row],[Etapa Retiro - Ingreso]]="","",MARÍTIMOS[[#This Row],[Etapa Retiro - Ingreso]]),"")</f>
        <v>46221.618055555555</v>
      </c>
      <c r="V255" s="11">
        <f>IFERROR(IF(MARÍTIMOS[[#This Row],[Etapa Retiro - Atención]]="","",MARÍTIMOS[[#This Row],[Etapa Retiro - Atención]]),"")</f>
        <v>46221.631944444445</v>
      </c>
      <c r="W255" s="11">
        <f>IFERROR(IF(MARÍTIMOS[[#This Row],[Etapa Retiro - Salida]]="","",MARÍTIMOS[[#This Row],[Etapa Retiro - Salida]]),"")</f>
        <v>46221.740277777775</v>
      </c>
      <c r="X255" s="11">
        <f>IFERROR(IF(MARÍTIMOS[[#This Row],[Etapa Retiro - Inicio de Ruta]]="","",MARÍTIMOS[[#This Row],[Etapa Retiro - Inicio de Ruta]]),"")</f>
        <v>46221.740277777775</v>
      </c>
      <c r="Y255" s="11">
        <f>IFERROR(IF(MARÍTIMOS[[#This Row],[Hora de Posicionamiento]]="","",MARÍTIMOS[[#This Row],[Hora de Carga]]+MARÍTIMOS[[#This Row],[Hora de Posicionamiento]]),"")</f>
        <v>0.33333333333333331</v>
      </c>
      <c r="Z255" s="11">
        <f>IFERROR(IF(MARÍTIMOS[[#This Row],[Etapa Despacho -  Llegada]]="","",MARÍTIMOS[[#This Row],[Etapa Despacho -  Llegada]]),"")</f>
        <v>46222.427083333336</v>
      </c>
      <c r="AA255" s="11">
        <f>IFERROR(IF(MARÍTIMOS[[#This Row],[Etapa Despacho -  Registro]]="","",MARÍTIMOS[[#This Row],[Etapa Despacho -  Registro]]),"")</f>
        <v>46222.427777777775</v>
      </c>
      <c r="AB255" s="11">
        <f>IFERROR(IF(MARÍTIMOS[[#This Row],[Inspección Externa]]="","",MARÍTIMOS[[#This Row],[Inspección Externa]]),"")</f>
        <v>46222.453472222223</v>
      </c>
      <c r="AC255" s="11">
        <f>IFERROR(IF(MARÍTIMOS[[#This Row],[Etapa Despacho -  Inicio de Carga]]="","",MARÍTIMOS[[#This Row],[Etapa Despacho -  Inicio de Carga]]),"")</f>
        <v>46222.640277777777</v>
      </c>
      <c r="AD255" s="11">
        <f>IFERROR(IF(MARÍTIMOS[[#This Row],[Etapa Despacho -  Fin de Carga]]="","",MARÍTIMOS[[#This Row],[Etapa Despacho -  Fin de Carga]]),"")</f>
        <v>46222.715277777781</v>
      </c>
      <c r="AE255" s="11">
        <f>IFERROR(IF(MARÍTIMOS[[#This Row],[Etapa Despacho -  Salida]]="","",MARÍTIMOS[[#This Row],[Etapa Despacho -  Salida]]),"")</f>
        <v>46222.730555555558</v>
      </c>
      <c r="AF255" s="2" t="str">
        <f>IFERROR(IF(MARÍTIMOS[[#This Row],[Puerto de Embarque]]="","",MARÍTIMOS[[#This Row],[Puerto de Embarque]]),"")</f>
        <v>CALLAO</v>
      </c>
      <c r="AG255" s="2" t="str">
        <f>IFERROR(IF(MARÍTIMOS[[#This Row],[Almacén de Ingreso]]="","",MARÍTIMOS[[#This Row],[Almacén de Ingreso]]),"")</f>
        <v>DPW</v>
      </c>
      <c r="AH255" s="11">
        <f>IFERROR(IF(MARÍTIMOS[[#This Row],[Etapa Ingreso - Cita]]="","",MARÍTIMOS[[#This Row],[Etapa Ingreso - Cita]]),"")</f>
        <v>46223.416666666664</v>
      </c>
      <c r="AI255" s="11">
        <f>IFERROR(IF(MARÍTIMOS[[#This Row],[Etapa Ingreso - Llegada]]="","",MARÍTIMOS[[#This Row],[Etapa Ingreso - Llegada]]),"")</f>
        <v>46223.340277777781</v>
      </c>
      <c r="AJ255" s="11">
        <f>IFERROR(IF(MARÍTIMOS[[#This Row],[Etapa Ingreso - Ingeso]]="","",MARÍTIMOS[[#This Row],[Etapa Ingreso - Ingeso]]),"")</f>
        <v>46223.36041666667</v>
      </c>
      <c r="AK255" s="11">
        <f>IFERROR(IF(MARÍTIMOS[[#This Row],[Etapa Ingreso - Atención]]="","",MARÍTIMOS[[#This Row],[Etapa Ingreso - Atención]]),"")</f>
        <v>46223.362500000003</v>
      </c>
      <c r="AL255" s="11">
        <f>IFERROR(IF(MARÍTIMOS[[#This Row],[Etapa Ingreso - Salida]]="","",MARÍTIMOS[[#This Row],[Etapa Ingreso - Salida]]),"")</f>
        <v>46223.4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5" s="5">
        <f>IFERROR(OLDBD[[#This Row],[Llegada a packing]]-OLDBD[[#This Row],[Inicio de Ruta]],"")</f>
        <v>0.68680555556056788</v>
      </c>
      <c r="AQ255" s="6">
        <f>IFERROR(OLDBD[[#This Row],[Inicio de Ruta]]-OLDBD[[#This Row],[Salida de almacén de retiro]],"")</f>
        <v>0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5" s="9">
        <f>IFERROR(OLDBD[[#This Row],[Ingreso Packing]]-OLDBD[[#This Row],[Registro en Packing]],"")</f>
        <v>2.5694444448163267E-2</v>
      </c>
      <c r="AV255" s="9">
        <f>IFERROR(OLDBD[[#This Row],[Ingreso Packing]]-OLDBD[[#This Row],[Llegada a packing]],"")</f>
        <v>2.6388888887595385E-2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5" s="5">
        <f>IFERROR(OLDBD[[#This Row],[Llegada Almacén de Ingreso]]-OLDBD[[#This Row],[Salida Packing]],"")</f>
        <v>0.60972222222335404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5" s="45" t="s">
        <v>181</v>
      </c>
      <c r="BB255" s="53" t="str">
        <f>IFERROR(IF(MARÍTIMOS[[#This Row],[Estatus]]="","",MARÍTIMOS[[#This Row],[Estatus]]),"")</f>
        <v>Confirmado</v>
      </c>
      <c r="BC255" s="45"/>
      <c r="BD255" s="52">
        <f>IFERROR(OLDBD[[#This Row],[Salida de almacén de retiro]]-OLDBD[[#This Row],[Ingreso Almacén de retiro]],"")</f>
        <v>0.12222222222044365</v>
      </c>
      <c r="BE255" s="52">
        <f>IFERROR(OLDBD[[#This Row],[Fin de Carga]]-OLDBD[[#This Row],[Inicio de Carga]],"")</f>
        <v>7.5000000004365575E-2</v>
      </c>
    </row>
    <row r="256" spans="1:57" x14ac:dyDescent="0.35">
      <c r="A256" s="1"/>
      <c r="B256" s="1">
        <f>IFERROR(IF(MARÍTIMOS[[#This Row],[PP]]="","",MARÍTIMOS[[#This Row],[PP]]),"")</f>
        <v>28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RH-0208</v>
      </c>
      <c r="E256" s="1"/>
      <c r="F256" s="2" t="str">
        <f>IFERROR(IF(MARÍTIMOS[[#This Row],[Transportista]]="","",MARÍTIMOS[[#This Row],[Transportista]]),"")</f>
        <v>VESL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VE SOLUCIONES LOGISTICAS SAC</v>
      </c>
      <c r="I256" s="2">
        <f>IFERROR(IF(MARÍTIMOS[[#This Row],[RUC]]="","",MARÍTIMOS[[#This Row],[RUC]]),"")</f>
        <v>20557679392</v>
      </c>
      <c r="J256" s="2" t="str">
        <f>IFERROR(IF(MARÍTIMOS[[#This Row],[Placa Tracto]]="","",MARÍTIMOS[[#This Row],[Placa Tracto]]),"")</f>
        <v>BFY-936</v>
      </c>
      <c r="K256" s="2" t="str">
        <f>IFERROR(IF(MARÍTIMOS[[#This Row],[Placa Carreta]]="","",MARÍTIMOS[[#This Row],[Placa Carreta]]),"")</f>
        <v>AUQ-993</v>
      </c>
      <c r="L256" s="46" t="str">
        <f>IFERROR(IF(MARÍTIMOS[[#This Row],[Conductor]]="","",MARÍTIMOS[[#This Row],[Conductor]]),"")</f>
        <v>EDWIN JESUS ANTON MARIN</v>
      </c>
      <c r="M256" s="2" t="str">
        <f>IFERROR(IF(MARÍTIMOS[[#This Row],[Licencia]]="","",MARÍTIMOS[[#This Row],[Licencia]]),"")</f>
        <v>B-005015762</v>
      </c>
      <c r="N256" s="2" t="str">
        <f>IFERROR(IF(MARÍTIMOS[[#This Row],[Número de Contacto]]="","",MARÍTIMOS[[#This Row],[Número de Contacto]]),"")</f>
        <v/>
      </c>
      <c r="O256" s="10" t="str">
        <f>IFERROR(IF(MARÍTIMOS[[#This Row],[Booking|AWB|CRT]]="","",MARÍTIMOS[[#This Row],[Booking|AWB|CRT]]),"")</f>
        <v>PER9150770A</v>
      </c>
      <c r="P256" s="2" t="str">
        <f>IFERROR(IF(MARÍTIMOS[[#This Row],[Contenedor]]="","",MARÍTIMOS[[#This Row],[Contenedor]]),"")</f>
        <v>CAAU4163052</v>
      </c>
      <c r="Q256" s="2" t="str">
        <f>IFERROR(IF(MARÍTIMOS[[#This Row],[Puerto de Retiro]]="","",MARÍTIMOS[[#This Row],[Puerto de Retiro]]),"")</f>
        <v>PAITA</v>
      </c>
      <c r="R256" s="2" t="str">
        <f>IFERROR(IF(MARÍTIMOS[[#This Row],[Almacén de Retiro]]="","",MARÍTIMOS[[#This Row],[Almacén de Retiro]]),"")</f>
        <v>DPW</v>
      </c>
      <c r="S256" s="11">
        <f>IFERROR(IF(MARÍTIMOS[[#This Row],[Etapa Retiro - Cita]]="","",MARÍTIMOS[[#This Row],[Etapa Retiro - Cita]]),"")</f>
        <v>46222.416666666664</v>
      </c>
      <c r="T256" s="11">
        <f>IFERROR(IF(MARÍTIMOS[[#This Row],[Etapa Retiro - Llegada]]="","",MARÍTIMOS[[#This Row],[Etapa Retiro - Llegada]]),"")</f>
        <v>46222.413194444445</v>
      </c>
      <c r="U256" s="11">
        <f>IFERROR(IF(MARÍTIMOS[[#This Row],[Etapa Retiro - Ingreso]]="","",MARÍTIMOS[[#This Row],[Etapa Retiro - Ingreso]]),"")</f>
        <v>46222.425694444442</v>
      </c>
      <c r="V256" s="11">
        <f>IFERROR(IF(MARÍTIMOS[[#This Row],[Etapa Retiro - Atención]]="","",MARÍTIMOS[[#This Row],[Etapa Retiro - Atención]]),"")</f>
        <v>46222.436111111114</v>
      </c>
      <c r="W256" s="11">
        <f>IFERROR(IF(MARÍTIMOS[[#This Row],[Etapa Retiro - Salida]]="","",MARÍTIMOS[[#This Row],[Etapa Retiro - Salida]]),"")</f>
        <v>46222.520138888889</v>
      </c>
      <c r="X256" s="11">
        <f>IFERROR(IF(MARÍTIMOS[[#This Row],[Etapa Retiro - Inicio de Ruta]]="","",MARÍTIMOS[[#This Row],[Etapa Retiro - Inicio de Ruta]]),"")</f>
        <v>46222.520138888889</v>
      </c>
      <c r="Y256" s="11">
        <f>IFERROR(IF(MARÍTIMOS[[#This Row],[Hora de Posicionamiento]]="","",MARÍTIMOS[[#This Row],[Hora de Carga]]+MARÍTIMOS[[#This Row],[Hora de Posicionamiento]]),"")</f>
        <v>0.33333333333333331</v>
      </c>
      <c r="Z256" s="11">
        <f>IFERROR(IF(MARÍTIMOS[[#This Row],[Etapa Despacho -  Llegada]]="","",MARÍTIMOS[[#This Row],[Etapa Despacho -  Llegada]]),"")</f>
        <v>46223.35833333333</v>
      </c>
      <c r="AA256" s="11">
        <f>IFERROR(IF(MARÍTIMOS[[#This Row],[Etapa Despacho -  Registro]]="","",MARÍTIMOS[[#This Row],[Etapa Despacho -  Registro]]),"")</f>
        <v>46223.362500000003</v>
      </c>
      <c r="AB256" s="11">
        <f>IFERROR(IF(MARÍTIMOS[[#This Row],[Inspección Externa]]="","",MARÍTIMOS[[#This Row],[Inspección Externa]]),"")</f>
        <v>46223.395138888889</v>
      </c>
      <c r="AC256" s="11">
        <f>IFERROR(IF(MARÍTIMOS[[#This Row],[Etapa Despacho -  Inicio de Carga]]="","",MARÍTIMOS[[#This Row],[Etapa Despacho -  Inicio de Carga]]),"")</f>
        <v>46223.5</v>
      </c>
      <c r="AD256" s="11">
        <f>IFERROR(IF(MARÍTIMOS[[#This Row],[Etapa Despacho -  Fin de Carga]]="","",MARÍTIMOS[[#This Row],[Etapa Despacho -  Fin de Carga]]),"")</f>
        <v>46223.555555555555</v>
      </c>
      <c r="AE256" s="11">
        <f>IFERROR(IF(MARÍTIMOS[[#This Row],[Etapa Despacho -  Salida]]="","",MARÍTIMOS[[#This Row],[Etapa Despacho -  Salida]]),"")</f>
        <v>46223.583333333336</v>
      </c>
      <c r="AF256" s="2" t="str">
        <f>IFERROR(IF(MARÍTIMOS[[#This Row],[Puerto de Embarque]]="","",MARÍTIMOS[[#This Row],[Puerto de Embarque]]),"")</f>
        <v>Paita</v>
      </c>
      <c r="AG256" s="2" t="str">
        <f>IFERROR(IF(MARÍTIMOS[[#This Row],[Almacén de Ingreso]]="","",MARÍTIMOS[[#This Row],[Almacén de Ingreso]]),"")</f>
        <v>TPE</v>
      </c>
      <c r="AH256" s="11">
        <f>IFERROR(IF(MARÍTIMOS[[#This Row],[Etapa Ingreso - Cita]]="","",MARÍTIMOS[[#This Row],[Etapa Ingreso - Cita]]),"")</f>
        <v>46224.375</v>
      </c>
      <c r="AI256" s="11">
        <f>IFERROR(IF(MARÍTIMOS[[#This Row],[Etapa Ingreso - Llegada]]="","",MARÍTIMOS[[#This Row],[Etapa Ingreso - Llegada]]),"")</f>
        <v>46224.321527777778</v>
      </c>
      <c r="AJ256" s="11">
        <f>IFERROR(IF(MARÍTIMOS[[#This Row],[Etapa Ingreso - Ingeso]]="","",MARÍTIMOS[[#This Row],[Etapa Ingreso - Ingeso]]),"")</f>
        <v>46224.326388888891</v>
      </c>
      <c r="AK256" s="11">
        <f>IFERROR(IF(MARÍTIMOS[[#This Row],[Etapa Ingreso - Atención]]="","",MARÍTIMOS[[#This Row],[Etapa Ingreso - Atención]]),"")</f>
        <v>46224.328472222223</v>
      </c>
      <c r="AL256" s="11">
        <f>IFERROR(IF(MARÍTIMOS[[#This Row],[Etapa Ingreso - Salida]]="","",MARÍTIMOS[[#This Row],[Etapa Ingreso - Salida]]),"")</f>
        <v>46224.331250000003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56" s="5">
        <f>IFERROR(OLDBD[[#This Row],[Llegada a packing]]-OLDBD[[#This Row],[Inicio de Ruta]],"")</f>
        <v>0.83819444444088731</v>
      </c>
      <c r="AQ256" s="6">
        <f>IFERROR(OLDBD[[#This Row],[Inicio de Ruta]]-OLDBD[[#This Row],[Salida de almacén de retiro]],"")</f>
        <v>0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6" s="9">
        <f>IFERROR(OLDBD[[#This Row],[Ingreso Packing]]-OLDBD[[#This Row],[Registro en Packing]],"")</f>
        <v>3.2638888886140194E-2</v>
      </c>
      <c r="AV256" s="9">
        <f>IFERROR(OLDBD[[#This Row],[Ingreso Packing]]-OLDBD[[#This Row],[Llegada a packing]],"")</f>
        <v>3.680555555911269E-2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6" s="5">
        <f>IFERROR(OLDBD[[#This Row],[Llegada Almacén de Ingreso]]-OLDBD[[#This Row],[Salida Packing]],"")</f>
        <v>0.7381944444423425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6" s="45" t="s">
        <v>181</v>
      </c>
      <c r="BB256" s="53" t="str">
        <f>IFERROR(IF(MARÍTIMOS[[#This Row],[Estatus]]="","",MARÍTIMOS[[#This Row],[Estatus]]),"")</f>
        <v>Confirmado</v>
      </c>
      <c r="BC256" s="45"/>
      <c r="BD256" s="52">
        <f>IFERROR(OLDBD[[#This Row],[Salida de almacén de retiro]]-OLDBD[[#This Row],[Ingreso Almacén de retiro]],"")</f>
        <v>9.4444444446708076E-2</v>
      </c>
      <c r="BE256" s="52">
        <f>IFERROR(OLDBD[[#This Row],[Fin de Carga]]-OLDBD[[#This Row],[Inicio de Carga]],"")</f>
        <v>5.5555555554747116E-2</v>
      </c>
    </row>
    <row r="257" spans="1:57" x14ac:dyDescent="0.35">
      <c r="A257" s="1"/>
      <c r="B257" s="1">
        <f>IFERROR(IF(MARÍTIMOS[[#This Row],[PP]]="","",MARÍTIMOS[[#This Row],[PP]]),"")</f>
        <v>28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RH-0209</v>
      </c>
      <c r="E257" s="1"/>
      <c r="F257" s="2" t="str">
        <f>IFERROR(IF(MARÍTIMOS[[#This Row],[Transportista]]="","",MARÍTIMOS[[#This Row],[Transportista]]),"")</f>
        <v>VESL</v>
      </c>
      <c r="G257" s="2" t="str">
        <f>IFERROR(IF(MARÍTIMOS[[#This Row],[Tercero]]="","",MARÍTIMOS[[#This Row],[Tercero]]),"")</f>
        <v>NO</v>
      </c>
      <c r="H257" s="2" t="str">
        <f>IFERROR(IF(MARÍTIMOS[[#This Row],[Razón Social]]="","",MARÍTIMOS[[#This Row],[Razón Social]]),"")</f>
        <v>VE SOLUCIONES LOGISTICAS SAC</v>
      </c>
      <c r="I257" s="2">
        <f>IFERROR(IF(MARÍTIMOS[[#This Row],[RUC]]="","",MARÍTIMOS[[#This Row],[RUC]]),"")</f>
        <v>20557679392</v>
      </c>
      <c r="J257" s="2" t="str">
        <f>IFERROR(IF(MARÍTIMOS[[#This Row],[Placa Tracto]]="","",MARÍTIMOS[[#This Row],[Placa Tracto]]),"")</f>
        <v>AYP-780</v>
      </c>
      <c r="K257" s="2" t="str">
        <f>IFERROR(IF(MARÍTIMOS[[#This Row],[Placa Carreta]]="","",MARÍTIMOS[[#This Row],[Placa Carreta]]),"")</f>
        <v>AUP-993</v>
      </c>
      <c r="L257" s="46" t="str">
        <f>IFERROR(IF(MARÍTIMOS[[#This Row],[Conductor]]="","",MARÍTIMOS[[#This Row],[Conductor]]),"")</f>
        <v>JOSE ALEJANDRO NUÑEZ VILLEGAS</v>
      </c>
      <c r="M257" s="2" t="str">
        <f>IFERROR(IF(MARÍTIMOS[[#This Row],[Licencia]]="","",MARÍTIMOS[[#This Row],[Licencia]]),"")</f>
        <v>Q-49028656</v>
      </c>
      <c r="N257" s="2" t="str">
        <f>IFERROR(IF(MARÍTIMOS[[#This Row],[Número de Contacto]]="","",MARÍTIMOS[[#This Row],[Número de Contacto]]),"")</f>
        <v/>
      </c>
      <c r="O257" s="10" t="str">
        <f>IFERROR(IF(MARÍTIMOS[[#This Row],[Booking|AWB|CRT]]="","",MARÍTIMOS[[#This Row],[Booking|AWB|CRT]]),"")</f>
        <v>PER9150768A</v>
      </c>
      <c r="P257" s="2" t="str">
        <f>IFERROR(IF(MARÍTIMOS[[#This Row],[Contenedor]]="","",MARÍTIMOS[[#This Row],[Contenedor]]),"")</f>
        <v>CAAU4079208</v>
      </c>
      <c r="Q257" s="2" t="str">
        <f>IFERROR(IF(MARÍTIMOS[[#This Row],[Puerto de Retiro]]="","",MARÍTIMOS[[#This Row],[Puerto de Retiro]]),"")</f>
        <v>PAITA</v>
      </c>
      <c r="R257" s="2" t="str">
        <f>IFERROR(IF(MARÍTIMOS[[#This Row],[Almacén de Retiro]]="","",MARÍTIMOS[[#This Row],[Almacén de Retiro]]),"")</f>
        <v>DPW</v>
      </c>
      <c r="S257" s="11">
        <f>IFERROR(IF(MARÍTIMOS[[#This Row],[Etapa Retiro - Cita]]="","",MARÍTIMOS[[#This Row],[Etapa Retiro - Cita]]),"")</f>
        <v>46222.416666666664</v>
      </c>
      <c r="T257" s="11">
        <f>IFERROR(IF(MARÍTIMOS[[#This Row],[Etapa Retiro - Llegada]]="","",MARÍTIMOS[[#This Row],[Etapa Retiro - Llegada]]),"")</f>
        <v>46222.418055555558</v>
      </c>
      <c r="U257" s="11">
        <f>IFERROR(IF(MARÍTIMOS[[#This Row],[Etapa Retiro - Ingreso]]="","",MARÍTIMOS[[#This Row],[Etapa Retiro - Ingreso]]),"")</f>
        <v>46222.428472222222</v>
      </c>
      <c r="V257" s="11">
        <f>IFERROR(IF(MARÍTIMOS[[#This Row],[Etapa Retiro - Atención]]="","",MARÍTIMOS[[#This Row],[Etapa Retiro - Atención]]),"")</f>
        <v>46222.436805555553</v>
      </c>
      <c r="W257" s="11">
        <f>IFERROR(IF(MARÍTIMOS[[#This Row],[Etapa Retiro - Salida]]="","",MARÍTIMOS[[#This Row],[Etapa Retiro - Salida]]),"")</f>
        <v>46222.504166666666</v>
      </c>
      <c r="X257" s="11">
        <f>IFERROR(IF(MARÍTIMOS[[#This Row],[Etapa Retiro - Inicio de Ruta]]="","",MARÍTIMOS[[#This Row],[Etapa Retiro - Inicio de Ruta]]),"")</f>
        <v>46222.504166666666</v>
      </c>
      <c r="Y257" s="11">
        <f>IFERROR(IF(MARÍTIMOS[[#This Row],[Hora de Posicionamiento]]="","",MARÍTIMOS[[#This Row],[Hora de Carga]]+MARÍTIMOS[[#This Row],[Hora de Posicionamiento]]),"")</f>
        <v>0.33333333333333331</v>
      </c>
      <c r="Z257" s="11">
        <f>IFERROR(IF(MARÍTIMOS[[#This Row],[Etapa Despacho -  Llegada]]="","",MARÍTIMOS[[#This Row],[Etapa Despacho -  Llegada]]),"")</f>
        <v>46223.359027777777</v>
      </c>
      <c r="AA257" s="11">
        <f>IFERROR(IF(MARÍTIMOS[[#This Row],[Etapa Despacho -  Registro]]="","",MARÍTIMOS[[#This Row],[Etapa Despacho -  Registro]]),"")</f>
        <v>46223.363194444442</v>
      </c>
      <c r="AB257" s="11">
        <f>IFERROR(IF(MARÍTIMOS[[#This Row],[Inspección Externa]]="","",MARÍTIMOS[[#This Row],[Inspección Externa]]),"")</f>
        <v>46223.390277777777</v>
      </c>
      <c r="AC257" s="11">
        <f>IFERROR(IF(MARÍTIMOS[[#This Row],[Etapa Despacho -  Inicio de Carga]]="","",MARÍTIMOS[[#This Row],[Etapa Despacho -  Inicio de Carga]]),"")</f>
        <v>46223.5</v>
      </c>
      <c r="AD257" s="11">
        <f>IFERROR(IF(MARÍTIMOS[[#This Row],[Etapa Despacho -  Fin de Carga]]="","",MARÍTIMOS[[#This Row],[Etapa Despacho -  Fin de Carga]]),"")</f>
        <v>46223.555555555555</v>
      </c>
      <c r="AE257" s="11">
        <f>IFERROR(IF(MARÍTIMOS[[#This Row],[Etapa Despacho -  Salida]]="","",MARÍTIMOS[[#This Row],[Etapa Despacho -  Salida]]),"")</f>
        <v>46223.586111111108</v>
      </c>
      <c r="AF257" s="2" t="str">
        <f>IFERROR(IF(MARÍTIMOS[[#This Row],[Puerto de Embarque]]="","",MARÍTIMOS[[#This Row],[Puerto de Embarque]]),"")</f>
        <v>Paita</v>
      </c>
      <c r="AG257" s="2" t="str">
        <f>IFERROR(IF(MARÍTIMOS[[#This Row],[Almacén de Ingreso]]="","",MARÍTIMOS[[#This Row],[Almacén de Ingreso]]),"")</f>
        <v>TPE</v>
      </c>
      <c r="AH257" s="11">
        <f>IFERROR(IF(MARÍTIMOS[[#This Row],[Etapa Ingreso - Cita]]="","",MARÍTIMOS[[#This Row],[Etapa Ingreso - Cita]]),"")</f>
        <v>46224.375</v>
      </c>
      <c r="AI257" s="11">
        <f>IFERROR(IF(MARÍTIMOS[[#This Row],[Etapa Ingreso - Llegada]]="","",MARÍTIMOS[[#This Row],[Etapa Ingreso - Llegada]]),"")</f>
        <v>46224.32916666667</v>
      </c>
      <c r="AJ257" s="11">
        <f>IFERROR(IF(MARÍTIMOS[[#This Row],[Etapa Ingreso - Ingeso]]="","",MARÍTIMOS[[#This Row],[Etapa Ingreso - Ingeso]]),"")</f>
        <v>46224.332638888889</v>
      </c>
      <c r="AK257" s="11">
        <f>IFERROR(IF(MARÍTIMOS[[#This Row],[Etapa Ingreso - Atención]]="","",MARÍTIMOS[[#This Row],[Etapa Ingreso - Atención]]),"")</f>
        <v>46224.334027777775</v>
      </c>
      <c r="AL257" s="11">
        <f>IFERROR(IF(MARÍTIMOS[[#This Row],[Etapa Ingreso - Salida]]="","",MARÍTIMOS[[#This Row],[Etapa Ingreso - Salida]]),"")</f>
        <v>46224.339583333334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7" s="5">
        <f>IFERROR(OLDBD[[#This Row],[Llegada a packing]]-OLDBD[[#This Row],[Inicio de Ruta]],"")</f>
        <v>0.85486111111094942</v>
      </c>
      <c r="AQ257" s="6">
        <f>IFERROR(OLDBD[[#This Row],[Inicio de Ruta]]-OLDBD[[#This Row],[Salida de almacén de retiro]],"")</f>
        <v>0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7" s="9">
        <f>IFERROR(OLDBD[[#This Row],[Ingreso Packing]]-OLDBD[[#This Row],[Registro en Packing]],"")</f>
        <v>2.7083333334303461E-2</v>
      </c>
      <c r="AV257" s="9">
        <f>IFERROR(OLDBD[[#This Row],[Ingreso Packing]]-OLDBD[[#This Row],[Llegada a packing]],"")</f>
        <v>3.125E-2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7" s="5">
        <f>IFERROR(OLDBD[[#This Row],[Llegada Almacén de Ingreso]]-OLDBD[[#This Row],[Salida Packing]],"")</f>
        <v>0.74305555556202307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7" s="45" t="s">
        <v>181</v>
      </c>
      <c r="BB257" s="53" t="str">
        <f>IFERROR(IF(MARÍTIMOS[[#This Row],[Estatus]]="","",MARÍTIMOS[[#This Row],[Estatus]]),"")</f>
        <v>Confirmado</v>
      </c>
      <c r="BC257" s="45"/>
      <c r="BD257" s="52">
        <f>IFERROR(OLDBD[[#This Row],[Salida de almacén de retiro]]-OLDBD[[#This Row],[Ingreso Almacén de retiro]],"")</f>
        <v>7.5694444443797693E-2</v>
      </c>
      <c r="BE257" s="52">
        <f>IFERROR(OLDBD[[#This Row],[Fin de Carga]]-OLDBD[[#This Row],[Inicio de Carga]],"")</f>
        <v>5.5555555554747116E-2</v>
      </c>
    </row>
    <row r="258" spans="1:57" x14ac:dyDescent="0.35">
      <c r="A258" s="1"/>
      <c r="B258" s="1">
        <f>IFERROR(IF(MARÍTIMOS[[#This Row],[PP]]="","",MARÍTIMOS[[#This Row],[PP]]),"")</f>
        <v>29</v>
      </c>
      <c r="C258" s="1" t="str">
        <f>IFERROR(IF(MARÍTIMOS[[#This Row],[Sede]]="","",MARÍTIMOS[[#This Row],[Sede]]),"")</f>
        <v>Chao</v>
      </c>
      <c r="D258" s="1" t="str">
        <f>IFERROR(IF(MARÍTIMOS[[#This Row],[Instruction]]="","",MARÍTIMOS[[#This Row],[Instruction]]),"")</f>
        <v>RH-0206</v>
      </c>
      <c r="E258" s="1"/>
      <c r="F258" s="2" t="str">
        <f>IFERROR(IF(MARÍTIMOS[[#This Row],[Transportista]]="","",MARÍTIMOS[[#This Row],[Transportista]]),"")</f>
        <v>VESL</v>
      </c>
      <c r="G258" s="2" t="str">
        <f>IFERROR(IF(MARÍTIMOS[[#This Row],[Tercero]]="","",MARÍTIMOS[[#This Row],[Tercero]]),"")</f>
        <v>NO</v>
      </c>
      <c r="H258" s="2" t="str">
        <f>IFERROR(IF(MARÍTIMOS[[#This Row],[Razón Social]]="","",MARÍTIMOS[[#This Row],[Razón Social]]),"")</f>
        <v>VE SOLUCIONES LOGISTICAS SAC</v>
      </c>
      <c r="I258" s="2">
        <f>IFERROR(IF(MARÍTIMOS[[#This Row],[RUC]]="","",MARÍTIMOS[[#This Row],[RUC]]),"")</f>
        <v>20557679392</v>
      </c>
      <c r="J258" s="2" t="str">
        <f>IFERROR(IF(MARÍTIMOS[[#This Row],[Placa Tracto]]="","",MARÍTIMOS[[#This Row],[Placa Tracto]]),"")</f>
        <v>BFY-932</v>
      </c>
      <c r="K258" s="2" t="str">
        <f>IFERROR(IF(MARÍTIMOS[[#This Row],[Placa Carreta]]="","",MARÍTIMOS[[#This Row],[Placa Carreta]]),"")</f>
        <v>AUR-970</v>
      </c>
      <c r="L258" s="46" t="str">
        <f>IFERROR(IF(MARÍTIMOS[[#This Row],[Conductor]]="","",MARÍTIMOS[[#This Row],[Conductor]]),"")</f>
        <v>YMMER JOSÉ CALDERON RODRIGUEZ</v>
      </c>
      <c r="M258" s="2" t="str">
        <f>IFERROR(IF(MARÍTIMOS[[#This Row],[Licencia]]="","",MARÍTIMOS[[#This Row],[Licencia]]),"")</f>
        <v>B-008200945</v>
      </c>
      <c r="N258" s="2" t="str">
        <f>IFERROR(IF(MARÍTIMOS[[#This Row],[Número de Contacto]]="","",MARÍTIMOS[[#This Row],[Número de Contacto]]),"")</f>
        <v/>
      </c>
      <c r="O258" s="10" t="str">
        <f>IFERROR(IF(MARÍTIMOS[[#This Row],[Booking|AWB|CRT]]="","",MARÍTIMOS[[#This Row],[Booking|AWB|CRT]]),"")</f>
        <v>PER9150729A</v>
      </c>
      <c r="P258" s="2" t="str">
        <f>IFERROR(IF(MARÍTIMOS[[#This Row],[Contenedor]]="","",MARÍTIMOS[[#This Row],[Contenedor]]),"")</f>
        <v>CAAU4162288</v>
      </c>
      <c r="Q258" s="2" t="str">
        <f>IFERROR(IF(MARÍTIMOS[[#This Row],[Puerto de Retiro]]="","",MARÍTIMOS[[#This Row],[Puerto de Retiro]]),"")</f>
        <v>PAITA</v>
      </c>
      <c r="R258" s="2" t="str">
        <f>IFERROR(IF(MARÍTIMOS[[#This Row],[Almacén de Retiro]]="","",MARÍTIMOS[[#This Row],[Almacén de Retiro]]),"")</f>
        <v>DPW</v>
      </c>
      <c r="S258" s="11">
        <f>IFERROR(IF(MARÍTIMOS[[#This Row],[Etapa Retiro - Cita]]="","",MARÍTIMOS[[#This Row],[Etapa Retiro - Cita]]),"")</f>
        <v>46223.583333333336</v>
      </c>
      <c r="T258" s="11">
        <f>IFERROR(IF(MARÍTIMOS[[#This Row],[Etapa Retiro - Llegada]]="","",MARÍTIMOS[[#This Row],[Etapa Retiro - Llegada]]),"")</f>
        <v>46223.613194444442</v>
      </c>
      <c r="U258" s="11">
        <f>IFERROR(IF(MARÍTIMOS[[#This Row],[Etapa Retiro - Ingreso]]="","",MARÍTIMOS[[#This Row],[Etapa Retiro - Ingreso]]),"")</f>
        <v>46223.647916666669</v>
      </c>
      <c r="V258" s="11">
        <f>IFERROR(IF(MARÍTIMOS[[#This Row],[Etapa Retiro - Atención]]="","",MARÍTIMOS[[#This Row],[Etapa Retiro - Atención]]),"")</f>
        <v>46223.661111111112</v>
      </c>
      <c r="W258" s="11">
        <f>IFERROR(IF(MARÍTIMOS[[#This Row],[Etapa Retiro - Salida]]="","",MARÍTIMOS[[#This Row],[Etapa Retiro - Salida]]),"")</f>
        <v>46223.724999999999</v>
      </c>
      <c r="X258" s="11">
        <f>IFERROR(IF(MARÍTIMOS[[#This Row],[Etapa Retiro - Inicio de Ruta]]="","",MARÍTIMOS[[#This Row],[Etapa Retiro - Inicio de Ruta]]),"")</f>
        <v>46223.724999999999</v>
      </c>
      <c r="Y258" s="11">
        <f>IFERROR(IF(MARÍTIMOS[[#This Row],[Hora de Posicionamiento]]="","",MARÍTIMOS[[#This Row],[Hora de Carga]]+MARÍTIMOS[[#This Row],[Hora de Posicionamiento]]),"")</f>
        <v>0.33333333333333331</v>
      </c>
      <c r="Z258" s="11">
        <f>IFERROR(IF(MARÍTIMOS[[#This Row],[Etapa Despacho -  Llegada]]="","",MARÍTIMOS[[#This Row],[Etapa Despacho -  Llegada]]),"")</f>
        <v>46224.332638888889</v>
      </c>
      <c r="AA258" s="11">
        <f>IFERROR(IF(MARÍTIMOS[[#This Row],[Etapa Despacho -  Registro]]="","",MARÍTIMOS[[#This Row],[Etapa Despacho -  Registro]]),"")</f>
        <v>46224.336805555555</v>
      </c>
      <c r="AB258" s="11">
        <f>IFERROR(IF(MARÍTIMOS[[#This Row],[Inspección Externa]]="","",MARÍTIMOS[[#This Row],[Inspección Externa]]),"")</f>
        <v>46224.334027777775</v>
      </c>
      <c r="AC258" s="11">
        <f>IFERROR(IF(MARÍTIMOS[[#This Row],[Etapa Despacho -  Inicio de Carga]]="","",MARÍTIMOS[[#This Row],[Etapa Despacho -  Inicio de Carga]]),"")</f>
        <v>46224.541666666664</v>
      </c>
      <c r="AD258" s="11">
        <f>IFERROR(IF(MARÍTIMOS[[#This Row],[Etapa Despacho -  Fin de Carga]]="","",MARÍTIMOS[[#This Row],[Etapa Despacho -  Fin de Carga]]),"")</f>
        <v>46224.604166666664</v>
      </c>
      <c r="AE258" s="11">
        <f>IFERROR(IF(MARÍTIMOS[[#This Row],[Etapa Despacho -  Salida]]="","",MARÍTIMOS[[#This Row],[Etapa Despacho -  Salida]]),"")</f>
        <v>46224.706944444442</v>
      </c>
      <c r="AF258" s="2" t="str">
        <f>IFERROR(IF(MARÍTIMOS[[#This Row],[Puerto de Embarque]]="","",MARÍTIMOS[[#This Row],[Puerto de Embarque]]),"")</f>
        <v>Paita</v>
      </c>
      <c r="AG258" s="2" t="str">
        <f>IFERROR(IF(MARÍTIMOS[[#This Row],[Almacén de Ingreso]]="","",MARÍTIMOS[[#This Row],[Almacén de Ingreso]]),"")</f>
        <v>TPE</v>
      </c>
      <c r="AH258" s="11">
        <f>IFERROR(IF(MARÍTIMOS[[#This Row],[Etapa Ingreso - Cita]]="","",MARÍTIMOS[[#This Row],[Etapa Ingreso - Cita]]),"")</f>
        <v>46225.458333333336</v>
      </c>
      <c r="AI258" s="11">
        <f>IFERROR(IF(MARÍTIMOS[[#This Row],[Etapa Ingreso - Llegada]]="","",MARÍTIMOS[[#This Row],[Etapa Ingreso - Llegada]]),"")</f>
        <v>46225.427083333336</v>
      </c>
      <c r="AJ258" s="11">
        <f>IFERROR(IF(MARÍTIMOS[[#This Row],[Etapa Ingreso - Ingeso]]="","",MARÍTIMOS[[#This Row],[Etapa Ingreso - Ingeso]]),"")</f>
        <v>46225.429861111108</v>
      </c>
      <c r="AK258" s="11">
        <f>IFERROR(IF(MARÍTIMOS[[#This Row],[Etapa Ingreso - Atención]]="","",MARÍTIMOS[[#This Row],[Etapa Ingreso - Atención]]),"")</f>
        <v>46225.431944444441</v>
      </c>
      <c r="AL258" s="11">
        <f>IFERROR(IF(MARÍTIMOS[[#This Row],[Etapa Ingreso - Salida]]="","",MARÍTIMOS[[#This Row],[Etapa Ingreso - Salida]]),"")</f>
        <v>46225.436111111114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8" s="5">
        <f>IFERROR(OLDBD[[#This Row],[Llegada a packing]]-OLDBD[[#This Row],[Inicio de Ruta]],"")</f>
        <v>0.60763888889050577</v>
      </c>
      <c r="AQ258" s="6">
        <f>IFERROR(OLDBD[[#This Row],[Inicio de Ruta]]-OLDBD[[#This Row],[Salida de almacén de retiro]],"")</f>
        <v>0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8" s="9">
        <f>IFERROR(OLDBD[[#This Row],[Ingreso Packing]]-OLDBD[[#This Row],[Registro en Packing]],"")</f>
        <v>-2.7777777795563452E-3</v>
      </c>
      <c r="AV258" s="9">
        <f>IFERROR(OLDBD[[#This Row],[Ingreso Packing]]-OLDBD[[#This Row],[Llegada a packing]],"")</f>
        <v>1.3888888861401938E-3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8" s="5">
        <f>IFERROR(OLDBD[[#This Row],[Llegada Almacén de Ingreso]]-OLDBD[[#This Row],[Salida Packing]],"")</f>
        <v>0.72013888889341615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8" s="45" t="s">
        <v>181</v>
      </c>
      <c r="BB258" s="53" t="str">
        <f>IFERROR(IF(MARÍTIMOS[[#This Row],[Estatus]]="","",MARÍTIMOS[[#This Row],[Estatus]]),"")</f>
        <v>Confirmado</v>
      </c>
      <c r="BC258" s="45"/>
      <c r="BD258" s="52">
        <f>IFERROR(OLDBD[[#This Row],[Salida de almacén de retiro]]-OLDBD[[#This Row],[Ingreso Almacén de retiro]],"")</f>
        <v>7.7083333329937886E-2</v>
      </c>
      <c r="BE258" s="52">
        <f>IFERROR(OLDBD[[#This Row],[Fin de Carga]]-OLDBD[[#This Row],[Inicio de Carga]],"")</f>
        <v>6.25E-2</v>
      </c>
    </row>
    <row r="259" spans="1:57" x14ac:dyDescent="0.35">
      <c r="A259" s="1"/>
      <c r="B259" s="1">
        <f>IFERROR(IF(MARÍTIMOS[[#This Row],[PP]]="","",MARÍTIMOS[[#This Row],[PP]]),"")</f>
        <v>29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RH-0210</v>
      </c>
      <c r="E259" s="1"/>
      <c r="F259" s="2" t="str">
        <f>IFERROR(IF(MARÍTIMOS[[#This Row],[Transportista]]="","",MARÍTIMOS[[#This Row],[Transportista]]),"")</f>
        <v>VESL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VE SOLUCIONES LOGISTICAS SAC</v>
      </c>
      <c r="I259" s="2">
        <f>IFERROR(IF(MARÍTIMOS[[#This Row],[RUC]]="","",MARÍTIMOS[[#This Row],[RUC]]),"")</f>
        <v>20557679392</v>
      </c>
      <c r="J259" s="2" t="str">
        <f>IFERROR(IF(MARÍTIMOS[[#This Row],[Placa Tracto]]="","",MARÍTIMOS[[#This Row],[Placa Tracto]]),"")</f>
        <v>BFY-931</v>
      </c>
      <c r="K259" s="2" t="str">
        <f>IFERROR(IF(MARÍTIMOS[[#This Row],[Placa Carreta]]="","",MARÍTIMOS[[#This Row],[Placa Carreta]]),"")</f>
        <v>F5X-983</v>
      </c>
      <c r="L259" s="46" t="str">
        <f>IFERROR(IF(MARÍTIMOS[[#This Row],[Conductor]]="","",MARÍTIMOS[[#This Row],[Conductor]]),"")</f>
        <v>RICHARD CLEY CALDERÓN RODRIGUEZ</v>
      </c>
      <c r="M259" s="2" t="str">
        <f>IFERROR(IF(MARÍTIMOS[[#This Row],[Licencia]]="","",MARÍTIMOS[[#This Row],[Licencia]]),"")</f>
        <v>B-003228182</v>
      </c>
      <c r="N259" s="2" t="str">
        <f>IFERROR(IF(MARÍTIMOS[[#This Row],[Número de Contacto]]="","",MARÍTIMOS[[#This Row],[Número de Contacto]]),"")</f>
        <v/>
      </c>
      <c r="O259" s="10" t="str">
        <f>IFERROR(IF(MARÍTIMOS[[#This Row],[Booking|AWB|CRT]]="","",MARÍTIMOS[[#This Row],[Booking|AWB|CRT]]),"")</f>
        <v>PER9150771A</v>
      </c>
      <c r="P259" s="2" t="str">
        <f>IFERROR(IF(MARÍTIMOS[[#This Row],[Contenedor]]="","",MARÍTIMOS[[#This Row],[Contenedor]]),"")</f>
        <v>TXGU9032157</v>
      </c>
      <c r="Q259" s="2" t="str">
        <f>IFERROR(IF(MARÍTIMOS[[#This Row],[Puerto de Retiro]]="","",MARÍTIMOS[[#This Row],[Puerto de Retiro]]),"")</f>
        <v>PAITA</v>
      </c>
      <c r="R259" s="2" t="str">
        <f>IFERROR(IF(MARÍTIMOS[[#This Row],[Almacén de Retiro]]="","",MARÍTIMOS[[#This Row],[Almacén de Retiro]]),"")</f>
        <v>DPW</v>
      </c>
      <c r="S259" s="11">
        <f>IFERROR(IF(MARÍTIMOS[[#This Row],[Etapa Retiro - Cita]]="","",MARÍTIMOS[[#This Row],[Etapa Retiro - Cita]]),"")</f>
        <v>46223.583333333336</v>
      </c>
      <c r="T259" s="11">
        <f>IFERROR(IF(MARÍTIMOS[[#This Row],[Etapa Retiro - Llegada]]="","",MARÍTIMOS[[#This Row],[Etapa Retiro - Llegada]]),"")</f>
        <v>46223.613888888889</v>
      </c>
      <c r="U259" s="11">
        <f>IFERROR(IF(MARÍTIMOS[[#This Row],[Etapa Retiro - Ingreso]]="","",MARÍTIMOS[[#This Row],[Etapa Retiro - Ingreso]]),"")</f>
        <v>46223.651388888888</v>
      </c>
      <c r="V259" s="11">
        <f>IFERROR(IF(MARÍTIMOS[[#This Row],[Etapa Retiro - Atención]]="","",MARÍTIMOS[[#This Row],[Etapa Retiro - Atención]]),"")</f>
        <v>46223.667361111111</v>
      </c>
      <c r="W259" s="11">
        <f>IFERROR(IF(MARÍTIMOS[[#This Row],[Etapa Retiro - Salida]]="","",MARÍTIMOS[[#This Row],[Etapa Retiro - Salida]]),"")</f>
        <v>46223.701388888891</v>
      </c>
      <c r="X259" s="11">
        <f>IFERROR(IF(MARÍTIMOS[[#This Row],[Etapa Retiro - Inicio de Ruta]]="","",MARÍTIMOS[[#This Row],[Etapa Retiro - Inicio de Ruta]]),"")</f>
        <v>46223.701388888891</v>
      </c>
      <c r="Y259" s="11">
        <f>IFERROR(IF(MARÍTIMOS[[#This Row],[Hora de Posicionamiento]]="","",MARÍTIMOS[[#This Row],[Hora de Carga]]+MARÍTIMOS[[#This Row],[Hora de Posicionamiento]]),"")</f>
        <v>0.33333333333333331</v>
      </c>
      <c r="Z259" s="11">
        <f>IFERROR(IF(MARÍTIMOS[[#This Row],[Etapa Despacho -  Llegada]]="","",MARÍTIMOS[[#This Row],[Etapa Despacho -  Llegada]]),"")</f>
        <v>46224.333333333336</v>
      </c>
      <c r="AA259" s="11">
        <f>IFERROR(IF(MARÍTIMOS[[#This Row],[Etapa Despacho -  Registro]]="","",MARÍTIMOS[[#This Row],[Etapa Despacho -  Registro]]),"")</f>
        <v>46224.336805555555</v>
      </c>
      <c r="AB259" s="11">
        <f>IFERROR(IF(MARÍTIMOS[[#This Row],[Inspección Externa]]="","",MARÍTIMOS[[#This Row],[Inspección Externa]]),"")</f>
        <v>46224.34375</v>
      </c>
      <c r="AC259" s="11">
        <f>IFERROR(IF(MARÍTIMOS[[#This Row],[Etapa Despacho -  Inicio de Carga]]="","",MARÍTIMOS[[#This Row],[Etapa Despacho -  Inicio de Carga]]),"")</f>
        <v>46224.5625</v>
      </c>
      <c r="AD259" s="11">
        <f>IFERROR(IF(MARÍTIMOS[[#This Row],[Etapa Despacho -  Fin de Carga]]="","",MARÍTIMOS[[#This Row],[Etapa Despacho -  Fin de Carga]]),"")</f>
        <v>46224.666666666664</v>
      </c>
      <c r="AE259" s="11">
        <f>IFERROR(IF(MARÍTIMOS[[#This Row],[Etapa Despacho -  Salida]]="","",MARÍTIMOS[[#This Row],[Etapa Despacho -  Salida]]),"")</f>
        <v>46224.705555555556</v>
      </c>
      <c r="AF259" s="2" t="str">
        <f>IFERROR(IF(MARÍTIMOS[[#This Row],[Puerto de Embarque]]="","",MARÍTIMOS[[#This Row],[Puerto de Embarque]]),"")</f>
        <v>Paita</v>
      </c>
      <c r="AG259" s="2" t="str">
        <f>IFERROR(IF(MARÍTIMOS[[#This Row],[Almacén de Ingreso]]="","",MARÍTIMOS[[#This Row],[Almacén de Ingreso]]),"")</f>
        <v>TPE</v>
      </c>
      <c r="AH259" s="11">
        <f>IFERROR(IF(MARÍTIMOS[[#This Row],[Etapa Ingreso - Cita]]="","",MARÍTIMOS[[#This Row],[Etapa Ingreso - Cita]]),"")</f>
        <v>46225.458333333336</v>
      </c>
      <c r="AI259" s="11">
        <f>IFERROR(IF(MARÍTIMOS[[#This Row],[Etapa Ingreso - Llegada]]="","",MARÍTIMOS[[#This Row],[Etapa Ingreso - Llegada]]),"")</f>
        <v>46225.443055555559</v>
      </c>
      <c r="AJ259" s="11">
        <f>IFERROR(IF(MARÍTIMOS[[#This Row],[Etapa Ingreso - Ingeso]]="","",MARÍTIMOS[[#This Row],[Etapa Ingreso - Ingeso]]),"")</f>
        <v>46225.454861111109</v>
      </c>
      <c r="AK259" s="11">
        <f>IFERROR(IF(MARÍTIMOS[[#This Row],[Etapa Ingreso - Atención]]="","",MARÍTIMOS[[#This Row],[Etapa Ingreso - Atención]]),"")</f>
        <v>46225.459722222222</v>
      </c>
      <c r="AL259" s="11">
        <f>IFERROR(IF(MARÍTIMOS[[#This Row],[Etapa Ingreso - Salida]]="","",MARÍTIMOS[[#This Row],[Etapa Ingreso - Salida]]),"")</f>
        <v>46225.463888888888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9" s="5">
        <f>IFERROR(OLDBD[[#This Row],[Llegada a packing]]-OLDBD[[#This Row],[Inicio de Ruta]],"")</f>
        <v>0.63194444444525288</v>
      </c>
      <c r="AQ259" s="6">
        <f>IFERROR(OLDBD[[#This Row],[Inicio de Ruta]]-OLDBD[[#This Row],[Salida de almacén de retiro]],"")</f>
        <v>0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9" s="9">
        <f>IFERROR(OLDBD[[#This Row],[Ingreso Packing]]-OLDBD[[#This Row],[Registro en Packing]],"")</f>
        <v>6.9444444452528842E-3</v>
      </c>
      <c r="AV259" s="9">
        <f>IFERROR(OLDBD[[#This Row],[Ingreso Packing]]-OLDBD[[#This Row],[Llegada a packing]],"")</f>
        <v>1.0416666664241347E-2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9" s="5">
        <f>IFERROR(OLDBD[[#This Row],[Llegada Almacén de Ingreso]]-OLDBD[[#This Row],[Salida Packing]],"")</f>
        <v>0.73750000000291038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9" s="45" t="s">
        <v>181</v>
      </c>
      <c r="BB259" s="53" t="str">
        <f>IFERROR(IF(MARÍTIMOS[[#This Row],[Estatus]]="","",MARÍTIMOS[[#This Row],[Estatus]]),"")</f>
        <v>Confirmado</v>
      </c>
      <c r="BC259" s="45"/>
      <c r="BD259" s="52">
        <f>IFERROR(OLDBD[[#This Row],[Salida de almacén de retiro]]-OLDBD[[#This Row],[Ingreso Almacén de retiro]],"")</f>
        <v>5.0000000002910383E-2</v>
      </c>
      <c r="BE259" s="52">
        <f>IFERROR(OLDBD[[#This Row],[Fin de Carga]]-OLDBD[[#This Row],[Inicio de Carga]],"")</f>
        <v>0.10416666666424135</v>
      </c>
    </row>
    <row r="260" spans="1:57" x14ac:dyDescent="0.35">
      <c r="A260" s="1"/>
      <c r="B260" s="1">
        <f>IFERROR(IF(MARÍTIMOS[[#This Row],[PP]]="","",MARÍTIMOS[[#This Row],[PP]]),"")</f>
        <v>29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RH-0211</v>
      </c>
      <c r="E260" s="1"/>
      <c r="F260" s="2" t="str">
        <f>IFERROR(IF(MARÍTIMOS[[#This Row],[Transportista]]="","",MARÍTIMOS[[#This Row],[Transportista]]),"")</f>
        <v>VESL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VE SOLUCIONES LOGISTICAS SAC</v>
      </c>
      <c r="I260" s="2">
        <f>IFERROR(IF(MARÍTIMOS[[#This Row],[RUC]]="","",MARÍTIMOS[[#This Row],[RUC]]),"")</f>
        <v>20557679392</v>
      </c>
      <c r="J260" s="2" t="str">
        <f>IFERROR(IF(MARÍTIMOS[[#This Row],[Placa Tracto]]="","",MARÍTIMOS[[#This Row],[Placa Tracto]]),"")</f>
        <v>BFY-937</v>
      </c>
      <c r="K260" s="2" t="str">
        <f>IFERROR(IF(MARÍTIMOS[[#This Row],[Placa Carreta]]="","",MARÍTIMOS[[#This Row],[Placa Carreta]]),"")</f>
        <v>AUT-994</v>
      </c>
      <c r="L260" s="46" t="str">
        <f>IFERROR(IF(MARÍTIMOS[[#This Row],[Conductor]]="","",MARÍTIMOS[[#This Row],[Conductor]]),"")</f>
        <v>JOSE ALBERTO TROYA GONZALEZ</v>
      </c>
      <c r="M260" s="2" t="str">
        <f>IFERROR(IF(MARÍTIMOS[[#This Row],[Licencia]]="","",MARÍTIMOS[[#This Row],[Licencia]]),"")</f>
        <v>B-005147608</v>
      </c>
      <c r="N260" s="2" t="str">
        <f>IFERROR(IF(MARÍTIMOS[[#This Row],[Número de Contacto]]="","",MARÍTIMOS[[#This Row],[Número de Contacto]]),"")</f>
        <v/>
      </c>
      <c r="O260" s="10" t="str">
        <f>IFERROR(IF(MARÍTIMOS[[#This Row],[Booking|AWB|CRT]]="","",MARÍTIMOS[[#This Row],[Booking|AWB|CRT]]),"")</f>
        <v>PER9150772A</v>
      </c>
      <c r="P260" s="2" t="str">
        <f>IFERROR(IF(MARÍTIMOS[[#This Row],[Contenedor]]="","",MARÍTIMOS[[#This Row],[Contenedor]]),"")</f>
        <v>CAAU4164275</v>
      </c>
      <c r="Q260" s="2" t="str">
        <f>IFERROR(IF(MARÍTIMOS[[#This Row],[Puerto de Retiro]]="","",MARÍTIMOS[[#This Row],[Puerto de Retiro]]),"")</f>
        <v>PAITA</v>
      </c>
      <c r="R260" s="2" t="str">
        <f>IFERROR(IF(MARÍTIMOS[[#This Row],[Almacén de Retiro]]="","",MARÍTIMOS[[#This Row],[Almacén de Retiro]]),"")</f>
        <v>DPW</v>
      </c>
      <c r="S260" s="11">
        <f>IFERROR(IF(MARÍTIMOS[[#This Row],[Etapa Retiro - Cita]]="","",MARÍTIMOS[[#This Row],[Etapa Retiro - Cita]]),"")</f>
        <v>46223.583333333336</v>
      </c>
      <c r="T260" s="11">
        <f>IFERROR(IF(MARÍTIMOS[[#This Row],[Etapa Retiro - Llegada]]="","",MARÍTIMOS[[#This Row],[Etapa Retiro - Llegada]]),"")</f>
        <v>46223.583333333336</v>
      </c>
      <c r="U260" s="11">
        <f>IFERROR(IF(MARÍTIMOS[[#This Row],[Etapa Retiro - Ingreso]]="","",MARÍTIMOS[[#This Row],[Etapa Retiro - Ingreso]]),"")</f>
        <v>46223.614583333336</v>
      </c>
      <c r="V260" s="11">
        <f>IFERROR(IF(MARÍTIMOS[[#This Row],[Etapa Retiro - Atención]]="","",MARÍTIMOS[[#This Row],[Etapa Retiro - Atención]]),"")</f>
        <v>46223.625</v>
      </c>
      <c r="W260" s="11">
        <f>IFERROR(IF(MARÍTIMOS[[#This Row],[Etapa Retiro - Salida]]="","",MARÍTIMOS[[#This Row],[Etapa Retiro - Salida]]),"")</f>
        <v>46223.666666666664</v>
      </c>
      <c r="X260" s="11">
        <f>IFERROR(IF(MARÍTIMOS[[#This Row],[Etapa Retiro - Inicio de Ruta]]="","",MARÍTIMOS[[#This Row],[Etapa Retiro - Inicio de Ruta]]),"")</f>
        <v>46223.666666666664</v>
      </c>
      <c r="Y260" s="11">
        <f>IFERROR(IF(MARÍTIMOS[[#This Row],[Hora de Posicionamiento]]="","",MARÍTIMOS[[#This Row],[Hora de Carga]]+MARÍTIMOS[[#This Row],[Hora de Posicionamiento]]),"")</f>
        <v>0.5</v>
      </c>
      <c r="Z260" s="11">
        <f>IFERROR(IF(MARÍTIMOS[[#This Row],[Etapa Despacho -  Llegada]]="","",MARÍTIMOS[[#This Row],[Etapa Despacho -  Llegada]]),"")</f>
        <v>46224.333333333336</v>
      </c>
      <c r="AA260" s="11">
        <f>IFERROR(IF(MARÍTIMOS[[#This Row],[Etapa Despacho -  Registro]]="","",MARÍTIMOS[[#This Row],[Etapa Despacho -  Registro]]),"")</f>
        <v>46224.337500000001</v>
      </c>
      <c r="AB260" s="11">
        <f>IFERROR(IF(MARÍTIMOS[[#This Row],[Inspección Externa]]="","",MARÍTIMOS[[#This Row],[Inspección Externa]]),"")</f>
        <v>46224.34375</v>
      </c>
      <c r="AC260" s="11">
        <f>IFERROR(IF(MARÍTIMOS[[#This Row],[Etapa Despacho -  Inicio de Carga]]="","",MARÍTIMOS[[#This Row],[Etapa Despacho -  Inicio de Carga]]),"")</f>
        <v>46224.583333333336</v>
      </c>
      <c r="AD260" s="11">
        <f>IFERROR(IF(MARÍTIMOS[[#This Row],[Etapa Despacho -  Fin de Carga]]="","",MARÍTIMOS[[#This Row],[Etapa Despacho -  Fin de Carga]]),"")</f>
        <v>46224.6875</v>
      </c>
      <c r="AE260" s="11">
        <f>IFERROR(IF(MARÍTIMOS[[#This Row],[Etapa Despacho -  Salida]]="","",MARÍTIMOS[[#This Row],[Etapa Despacho -  Salida]]),"")</f>
        <v>46224.706944444442</v>
      </c>
      <c r="AF260" s="2" t="str">
        <f>IFERROR(IF(MARÍTIMOS[[#This Row],[Puerto de Embarque]]="","",MARÍTIMOS[[#This Row],[Puerto de Embarque]]),"")</f>
        <v>Paita</v>
      </c>
      <c r="AG260" s="2" t="str">
        <f>IFERROR(IF(MARÍTIMOS[[#This Row],[Almacén de Ingreso]]="","",MARÍTIMOS[[#This Row],[Almacén de Ingreso]]),"")</f>
        <v>TPE</v>
      </c>
      <c r="AH260" s="11">
        <f>IFERROR(IF(MARÍTIMOS[[#This Row],[Etapa Ingreso - Cita]]="","",MARÍTIMOS[[#This Row],[Etapa Ingreso - Cita]]),"")</f>
        <v>46225.25</v>
      </c>
      <c r="AI260" s="11">
        <f>IFERROR(IF(MARÍTIMOS[[#This Row],[Etapa Ingreso - Llegada]]="","",MARÍTIMOS[[#This Row],[Etapa Ingreso - Llegada]]),"")</f>
        <v>46225.191666666666</v>
      </c>
      <c r="AJ260" s="11">
        <f>IFERROR(IF(MARÍTIMOS[[#This Row],[Etapa Ingreso - Ingeso]]="","",MARÍTIMOS[[#This Row],[Etapa Ingreso - Ingeso]]),"")</f>
        <v>46225.198611111111</v>
      </c>
      <c r="AK260" s="11">
        <f>IFERROR(IF(MARÍTIMOS[[#This Row],[Etapa Ingreso - Atención]]="","",MARÍTIMOS[[#This Row],[Etapa Ingreso - Atención]]),"")</f>
        <v>46225.200694444444</v>
      </c>
      <c r="AL260" s="11">
        <f>IFERROR(IF(MARÍTIMOS[[#This Row],[Etapa Ingreso - Salida]]="","",MARÍTIMOS[[#This Row],[Etapa Ingreso - Salida]]),"")</f>
        <v>46225.202777777777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0" s="5">
        <f>IFERROR(OLDBD[[#This Row],[Llegada a packing]]-OLDBD[[#This Row],[Inicio de Ruta]],"")</f>
        <v>0.66666666667151731</v>
      </c>
      <c r="AQ260" s="6">
        <f>IFERROR(OLDBD[[#This Row],[Inicio de Ruta]]-OLDBD[[#This Row],[Salida de almacén de retiro]],"")</f>
        <v>0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0" s="9">
        <f>IFERROR(OLDBD[[#This Row],[Ingreso Packing]]-OLDBD[[#This Row],[Registro en Packing]],"")</f>
        <v>6.2499999985448085E-3</v>
      </c>
      <c r="AV260" s="9">
        <f>IFERROR(OLDBD[[#This Row],[Ingreso Packing]]-OLDBD[[#This Row],[Llegada a packing]],"")</f>
        <v>1.0416666664241347E-2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0" s="5">
        <f>IFERROR(OLDBD[[#This Row],[Llegada Almacén de Ingreso]]-OLDBD[[#This Row],[Salida Packing]],"")</f>
        <v>0.48472222222335404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0" s="45" t="s">
        <v>181</v>
      </c>
      <c r="BB260" s="53" t="str">
        <f>IFERROR(IF(MARÍTIMOS[[#This Row],[Estatus]]="","",MARÍTIMOS[[#This Row],[Estatus]]),"")</f>
        <v>Confirmado</v>
      </c>
      <c r="BC260" s="45"/>
      <c r="BD260" s="52">
        <f>IFERROR(OLDBD[[#This Row],[Salida de almacén de retiro]]-OLDBD[[#This Row],[Ingreso Almacén de retiro]],"")</f>
        <v>5.2083333328482695E-2</v>
      </c>
      <c r="BE260" s="52">
        <f>IFERROR(OLDBD[[#This Row],[Fin de Carga]]-OLDBD[[#This Row],[Inicio de Carga]],"")</f>
        <v>0.10416666666424135</v>
      </c>
    </row>
    <row r="261" spans="1:57" x14ac:dyDescent="0.35">
      <c r="A261" s="1"/>
      <c r="B261" s="1">
        <f>IFERROR(IF(MARÍTIMOS[[#This Row],[PP]]="","",MARÍTIMOS[[#This Row],[PP]]),"")</f>
        <v>29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RH-0262</v>
      </c>
      <c r="E261" s="1"/>
      <c r="F261" s="2" t="str">
        <f>IFERROR(IF(MARÍTIMOS[[#This Row],[Transportista]]="","",MARÍTIMOS[[#This Row],[Transportista]]),"")</f>
        <v>VESL</v>
      </c>
      <c r="G261" s="2" t="str">
        <f>IFERROR(IF(MARÍTIMOS[[#This Row],[Tercero]]="","",MARÍTIMOS[[#This Row],[Tercero]]),"")</f>
        <v>NO</v>
      </c>
      <c r="H261" s="2" t="str">
        <f>IFERROR(IF(MARÍTIMOS[[#This Row],[Razón Social]]="","",MARÍTIMOS[[#This Row],[Razón Social]]),"")</f>
        <v>VE SOLUCIONES LOGISTICAS SAC</v>
      </c>
      <c r="I261" s="2">
        <f>IFERROR(IF(MARÍTIMOS[[#This Row],[RUC]]="","",MARÍTIMOS[[#This Row],[RUC]]),"")</f>
        <v>20557679392</v>
      </c>
      <c r="J261" s="2" t="str">
        <f>IFERROR(IF(MARÍTIMOS[[#This Row],[Placa Tracto]]="","",MARÍTIMOS[[#This Row],[Placa Tracto]]),"")</f>
        <v>BFY936</v>
      </c>
      <c r="K261" s="2" t="str">
        <f>IFERROR(IF(MARÍTIMOS[[#This Row],[Placa Carreta]]="","",MARÍTIMOS[[#This Row],[Placa Carreta]]),"")</f>
        <v>AUQ993</v>
      </c>
      <c r="L261" s="46" t="str">
        <f>IFERROR(IF(MARÍTIMOS[[#This Row],[Conductor]]="","",MARÍTIMOS[[#This Row],[Conductor]]),"")</f>
        <v>EDWIN JESUS ANTON MARIN</v>
      </c>
      <c r="M261" s="2" t="str">
        <f>IFERROR(IF(MARÍTIMOS[[#This Row],[Licencia]]="","",MARÍTIMOS[[#This Row],[Licencia]]),"")</f>
        <v>B006469382</v>
      </c>
      <c r="N261" s="2" t="str">
        <f>IFERROR(IF(MARÍTIMOS[[#This Row],[Número de Contacto]]="","",MARÍTIMOS[[#This Row],[Número de Contacto]]),"")</f>
        <v/>
      </c>
      <c r="O261" s="10" t="str">
        <f>IFERROR(IF(MARÍTIMOS[[#This Row],[Booking|AWB|CRT]]="","",MARÍTIMOS[[#This Row],[Booking|AWB|CRT]]),"")</f>
        <v>PER9160158A</v>
      </c>
      <c r="P261" s="2" t="str">
        <f>IFERROR(IF(MARÍTIMOS[[#This Row],[Contenedor]]="","",MARÍTIMOS[[#This Row],[Contenedor]]),"")</f>
        <v>SEKU9420564</v>
      </c>
      <c r="Q261" s="2" t="str">
        <f>IFERROR(IF(MARÍTIMOS[[#This Row],[Puerto de Retiro]]="","",MARÍTIMOS[[#This Row],[Puerto de Retiro]]),"")</f>
        <v>PAITA</v>
      </c>
      <c r="R261" s="2" t="str">
        <f>IFERROR(IF(MARÍTIMOS[[#This Row],[Almacén de Retiro]]="","",MARÍTIMOS[[#This Row],[Almacén de Retiro]]),"")</f>
        <v>TPP</v>
      </c>
      <c r="S261" s="11">
        <f>IFERROR(IF(MARÍTIMOS[[#This Row],[Etapa Retiro - Cita]]="","",MARÍTIMOS[[#This Row],[Etapa Retiro - Cita]]),"")</f>
        <v>46227.583333333336</v>
      </c>
      <c r="T261" s="11">
        <f>IFERROR(IF(MARÍTIMOS[[#This Row],[Etapa Retiro - Llegada]]="","",MARÍTIMOS[[#This Row],[Etapa Retiro - Llegada]]),"")</f>
        <v>46227.54791666667</v>
      </c>
      <c r="U261" s="11">
        <f>IFERROR(IF(MARÍTIMOS[[#This Row],[Etapa Retiro - Ingreso]]="","",MARÍTIMOS[[#This Row],[Etapa Retiro - Ingreso]]),"")</f>
        <v>46227.628472222219</v>
      </c>
      <c r="V261" s="11">
        <f>IFERROR(IF(MARÍTIMOS[[#This Row],[Etapa Retiro - Atención]]="","",MARÍTIMOS[[#This Row],[Etapa Retiro - Atención]]),"")</f>
        <v>46227.630555555559</v>
      </c>
      <c r="W261" s="11">
        <f>IFERROR(IF(MARÍTIMOS[[#This Row],[Etapa Retiro - Salida]]="","",MARÍTIMOS[[#This Row],[Etapa Retiro - Salida]]),"")</f>
        <v>46227.682638888888</v>
      </c>
      <c r="X261" s="11">
        <f>IFERROR(IF(MARÍTIMOS[[#This Row],[Etapa Retiro - Inicio de Ruta]]="","",MARÍTIMOS[[#This Row],[Etapa Retiro - Inicio de Ruta]]),"")</f>
        <v>46227.682638888888</v>
      </c>
      <c r="Y261" s="11">
        <f>IFERROR(IF(MARÍTIMOS[[#This Row],[Hora de Posicionamiento]]="","",MARÍTIMOS[[#This Row],[Hora de Carga]]+MARÍTIMOS[[#This Row],[Hora de Posicionamiento]]),"")</f>
        <v>0.33333333333333331</v>
      </c>
      <c r="Z261" s="11" t="str">
        <f>IFERROR(IF(MARÍTIMOS[[#This Row],[Etapa Despacho -  Llegada]]="","",MARÍTIMOS[[#This Row],[Etapa Despacho -  Llegada]]),"")</f>
        <v/>
      </c>
      <c r="AA261" s="11" t="str">
        <f>IFERROR(IF(MARÍTIMOS[[#This Row],[Etapa Despacho -  Registro]]="","",MARÍTIMOS[[#This Row],[Etapa Despacho -  Registro]]),"")</f>
        <v/>
      </c>
      <c r="AB261" s="11" t="str">
        <f>IFERROR(IF(MARÍTIMOS[[#This Row],[Inspección Externa]]="","",MARÍTIMOS[[#This Row],[Inspección Externa]]),"")</f>
        <v/>
      </c>
      <c r="AC261" s="11" t="str">
        <f>IFERROR(IF(MARÍTIMOS[[#This Row],[Etapa Despacho -  Inicio de Carga]]="","",MARÍTIMOS[[#This Row],[Etapa Despacho -  Inicio de Carga]]),"")</f>
        <v/>
      </c>
      <c r="AD261" s="11" t="str">
        <f>IFERROR(IF(MARÍTIMOS[[#This Row],[Etapa Despacho -  Fin de Carga]]="","",MARÍTIMOS[[#This Row],[Etapa Despacho -  Fin de Carga]]),"")</f>
        <v/>
      </c>
      <c r="AE261" s="11" t="str">
        <f>IFERROR(IF(MARÍTIMOS[[#This Row],[Etapa Despacho -  Salida]]="","",MARÍTIMOS[[#This Row],[Etapa Despacho -  Salida]]),"")</f>
        <v/>
      </c>
      <c r="AF261" s="2" t="str">
        <f>IFERROR(IF(MARÍTIMOS[[#This Row],[Puerto de Embarque]]="","",MARÍTIMOS[[#This Row],[Puerto de Embarque]]),"")</f>
        <v>Paita</v>
      </c>
      <c r="AG261" s="2" t="str">
        <f>IFERROR(IF(MARÍTIMOS[[#This Row],[Almacén de Ingreso]]="","",MARÍTIMOS[[#This Row],[Almacén de Ingreso]]),"")</f>
        <v>TPE</v>
      </c>
      <c r="AH261" s="11">
        <f>IFERROR(IF(MARÍTIMOS[[#This Row],[Etapa Ingreso - Cita]]="","",MARÍTIMOS[[#This Row],[Etapa Ingreso - Cita]]),"")</f>
        <v>46227.833333333336</v>
      </c>
      <c r="AI261" s="11">
        <f>IFERROR(IF(MARÍTIMOS[[#This Row],[Etapa Ingreso - Llegada]]="","",MARÍTIMOS[[#This Row],[Etapa Ingreso - Llegada]]),"")</f>
        <v>46227.775000000001</v>
      </c>
      <c r="AJ261" s="11">
        <f>IFERROR(IF(MARÍTIMOS[[#This Row],[Etapa Ingreso - Ingeso]]="","",MARÍTIMOS[[#This Row],[Etapa Ingreso - Ingeso]]),"")</f>
        <v>46227.832638888889</v>
      </c>
      <c r="AK261" s="11">
        <f>IFERROR(IF(MARÍTIMOS[[#This Row],[Etapa Ingreso - Atención]]="","",MARÍTIMOS[[#This Row],[Etapa Ingreso - Atención]]),"")</f>
        <v>46227.833333333336</v>
      </c>
      <c r="AL261" s="11">
        <f>IFERROR(IF(MARÍTIMOS[[#This Row],[Etapa Ingreso - Salida]]="","",MARÍTIMOS[[#This Row],[Etapa Ingreso - Salida]]),"")</f>
        <v>46227.835416666669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1" s="5" t="str">
        <f>IFERROR(OLDBD[[#This Row],[Llegada a packing]]-OLDBD[[#This Row],[Inicio de Ruta]],"")</f>
        <v/>
      </c>
      <c r="AQ261" s="6">
        <f>IFERROR(OLDBD[[#This Row],[Inicio de Ruta]]-OLDBD[[#This Row],[Salida de almacén de retiro]],"")</f>
        <v>0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61" s="9" t="str">
        <f>IFERROR(OLDBD[[#This Row],[Ingreso Packing]]-OLDBD[[#This Row],[Registro en Packing]],"")</f>
        <v/>
      </c>
      <c r="AV261" s="9" t="str">
        <f>IFERROR(OLDBD[[#This Row],[Ingreso Packing]]-OLDBD[[#This Row],[Llegada a packing]],"")</f>
        <v/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61" s="5" t="str">
        <f>IFERROR(OLDBD[[#This Row],[Llegada Almacén de Ingreso]]-OLDBD[[#This Row],[Salida Packing]],"")</f>
        <v/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1" s="45" t="s">
        <v>181</v>
      </c>
      <c r="BB261" s="53" t="str">
        <f>IFERROR(IF(MARÍTIMOS[[#This Row],[Estatus]]="","",MARÍTIMOS[[#This Row],[Estatus]]),"")</f>
        <v>Confirmado</v>
      </c>
      <c r="BC261" s="45"/>
      <c r="BD261" s="52">
        <f>IFERROR(OLDBD[[#This Row],[Salida de almacén de retiro]]-OLDBD[[#This Row],[Ingreso Almacén de retiro]],"")</f>
        <v>5.4166666668606922E-2</v>
      </c>
      <c r="BE261" s="52" t="str">
        <f>IFERROR(OLDBD[[#This Row],[Fin de Carga]]-OLDBD[[#This Row],[Inicio de Carga]],"")</f>
        <v/>
      </c>
    </row>
    <row r="262" spans="1:57" x14ac:dyDescent="0.35">
      <c r="A262" s="1"/>
      <c r="B262" s="1">
        <f>IFERROR(IF(MARÍTIMOS[[#This Row],[PP]]="","",MARÍTIMOS[[#This Row],[PP]]),"")</f>
        <v>29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RH-0270</v>
      </c>
      <c r="E262" s="1"/>
      <c r="F262" s="2" t="str">
        <f>IFERROR(IF(MARÍTIMOS[[#This Row],[Transportista]]="","",MARÍTIMOS[[#This Row],[Transportista]]),"")</f>
        <v>VESL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VE SOLUCIONES LOGISTICAS SAC</v>
      </c>
      <c r="I262" s="2">
        <f>IFERROR(IF(MARÍTIMOS[[#This Row],[RUC]]="","",MARÍTIMOS[[#This Row],[RUC]]),"")</f>
        <v>20557679392</v>
      </c>
      <c r="J262" s="2" t="str">
        <f>IFERROR(IF(MARÍTIMOS[[#This Row],[Placa Tracto]]="","",MARÍTIMOS[[#This Row],[Placa Tracto]]),"")</f>
        <v>BAV867</v>
      </c>
      <c r="K262" s="2" t="str">
        <f>IFERROR(IF(MARÍTIMOS[[#This Row],[Placa Carreta]]="","",MARÍTIMOS[[#This Row],[Placa Carreta]]),"")</f>
        <v>F5V-990</v>
      </c>
      <c r="L262" s="46" t="str">
        <f>IFERROR(IF(MARÍTIMOS[[#This Row],[Conductor]]="","",MARÍTIMOS[[#This Row],[Conductor]]),"")</f>
        <v>JESUS ALBERTO ZARRAGA ALVAREZ</v>
      </c>
      <c r="M262" s="2" t="str">
        <f>IFERROR(IF(MARÍTIMOS[[#This Row],[Licencia]]="","",MARÍTIMOS[[#This Row],[Licencia]]),"")</f>
        <v>B006469382</v>
      </c>
      <c r="N262" s="2" t="str">
        <f>IFERROR(IF(MARÍTIMOS[[#This Row],[Número de Contacto]]="","",MARÍTIMOS[[#This Row],[Número de Contacto]]),"")</f>
        <v/>
      </c>
      <c r="O262" s="10" t="str">
        <f>IFERROR(IF(MARÍTIMOS[[#This Row],[Booking|AWB|CRT]]="","",MARÍTIMOS[[#This Row],[Booking|AWB|CRT]]),"")</f>
        <v>PER9160159A</v>
      </c>
      <c r="P262" s="2" t="str">
        <f>IFERROR(IF(MARÍTIMOS[[#This Row],[Contenedor]]="","",MARÍTIMOS[[#This Row],[Contenedor]]),"")</f>
        <v>TXGU9028455</v>
      </c>
      <c r="Q262" s="2" t="str">
        <f>IFERROR(IF(MARÍTIMOS[[#This Row],[Puerto de Retiro]]="","",MARÍTIMOS[[#This Row],[Puerto de Retiro]]),"")</f>
        <v>PAITA</v>
      </c>
      <c r="R262" s="2" t="str">
        <f>IFERROR(IF(MARÍTIMOS[[#This Row],[Almacén de Retiro]]="","",MARÍTIMOS[[#This Row],[Almacén de Retiro]]),"")</f>
        <v>TPP</v>
      </c>
      <c r="S262" s="11">
        <f>IFERROR(IF(MARÍTIMOS[[#This Row],[Etapa Retiro - Cita]]="","",MARÍTIMOS[[#This Row],[Etapa Retiro - Cita]]),"")</f>
        <v>46227.583333333336</v>
      </c>
      <c r="T262" s="11">
        <f>IFERROR(IF(MARÍTIMOS[[#This Row],[Etapa Retiro - Llegada]]="","",MARÍTIMOS[[#This Row],[Etapa Retiro - Llegada]]),"")</f>
        <v>46227.616666666669</v>
      </c>
      <c r="U262" s="11">
        <f>IFERROR(IF(MARÍTIMOS[[#This Row],[Etapa Retiro - Ingreso]]="","",MARÍTIMOS[[#This Row],[Etapa Retiro - Ingreso]]),"")</f>
        <v>46227.627083333333</v>
      </c>
      <c r="V262" s="11">
        <f>IFERROR(IF(MARÍTIMOS[[#This Row],[Etapa Retiro - Atención]]="","",MARÍTIMOS[[#This Row],[Etapa Retiro - Atención]]),"")</f>
        <v>46227.631944444445</v>
      </c>
      <c r="W262" s="11">
        <f>IFERROR(IF(MARÍTIMOS[[#This Row],[Etapa Retiro - Salida]]="","",MARÍTIMOS[[#This Row],[Etapa Retiro - Salida]]),"")</f>
        <v>46227.686805555553</v>
      </c>
      <c r="X262" s="11">
        <f>IFERROR(IF(MARÍTIMOS[[#This Row],[Etapa Retiro - Inicio de Ruta]]="","",MARÍTIMOS[[#This Row],[Etapa Retiro - Inicio de Ruta]]),"")</f>
        <v>46228.611111111109</v>
      </c>
      <c r="Y262" s="11">
        <f>IFERROR(IF(MARÍTIMOS[[#This Row],[Hora de Posicionamiento]]="","",MARÍTIMOS[[#This Row],[Hora de Carga]]+MARÍTIMOS[[#This Row],[Hora de Posicionamiento]]),"")</f>
        <v>0.33333333333333331</v>
      </c>
      <c r="Z262" s="11">
        <f>IFERROR(IF(MARÍTIMOS[[#This Row],[Etapa Despacho -  Llegada]]="","",MARÍTIMOS[[#This Row],[Etapa Despacho -  Llegada]]),"")</f>
        <v>46229.399305555555</v>
      </c>
      <c r="AA262" s="11">
        <f>IFERROR(IF(MARÍTIMOS[[#This Row],[Etapa Despacho -  Registro]]="","",MARÍTIMOS[[#This Row],[Etapa Despacho -  Registro]]),"")</f>
        <v>46229.402777777781</v>
      </c>
      <c r="AB262" s="11">
        <f>IFERROR(IF(MARÍTIMOS[[#This Row],[Inspección Externa]]="","",MARÍTIMOS[[#This Row],[Inspección Externa]]),"")</f>
        <v>46229.772222222222</v>
      </c>
      <c r="AC262" s="11">
        <f>IFERROR(IF(MARÍTIMOS[[#This Row],[Etapa Despacho -  Inicio de Carga]]="","",MARÍTIMOS[[#This Row],[Etapa Despacho -  Inicio de Carga]]),"")</f>
        <v>46230.729166666664</v>
      </c>
      <c r="AD262" s="11">
        <f>IFERROR(IF(MARÍTIMOS[[#This Row],[Etapa Despacho -  Fin de Carga]]="","",MARÍTIMOS[[#This Row],[Etapa Despacho -  Fin de Carga]]),"")</f>
        <v>46230.784722222219</v>
      </c>
      <c r="AE262" s="11">
        <f>IFERROR(IF(MARÍTIMOS[[#This Row],[Etapa Despacho -  Salida]]="","",MARÍTIMOS[[#This Row],[Etapa Despacho -  Salida]]),"")</f>
        <v>46230.788888888892</v>
      </c>
      <c r="AF262" s="2" t="str">
        <f>IFERROR(IF(MARÍTIMOS[[#This Row],[Puerto de Embarque]]="","",MARÍTIMOS[[#This Row],[Puerto de Embarque]]),"")</f>
        <v>Paita</v>
      </c>
      <c r="AG262" s="2" t="str">
        <f>IFERROR(IF(MARÍTIMOS[[#This Row],[Almacén de Ingreso]]="","",MARÍTIMOS[[#This Row],[Almacén de Ingreso]]),"")</f>
        <v>TPE</v>
      </c>
      <c r="AH262" s="11">
        <f>IFERROR(IF(MARÍTIMOS[[#This Row],[Etapa Ingreso - Cita]]="","",MARÍTIMOS[[#This Row],[Etapa Ingreso - Cita]]),"")</f>
        <v>46229.999305555553</v>
      </c>
      <c r="AI262" s="11">
        <f>IFERROR(IF(MARÍTIMOS[[#This Row],[Etapa Ingreso - Llegada]]="","",MARÍTIMOS[[#This Row],[Etapa Ingreso - Llegada]]),"")</f>
        <v>46231.548611111109</v>
      </c>
      <c r="AJ262" s="11">
        <f>IFERROR(IF(MARÍTIMOS[[#This Row],[Etapa Ingreso - Ingeso]]="","",MARÍTIMOS[[#This Row],[Etapa Ingreso - Ingeso]]),"")</f>
        <v>46231.570833333331</v>
      </c>
      <c r="AK262" s="11">
        <f>IFERROR(IF(MARÍTIMOS[[#This Row],[Etapa Ingreso - Atención]]="","",MARÍTIMOS[[#This Row],[Etapa Ingreso - Atención]]),"")</f>
        <v>46231.574999999997</v>
      </c>
      <c r="AL262" s="11">
        <f>IFERROR(IF(MARÍTIMOS[[#This Row],[Etapa Ingreso - Salida]]="","",MARÍTIMOS[[#This Row],[Etapa Ingreso - Salida]]),"")</f>
        <v>46231.575694444444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2" s="5">
        <f>IFERROR(OLDBD[[#This Row],[Llegada a packing]]-OLDBD[[#This Row],[Inicio de Ruta]],"")</f>
        <v>0.78819444444525288</v>
      </c>
      <c r="AQ262" s="6">
        <f>IFERROR(OLDBD[[#This Row],[Inicio de Ruta]]-OLDBD[[#This Row],[Salida de almacén de retiro]],"")</f>
        <v>0.92430555555620231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2" s="9">
        <f>IFERROR(OLDBD[[#This Row],[Ingreso Packing]]-OLDBD[[#This Row],[Registro en Packing]],"")</f>
        <v>0.36944444444088731</v>
      </c>
      <c r="AV262" s="9">
        <f>IFERROR(OLDBD[[#This Row],[Ingreso Packing]]-OLDBD[[#This Row],[Llegada a packing]],"")</f>
        <v>0.37291666666715173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2" s="5">
        <f>IFERROR(OLDBD[[#This Row],[Llegada Almacén de Ingreso]]-OLDBD[[#This Row],[Salida Packing]],"")</f>
        <v>0.75972222221753327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2" s="45" t="s">
        <v>181</v>
      </c>
      <c r="BB262" s="53" t="str">
        <f>IFERROR(IF(MARÍTIMOS[[#This Row],[Estatus]]="","",MARÍTIMOS[[#This Row],[Estatus]]),"")</f>
        <v>Confirmado</v>
      </c>
      <c r="BC262" s="45"/>
      <c r="BD262" s="52">
        <f>IFERROR(OLDBD[[#This Row],[Salida de almacén de retiro]]-OLDBD[[#This Row],[Ingreso Almacén de retiro]],"")</f>
        <v>5.9722222220443655E-2</v>
      </c>
      <c r="BE262" s="52">
        <f>IFERROR(OLDBD[[#This Row],[Fin de Carga]]-OLDBD[[#This Row],[Inicio de Carga]],"")</f>
        <v>5.5555555554747116E-2</v>
      </c>
    </row>
    <row r="263" spans="1:57" x14ac:dyDescent="0.35">
      <c r="A263" s="1"/>
      <c r="B263" s="1">
        <f>IFERROR(IF(MARÍTIMOS[[#This Row],[PP]]="","",MARÍTIMOS[[#This Row],[PP]]),"")</f>
        <v>30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RH-0278</v>
      </c>
      <c r="E263" s="1"/>
      <c r="F263" s="2" t="str">
        <f>IFERROR(IF(MARÍTIMOS[[#This Row],[Transportista]]="","",MARÍTIMOS[[#This Row],[Transportista]]),"")</f>
        <v>VESL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VE SOLUCIONES LOGISTICAS SAC</v>
      </c>
      <c r="I263" s="2">
        <f>IFERROR(IF(MARÍTIMOS[[#This Row],[RUC]]="","",MARÍTIMOS[[#This Row],[RUC]]),"")</f>
        <v>20557679392</v>
      </c>
      <c r="J263" s="2" t="str">
        <f>IFERROR(IF(MARÍTIMOS[[#This Row],[Placa Tracto]]="","",MARÍTIMOS[[#This Row],[Placa Tracto]]),"")</f>
        <v>BYR765</v>
      </c>
      <c r="K263" s="2" t="str">
        <f>IFERROR(IF(MARÍTIMOS[[#This Row],[Placa Carreta]]="","",MARÍTIMOS[[#This Row],[Placa Carreta]]),"")</f>
        <v>BXM973</v>
      </c>
      <c r="L263" s="46" t="str">
        <f>IFERROR(IF(MARÍTIMOS[[#This Row],[Conductor]]="","",MARÍTIMOS[[#This Row],[Conductor]]),"")</f>
        <v>MEDINA QUISPE MIGUEL ANGEL</v>
      </c>
      <c r="M263" s="2" t="str">
        <f>IFERROR(IF(MARÍTIMOS[[#This Row],[Licencia]]="","",MARÍTIMOS[[#This Row],[Licencia]]),"")</f>
        <v>F42550466</v>
      </c>
      <c r="N263" s="2" t="str">
        <f>IFERROR(IF(MARÍTIMOS[[#This Row],[Número de Contacto]]="","",MARÍTIMOS[[#This Row],[Número de Contacto]]),"")</f>
        <v/>
      </c>
      <c r="O263" s="10">
        <f>IFERROR(IF(MARÍTIMOS[[#This Row],[Booking|AWB|CRT]]="","",MARÍTIMOS[[#This Row],[Booking|AWB|CRT]]),"")</f>
        <v>6509285610</v>
      </c>
      <c r="P263" s="2" t="str">
        <f>IFERROR(IF(MARÍTIMOS[[#This Row],[Contenedor]]="","",MARÍTIMOS[[#This Row],[Contenedor]]),"")</f>
        <v>SEKU9359171</v>
      </c>
      <c r="Q263" s="2" t="str">
        <f>IFERROR(IF(MARÍTIMOS[[#This Row],[Puerto de Retiro]]="","",MARÍTIMOS[[#This Row],[Puerto de Retiro]]),"")</f>
        <v>CHANCAY</v>
      </c>
      <c r="R263" s="2" t="str">
        <f>IFERROR(IF(MARÍTIMOS[[#This Row],[Almacén de Retiro]]="","",MARÍTIMOS[[#This Row],[Almacén de Retiro]]),"")</f>
        <v>TPP</v>
      </c>
      <c r="S263" s="11">
        <f>IFERROR(IF(MARÍTIMOS[[#This Row],[Etapa Retiro - Cita]]="","",MARÍTIMOS[[#This Row],[Etapa Retiro - Cita]]),"")</f>
        <v>46228.999305555553</v>
      </c>
      <c r="T263" s="11">
        <f>IFERROR(IF(MARÍTIMOS[[#This Row],[Etapa Retiro - Llegada]]="","",MARÍTIMOS[[#This Row],[Etapa Retiro - Llegada]]),"")</f>
        <v>46227.769444444442</v>
      </c>
      <c r="U263" s="11">
        <f>IFERROR(IF(MARÍTIMOS[[#This Row],[Etapa Retiro - Ingreso]]="","",MARÍTIMOS[[#This Row],[Etapa Retiro - Ingreso]]),"")</f>
        <v>46227.772916666669</v>
      </c>
      <c r="V263" s="11">
        <f>IFERROR(IF(MARÍTIMOS[[#This Row],[Etapa Retiro - Atención]]="","",MARÍTIMOS[[#This Row],[Etapa Retiro - Atención]]),"")</f>
        <v>46227.77847222222</v>
      </c>
      <c r="W263" s="11">
        <f>IFERROR(IF(MARÍTIMOS[[#This Row],[Etapa Retiro - Salida]]="","",MARÍTIMOS[[#This Row],[Etapa Retiro - Salida]]),"")</f>
        <v>46227.833333333336</v>
      </c>
      <c r="X263" s="11">
        <f>IFERROR(IF(MARÍTIMOS[[#This Row],[Etapa Retiro - Inicio de Ruta]]="","",MARÍTIMOS[[#This Row],[Etapa Retiro - Inicio de Ruta]]),"")</f>
        <v>46227.833333333336</v>
      </c>
      <c r="Y263" s="11">
        <f>IFERROR(IF(MARÍTIMOS[[#This Row],[Hora de Posicionamiento]]="","",MARÍTIMOS[[#This Row],[Hora de Carga]]+MARÍTIMOS[[#This Row],[Hora de Posicionamiento]]),"")</f>
        <v>0.33333333333333331</v>
      </c>
      <c r="Z263" s="11">
        <f>IFERROR(IF(MARÍTIMOS[[#This Row],[Etapa Despacho -  Llegada]]="","",MARÍTIMOS[[#This Row],[Etapa Despacho -  Llegada]]),"")</f>
        <v>46229.504166666666</v>
      </c>
      <c r="AA263" s="11">
        <f>IFERROR(IF(MARÍTIMOS[[#This Row],[Etapa Despacho -  Registro]]="","",MARÍTIMOS[[#This Row],[Etapa Despacho -  Registro]]),"")</f>
        <v>46229.505555555559</v>
      </c>
      <c r="AB263" s="11">
        <f>IFERROR(IF(MARÍTIMOS[[#This Row],[Inspección Externa]]="","",MARÍTIMOS[[#This Row],[Inspección Externa]]),"")</f>
        <v>46229.529861111114</v>
      </c>
      <c r="AC263" s="11">
        <f>IFERROR(IF(MARÍTIMOS[[#This Row],[Etapa Despacho -  Inicio de Carga]]="","",MARÍTIMOS[[#This Row],[Etapa Despacho -  Inicio de Carga]]),"")</f>
        <v>46229.621527777781</v>
      </c>
      <c r="AD263" s="11">
        <f>IFERROR(IF(MARÍTIMOS[[#This Row],[Etapa Despacho -  Fin de Carga]]="","",MARÍTIMOS[[#This Row],[Etapa Despacho -  Fin de Carga]]),"")</f>
        <v>46229.708333333336</v>
      </c>
      <c r="AE263" s="11">
        <f>IFERROR(IF(MARÍTIMOS[[#This Row],[Etapa Despacho -  Salida]]="","",MARÍTIMOS[[#This Row],[Etapa Despacho -  Salida]]),"")</f>
        <v>46229.725694444445</v>
      </c>
      <c r="AF263" s="2" t="str">
        <f>IFERROR(IF(MARÍTIMOS[[#This Row],[Puerto de Embarque]]="","",MARÍTIMOS[[#This Row],[Puerto de Embarque]]),"")</f>
        <v>CHANCAY</v>
      </c>
      <c r="AG263" s="2" t="str">
        <f>IFERROR(IF(MARÍTIMOS[[#This Row],[Almacén de Ingreso]]="","",MARÍTIMOS[[#This Row],[Almacén de Ingreso]]),"")</f>
        <v>CSPCP</v>
      </c>
      <c r="AH263" s="11">
        <f>IFERROR(IF(MARÍTIMOS[[#This Row],[Etapa Ingreso - Cita]]="","",MARÍTIMOS[[#This Row],[Etapa Ingreso - Cita]]),"")</f>
        <v>46229.999305555553</v>
      </c>
      <c r="AI263" s="11">
        <f>IFERROR(IF(MARÍTIMOS[[#This Row],[Etapa Ingreso - Llegada]]="","",MARÍTIMOS[[#This Row],[Etapa Ingreso - Llegada]]),"")</f>
        <v>46230.606249999997</v>
      </c>
      <c r="AJ263" s="11">
        <f>IFERROR(IF(MARÍTIMOS[[#This Row],[Etapa Ingreso - Ingeso]]="","",MARÍTIMOS[[#This Row],[Etapa Ingreso - Ingeso]]),"")</f>
        <v>46230.615277777775</v>
      </c>
      <c r="AK263" s="11">
        <f>IFERROR(IF(MARÍTIMOS[[#This Row],[Etapa Ingreso - Atención]]="","",MARÍTIMOS[[#This Row],[Etapa Ingreso - Atención]]),"")</f>
        <v>46230.625694444447</v>
      </c>
      <c r="AL263" s="11">
        <f>IFERROR(IF(MARÍTIMOS[[#This Row],[Etapa Ingreso - Salida]]="","",MARÍTIMOS[[#This Row],[Etapa Ingreso - Salida]]),"")</f>
        <v>46230.634722222225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3" s="5">
        <f>IFERROR(OLDBD[[#This Row],[Llegada a packing]]-OLDBD[[#This Row],[Inicio de Ruta]],"")</f>
        <v>1.6708333333299379</v>
      </c>
      <c r="AQ263" s="6">
        <f>IFERROR(OLDBD[[#This Row],[Inicio de Ruta]]-OLDBD[[#This Row],[Salida de almacén de retiro]],"")</f>
        <v>0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3" s="9">
        <f>IFERROR(OLDBD[[#This Row],[Ingreso Packing]]-OLDBD[[#This Row],[Registro en Packing]],"")</f>
        <v>2.4305555554747116E-2</v>
      </c>
      <c r="AV263" s="9">
        <f>IFERROR(OLDBD[[#This Row],[Ingreso Packing]]-OLDBD[[#This Row],[Llegada a packing]],"")</f>
        <v>2.5694444448163267E-2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3" s="5">
        <f>IFERROR(OLDBD[[#This Row],[Llegada Almacén de Ingreso]]-OLDBD[[#This Row],[Salida Packing]],"")</f>
        <v>0.88055555555183673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3" s="45" t="s">
        <v>181</v>
      </c>
      <c r="BB263" s="53" t="str">
        <f>IFERROR(IF(MARÍTIMOS[[#This Row],[Estatus]]="","",MARÍTIMOS[[#This Row],[Estatus]]),"")</f>
        <v>Confirmado</v>
      </c>
      <c r="BC263" s="45"/>
      <c r="BD263" s="52">
        <f>IFERROR(OLDBD[[#This Row],[Salida de almacén de retiro]]-OLDBD[[#This Row],[Ingreso Almacén de retiro]],"")</f>
        <v>6.0416666667151731E-2</v>
      </c>
      <c r="BE263" s="52">
        <f>IFERROR(OLDBD[[#This Row],[Fin de Carga]]-OLDBD[[#This Row],[Inicio de Carga]],"")</f>
        <v>8.6805555554747116E-2</v>
      </c>
    </row>
    <row r="264" spans="1:57" x14ac:dyDescent="0.35">
      <c r="A264" s="1"/>
      <c r="B264" s="1">
        <f>IFERROR(IF(MARÍTIMOS[[#This Row],[PP]]="","",MARÍTIMOS[[#This Row],[PP]]),"")</f>
        <v>30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RH-0279</v>
      </c>
      <c r="E264" s="1"/>
      <c r="F264" s="2" t="str">
        <f>IFERROR(IF(MARÍTIMOS[[#This Row],[Transportista]]="","",MARÍTIMOS[[#This Row],[Transportista]]),"")</f>
        <v>VESL</v>
      </c>
      <c r="G264" s="2" t="str">
        <f>IFERROR(IF(MARÍTIMOS[[#This Row],[Tercero]]="","",MARÍTIMOS[[#This Row],[Tercero]]),"")</f>
        <v>NO</v>
      </c>
      <c r="H264" s="2" t="str">
        <f>IFERROR(IF(MARÍTIMOS[[#This Row],[Razón Social]]="","",MARÍTIMOS[[#This Row],[Razón Social]]),"")</f>
        <v>VE SOLUCIONES LOGISTICAS SAC</v>
      </c>
      <c r="I264" s="2">
        <f>IFERROR(IF(MARÍTIMOS[[#This Row],[RUC]]="","",MARÍTIMOS[[#This Row],[RUC]]),"")</f>
        <v>20557679392</v>
      </c>
      <c r="J264" s="2" t="str">
        <f>IFERROR(IF(MARÍTIMOS[[#This Row],[Placa Tracto]]="","",MARÍTIMOS[[#This Row],[Placa Tracto]]),"")</f>
        <v>BYR898</v>
      </c>
      <c r="K264" s="2" t="str">
        <f>IFERROR(IF(MARÍTIMOS[[#This Row],[Placa Carreta]]="","",MARÍTIMOS[[#This Row],[Placa Carreta]]),"")</f>
        <v>AHV972</v>
      </c>
      <c r="L264" s="46" t="str">
        <f>IFERROR(IF(MARÍTIMOS[[#This Row],[Conductor]]="","",MARÍTIMOS[[#This Row],[Conductor]]),"")</f>
        <v>DANIEL PADILLA DIESTRA</v>
      </c>
      <c r="M264" s="2" t="str">
        <f>IFERROR(IF(MARÍTIMOS[[#This Row],[Licencia]]="","",MARÍTIMOS[[#This Row],[Licencia]]),"")</f>
        <v>Q71081082</v>
      </c>
      <c r="N264" s="2" t="str">
        <f>IFERROR(IF(MARÍTIMOS[[#This Row],[Número de Contacto]]="","",MARÍTIMOS[[#This Row],[Número de Contacto]]),"")</f>
        <v/>
      </c>
      <c r="O264" s="10">
        <f>IFERROR(IF(MARÍTIMOS[[#This Row],[Booking|AWB|CRT]]="","",MARÍTIMOS[[#This Row],[Booking|AWB|CRT]]),"")</f>
        <v>6509285630</v>
      </c>
      <c r="P264" s="2" t="str">
        <f>IFERROR(IF(MARÍTIMOS[[#This Row],[Contenedor]]="","",MARÍTIMOS[[#This Row],[Contenedor]]),"")</f>
        <v>FBIU5415944</v>
      </c>
      <c r="Q264" s="2" t="str">
        <f>IFERROR(IF(MARÍTIMOS[[#This Row],[Puerto de Retiro]]="","",MARÍTIMOS[[#This Row],[Puerto de Retiro]]),"")</f>
        <v>CHANCAY</v>
      </c>
      <c r="R264" s="2" t="str">
        <f>IFERROR(IF(MARÍTIMOS[[#This Row],[Almacén de Retiro]]="","",MARÍTIMOS[[#This Row],[Almacén de Retiro]]),"")</f>
        <v>TPP</v>
      </c>
      <c r="S264" s="11">
        <f>IFERROR(IF(MARÍTIMOS[[#This Row],[Etapa Retiro - Cita]]="","",MARÍTIMOS[[#This Row],[Etapa Retiro - Cita]]),"")</f>
        <v>46228.999305555553</v>
      </c>
      <c r="T264" s="11">
        <f>IFERROR(IF(MARÍTIMOS[[#This Row],[Etapa Retiro - Llegada]]="","",MARÍTIMOS[[#This Row],[Etapa Retiro - Llegada]]),"")</f>
        <v>46228.699305555558</v>
      </c>
      <c r="U264" s="11">
        <f>IFERROR(IF(MARÍTIMOS[[#This Row],[Etapa Retiro - Ingreso]]="","",MARÍTIMOS[[#This Row],[Etapa Retiro - Ingreso]]),"")</f>
        <v>46228.711111111108</v>
      </c>
      <c r="V264" s="11">
        <f>IFERROR(IF(MARÍTIMOS[[#This Row],[Etapa Retiro - Atención]]="","",MARÍTIMOS[[#This Row],[Etapa Retiro - Atención]]),"")</f>
        <v>46228.71875</v>
      </c>
      <c r="W264" s="11">
        <f>IFERROR(IF(MARÍTIMOS[[#This Row],[Etapa Retiro - Salida]]="","",MARÍTIMOS[[#This Row],[Etapa Retiro - Salida]]),"")</f>
        <v>46228.754166666666</v>
      </c>
      <c r="X264" s="11">
        <f>IFERROR(IF(MARÍTIMOS[[#This Row],[Etapa Retiro - Inicio de Ruta]]="","",MARÍTIMOS[[#This Row],[Etapa Retiro - Inicio de Ruta]]),"")</f>
        <v>46228.754166666666</v>
      </c>
      <c r="Y264" s="11">
        <f>IFERROR(IF(MARÍTIMOS[[#This Row],[Hora de Posicionamiento]]="","",MARÍTIMOS[[#This Row],[Hora de Carga]]+MARÍTIMOS[[#This Row],[Hora de Posicionamiento]]),"")</f>
        <v>0.33333333333333331</v>
      </c>
      <c r="Z264" s="11">
        <f>IFERROR(IF(MARÍTIMOS[[#This Row],[Etapa Despacho -  Llegada]]="","",MARÍTIMOS[[#This Row],[Etapa Despacho -  Llegada]]),"")</f>
        <v>46229.50277777778</v>
      </c>
      <c r="AA264" s="11">
        <f>IFERROR(IF(MARÍTIMOS[[#This Row],[Etapa Despacho -  Registro]]="","",MARÍTIMOS[[#This Row],[Etapa Despacho -  Registro]]),"")</f>
        <v>46229.505555555559</v>
      </c>
      <c r="AB264" s="11">
        <f>IFERROR(IF(MARÍTIMOS[[#This Row],[Inspección Externa]]="","",MARÍTIMOS[[#This Row],[Inspección Externa]]),"")</f>
        <v>46229.536805555559</v>
      </c>
      <c r="AC264" s="11">
        <f>IFERROR(IF(MARÍTIMOS[[#This Row],[Etapa Despacho -  Inicio de Carga]]="","",MARÍTIMOS[[#This Row],[Etapa Despacho -  Inicio de Carga]]),"")</f>
        <v>46229.638888888891</v>
      </c>
      <c r="AD264" s="11">
        <f>IFERROR(IF(MARÍTIMOS[[#This Row],[Etapa Despacho -  Fin de Carga]]="","",MARÍTIMOS[[#This Row],[Etapa Despacho -  Fin de Carga]]),"")</f>
        <v>46229.722222222219</v>
      </c>
      <c r="AE264" s="11">
        <f>IFERROR(IF(MARÍTIMOS[[#This Row],[Etapa Despacho -  Salida]]="","",MARÍTIMOS[[#This Row],[Etapa Despacho -  Salida]]),"")</f>
        <v>46229.748611111114</v>
      </c>
      <c r="AF264" s="2" t="str">
        <f>IFERROR(IF(MARÍTIMOS[[#This Row],[Puerto de Embarque]]="","",MARÍTIMOS[[#This Row],[Puerto de Embarque]]),"")</f>
        <v>CHANCAY</v>
      </c>
      <c r="AG264" s="2" t="str">
        <f>IFERROR(IF(MARÍTIMOS[[#This Row],[Almacén de Ingreso]]="","",MARÍTIMOS[[#This Row],[Almacén de Ingreso]]),"")</f>
        <v>CSPCP</v>
      </c>
      <c r="AH264" s="11">
        <f>IFERROR(IF(MARÍTIMOS[[#This Row],[Etapa Ingreso - Cita]]="","",MARÍTIMOS[[#This Row],[Etapa Ingreso - Cita]]),"")</f>
        <v>46229.999305555553</v>
      </c>
      <c r="AI264" s="11">
        <f>IFERROR(IF(MARÍTIMOS[[#This Row],[Etapa Ingreso - Llegada]]="","",MARÍTIMOS[[#This Row],[Etapa Ingreso - Llegada]]),"")</f>
        <v>46230.603472222225</v>
      </c>
      <c r="AJ264" s="11">
        <f>IFERROR(IF(MARÍTIMOS[[#This Row],[Etapa Ingreso - Ingeso]]="","",MARÍTIMOS[[#This Row],[Etapa Ingreso - Ingeso]]),"")</f>
        <v>46230.609722222223</v>
      </c>
      <c r="AK264" s="11">
        <f>IFERROR(IF(MARÍTIMOS[[#This Row],[Etapa Ingreso - Atención]]="","",MARÍTIMOS[[#This Row],[Etapa Ingreso - Atención]]),"")</f>
        <v>46230.621527777781</v>
      </c>
      <c r="AL264" s="11">
        <f>IFERROR(IF(MARÍTIMOS[[#This Row],[Etapa Ingreso - Salida]]="","",MARÍTIMOS[[#This Row],[Etapa Ingreso - Salida]]),"")</f>
        <v>46230.631944444445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4" s="5">
        <f>IFERROR(OLDBD[[#This Row],[Llegada a packing]]-OLDBD[[#This Row],[Inicio de Ruta]],"")</f>
        <v>0.74861111111385981</v>
      </c>
      <c r="AQ264" s="6">
        <f>IFERROR(OLDBD[[#This Row],[Inicio de Ruta]]-OLDBD[[#This Row],[Salida de almacén de retiro]],"")</f>
        <v>0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4" s="9">
        <f>IFERROR(OLDBD[[#This Row],[Ingreso Packing]]-OLDBD[[#This Row],[Registro en Packing]],"")</f>
        <v>3.125E-2</v>
      </c>
      <c r="AV264" s="9">
        <f>IFERROR(OLDBD[[#This Row],[Ingreso Packing]]-OLDBD[[#This Row],[Llegada a packing]],"")</f>
        <v>3.4027777779556345E-2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4" s="5">
        <f>IFERROR(OLDBD[[#This Row],[Llegada Almacén de Ingreso]]-OLDBD[[#This Row],[Salida Packing]],"")</f>
        <v>0.85486111111094942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4" s="45" t="s">
        <v>181</v>
      </c>
      <c r="BB264" s="53" t="str">
        <f>IFERROR(IF(MARÍTIMOS[[#This Row],[Estatus]]="","",MARÍTIMOS[[#This Row],[Estatus]]),"")</f>
        <v>Confirmado</v>
      </c>
      <c r="BC264" s="45"/>
      <c r="BD264" s="52">
        <f>IFERROR(OLDBD[[#This Row],[Salida de almacén de retiro]]-OLDBD[[#This Row],[Ingreso Almacén de retiro]],"")</f>
        <v>4.3055555557657499E-2</v>
      </c>
      <c r="BE264" s="52">
        <f>IFERROR(OLDBD[[#This Row],[Fin de Carga]]-OLDBD[[#This Row],[Inicio de Carga]],"")</f>
        <v>8.3333333328482695E-2</v>
      </c>
    </row>
    <row r="265" spans="1:57" x14ac:dyDescent="0.35">
      <c r="A265" s="1"/>
      <c r="B265" s="1">
        <f>IFERROR(IF(MARÍTIMOS[[#This Row],[PP]]="","",MARÍTIMOS[[#This Row],[PP]]),"")</f>
        <v>31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RH-0280</v>
      </c>
      <c r="E265" s="1"/>
      <c r="F265" s="2" t="str">
        <f>IFERROR(IF(MARÍTIMOS[[#This Row],[Transportista]]="","",MARÍTIMOS[[#This Row],[Transportista]]),"")</f>
        <v>VESL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VE SOLUCIONES LOGISTICAS SAC</v>
      </c>
      <c r="I265" s="2">
        <f>IFERROR(IF(MARÍTIMOS[[#This Row],[RUC]]="","",MARÍTIMOS[[#This Row],[RUC]]),"")</f>
        <v>20557679392</v>
      </c>
      <c r="J265" s="2" t="str">
        <f>IFERROR(IF(MARÍTIMOS[[#This Row],[Placa Tracto]]="","",MARÍTIMOS[[#This Row],[Placa Tracto]]),"")</f>
        <v>BYR800</v>
      </c>
      <c r="K265" s="2" t="str">
        <f>IFERROR(IF(MARÍTIMOS[[#This Row],[Placa Carreta]]="","",MARÍTIMOS[[#This Row],[Placa Carreta]]),"")</f>
        <v>BXN981</v>
      </c>
      <c r="L265" s="46" t="str">
        <f>IFERROR(IF(MARÍTIMOS[[#This Row],[Conductor]]="","",MARÍTIMOS[[#This Row],[Conductor]]),"")</f>
        <v>EDUARD RAMON ROMERO CUBILLAN</v>
      </c>
      <c r="M265" s="2" t="str">
        <f>IFERROR(IF(MARÍTIMOS[[#This Row],[Licencia]]="","",MARÍTIMOS[[#This Row],[Licencia]]),"")</f>
        <v>Q003670158</v>
      </c>
      <c r="N265" s="2" t="str">
        <f>IFERROR(IF(MARÍTIMOS[[#This Row],[Número de Contacto]]="","",MARÍTIMOS[[#This Row],[Número de Contacto]]),"")</f>
        <v/>
      </c>
      <c r="O265" s="10">
        <f>IFERROR(IF(MARÍTIMOS[[#This Row],[Booking|AWB|CRT]]="","",MARÍTIMOS[[#This Row],[Booking|AWB|CRT]]),"")</f>
        <v>6509285640</v>
      </c>
      <c r="P265" s="2" t="str">
        <f>IFERROR(IF(MARÍTIMOS[[#This Row],[Contenedor]]="","",MARÍTIMOS[[#This Row],[Contenedor]]),"")</f>
        <v>FBIU5292433</v>
      </c>
      <c r="Q265" s="2" t="str">
        <f>IFERROR(IF(MARÍTIMOS[[#This Row],[Puerto de Retiro]]="","",MARÍTIMOS[[#This Row],[Puerto de Retiro]]),"")</f>
        <v>CHANCAY</v>
      </c>
      <c r="R265" s="2" t="str">
        <f>IFERROR(IF(MARÍTIMOS[[#This Row],[Almacén de Retiro]]="","",MARÍTIMOS[[#This Row],[Almacén de Retiro]]),"")</f>
        <v>TPP</v>
      </c>
      <c r="S265" s="11">
        <f>IFERROR(IF(MARÍTIMOS[[#This Row],[Etapa Retiro - Cita]]="","",MARÍTIMOS[[#This Row],[Etapa Retiro - Cita]]),"")</f>
        <v>46228.999305555553</v>
      </c>
      <c r="T265" s="11">
        <f>IFERROR(IF(MARÍTIMOS[[#This Row],[Etapa Retiro - Llegada]]="","",MARÍTIMOS[[#This Row],[Etapa Retiro - Llegada]]),"")</f>
        <v>46228.746527777781</v>
      </c>
      <c r="U265" s="11">
        <f>IFERROR(IF(MARÍTIMOS[[#This Row],[Etapa Retiro - Ingreso]]="","",MARÍTIMOS[[#This Row],[Etapa Retiro - Ingreso]]),"")</f>
        <v>46228.748611111114</v>
      </c>
      <c r="V265" s="11">
        <f>IFERROR(IF(MARÍTIMOS[[#This Row],[Etapa Retiro - Atención]]="","",MARÍTIMOS[[#This Row],[Etapa Retiro - Atención]]),"")</f>
        <v>46227.756249999999</v>
      </c>
      <c r="W265" s="11">
        <f>IFERROR(IF(MARÍTIMOS[[#This Row],[Etapa Retiro - Salida]]="","",MARÍTIMOS[[#This Row],[Etapa Retiro - Salida]]),"")</f>
        <v>46227.8</v>
      </c>
      <c r="X265" s="11">
        <f>IFERROR(IF(MARÍTIMOS[[#This Row],[Etapa Retiro - Inicio de Ruta]]="","",MARÍTIMOS[[#This Row],[Etapa Retiro - Inicio de Ruta]]),"")</f>
        <v>46227.8</v>
      </c>
      <c r="Y265" s="11">
        <f>IFERROR(IF(MARÍTIMOS[[#This Row],[Hora de Posicionamiento]]="","",MARÍTIMOS[[#This Row],[Hora de Carga]]+MARÍTIMOS[[#This Row],[Hora de Posicionamiento]]),"")</f>
        <v>0.33333333333333331</v>
      </c>
      <c r="Z265" s="11">
        <f>IFERROR(IF(MARÍTIMOS[[#This Row],[Etapa Despacho -  Llegada]]="","",MARÍTIMOS[[#This Row],[Etapa Despacho -  Llegada]]),"")</f>
        <v>46229.50277777778</v>
      </c>
      <c r="AA265" s="11">
        <f>IFERROR(IF(MARÍTIMOS[[#This Row],[Etapa Despacho -  Registro]]="","",MARÍTIMOS[[#This Row],[Etapa Despacho -  Registro]]),"")</f>
        <v>46229.505555555559</v>
      </c>
      <c r="AB265" s="11">
        <f>IFERROR(IF(MARÍTIMOS[[#This Row],[Inspección Externa]]="","",MARÍTIMOS[[#This Row],[Inspección Externa]]),"")</f>
        <v>46229.527777777781</v>
      </c>
      <c r="AC265" s="11">
        <f>IFERROR(IF(MARÍTIMOS[[#This Row],[Etapa Despacho -  Inicio de Carga]]="","",MARÍTIMOS[[#This Row],[Etapa Despacho -  Inicio de Carga]]),"")</f>
        <v>46229.572916666664</v>
      </c>
      <c r="AD265" s="11">
        <f>IFERROR(IF(MARÍTIMOS[[#This Row],[Etapa Despacho -  Fin de Carga]]="","",MARÍTIMOS[[#This Row],[Etapa Despacho -  Fin de Carga]]),"")</f>
        <v>46229.78125</v>
      </c>
      <c r="AE265" s="11">
        <f>IFERROR(IF(MARÍTIMOS[[#This Row],[Etapa Despacho -  Salida]]="","",MARÍTIMOS[[#This Row],[Etapa Despacho -  Salida]]),"")</f>
        <v>46229.796527777777</v>
      </c>
      <c r="AF265" s="2" t="str">
        <f>IFERROR(IF(MARÍTIMOS[[#This Row],[Puerto de Embarque]]="","",MARÍTIMOS[[#This Row],[Puerto de Embarque]]),"")</f>
        <v>CHANCAY</v>
      </c>
      <c r="AG265" s="2" t="str">
        <f>IFERROR(IF(MARÍTIMOS[[#This Row],[Almacén de Ingreso]]="","",MARÍTIMOS[[#This Row],[Almacén de Ingreso]]),"")</f>
        <v>CSPCP</v>
      </c>
      <c r="AH265" s="11">
        <f>IFERROR(IF(MARÍTIMOS[[#This Row],[Etapa Ingreso - Cita]]="","",MARÍTIMOS[[#This Row],[Etapa Ingreso - Cita]]),"")</f>
        <v>46229.999305555553</v>
      </c>
      <c r="AI265" s="11">
        <f>IFERROR(IF(MARÍTIMOS[[#This Row],[Etapa Ingreso - Llegada]]="","",MARÍTIMOS[[#This Row],[Etapa Ingreso - Llegada]]),"")</f>
        <v>46230.631944444445</v>
      </c>
      <c r="AJ265" s="11">
        <f>IFERROR(IF(MARÍTIMOS[[#This Row],[Etapa Ingreso - Ingeso]]="","",MARÍTIMOS[[#This Row],[Etapa Ingreso - Ingeso]]),"")</f>
        <v>46230.632638888892</v>
      </c>
      <c r="AK265" s="11">
        <f>IFERROR(IF(MARÍTIMOS[[#This Row],[Etapa Ingreso - Atención]]="","",MARÍTIMOS[[#This Row],[Etapa Ingreso - Atención]]),"")</f>
        <v>46230.642361111109</v>
      </c>
      <c r="AL265" s="11">
        <f>IFERROR(IF(MARÍTIMOS[[#This Row],[Etapa Ingreso - Salida]]="","",MARÍTIMOS[[#This Row],[Etapa Ingreso - Salida]]),"")</f>
        <v>46230.65347222222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5" s="5">
        <f>IFERROR(OLDBD[[#This Row],[Llegada a packing]]-OLDBD[[#This Row],[Inicio de Ruta]],"")</f>
        <v>1.702777777776646</v>
      </c>
      <c r="AQ265" s="6">
        <f>IFERROR(OLDBD[[#This Row],[Inicio de Ruta]]-OLDBD[[#This Row],[Salida de almacén de retiro]],"")</f>
        <v>0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5" s="9">
        <f>IFERROR(OLDBD[[#This Row],[Ingreso Packing]]-OLDBD[[#This Row],[Registro en Packing]],"")</f>
        <v>2.2222222221898846E-2</v>
      </c>
      <c r="AV265" s="9">
        <f>IFERROR(OLDBD[[#This Row],[Ingreso Packing]]-OLDBD[[#This Row],[Llegada a packing]],"")</f>
        <v>2.5000000001455192E-2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5" s="5">
        <f>IFERROR(OLDBD[[#This Row],[Llegada Almacén de Ingreso]]-OLDBD[[#This Row],[Salida Packing]],"")</f>
        <v>0.83541666666860692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5" s="45" t="s">
        <v>181</v>
      </c>
      <c r="BB265" s="53" t="str">
        <f>IFERROR(IF(MARÍTIMOS[[#This Row],[Estatus]]="","",MARÍTIMOS[[#This Row],[Estatus]]),"")</f>
        <v>Confirmado</v>
      </c>
      <c r="BC265" s="45"/>
      <c r="BD265" s="52">
        <f>IFERROR(OLDBD[[#This Row],[Salida de almacén de retiro]]-OLDBD[[#This Row],[Ingreso Almacén de retiro]],"")</f>
        <v>-0.94861111111094942</v>
      </c>
      <c r="BE265" s="52">
        <f>IFERROR(OLDBD[[#This Row],[Fin de Carga]]-OLDBD[[#This Row],[Inicio de Carga]],"")</f>
        <v>0.20833333333575865</v>
      </c>
    </row>
    <row r="266" spans="1:57" x14ac:dyDescent="0.35">
      <c r="A266" s="1"/>
      <c r="B266" s="1">
        <f>IFERROR(IF(MARÍTIMOS[[#This Row],[PP]]="","",MARÍTIMOS[[#This Row],[PP]]),"")</f>
        <v>31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RH-0344</v>
      </c>
      <c r="E266" s="1"/>
      <c r="F266" s="2" t="str">
        <f>IFERROR(IF(MARÍTIMOS[[#This Row],[Transportista]]="","",MARÍTIMOS[[#This Row],[Transportista]]),"")</f>
        <v>VESL</v>
      </c>
      <c r="G266" s="2" t="str">
        <f>IFERROR(IF(MARÍTIMOS[[#This Row],[Tercero]]="","",MARÍTIMOS[[#This Row],[Tercero]]),"")</f>
        <v>NO</v>
      </c>
      <c r="H266" s="2" t="str">
        <f>IFERROR(IF(MARÍTIMOS[[#This Row],[Razón Social]]="","",MARÍTIMOS[[#This Row],[Razón Social]]),"")</f>
        <v>VE SOLUCIONES LOGISTICAS SAC</v>
      </c>
      <c r="I266" s="2">
        <f>IFERROR(IF(MARÍTIMOS[[#This Row],[RUC]]="","",MARÍTIMOS[[#This Row],[RUC]]),"")</f>
        <v>20557679392</v>
      </c>
      <c r="J266" s="2" t="str">
        <f>IFERROR(IF(MARÍTIMOS[[#This Row],[Placa Tracto]]="","",MARÍTIMOS[[#This Row],[Placa Tracto]]),"")</f>
        <v>AYP780</v>
      </c>
      <c r="K266" s="2" t="str">
        <f>IFERROR(IF(MARÍTIMOS[[#This Row],[Placa Carreta]]="","",MARÍTIMOS[[#This Row],[Placa Carreta]]),"")</f>
        <v>F5V-990</v>
      </c>
      <c r="L266" s="46" t="str">
        <f>IFERROR(IF(MARÍTIMOS[[#This Row],[Conductor]]="","",MARÍTIMOS[[#This Row],[Conductor]]),"")</f>
        <v>JOSE ALEJANDRO NUÑEZ VILLEGAS</v>
      </c>
      <c r="M266" s="2" t="str">
        <f>IFERROR(IF(MARÍTIMOS[[#This Row],[Licencia]]="","",MARÍTIMOS[[#This Row],[Licencia]]),"")</f>
        <v>Q49028656</v>
      </c>
      <c r="N266" s="2" t="str">
        <f>IFERROR(IF(MARÍTIMOS[[#This Row],[Número de Contacto]]="","",MARÍTIMOS[[#This Row],[Número de Contacto]]),"")</f>
        <v/>
      </c>
      <c r="O266" s="10" t="str">
        <f>IFERROR(IF(MARÍTIMOS[[#This Row],[Booking|AWB|CRT]]="","",MARÍTIMOS[[#This Row],[Booking|AWB|CRT]]),"")</f>
        <v>PER9166883A</v>
      </c>
      <c r="P266" s="2" t="str">
        <f>IFERROR(IF(MARÍTIMOS[[#This Row],[Contenedor]]="","",MARÍTIMOS[[#This Row],[Contenedor]]),"")</f>
        <v>SEKU9422037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TPP</v>
      </c>
      <c r="S266" s="11">
        <f>IFERROR(IF(MARÍTIMOS[[#This Row],[Etapa Retiro - Cita]]="","",MARÍTIMOS[[#This Row],[Etapa Retiro - Cita]]),"")</f>
        <v>46030.583333333336</v>
      </c>
      <c r="T266" s="11">
        <f>IFERROR(IF(MARÍTIMOS[[#This Row],[Etapa Retiro - Llegada]]="","",MARÍTIMOS[[#This Row],[Etapa Retiro - Llegada]]),"")</f>
        <v>46235.586111111108</v>
      </c>
      <c r="U266" s="11">
        <f>IFERROR(IF(MARÍTIMOS[[#This Row],[Etapa Retiro - Ingreso]]="","",MARÍTIMOS[[#This Row],[Etapa Retiro - Ingreso]]),"")</f>
        <v>46235.60833333333</v>
      </c>
      <c r="V266" s="11">
        <f>IFERROR(IF(MARÍTIMOS[[#This Row],[Etapa Retiro - Atención]]="","",MARÍTIMOS[[#This Row],[Etapa Retiro - Atención]]),"")</f>
        <v>46235.61041666667</v>
      </c>
      <c r="W266" s="11">
        <f>IFERROR(IF(MARÍTIMOS[[#This Row],[Etapa Retiro - Salida]]="","",MARÍTIMOS[[#This Row],[Etapa Retiro - Salida]]),"")</f>
        <v>46235.654166666667</v>
      </c>
      <c r="X266" s="11">
        <f>IFERROR(IF(MARÍTIMOS[[#This Row],[Etapa Retiro - Inicio de Ruta]]="","",MARÍTIMOS[[#This Row],[Etapa Retiro - Inicio de Ruta]]),"")</f>
        <v>46235.654166666667</v>
      </c>
      <c r="Y266" s="11">
        <f>IFERROR(IF(MARÍTIMOS[[#This Row],[Hora de Posicionamiento]]="","",MARÍTIMOS[[#This Row],[Hora de Carga]]+MARÍTIMOS[[#This Row],[Hora de Posicionamiento]]),"")</f>
        <v>0.33333333333333331</v>
      </c>
      <c r="Z266" s="11">
        <f>IFERROR(IF(MARÍTIMOS[[#This Row],[Etapa Despacho -  Llegada]]="","",MARÍTIMOS[[#This Row],[Etapa Despacho -  Llegada]]),"")</f>
        <v>46236.553472222222</v>
      </c>
      <c r="AA266" s="11">
        <f>IFERROR(IF(MARÍTIMOS[[#This Row],[Etapa Despacho -  Registro]]="","",MARÍTIMOS[[#This Row],[Etapa Despacho -  Registro]]),"")</f>
        <v>46236.559027777781</v>
      </c>
      <c r="AB266" s="11">
        <f>IFERROR(IF(MARÍTIMOS[[#This Row],[Inspección Externa]]="","",MARÍTIMOS[[#This Row],[Inspección Externa]]),"")</f>
        <v>46236.579861111109</v>
      </c>
      <c r="AC266" s="11">
        <f>IFERROR(IF(MARÍTIMOS[[#This Row],[Etapa Despacho -  Inicio de Carga]]="","",MARÍTIMOS[[#This Row],[Etapa Despacho -  Inicio de Carga]]),"")</f>
        <v>46236.850694444445</v>
      </c>
      <c r="AD266" s="11">
        <f>IFERROR(IF(MARÍTIMOS[[#This Row],[Etapa Despacho -  Fin de Carga]]="","",MARÍTIMOS[[#This Row],[Etapa Despacho -  Fin de Carga]]),"")</f>
        <v>46236.947916666664</v>
      </c>
      <c r="AE266" s="11">
        <f>IFERROR(IF(MARÍTIMOS[[#This Row],[Etapa Despacho -  Salida]]="","",MARÍTIMOS[[#This Row],[Etapa Despacho -  Salida]]),"")</f>
        <v>46236.966666666667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46089.625</v>
      </c>
      <c r="AI266" s="11">
        <f>IFERROR(IF(MARÍTIMOS[[#This Row],[Etapa Ingreso - Llegada]]="","",MARÍTIMOS[[#This Row],[Etapa Ingreso - Llegada]]),"")</f>
        <v>46237.604861111111</v>
      </c>
      <c r="AJ266" s="11">
        <f>IFERROR(IF(MARÍTIMOS[[#This Row],[Etapa Ingreso - Ingeso]]="","",MARÍTIMOS[[#This Row],[Etapa Ingreso - Ingeso]]),"")</f>
        <v>46237.620833333334</v>
      </c>
      <c r="AK266" s="11">
        <f>IFERROR(IF(MARÍTIMOS[[#This Row],[Etapa Ingreso - Atención]]="","",MARÍTIMOS[[#This Row],[Etapa Ingreso - Atención]]),"")</f>
        <v>46237.634722222225</v>
      </c>
      <c r="AL266" s="11">
        <f>IFERROR(IF(MARÍTIMOS[[#This Row],[Etapa Ingreso - Salida]]="","",MARÍTIMOS[[#This Row],[Etapa Ingreso - Salida]]),"")</f>
        <v>46237.637499999997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6" s="5">
        <f>IFERROR(OLDBD[[#This Row],[Llegada a packing]]-OLDBD[[#This Row],[Inicio de Ruta]],"")</f>
        <v>0.89930555555474712</v>
      </c>
      <c r="AQ266" s="6">
        <f>IFERROR(OLDBD[[#This Row],[Inicio de Ruta]]-OLDBD[[#This Row],[Salida de almacén de retiro]],"")</f>
        <v>0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6" s="9">
        <f>IFERROR(OLDBD[[#This Row],[Ingreso Packing]]-OLDBD[[#This Row],[Registro en Packing]],"")</f>
        <v>2.0833333328482695E-2</v>
      </c>
      <c r="AV266" s="9">
        <f>IFERROR(OLDBD[[#This Row],[Ingreso Packing]]-OLDBD[[#This Row],[Llegada a packing]],"")</f>
        <v>2.6388888887595385E-2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0.63819444444379769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6" s="45" t="s">
        <v>181</v>
      </c>
      <c r="BB266" s="53" t="str">
        <f>IFERROR(IF(MARÍTIMOS[[#This Row],[Estatus]]="","",MARÍTIMOS[[#This Row],[Estatus]]),"")</f>
        <v>Confirmado</v>
      </c>
      <c r="BC266" s="45"/>
      <c r="BD266" s="52">
        <f>IFERROR(OLDBD[[#This Row],[Salida de almacén de retiro]]-OLDBD[[#This Row],[Ingreso Almacén de retiro]],"")</f>
        <v>4.5833333337213844E-2</v>
      </c>
      <c r="BE266" s="52">
        <f>IFERROR(OLDBD[[#This Row],[Fin de Carga]]-OLDBD[[#This Row],[Inicio de Carga]],"")</f>
        <v>9.7222222218988463E-2</v>
      </c>
    </row>
    <row r="267" spans="1:57" x14ac:dyDescent="0.35">
      <c r="A267" s="1"/>
      <c r="B267" s="1">
        <f>IFERROR(IF(MARÍTIMOS[[#This Row],[PP]]="","",MARÍTIMOS[[#This Row],[PP]]),"")</f>
        <v>31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RH-0345</v>
      </c>
      <c r="E267" s="1"/>
      <c r="F267" s="2" t="str">
        <f>IFERROR(IF(MARÍTIMOS[[#This Row],[Transportista]]="","",MARÍTIMOS[[#This Row],[Transportista]]),"")</f>
        <v>VESL</v>
      </c>
      <c r="G267" s="2" t="str">
        <f>IFERROR(IF(MARÍTIMOS[[#This Row],[Tercero]]="","",MARÍTIMOS[[#This Row],[Tercero]]),"")</f>
        <v>NO</v>
      </c>
      <c r="H267" s="2" t="str">
        <f>IFERROR(IF(MARÍTIMOS[[#This Row],[Razón Social]]="","",MARÍTIMOS[[#This Row],[Razón Social]]),"")</f>
        <v>VE SOLUCIONES LOGISTICAS SAC</v>
      </c>
      <c r="I267" s="2">
        <f>IFERROR(IF(MARÍTIMOS[[#This Row],[RUC]]="","",MARÍTIMOS[[#This Row],[RUC]]),"")</f>
        <v>20557679392</v>
      </c>
      <c r="J267" s="2" t="str">
        <f>IFERROR(IF(MARÍTIMOS[[#This Row],[Placa Tracto]]="","",MARÍTIMOS[[#This Row],[Placa Tracto]]),"")</f>
        <v>BFY932</v>
      </c>
      <c r="K267" s="2" t="str">
        <f>IFERROR(IF(MARÍTIMOS[[#This Row],[Placa Carreta]]="","",MARÍTIMOS[[#This Row],[Placa Carreta]]),"")</f>
        <v>AUR-970</v>
      </c>
      <c r="L267" s="46" t="str">
        <f>IFERROR(IF(MARÍTIMOS[[#This Row],[Conductor]]="","",MARÍTIMOS[[#This Row],[Conductor]]),"")</f>
        <v>YMMER JOSÉ CALDERON RODRIGUEZ</v>
      </c>
      <c r="M267" s="2" t="str">
        <f>IFERROR(IF(MARÍTIMOS[[#This Row],[Licencia]]="","",MARÍTIMOS[[#This Row],[Licencia]]),"")</f>
        <v>B008200945</v>
      </c>
      <c r="N267" s="2" t="str">
        <f>IFERROR(IF(MARÍTIMOS[[#This Row],[Número de Contacto]]="","",MARÍTIMOS[[#This Row],[Número de Contacto]]),"")</f>
        <v/>
      </c>
      <c r="O267" s="10" t="str">
        <f>IFERROR(IF(MARÍTIMOS[[#This Row],[Booking|AWB|CRT]]="","",MARÍTIMOS[[#This Row],[Booking|AWB|CRT]]),"")</f>
        <v>PER9166890A</v>
      </c>
      <c r="P267" s="2" t="str">
        <f>IFERROR(IF(MARÍTIMOS[[#This Row],[Contenedor]]="","",MARÍTIMOS[[#This Row],[Contenedor]]),"")</f>
        <v>SEKU9119587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TPP</v>
      </c>
      <c r="S267" s="11">
        <f>IFERROR(IF(MARÍTIMOS[[#This Row],[Etapa Retiro - Cita]]="","",MARÍTIMOS[[#This Row],[Etapa Retiro - Cita]]),"")</f>
        <v>46030.708333333336</v>
      </c>
      <c r="T267" s="11">
        <f>IFERROR(IF(MARÍTIMOS[[#This Row],[Etapa Retiro - Llegada]]="","",MARÍTIMOS[[#This Row],[Etapa Retiro - Llegada]]),"")</f>
        <v>46235.727083333331</v>
      </c>
      <c r="U267" s="11">
        <f>IFERROR(IF(MARÍTIMOS[[#This Row],[Etapa Retiro - Ingreso]]="","",MARÍTIMOS[[#This Row],[Etapa Retiro - Ingreso]]),"")</f>
        <v>46235.731249999997</v>
      </c>
      <c r="V267" s="11">
        <f>IFERROR(IF(MARÍTIMOS[[#This Row],[Etapa Retiro - Atención]]="","",MARÍTIMOS[[#This Row],[Etapa Retiro - Atención]]),"")</f>
        <v>46235.75</v>
      </c>
      <c r="W267" s="11">
        <f>IFERROR(IF(MARÍTIMOS[[#This Row],[Etapa Retiro - Salida]]="","",MARÍTIMOS[[#This Row],[Etapa Retiro - Salida]]),"")</f>
        <v>46235.763888888891</v>
      </c>
      <c r="X267" s="11">
        <f>IFERROR(IF(MARÍTIMOS[[#This Row],[Etapa Retiro - Inicio de Ruta]]="","",MARÍTIMOS[[#This Row],[Etapa Retiro - Inicio de Ruta]]),"")</f>
        <v>46235.763888888891</v>
      </c>
      <c r="Y267" s="11">
        <f>IFERROR(IF(MARÍTIMOS[[#This Row],[Hora de Posicionamiento]]="","",MARÍTIMOS[[#This Row],[Hora de Carga]]+MARÍTIMOS[[#This Row],[Hora de Posicionamiento]]),"")</f>
        <v>0.33333333333333331</v>
      </c>
      <c r="Z267" s="11">
        <f>IFERROR(IF(MARÍTIMOS[[#This Row],[Etapa Despacho -  Llegada]]="","",MARÍTIMOS[[#This Row],[Etapa Despacho -  Llegada]]),"")</f>
        <v>46236.553472222222</v>
      </c>
      <c r="AA267" s="11">
        <f>IFERROR(IF(MARÍTIMOS[[#This Row],[Etapa Despacho -  Registro]]="","",MARÍTIMOS[[#This Row],[Etapa Despacho -  Registro]]),"")</f>
        <v>46236.559027777781</v>
      </c>
      <c r="AB267" s="11">
        <f>IFERROR(IF(MARÍTIMOS[[#This Row],[Inspección Externa]]="","",MARÍTIMOS[[#This Row],[Inspección Externa]]),"")</f>
        <v>46236.579861111109</v>
      </c>
      <c r="AC267" s="11">
        <f>IFERROR(IF(MARÍTIMOS[[#This Row],[Etapa Despacho -  Inicio de Carga]]="","",MARÍTIMOS[[#This Row],[Etapa Despacho -  Inicio de Carga]]),"")</f>
        <v>46236.78125</v>
      </c>
      <c r="AD267" s="11">
        <f>IFERROR(IF(MARÍTIMOS[[#This Row],[Etapa Despacho -  Fin de Carga]]="","",MARÍTIMOS[[#This Row],[Etapa Despacho -  Fin de Carga]]),"")</f>
        <v>46236.902777777781</v>
      </c>
      <c r="AE267" s="11">
        <f>IFERROR(IF(MARÍTIMOS[[#This Row],[Etapa Despacho -  Salida]]="","",MARÍTIMOS[[#This Row],[Etapa Despacho -  Salida]]),"")</f>
        <v>46236.914583333331</v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46089.666666666664</v>
      </c>
      <c r="AI267" s="11">
        <f>IFERROR(IF(MARÍTIMOS[[#This Row],[Etapa Ingreso - Llegada]]="","",MARÍTIMOS[[#This Row],[Etapa Ingreso - Llegada]]),"")</f>
        <v>46237.597222222219</v>
      </c>
      <c r="AJ267" s="11">
        <f>IFERROR(IF(MARÍTIMOS[[#This Row],[Etapa Ingreso - Ingeso]]="","",MARÍTIMOS[[#This Row],[Etapa Ingreso - Ingeso]]),"")</f>
        <v>46237.632638888892</v>
      </c>
      <c r="AK267" s="11">
        <f>IFERROR(IF(MARÍTIMOS[[#This Row],[Etapa Ingreso - Atención]]="","",MARÍTIMOS[[#This Row],[Etapa Ingreso - Atención]]),"")</f>
        <v>46237.635416666664</v>
      </c>
      <c r="AL267" s="11">
        <f>IFERROR(IF(MARÍTIMOS[[#This Row],[Etapa Ingreso - Salida]]="","",MARÍTIMOS[[#This Row],[Etapa Ingreso - Salida]]),"")</f>
        <v>46237.637499999997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7" s="5">
        <f>IFERROR(OLDBD[[#This Row],[Llegada a packing]]-OLDBD[[#This Row],[Inicio de Ruta]],"")</f>
        <v>0.78958333333139308</v>
      </c>
      <c r="AQ267" s="6">
        <f>IFERROR(OLDBD[[#This Row],[Inicio de Ruta]]-OLDBD[[#This Row],[Salida de almacén de retiro]],"")</f>
        <v>0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7" s="9">
        <f>IFERROR(OLDBD[[#This Row],[Ingreso Packing]]-OLDBD[[#This Row],[Registro en Packing]],"")</f>
        <v>2.0833333328482695E-2</v>
      </c>
      <c r="AV267" s="9">
        <f>IFERROR(OLDBD[[#This Row],[Ingreso Packing]]-OLDBD[[#This Row],[Llegada a packing]],"")</f>
        <v>2.6388888887595385E-2</v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7" s="5">
        <f>IFERROR(OLDBD[[#This Row],[Llegada Almacén de Ingreso]]-OLDBD[[#This Row],[Salida Packing]],"")</f>
        <v>0.68263888888759539</v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7" s="45" t="s">
        <v>181</v>
      </c>
      <c r="BB267" s="53" t="str">
        <f>IFERROR(IF(MARÍTIMOS[[#This Row],[Estatus]]="","",MARÍTIMOS[[#This Row],[Estatus]]),"")</f>
        <v>Confirmado</v>
      </c>
      <c r="BC267" s="45"/>
      <c r="BD267" s="52">
        <f>IFERROR(OLDBD[[#This Row],[Salida de almacén de retiro]]-OLDBD[[#This Row],[Ingreso Almacén de retiro]],"")</f>
        <v>3.2638888893416151E-2</v>
      </c>
      <c r="BE267" s="52">
        <f>IFERROR(OLDBD[[#This Row],[Fin de Carga]]-OLDBD[[#This Row],[Inicio de Carga]],"")</f>
        <v>0.12152777778101154</v>
      </c>
    </row>
    <row r="268" spans="1:57" x14ac:dyDescent="0.35">
      <c r="A268" s="1"/>
      <c r="B268" s="1">
        <f>IFERROR(IF(MARÍTIMOS[[#This Row],[PP]]="","",MARÍTIMOS[[#This Row],[PP]]),"")</f>
        <v>32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RH-0353</v>
      </c>
      <c r="E268" s="1"/>
      <c r="F268" s="2" t="str">
        <f>IFERROR(IF(MARÍTIMOS[[#This Row],[Transportista]]="","",MARÍTIMOS[[#This Row],[Transportista]]),"")</f>
        <v>VESL</v>
      </c>
      <c r="G268" s="2" t="str">
        <f>IFERROR(IF(MARÍTIMOS[[#This Row],[Tercero]]="","",MARÍTIMOS[[#This Row],[Tercero]]),"")</f>
        <v>NO</v>
      </c>
      <c r="H268" s="2" t="str">
        <f>IFERROR(IF(MARÍTIMOS[[#This Row],[Razón Social]]="","",MARÍTIMOS[[#This Row],[Razón Social]]),"")</f>
        <v>VE SOLUCIONES LOGISTICAS SAC</v>
      </c>
      <c r="I268" s="2">
        <f>IFERROR(IF(MARÍTIMOS[[#This Row],[RUC]]="","",MARÍTIMOS[[#This Row],[RUC]]),"")</f>
        <v>20557679392</v>
      </c>
      <c r="J268" s="2" t="str">
        <f>IFERROR(IF(MARÍTIMOS[[#This Row],[Placa Tracto]]="","",MARÍTIMOS[[#This Row],[Placa Tracto]]),"")</f>
        <v>BAV867</v>
      </c>
      <c r="K268" s="2" t="str">
        <f>IFERROR(IF(MARÍTIMOS[[#This Row],[Placa Carreta]]="","",MARÍTIMOS[[#This Row],[Placa Carreta]]),"")</f>
        <v>F5V-990</v>
      </c>
      <c r="L268" s="46" t="str">
        <f>IFERROR(IF(MARÍTIMOS[[#This Row],[Conductor]]="","",MARÍTIMOS[[#This Row],[Conductor]]),"")</f>
        <v>JESUS ALBERTO ZARRAGA ALVAREZ</v>
      </c>
      <c r="M268" s="2" t="str">
        <f>IFERROR(IF(MARÍTIMOS[[#This Row],[Licencia]]="","",MARÍTIMOS[[#This Row],[Licencia]]),"")</f>
        <v>B006469382</v>
      </c>
      <c r="N268" s="2" t="str">
        <f>IFERROR(IF(MARÍTIMOS[[#This Row],[Número de Contacto]]="","",MARÍTIMOS[[#This Row],[Número de Contacto]]),"")</f>
        <v/>
      </c>
      <c r="O268" s="10" t="str">
        <f>IFERROR(IF(MARÍTIMOS[[#This Row],[Booking|AWB|CRT]]="","",MARÍTIMOS[[#This Row],[Booking|AWB|CRT]]),"")</f>
        <v>PER9166841A</v>
      </c>
      <c r="P268" s="2" t="str">
        <f>IFERROR(IF(MARÍTIMOS[[#This Row],[Contenedor]]="","",MARÍTIMOS[[#This Row],[Contenedor]]),"")</f>
        <v>SZLU7011925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TPP</v>
      </c>
      <c r="S268" s="11">
        <f>IFERROR(IF(MARÍTIMOS[[#This Row],[Etapa Retiro - Cita]]="","",MARÍTIMOS[[#This Row],[Etapa Retiro - Cita]]),"")</f>
        <v>46061.375</v>
      </c>
      <c r="T268" s="11">
        <f>IFERROR(IF(MARÍTIMOS[[#This Row],[Etapa Retiro - Llegada]]="","",MARÍTIMOS[[#This Row],[Etapa Retiro - Llegada]]),"")</f>
        <v>46236.375</v>
      </c>
      <c r="U268" s="11">
        <f>IFERROR(IF(MARÍTIMOS[[#This Row],[Etapa Retiro - Ingreso]]="","",MARÍTIMOS[[#This Row],[Etapa Retiro - Ingreso]]),"")</f>
        <v>46236.381944444445</v>
      </c>
      <c r="V268" s="11">
        <f>IFERROR(IF(MARÍTIMOS[[#This Row],[Etapa Retiro - Atención]]="","",MARÍTIMOS[[#This Row],[Etapa Retiro - Atención]]),"")</f>
        <v>46236.381944444445</v>
      </c>
      <c r="W268" s="11">
        <f>IFERROR(IF(MARÍTIMOS[[#This Row],[Etapa Retiro - Salida]]="","",MARÍTIMOS[[#This Row],[Etapa Retiro - Salida]]),"")</f>
        <v>46236.425000000003</v>
      </c>
      <c r="X268" s="11">
        <f>IFERROR(IF(MARÍTIMOS[[#This Row],[Etapa Retiro - Inicio de Ruta]]="","",MARÍTIMOS[[#This Row],[Etapa Retiro - Inicio de Ruta]]),"")</f>
        <v>46236.425000000003</v>
      </c>
      <c r="Y268" s="11">
        <f>IFERROR(IF(MARÍTIMOS[[#This Row],[Hora de Posicionamiento]]="","",MARÍTIMOS[[#This Row],[Hora de Carga]]+MARÍTIMOS[[#This Row],[Hora de Posicionamiento]]),"")</f>
        <v>0.33333333333333331</v>
      </c>
      <c r="Z268" s="11">
        <f>IFERROR(IF(MARÍTIMOS[[#This Row],[Etapa Despacho -  Llegada]]="","",MARÍTIMOS[[#This Row],[Etapa Despacho -  Llegada]]),"")</f>
        <v>46237.34097222222</v>
      </c>
      <c r="AA268" s="11">
        <f>IFERROR(IF(MARÍTIMOS[[#This Row],[Etapa Despacho -  Registro]]="","",MARÍTIMOS[[#This Row],[Etapa Despacho -  Registro]]),"")</f>
        <v>46237.34652777778</v>
      </c>
      <c r="AB268" s="11">
        <f>IFERROR(IF(MARÍTIMOS[[#This Row],[Inspección Externa]]="","",MARÍTIMOS[[#This Row],[Inspección Externa]]),"")</f>
        <v>46237.359722222223</v>
      </c>
      <c r="AC268" s="11">
        <f>IFERROR(IF(MARÍTIMOS[[#This Row],[Etapa Despacho -  Inicio de Carga]]="","",MARÍTIMOS[[#This Row],[Etapa Despacho -  Inicio de Carga]]),"")</f>
        <v>46237.555555555555</v>
      </c>
      <c r="AD268" s="11">
        <f>IFERROR(IF(MARÍTIMOS[[#This Row],[Etapa Despacho -  Fin de Carga]]="","",MARÍTIMOS[[#This Row],[Etapa Despacho -  Fin de Carga]]),"")</f>
        <v>46237.6875</v>
      </c>
      <c r="AE268" s="11">
        <f>IFERROR(IF(MARÍTIMOS[[#This Row],[Etapa Despacho -  Salida]]="","",MARÍTIMOS[[#This Row],[Etapa Despacho -  Salida]]),"")</f>
        <v>46237.734722222223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46120.625</v>
      </c>
      <c r="AI268" s="11">
        <f>IFERROR(IF(MARÍTIMOS[[#This Row],[Etapa Ingreso - Llegada]]="","",MARÍTIMOS[[#This Row],[Etapa Ingreso - Llegada]]),"")</f>
        <v>46238.594444444447</v>
      </c>
      <c r="AJ268" s="11">
        <f>IFERROR(IF(MARÍTIMOS[[#This Row],[Etapa Ingreso - Ingeso]]="","",MARÍTIMOS[[#This Row],[Etapa Ingreso - Ingeso]]),"")</f>
        <v>46238.6</v>
      </c>
      <c r="AK268" s="11">
        <f>IFERROR(IF(MARÍTIMOS[[#This Row],[Etapa Ingreso - Atención]]="","",MARÍTIMOS[[#This Row],[Etapa Ingreso - Atención]]),"")</f>
        <v>46238.602777777778</v>
      </c>
      <c r="AL268" s="11">
        <f>IFERROR(IF(MARÍTIMOS[[#This Row],[Etapa Ingreso - Salida]]="","",MARÍTIMOS[[#This Row],[Etapa Ingreso - Salida]]),"")</f>
        <v>46238.612500000003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8" s="5">
        <f>IFERROR(OLDBD[[#This Row],[Llegada a packing]]-OLDBD[[#This Row],[Inicio de Ruta]],"")</f>
        <v>0.91597222221753327</v>
      </c>
      <c r="AQ268" s="6">
        <f>IFERROR(OLDBD[[#This Row],[Inicio de Ruta]]-OLDBD[[#This Row],[Salida de almacén de retiro]],"")</f>
        <v>0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8" s="9">
        <f>IFERROR(OLDBD[[#This Row],[Ingreso Packing]]-OLDBD[[#This Row],[Registro en Packing]],"")</f>
        <v>1.3194444443797693E-2</v>
      </c>
      <c r="AV268" s="9">
        <f>IFERROR(OLDBD[[#This Row],[Ingreso Packing]]-OLDBD[[#This Row],[Llegada a packing]],"")</f>
        <v>1.8750000002910383E-2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8" s="5">
        <f>IFERROR(OLDBD[[#This Row],[Llegada Almacén de Ingreso]]-OLDBD[[#This Row],[Salida Packing]],"")</f>
        <v>0.85972222222335404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8" s="45" t="s">
        <v>181</v>
      </c>
      <c r="BB268" s="53" t="str">
        <f>IFERROR(IF(MARÍTIMOS[[#This Row],[Estatus]]="","",MARÍTIMOS[[#This Row],[Estatus]]),"")</f>
        <v>Confirmado</v>
      </c>
      <c r="BC268" s="45"/>
      <c r="BD268" s="52">
        <f>IFERROR(OLDBD[[#This Row],[Salida de almacén de retiro]]-OLDBD[[#This Row],[Ingreso Almacén de retiro]],"")</f>
        <v>4.3055555557657499E-2</v>
      </c>
      <c r="BE268" s="52">
        <f>IFERROR(OLDBD[[#This Row],[Fin de Carga]]-OLDBD[[#This Row],[Inicio de Carga]],"")</f>
        <v>0.13194444444525288</v>
      </c>
    </row>
    <row r="269" spans="1:57" x14ac:dyDescent="0.35">
      <c r="A269" s="1"/>
      <c r="B269" s="1">
        <f>IFERROR(IF(MARÍTIMOS[[#This Row],[PP]]="","",MARÍTIMOS[[#This Row],[PP]]),"")</f>
        <v>32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RH-0350</v>
      </c>
      <c r="E269" s="1"/>
      <c r="F269" s="2" t="str">
        <f>IFERROR(IF(MARÍTIMOS[[#This Row],[Transportista]]="","",MARÍTIMOS[[#This Row],[Transportista]]),"")</f>
        <v>VESL</v>
      </c>
      <c r="G269" s="2" t="str">
        <f>IFERROR(IF(MARÍTIMOS[[#This Row],[Tercero]]="","",MARÍTIMOS[[#This Row],[Tercero]]),"")</f>
        <v>NO</v>
      </c>
      <c r="H269" s="2" t="str">
        <f>IFERROR(IF(MARÍTIMOS[[#This Row],[Razón Social]]="","",MARÍTIMOS[[#This Row],[Razón Social]]),"")</f>
        <v>VE SOLUCIONES LOGISTICAS SAC</v>
      </c>
      <c r="I269" s="2">
        <f>IFERROR(IF(MARÍTIMOS[[#This Row],[RUC]]="","",MARÍTIMOS[[#This Row],[RUC]]),"")</f>
        <v>20557679392</v>
      </c>
      <c r="J269" s="2" t="str">
        <f>IFERROR(IF(MARÍTIMOS[[#This Row],[Placa Tracto]]="","",MARÍTIMOS[[#This Row],[Placa Tracto]]),"")</f>
        <v>BFY-931</v>
      </c>
      <c r="K269" s="2" t="str">
        <f>IFERROR(IF(MARÍTIMOS[[#This Row],[Placa Carreta]]="","",MARÍTIMOS[[#This Row],[Placa Carreta]]),"")</f>
        <v>F5X-983</v>
      </c>
      <c r="L269" s="46" t="str">
        <f>IFERROR(IF(MARÍTIMOS[[#This Row],[Conductor]]="","",MARÍTIMOS[[#This Row],[Conductor]]),"")</f>
        <v>RICHARD CLEY CALDERON RODRIGUEZ</v>
      </c>
      <c r="M269" s="2" t="str">
        <f>IFERROR(IF(MARÍTIMOS[[#This Row],[Licencia]]="","",MARÍTIMOS[[#This Row],[Licencia]]),"")</f>
        <v>B003228182</v>
      </c>
      <c r="N269" s="2" t="str">
        <f>IFERROR(IF(MARÍTIMOS[[#This Row],[Número de Contacto]]="","",MARÍTIMOS[[#This Row],[Número de Contacto]]),"")</f>
        <v/>
      </c>
      <c r="O269" s="10" t="str">
        <f>IFERROR(IF(MARÍTIMOS[[#This Row],[Booking|AWB|CRT]]="","",MARÍTIMOS[[#This Row],[Booking|AWB|CRT]]),"")</f>
        <v>PER9166895A</v>
      </c>
      <c r="P269" s="2" t="str">
        <f>IFERROR(IF(MARÍTIMOS[[#This Row],[Contenedor]]="","",MARÍTIMOS[[#This Row],[Contenedor]]),"")</f>
        <v>CAAU4167525</v>
      </c>
      <c r="Q269" s="2" t="str">
        <f>IFERROR(IF(MARÍTIMOS[[#This Row],[Puerto de Retiro]]="","",MARÍTIMOS[[#This Row],[Puerto de Retiro]]),"")</f>
        <v>PAITA</v>
      </c>
      <c r="R269" s="2" t="str">
        <f>IFERROR(IF(MARÍTIMOS[[#This Row],[Almacén de Retiro]]="","",MARÍTIMOS[[#This Row],[Almacén de Retiro]]),"")</f>
        <v>TPP</v>
      </c>
      <c r="S269" s="11">
        <f>IFERROR(IF(MARÍTIMOS[[#This Row],[Etapa Retiro - Cita]]="","",MARÍTIMOS[[#This Row],[Etapa Retiro - Cita]]),"")</f>
        <v>46061.375</v>
      </c>
      <c r="T269" s="11">
        <f>IFERROR(IF(MARÍTIMOS[[#This Row],[Etapa Retiro - Llegada]]="","",MARÍTIMOS[[#This Row],[Etapa Retiro - Llegada]]),"")</f>
        <v>46236.375</v>
      </c>
      <c r="U269" s="11">
        <f>IFERROR(IF(MARÍTIMOS[[#This Row],[Etapa Retiro - Ingreso]]="","",MARÍTIMOS[[#This Row],[Etapa Retiro - Ingreso]]),"")</f>
        <v>46236.385416666664</v>
      </c>
      <c r="V269" s="11">
        <f>IFERROR(IF(MARÍTIMOS[[#This Row],[Etapa Retiro - Atención]]="","",MARÍTIMOS[[#This Row],[Etapa Retiro - Atención]]),"")</f>
        <v>46236.385416666664</v>
      </c>
      <c r="W269" s="11">
        <f>IFERROR(IF(MARÍTIMOS[[#This Row],[Etapa Retiro - Salida]]="","",MARÍTIMOS[[#This Row],[Etapa Retiro - Salida]]),"")</f>
        <v>46236.443749999999</v>
      </c>
      <c r="X269" s="11">
        <f>IFERROR(IF(MARÍTIMOS[[#This Row],[Etapa Retiro - Inicio de Ruta]]="","",MARÍTIMOS[[#This Row],[Etapa Retiro - Inicio de Ruta]]),"")</f>
        <v>46236.443749999999</v>
      </c>
      <c r="Y269" s="11">
        <f>IFERROR(IF(MARÍTIMOS[[#This Row],[Hora de Posicionamiento]]="","",MARÍTIMOS[[#This Row],[Hora de Carga]]+MARÍTIMOS[[#This Row],[Hora de Posicionamiento]]),"")</f>
        <v>0.33333333333333331</v>
      </c>
      <c r="Z269" s="11">
        <f>IFERROR(IF(MARÍTIMOS[[#This Row],[Etapa Despacho -  Llegada]]="","",MARÍTIMOS[[#This Row],[Etapa Despacho -  Llegada]]),"")</f>
        <v>46237.344444444447</v>
      </c>
      <c r="AA269" s="11">
        <f>IFERROR(IF(MARÍTIMOS[[#This Row],[Etapa Despacho -  Registro]]="","",MARÍTIMOS[[#This Row],[Etapa Despacho -  Registro]]),"")</f>
        <v>46237.345833333333</v>
      </c>
      <c r="AB269" s="11">
        <f>IFERROR(IF(MARÍTIMOS[[#This Row],[Inspección Externa]]="","",MARÍTIMOS[[#This Row],[Inspección Externa]]),"")</f>
        <v>46237.364583333336</v>
      </c>
      <c r="AC269" s="11">
        <f>IFERROR(IF(MARÍTIMOS[[#This Row],[Etapa Despacho -  Inicio de Carga]]="","",MARÍTIMOS[[#This Row],[Etapa Despacho -  Inicio de Carga]]),"")</f>
        <v>46237.600694444445</v>
      </c>
      <c r="AD269" s="11">
        <f>IFERROR(IF(MARÍTIMOS[[#This Row],[Etapa Despacho -  Fin de Carga]]="","",MARÍTIMOS[[#This Row],[Etapa Despacho -  Fin de Carga]]),"")</f>
        <v>46237.763888888891</v>
      </c>
      <c r="AE269" s="11">
        <f>IFERROR(IF(MARÍTIMOS[[#This Row],[Etapa Despacho -  Salida]]="","",MARÍTIMOS[[#This Row],[Etapa Despacho -  Salida]]),"")</f>
        <v>46237.788194444445</v>
      </c>
      <c r="AF269" s="2" t="str">
        <f>IFERROR(IF(MARÍTIMOS[[#This Row],[Puerto de Embarque]]="","",MARÍTIMOS[[#This Row],[Puerto de Embarque]]),"")</f>
        <v>Paita</v>
      </c>
      <c r="AG269" s="2" t="str">
        <f>IFERROR(IF(MARÍTIMOS[[#This Row],[Almacén de Ingreso]]="","",MARÍTIMOS[[#This Row],[Almacén de Ingreso]]),"")</f>
        <v>TPE</v>
      </c>
      <c r="AH269" s="11">
        <f>IFERROR(IF(MARÍTIMOS[[#This Row],[Etapa Ingreso - Cita]]="","",MARÍTIMOS[[#This Row],[Etapa Ingreso - Cita]]),"")</f>
        <v>46120.583333333336</v>
      </c>
      <c r="AI269" s="11">
        <f>IFERROR(IF(MARÍTIMOS[[#This Row],[Etapa Ingreso - Llegada]]="","",MARÍTIMOS[[#This Row],[Etapa Ingreso - Llegada]]),"")</f>
        <v>46238.559027777781</v>
      </c>
      <c r="AJ269" s="11">
        <f>IFERROR(IF(MARÍTIMOS[[#This Row],[Etapa Ingreso - Ingeso]]="","",MARÍTIMOS[[#This Row],[Etapa Ingreso - Ingeso]]),"")</f>
        <v>46238.5625</v>
      </c>
      <c r="AK269" s="11">
        <f>IFERROR(IF(MARÍTIMOS[[#This Row],[Etapa Ingreso - Atención]]="","",MARÍTIMOS[[#This Row],[Etapa Ingreso - Atención]]),"")</f>
        <v>46238.564583333333</v>
      </c>
      <c r="AL269" s="11">
        <f>IFERROR(IF(MARÍTIMOS[[#This Row],[Etapa Ingreso - Salida]]="","",MARÍTIMOS[[#This Row],[Etapa Ingreso - Salida]]),"")</f>
        <v>46238.57708333333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9" s="5">
        <f>IFERROR(OLDBD[[#This Row],[Llegada a packing]]-OLDBD[[#This Row],[Inicio de Ruta]],"")</f>
        <v>0.90069444444816327</v>
      </c>
      <c r="AQ269" s="6">
        <f>IFERROR(OLDBD[[#This Row],[Inicio de Ruta]]-OLDBD[[#This Row],[Salida de almacén de retiro]],"")</f>
        <v>0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9" s="9">
        <f>IFERROR(OLDBD[[#This Row],[Ingreso Packing]]-OLDBD[[#This Row],[Registro en Packing]],"")</f>
        <v>1.8750000002910383E-2</v>
      </c>
      <c r="AV269" s="9">
        <f>IFERROR(OLDBD[[#This Row],[Ingreso Packing]]-OLDBD[[#This Row],[Llegada a packing]],"")</f>
        <v>2.0138888889050577E-2</v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9" s="5">
        <f>IFERROR(OLDBD[[#This Row],[Llegada Almacén de Ingreso]]-OLDBD[[#This Row],[Salida Packing]],"")</f>
        <v>0.77083333333575865</v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9" s="45" t="s">
        <v>181</v>
      </c>
      <c r="BB269" s="53" t="str">
        <f>IFERROR(IF(MARÍTIMOS[[#This Row],[Estatus]]="","",MARÍTIMOS[[#This Row],[Estatus]]),"")</f>
        <v>Confirmado</v>
      </c>
      <c r="BC269" s="45"/>
      <c r="BD269" s="52">
        <f>IFERROR(OLDBD[[#This Row],[Salida de almacén de retiro]]-OLDBD[[#This Row],[Ingreso Almacén de retiro]],"")</f>
        <v>5.8333333334303461E-2</v>
      </c>
      <c r="BE269" s="52">
        <f>IFERROR(OLDBD[[#This Row],[Fin de Carga]]-OLDBD[[#This Row],[Inicio de Carga]],"")</f>
        <v>0.16319444444525288</v>
      </c>
    </row>
    <row r="270" spans="1:57" x14ac:dyDescent="0.35">
      <c r="A270" s="1"/>
      <c r="B270" s="1">
        <f>IFERROR(IF(MARÍTIMOS[[#This Row],[PP]]="","",MARÍTIMOS[[#This Row],[PP]]),"")</f>
        <v>32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RH-0354</v>
      </c>
      <c r="E270" s="1"/>
      <c r="F270" s="2" t="str">
        <f>IFERROR(IF(MARÍTIMOS[[#This Row],[Transportista]]="","",MARÍTIMOS[[#This Row],[Transportista]]),"")</f>
        <v>VESL</v>
      </c>
      <c r="G270" s="2" t="str">
        <f>IFERROR(IF(MARÍTIMOS[[#This Row],[Tercero]]="","",MARÍTIMOS[[#This Row],[Tercero]]),"")</f>
        <v>NO</v>
      </c>
      <c r="H270" s="2" t="str">
        <f>IFERROR(IF(MARÍTIMOS[[#This Row],[Razón Social]]="","",MARÍTIMOS[[#This Row],[Razón Social]]),"")</f>
        <v>VE SOLUCIONES LOGISTICAS SAC</v>
      </c>
      <c r="I270" s="2">
        <f>IFERROR(IF(MARÍTIMOS[[#This Row],[RUC]]="","",MARÍTIMOS[[#This Row],[RUC]]),"")</f>
        <v>20557679392</v>
      </c>
      <c r="J270" s="2" t="str">
        <f>IFERROR(IF(MARÍTIMOS[[#This Row],[Placa Tracto]]="","",MARÍTIMOS[[#This Row],[Placa Tracto]]),"")</f>
        <v>BFY-936</v>
      </c>
      <c r="K270" s="2" t="str">
        <f>IFERROR(IF(MARÍTIMOS[[#This Row],[Placa Carreta]]="","",MARÍTIMOS[[#This Row],[Placa Carreta]]),"")</f>
        <v>AUQ993</v>
      </c>
      <c r="L270" s="46" t="str">
        <f>IFERROR(IF(MARÍTIMOS[[#This Row],[Conductor]]="","",MARÍTIMOS[[#This Row],[Conductor]]),"")</f>
        <v>EDWIN JESUS ANTON MARIN</v>
      </c>
      <c r="M270" s="2" t="str">
        <f>IFERROR(IF(MARÍTIMOS[[#This Row],[Licencia]]="","",MARÍTIMOS[[#This Row],[Licencia]]),"")</f>
        <v>B005015762</v>
      </c>
      <c r="N270" s="2" t="str">
        <f>IFERROR(IF(MARÍTIMOS[[#This Row],[Número de Contacto]]="","",MARÍTIMOS[[#This Row],[Número de Contacto]]),"")</f>
        <v/>
      </c>
      <c r="O270" s="10" t="str">
        <f>IFERROR(IF(MARÍTIMOS[[#This Row],[Booking|AWB|CRT]]="","",MARÍTIMOS[[#This Row],[Booking|AWB|CRT]]),"")</f>
        <v>PER9166845A</v>
      </c>
      <c r="P270" s="2" t="str">
        <f>IFERROR(IF(MARÍTIMOS[[#This Row],[Contenedor]]="","",MARÍTIMOS[[#This Row],[Contenedor]]),"")</f>
        <v>SZLU5023193</v>
      </c>
      <c r="Q270" s="2" t="str">
        <f>IFERROR(IF(MARÍTIMOS[[#This Row],[Puerto de Retiro]]="","",MARÍTIMOS[[#This Row],[Puerto de Retiro]]),"")</f>
        <v>PAITA</v>
      </c>
      <c r="R270" s="2" t="str">
        <f>IFERROR(IF(MARÍTIMOS[[#This Row],[Almacén de Retiro]]="","",MARÍTIMOS[[#This Row],[Almacén de Retiro]]),"")</f>
        <v>TPP</v>
      </c>
      <c r="S270" s="11">
        <f>IFERROR(IF(MARÍTIMOS[[#This Row],[Etapa Retiro - Cita]]="","",MARÍTIMOS[[#This Row],[Etapa Retiro - Cita]]),"")</f>
        <v>46061.375</v>
      </c>
      <c r="T270" s="11">
        <f>IFERROR(IF(MARÍTIMOS[[#This Row],[Etapa Retiro - Llegada]]="","",MARÍTIMOS[[#This Row],[Etapa Retiro - Llegada]]),"")</f>
        <v>46236.464583333334</v>
      </c>
      <c r="U270" s="11">
        <f>IFERROR(IF(MARÍTIMOS[[#This Row],[Etapa Retiro - Ingreso]]="","",MARÍTIMOS[[#This Row],[Etapa Retiro - Ingreso]]),"")</f>
        <v>46236.46875</v>
      </c>
      <c r="V270" s="11">
        <f>IFERROR(IF(MARÍTIMOS[[#This Row],[Etapa Retiro - Atención]]="","",MARÍTIMOS[[#This Row],[Etapa Retiro - Atención]]),"")</f>
        <v>46236.46875</v>
      </c>
      <c r="W270" s="11">
        <f>IFERROR(IF(MARÍTIMOS[[#This Row],[Etapa Retiro - Salida]]="","",MARÍTIMOS[[#This Row],[Etapa Retiro - Salida]]),"")</f>
        <v>46236.600694444445</v>
      </c>
      <c r="X270" s="11">
        <f>IFERROR(IF(MARÍTIMOS[[#This Row],[Etapa Retiro - Inicio de Ruta]]="","",MARÍTIMOS[[#This Row],[Etapa Retiro - Inicio de Ruta]]),"")</f>
        <v>46236.600694444445</v>
      </c>
      <c r="Y270" s="11">
        <f>IFERROR(IF(MARÍTIMOS[[#This Row],[Hora de Posicionamiento]]="","",MARÍTIMOS[[#This Row],[Hora de Carga]]+MARÍTIMOS[[#This Row],[Hora de Posicionamiento]]),"")</f>
        <v>0.33333333333333331</v>
      </c>
      <c r="Z270" s="11">
        <f>IFERROR(IF(MARÍTIMOS[[#This Row],[Etapa Despacho -  Llegada]]="","",MARÍTIMOS[[#This Row],[Etapa Despacho -  Llegada]]),"")</f>
        <v>46237.34097222222</v>
      </c>
      <c r="AA270" s="11">
        <f>IFERROR(IF(MARÍTIMOS[[#This Row],[Etapa Despacho -  Registro]]="","",MARÍTIMOS[[#This Row],[Etapa Despacho -  Registro]]),"")</f>
        <v>46237.345138888886</v>
      </c>
      <c r="AB270" s="11">
        <f>IFERROR(IF(MARÍTIMOS[[#This Row],[Inspección Externa]]="","",MARÍTIMOS[[#This Row],[Inspección Externa]]),"")</f>
        <v>46237.374305555553</v>
      </c>
      <c r="AC270" s="11">
        <f>IFERROR(IF(MARÍTIMOS[[#This Row],[Etapa Despacho -  Inicio de Carga]]="","",MARÍTIMOS[[#This Row],[Etapa Despacho -  Inicio de Carga]]),"")</f>
        <v>46237.65625</v>
      </c>
      <c r="AD270" s="11">
        <f>IFERROR(IF(MARÍTIMOS[[#This Row],[Etapa Despacho -  Fin de Carga]]="","",MARÍTIMOS[[#This Row],[Etapa Despacho -  Fin de Carga]]),"")</f>
        <v>46237.708333333336</v>
      </c>
      <c r="AE270" s="11">
        <f>IFERROR(IF(MARÍTIMOS[[#This Row],[Etapa Despacho -  Salida]]="","",MARÍTIMOS[[#This Row],[Etapa Despacho -  Salida]]),"")</f>
        <v>46237.734722222223</v>
      </c>
      <c r="AF270" s="2" t="str">
        <f>IFERROR(IF(MARÍTIMOS[[#This Row],[Puerto de Embarque]]="","",MARÍTIMOS[[#This Row],[Puerto de Embarque]]),"")</f>
        <v>Paita</v>
      </c>
      <c r="AG270" s="2" t="str">
        <f>IFERROR(IF(MARÍTIMOS[[#This Row],[Almacén de Ingreso]]="","",MARÍTIMOS[[#This Row],[Almacén de Ingreso]]),"")</f>
        <v>TPE</v>
      </c>
      <c r="AH270" s="11">
        <f>IFERROR(IF(MARÍTIMOS[[#This Row],[Etapa Ingreso - Cita]]="","",MARÍTIMOS[[#This Row],[Etapa Ingreso - Cita]]),"")</f>
        <v>46120.541666666664</v>
      </c>
      <c r="AI270" s="11">
        <f>IFERROR(IF(MARÍTIMOS[[#This Row],[Etapa Ingreso - Llegada]]="","",MARÍTIMOS[[#This Row],[Etapa Ingreso - Llegada]]),"")</f>
        <v>46238.534722222219</v>
      </c>
      <c r="AJ270" s="11">
        <f>IFERROR(IF(MARÍTIMOS[[#This Row],[Etapa Ingreso - Ingeso]]="","",MARÍTIMOS[[#This Row],[Etapa Ingreso - Ingeso]]),"")</f>
        <v>46238.541666666664</v>
      </c>
      <c r="AK270" s="11">
        <f>IFERROR(IF(MARÍTIMOS[[#This Row],[Etapa Ingreso - Atención]]="","",MARÍTIMOS[[#This Row],[Etapa Ingreso - Atención]]),"")</f>
        <v>46238.543055555558</v>
      </c>
      <c r="AL270" s="11">
        <f>IFERROR(IF(MARÍTIMOS[[#This Row],[Etapa Ingreso - Salida]]="","",MARÍTIMOS[[#This Row],[Etapa Ingreso - Salida]]),"")</f>
        <v>46238.552083333336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70" s="5">
        <f>IFERROR(OLDBD[[#This Row],[Llegada a packing]]-OLDBD[[#This Row],[Inicio de Ruta]],"")</f>
        <v>0.74027777777519077</v>
      </c>
      <c r="AQ270" s="6">
        <f>IFERROR(OLDBD[[#This Row],[Inicio de Ruta]]-OLDBD[[#This Row],[Salida de almacén de retiro]],"")</f>
        <v>0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0" s="9">
        <f>IFERROR(OLDBD[[#This Row],[Ingreso Packing]]-OLDBD[[#This Row],[Registro en Packing]],"")</f>
        <v>2.9166666667151731E-2</v>
      </c>
      <c r="AV270" s="9">
        <f>IFERROR(OLDBD[[#This Row],[Ingreso Packing]]-OLDBD[[#This Row],[Llegada a packing]],"")</f>
        <v>3.3333333332848269E-2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0" s="5">
        <f>IFERROR(OLDBD[[#This Row],[Llegada Almacén de Ingreso]]-OLDBD[[#This Row],[Salida Packing]],"")</f>
        <v>0.79999999999563443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5" t="s">
        <v>181</v>
      </c>
      <c r="BB270" s="53" t="str">
        <f>IFERROR(IF(MARÍTIMOS[[#This Row],[Estatus]]="","",MARÍTIMOS[[#This Row],[Estatus]]),"")</f>
        <v>Confirmado</v>
      </c>
      <c r="BC270" s="45"/>
      <c r="BD270" s="52">
        <f>IFERROR(OLDBD[[#This Row],[Salida de almacén de retiro]]-OLDBD[[#This Row],[Ingreso Almacén de retiro]],"")</f>
        <v>0.13194444444525288</v>
      </c>
      <c r="BE270" s="52">
        <f>IFERROR(OLDBD[[#This Row],[Fin de Carga]]-OLDBD[[#This Row],[Inicio de Carga]],"")</f>
        <v>5.2083333335758653E-2</v>
      </c>
    </row>
    <row r="271" spans="1:57" x14ac:dyDescent="0.35">
      <c r="A271" s="1"/>
      <c r="B271" s="1">
        <f>IFERROR(IF(MARÍTIMOS[[#This Row],[PP]]="","",MARÍTIMOS[[#This Row],[PP]]),"")</f>
        <v>32</v>
      </c>
      <c r="C271" s="1" t="str">
        <f>IFERROR(IF(MARÍTIMOS[[#This Row],[Sede]]="","",MARÍTIMOS[[#This Row],[Sede]]),"")</f>
        <v/>
      </c>
      <c r="D271" s="1" t="str">
        <f>IFERROR(IF(MARÍTIMOS[[#This Row],[Instruction]]="","",MARÍTIMOS[[#This Row],[Instruction]]),"")</f>
        <v>RH-0426</v>
      </c>
      <c r="E271" s="1"/>
      <c r="F271" s="2" t="str">
        <f>IFERROR(IF(MARÍTIMOS[[#This Row],[Transportista]]="","",MARÍTIMOS[[#This Row],[Transportista]]),"")</f>
        <v/>
      </c>
      <c r="G271" s="2" t="str">
        <f>IFERROR(IF(MARÍTIMOS[[#This Row],[Tercero]]="","",MARÍTIMOS[[#This Row],[Tercero]]),"")</f>
        <v/>
      </c>
      <c r="H271" s="2" t="str">
        <f>IFERROR(IF(MARÍTIMOS[[#This Row],[Razón Social]]="","",MARÍTIMOS[[#This Row],[Razón Social]]),"")</f>
        <v/>
      </c>
      <c r="I271" s="2" t="str">
        <f>IFERROR(IF(MARÍTIMOS[[#This Row],[RUC]]="","",MARÍTIMOS[[#This Row],[RUC]]),"")</f>
        <v/>
      </c>
      <c r="J271" s="2" t="str">
        <f>IFERROR(IF(MARÍTIMOS[[#This Row],[Placa Tracto]]="","",MARÍTIMOS[[#This Row],[Placa Tracto]]),"")</f>
        <v/>
      </c>
      <c r="K271" s="2" t="str">
        <f>IFERROR(IF(MARÍTIMOS[[#This Row],[Placa Carreta]]="","",MARÍTIMOS[[#This Row],[Placa Carreta]]),"")</f>
        <v/>
      </c>
      <c r="L271" s="46" t="str">
        <f>IFERROR(IF(MARÍTIMOS[[#This Row],[Conductor]]="","",MARÍTIMOS[[#This Row],[Conductor]]),"")</f>
        <v/>
      </c>
      <c r="M271" s="2" t="str">
        <f>IFERROR(IF(MARÍTIMOS[[#This Row],[Licencia]]="","",MARÍTIMOS[[#This Row],[Licencia]]),"")</f>
        <v/>
      </c>
      <c r="N271" s="2" t="str">
        <f>IFERROR(IF(MARÍTIMOS[[#This Row],[Número de Contacto]]="","",MARÍTIMOS[[#This Row],[Número de Contacto]]),"")</f>
        <v/>
      </c>
      <c r="O271" s="10" t="str">
        <f>IFERROR(IF(MARÍTIMOS[[#This Row],[Booking|AWB|CRT]]="","",MARÍTIMOS[[#This Row],[Booking|AWB|CRT]]),"")</f>
        <v>PER9178557A</v>
      </c>
      <c r="P271" s="2" t="str">
        <f>IFERROR(IF(MARÍTIMOS[[#This Row],[Contenedor]]="","",MARÍTIMOS[[#This Row],[Contenedor]]),"")</f>
        <v/>
      </c>
      <c r="Q271" s="2" t="str">
        <f>IFERROR(IF(MARÍTIMOS[[#This Row],[Puerto de Retiro]]="","",MARÍTIMOS[[#This Row],[Puerto de Retiro]]),"")</f>
        <v/>
      </c>
      <c r="R271" s="2" t="str">
        <f>IFERROR(IF(MARÍTIMOS[[#This Row],[Almacén de Retiro]]="","",MARÍTIMOS[[#This Row],[Almacén de Retiro]]),"")</f>
        <v/>
      </c>
      <c r="S271" s="11" t="str">
        <f>IFERROR(IF(MARÍTIMOS[[#This Row],[Etapa Retiro - Cita]]="","",MARÍTIMOS[[#This Row],[Etapa Retiro - Cita]]),"")</f>
        <v/>
      </c>
      <c r="T271" s="11" t="str">
        <f>IFERROR(IF(MARÍTIMOS[[#This Row],[Etapa Retiro - Llegada]]="","",MARÍTIMOS[[#This Row],[Etapa Retiro - Llegada]]),"")</f>
        <v/>
      </c>
      <c r="U271" s="11" t="str">
        <f>IFERROR(IF(MARÍTIMOS[[#This Row],[Etapa Retiro - Ingreso]]="","",MARÍTIMOS[[#This Row],[Etapa Retiro - Ingreso]]),"")</f>
        <v/>
      </c>
      <c r="V271" s="11" t="str">
        <f>IFERROR(IF(MARÍTIMOS[[#This Row],[Etapa Retiro - Atención]]="","",MARÍTIMOS[[#This Row],[Etapa Retiro - Atención]]),"")</f>
        <v/>
      </c>
      <c r="W271" s="11" t="str">
        <f>IFERROR(IF(MARÍTIMOS[[#This Row],[Etapa Retiro - Salida]]="","",MARÍTIMOS[[#This Row],[Etapa Retiro - Salida]]),"")</f>
        <v/>
      </c>
      <c r="X271" s="11" t="str">
        <f>IFERROR(IF(MARÍTIMOS[[#This Row],[Etapa Retiro - Inicio de Ruta]]="","",MARÍTIMOS[[#This Row],[Etapa Retiro - Inicio de Ruta]]),"")</f>
        <v/>
      </c>
      <c r="Y271" s="11">
        <f>IFERROR(IF(MARÍTIMOS[[#This Row],[Hora de Posicionamiento]]="","",MARÍTIMOS[[#This Row],[Hora de Carga]]+MARÍTIMOS[[#This Row],[Hora de Posicionamiento]]),"")</f>
        <v>0.33333333333333331</v>
      </c>
      <c r="Z271" s="11" t="str">
        <f>IFERROR(IF(MARÍTIMOS[[#This Row],[Etapa Despacho -  Llegada]]="","",MARÍTIMOS[[#This Row],[Etapa Despacho -  Llegada]]),"")</f>
        <v/>
      </c>
      <c r="AA271" s="11" t="str">
        <f>IFERROR(IF(MARÍTIMOS[[#This Row],[Etapa Despacho -  Registro]]="","",MARÍTIMOS[[#This Row],[Etapa Despacho -  Registro]]),"")</f>
        <v/>
      </c>
      <c r="AB271" s="11" t="str">
        <f>IFERROR(IF(MARÍTIMOS[[#This Row],[Inspección Externa]]="","",MARÍTIMOS[[#This Row],[Inspección Externa]]),"")</f>
        <v/>
      </c>
      <c r="AC271" s="11" t="str">
        <f>IFERROR(IF(MARÍTIMOS[[#This Row],[Etapa Despacho -  Inicio de Carga]]="","",MARÍTIMOS[[#This Row],[Etapa Despacho -  Inicio de Carga]]),"")</f>
        <v/>
      </c>
      <c r="AD271" s="11" t="str">
        <f>IFERROR(IF(MARÍTIMOS[[#This Row],[Etapa Despacho -  Fin de Carga]]="","",MARÍTIMOS[[#This Row],[Etapa Despacho -  Fin de Carga]]),"")</f>
        <v/>
      </c>
      <c r="AE271" s="11" t="str">
        <f>IFERROR(IF(MARÍTIMOS[[#This Row],[Etapa Despacho -  Salida]]="","",MARÍTIMOS[[#This Row],[Etapa Despacho -  Salida]]),"")</f>
        <v/>
      </c>
      <c r="AF271" s="2" t="str">
        <f>IFERROR(IF(MARÍTIMOS[[#This Row],[Puerto de Embarque]]="","",MARÍTIMOS[[#This Row],[Puerto de Embarque]]),"")</f>
        <v/>
      </c>
      <c r="AG271" s="2" t="str">
        <f>IFERROR(IF(MARÍTIMOS[[#This Row],[Almacén de Ingreso]]="","",MARÍTIMOS[[#This Row],[Almacén de Ingreso]]),"")</f>
        <v/>
      </c>
      <c r="AH271" s="11" t="str">
        <f>IFERROR(IF(MARÍTIMOS[[#This Row],[Etapa Ingreso - Cita]]="","",MARÍTIMOS[[#This Row],[Etapa Ingreso - Cita]]),"")</f>
        <v/>
      </c>
      <c r="AI271" s="11" t="str">
        <f>IFERROR(IF(MARÍTIMOS[[#This Row],[Etapa Ingreso - Llegada]]="","",MARÍTIMOS[[#This Row],[Etapa Ingreso - Llegada]]),"")</f>
        <v/>
      </c>
      <c r="AJ271" s="11" t="str">
        <f>IFERROR(IF(MARÍTIMOS[[#This Row],[Etapa Ingreso - Ingeso]]="","",MARÍTIMOS[[#This Row],[Etapa Ingreso - Ingeso]]),"")</f>
        <v/>
      </c>
      <c r="AK271" s="11" t="str">
        <f>IFERROR(IF(MARÍTIMOS[[#This Row],[Etapa Ingreso - Atención]]="","",MARÍTIMOS[[#This Row],[Etapa Ingreso - Atención]]),"")</f>
        <v/>
      </c>
      <c r="AL271" s="11" t="str">
        <f>IFERROR(IF(MARÍTIMOS[[#This Row],[Etapa Ingreso - Salida]]="","",MARÍTIMOS[[#This Row],[Etapa Ingreso - Salida]]),"")</f>
        <v/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1" s="5" t="str">
        <f>IFERROR(OLDBD[[#This Row],[Llegada a packing]]-OLDBD[[#This Row],[Inicio de Ruta]],"")</f>
        <v/>
      </c>
      <c r="AQ271" s="6" t="str">
        <f>IFERROR(OLDBD[[#This Row],[Inicio de Ruta]]-OLDBD[[#This Row],[Salida de almacén de retiro]],"")</f>
        <v/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1" s="9" t="str">
        <f>IFERROR(OLDBD[[#This Row],[Ingreso Packing]]-OLDBD[[#This Row],[Registro en Packing]],"")</f>
        <v/>
      </c>
      <c r="AV271" s="9" t="str">
        <f>IFERROR(OLDBD[[#This Row],[Ingreso Packing]]-OLDBD[[#This Row],[Llegada a packing]],"")</f>
        <v/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1" s="5" t="str">
        <f>IFERROR(OLDBD[[#This Row],[Llegada Almacén de Ingreso]]-OLDBD[[#This Row],[Salida Packing]],"")</f>
        <v/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1" s="45" t="s">
        <v>181</v>
      </c>
      <c r="BB271" s="53" t="str">
        <f>IFERROR(IF(MARÍTIMOS[[#This Row],[Estatus]]="","",MARÍTIMOS[[#This Row],[Estatus]]),"")</f>
        <v>Confirmado</v>
      </c>
      <c r="BC271" s="45"/>
      <c r="BD271" s="52" t="str">
        <f>IFERROR(OLDBD[[#This Row],[Salida de almacén de retiro]]-OLDBD[[#This Row],[Ingreso Almacén de retiro]],"")</f>
        <v/>
      </c>
      <c r="BE271" s="52" t="str">
        <f>IFERROR(OLDBD[[#This Row],[Fin de Carga]]-OLDBD[[#This Row],[Inicio de Carga]],"")</f>
        <v/>
      </c>
    </row>
    <row r="272" spans="1:57" x14ac:dyDescent="0.35">
      <c r="A272" s="1"/>
      <c r="B272" s="1">
        <f>IFERROR(IF(MARÍTIMOS[[#This Row],[PP]]="","",MARÍTIMOS[[#This Row],[PP]]),"")</f>
        <v>33</v>
      </c>
      <c r="C272" s="1" t="str">
        <f>IFERROR(IF(MARÍTIMOS[[#This Row],[Sede]]="","",MARÍTIMOS[[#This Row],[Sede]]),"")</f>
        <v/>
      </c>
      <c r="D272" s="1" t="str">
        <f>IFERROR(IF(MARÍTIMOS[[#This Row],[Instruction]]="","",MARÍTIMOS[[#This Row],[Instruction]]),"")</f>
        <v>RH-0455</v>
      </c>
      <c r="E272" s="1"/>
      <c r="F272" s="2" t="str">
        <f>IFERROR(IF(MARÍTIMOS[[#This Row],[Transportista]]="","",MARÍTIMOS[[#This Row],[Transportista]]),"")</f>
        <v/>
      </c>
      <c r="G272" s="2" t="str">
        <f>IFERROR(IF(MARÍTIMOS[[#This Row],[Tercero]]="","",MARÍTIMOS[[#This Row],[Tercero]]),"")</f>
        <v/>
      </c>
      <c r="H272" s="2" t="str">
        <f>IFERROR(IF(MARÍTIMOS[[#This Row],[Razón Social]]="","",MARÍTIMOS[[#This Row],[Razón Social]]),"")</f>
        <v/>
      </c>
      <c r="I272" s="2" t="str">
        <f>IFERROR(IF(MARÍTIMOS[[#This Row],[RUC]]="","",MARÍTIMOS[[#This Row],[RUC]]),"")</f>
        <v/>
      </c>
      <c r="J272" s="2" t="str">
        <f>IFERROR(IF(MARÍTIMOS[[#This Row],[Placa Tracto]]="","",MARÍTIMOS[[#This Row],[Placa Tracto]]),"")</f>
        <v/>
      </c>
      <c r="K272" s="2" t="str">
        <f>IFERROR(IF(MARÍTIMOS[[#This Row],[Placa Carreta]]="","",MARÍTIMOS[[#This Row],[Placa Carreta]]),"")</f>
        <v/>
      </c>
      <c r="L272" s="46" t="str">
        <f>IFERROR(IF(MARÍTIMOS[[#This Row],[Conductor]]="","",MARÍTIMOS[[#This Row],[Conductor]]),"")</f>
        <v/>
      </c>
      <c r="M272" s="2" t="str">
        <f>IFERROR(IF(MARÍTIMOS[[#This Row],[Licencia]]="","",MARÍTIMOS[[#This Row],[Licencia]]),"")</f>
        <v/>
      </c>
      <c r="N272" s="2" t="str">
        <f>IFERROR(IF(MARÍTIMOS[[#This Row],[Número de Contacto]]="","",MARÍTIMOS[[#This Row],[Número de Contacto]]),"")</f>
        <v/>
      </c>
      <c r="O272" s="10" t="str">
        <f>IFERROR(IF(MARÍTIMOS[[#This Row],[Booking|AWB|CRT]]="","",MARÍTIMOS[[#This Row],[Booking|AWB|CRT]]),"")</f>
        <v>PER9174386A</v>
      </c>
      <c r="P272" s="2" t="str">
        <f>IFERROR(IF(MARÍTIMOS[[#This Row],[Contenedor]]="","",MARÍTIMOS[[#This Row],[Contenedor]]),"")</f>
        <v/>
      </c>
      <c r="Q272" s="2" t="str">
        <f>IFERROR(IF(MARÍTIMOS[[#This Row],[Puerto de Retiro]]="","",MARÍTIMOS[[#This Row],[Puerto de Retiro]]),"")</f>
        <v/>
      </c>
      <c r="R272" s="2" t="str">
        <f>IFERROR(IF(MARÍTIMOS[[#This Row],[Almacén de Retiro]]="","",MARÍTIMOS[[#This Row],[Almacén de Retiro]]),"")</f>
        <v/>
      </c>
      <c r="S272" s="11" t="str">
        <f>IFERROR(IF(MARÍTIMOS[[#This Row],[Etapa Retiro - Cita]]="","",MARÍTIMOS[[#This Row],[Etapa Retiro - Cita]]),"")</f>
        <v/>
      </c>
      <c r="T272" s="11" t="str">
        <f>IFERROR(IF(MARÍTIMOS[[#This Row],[Etapa Retiro - Llegada]]="","",MARÍTIMOS[[#This Row],[Etapa Retiro - Llegada]]),"")</f>
        <v/>
      </c>
      <c r="U272" s="11" t="str">
        <f>IFERROR(IF(MARÍTIMOS[[#This Row],[Etapa Retiro - Ingreso]]="","",MARÍTIMOS[[#This Row],[Etapa Retiro - Ingreso]]),"")</f>
        <v/>
      </c>
      <c r="V272" s="11" t="str">
        <f>IFERROR(IF(MARÍTIMOS[[#This Row],[Etapa Retiro - Atención]]="","",MARÍTIMOS[[#This Row],[Etapa Retiro - Atención]]),"")</f>
        <v/>
      </c>
      <c r="W272" s="11" t="str">
        <f>IFERROR(IF(MARÍTIMOS[[#This Row],[Etapa Retiro - Salida]]="","",MARÍTIMOS[[#This Row],[Etapa Retiro - Salida]]),"")</f>
        <v/>
      </c>
      <c r="X272" s="11" t="str">
        <f>IFERROR(IF(MARÍTIMOS[[#This Row],[Etapa Retiro - Inicio de Ruta]]="","",MARÍTIMOS[[#This Row],[Etapa Retiro - Inicio de Ruta]]),"")</f>
        <v/>
      </c>
      <c r="Y272" s="11">
        <f>IFERROR(IF(MARÍTIMOS[[#This Row],[Hora de Posicionamiento]]="","",MARÍTIMOS[[#This Row],[Hora de Carga]]+MARÍTIMOS[[#This Row],[Hora de Posicionamiento]]),"")</f>
        <v>0.33333333333333331</v>
      </c>
      <c r="Z272" s="11" t="str">
        <f>IFERROR(IF(MARÍTIMOS[[#This Row],[Etapa Despacho -  Llegada]]="","",MARÍTIMOS[[#This Row],[Etapa Despacho -  Llegada]]),"")</f>
        <v/>
      </c>
      <c r="AA272" s="11" t="str">
        <f>IFERROR(IF(MARÍTIMOS[[#This Row],[Etapa Despacho -  Registro]]="","",MARÍTIMOS[[#This Row],[Etapa Despacho -  Registro]]),"")</f>
        <v/>
      </c>
      <c r="AB272" s="11" t="str">
        <f>IFERROR(IF(MARÍTIMOS[[#This Row],[Inspección Externa]]="","",MARÍTIMOS[[#This Row],[Inspección Externa]]),"")</f>
        <v/>
      </c>
      <c r="AC272" s="11" t="str">
        <f>IFERROR(IF(MARÍTIMOS[[#This Row],[Etapa Despacho -  Inicio de Carga]]="","",MARÍTIMOS[[#This Row],[Etapa Despacho -  Inicio de Carga]]),"")</f>
        <v/>
      </c>
      <c r="AD272" s="11" t="str">
        <f>IFERROR(IF(MARÍTIMOS[[#This Row],[Etapa Despacho -  Fin de Carga]]="","",MARÍTIMOS[[#This Row],[Etapa Despacho -  Fin de Carga]]),"")</f>
        <v/>
      </c>
      <c r="AE272" s="11" t="str">
        <f>IFERROR(IF(MARÍTIMOS[[#This Row],[Etapa Despacho -  Salida]]="","",MARÍTIMOS[[#This Row],[Etapa Despacho -  Salida]]),"")</f>
        <v/>
      </c>
      <c r="AF272" s="2" t="str">
        <f>IFERROR(IF(MARÍTIMOS[[#This Row],[Puerto de Embarque]]="","",MARÍTIMOS[[#This Row],[Puerto de Embarque]]),"")</f>
        <v/>
      </c>
      <c r="AG272" s="2" t="str">
        <f>IFERROR(IF(MARÍTIMOS[[#This Row],[Almacén de Ingreso]]="","",MARÍTIMOS[[#This Row],[Almacén de Ingreso]]),"")</f>
        <v/>
      </c>
      <c r="AH272" s="11" t="str">
        <f>IFERROR(IF(MARÍTIMOS[[#This Row],[Etapa Ingreso - Cita]]="","",MARÍTIMOS[[#This Row],[Etapa Ingreso - Cita]]),"")</f>
        <v/>
      </c>
      <c r="AI272" s="11" t="str">
        <f>IFERROR(IF(MARÍTIMOS[[#This Row],[Etapa Ingreso - Llegada]]="","",MARÍTIMOS[[#This Row],[Etapa Ingreso - Llegada]]),"")</f>
        <v/>
      </c>
      <c r="AJ272" s="11" t="str">
        <f>IFERROR(IF(MARÍTIMOS[[#This Row],[Etapa Ingreso - Ingeso]]="","",MARÍTIMOS[[#This Row],[Etapa Ingreso - Ingeso]]),"")</f>
        <v/>
      </c>
      <c r="AK272" s="11" t="str">
        <f>IFERROR(IF(MARÍTIMOS[[#This Row],[Etapa Ingreso - Atención]]="","",MARÍTIMOS[[#This Row],[Etapa Ingreso - Atención]]),"")</f>
        <v/>
      </c>
      <c r="AL272" s="11" t="str">
        <f>IFERROR(IF(MARÍTIMOS[[#This Row],[Etapa Ingreso - Salida]]="","",MARÍTIMOS[[#This Row],[Etapa Ingreso - Salida]]),"")</f>
        <v/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2" s="5" t="str">
        <f>IFERROR(OLDBD[[#This Row],[Llegada a packing]]-OLDBD[[#This Row],[Inicio de Ruta]],"")</f>
        <v/>
      </c>
      <c r="AQ272" s="6" t="str">
        <f>IFERROR(OLDBD[[#This Row],[Inicio de Ruta]]-OLDBD[[#This Row],[Salida de almacén de retiro]],"")</f>
        <v/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2" s="9" t="str">
        <f>IFERROR(OLDBD[[#This Row],[Ingreso Packing]]-OLDBD[[#This Row],[Registro en Packing]],"")</f>
        <v/>
      </c>
      <c r="AV272" s="9" t="str">
        <f>IFERROR(OLDBD[[#This Row],[Ingreso Packing]]-OLDBD[[#This Row],[Llegada a packing]],"")</f>
        <v/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2" s="5" t="str">
        <f>IFERROR(OLDBD[[#This Row],[Llegada Almacén de Ingreso]]-OLDBD[[#This Row],[Salida Packing]],"")</f>
        <v/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2" s="45" t="s">
        <v>181</v>
      </c>
      <c r="BB272" s="53" t="str">
        <f>IFERROR(IF(MARÍTIMOS[[#This Row],[Estatus]]="","",MARÍTIMOS[[#This Row],[Estatus]]),"")</f>
        <v>Confirmado</v>
      </c>
      <c r="BC272" s="45"/>
      <c r="BD272" s="52" t="str">
        <f>IFERROR(OLDBD[[#This Row],[Salida de almacén de retiro]]-OLDBD[[#This Row],[Ingreso Almacén de retiro]],"")</f>
        <v/>
      </c>
      <c r="BE272" s="52" t="str">
        <f>IFERROR(OLDBD[[#This Row],[Fin de Carga]]-OLDBD[[#This Row],[Inicio de Carga]],"")</f>
        <v/>
      </c>
    </row>
    <row r="273" spans="1:57" x14ac:dyDescent="0.35">
      <c r="A273" s="1"/>
      <c r="B273" s="1">
        <f>IFERROR(IF(MARÍTIMOS[[#This Row],[PP]]="","",MARÍTIMOS[[#This Row],[PP]]),"")</f>
        <v>33</v>
      </c>
      <c r="C273" s="1" t="str">
        <f>IFERROR(IF(MARÍTIMOS[[#This Row],[Sede]]="","",MARÍTIMOS[[#This Row],[Sede]]),"")</f>
        <v/>
      </c>
      <c r="D273" s="1" t="str">
        <f>IFERROR(IF(MARÍTIMOS[[#This Row],[Instruction]]="","",MARÍTIMOS[[#This Row],[Instruction]]),"")</f>
        <v>RH-0459</v>
      </c>
      <c r="E273" s="1"/>
      <c r="F273" s="2" t="str">
        <f>IFERROR(IF(MARÍTIMOS[[#This Row],[Transportista]]="","",MARÍTIMOS[[#This Row],[Transportista]]),"")</f>
        <v/>
      </c>
      <c r="G273" s="2" t="str">
        <f>IFERROR(IF(MARÍTIMOS[[#This Row],[Tercero]]="","",MARÍTIMOS[[#This Row],[Tercero]]),"")</f>
        <v/>
      </c>
      <c r="H273" s="2" t="str">
        <f>IFERROR(IF(MARÍTIMOS[[#This Row],[Razón Social]]="","",MARÍTIMOS[[#This Row],[Razón Social]]),"")</f>
        <v/>
      </c>
      <c r="I273" s="2" t="str">
        <f>IFERROR(IF(MARÍTIMOS[[#This Row],[RUC]]="","",MARÍTIMOS[[#This Row],[RUC]]),"")</f>
        <v/>
      </c>
      <c r="J273" s="2" t="str">
        <f>IFERROR(IF(MARÍTIMOS[[#This Row],[Placa Tracto]]="","",MARÍTIMOS[[#This Row],[Placa Tracto]]),"")</f>
        <v/>
      </c>
      <c r="K273" s="2" t="str">
        <f>IFERROR(IF(MARÍTIMOS[[#This Row],[Placa Carreta]]="","",MARÍTIMOS[[#This Row],[Placa Carreta]]),"")</f>
        <v/>
      </c>
      <c r="L273" s="46" t="str">
        <f>IFERROR(IF(MARÍTIMOS[[#This Row],[Conductor]]="","",MARÍTIMOS[[#This Row],[Conductor]]),"")</f>
        <v/>
      </c>
      <c r="M273" s="2" t="str">
        <f>IFERROR(IF(MARÍTIMOS[[#This Row],[Licencia]]="","",MARÍTIMOS[[#This Row],[Licencia]]),"")</f>
        <v/>
      </c>
      <c r="N273" s="2" t="str">
        <f>IFERROR(IF(MARÍTIMOS[[#This Row],[Número de Contacto]]="","",MARÍTIMOS[[#This Row],[Número de Contacto]]),"")</f>
        <v/>
      </c>
      <c r="O273" s="10" t="str">
        <f>IFERROR(IF(MARÍTIMOS[[#This Row],[Booking|AWB|CRT]]="","",MARÍTIMOS[[#This Row],[Booking|AWB|CRT]]),"")</f>
        <v>PER9174390A</v>
      </c>
      <c r="P273" s="2" t="str">
        <f>IFERROR(IF(MARÍTIMOS[[#This Row],[Contenedor]]="","",MARÍTIMOS[[#This Row],[Contenedor]]),"")</f>
        <v/>
      </c>
      <c r="Q273" s="2" t="str">
        <f>IFERROR(IF(MARÍTIMOS[[#This Row],[Puerto de Retiro]]="","",MARÍTIMOS[[#This Row],[Puerto de Retiro]]),"")</f>
        <v/>
      </c>
      <c r="R273" s="2" t="str">
        <f>IFERROR(IF(MARÍTIMOS[[#This Row],[Almacén de Retiro]]="","",MARÍTIMOS[[#This Row],[Almacén de Retiro]]),"")</f>
        <v/>
      </c>
      <c r="S273" s="11" t="str">
        <f>IFERROR(IF(MARÍTIMOS[[#This Row],[Etapa Retiro - Cita]]="","",MARÍTIMOS[[#This Row],[Etapa Retiro - Cita]]),"")</f>
        <v/>
      </c>
      <c r="T273" s="11" t="str">
        <f>IFERROR(IF(MARÍTIMOS[[#This Row],[Etapa Retiro - Llegada]]="","",MARÍTIMOS[[#This Row],[Etapa Retiro - Llegada]]),"")</f>
        <v/>
      </c>
      <c r="U273" s="11" t="str">
        <f>IFERROR(IF(MARÍTIMOS[[#This Row],[Etapa Retiro - Ingreso]]="","",MARÍTIMOS[[#This Row],[Etapa Retiro - Ingreso]]),"")</f>
        <v/>
      </c>
      <c r="V273" s="11" t="str">
        <f>IFERROR(IF(MARÍTIMOS[[#This Row],[Etapa Retiro - Atención]]="","",MARÍTIMOS[[#This Row],[Etapa Retiro - Atención]]),"")</f>
        <v/>
      </c>
      <c r="W273" s="11" t="str">
        <f>IFERROR(IF(MARÍTIMOS[[#This Row],[Etapa Retiro - Salida]]="","",MARÍTIMOS[[#This Row],[Etapa Retiro - Salida]]),"")</f>
        <v/>
      </c>
      <c r="X273" s="11" t="str">
        <f>IFERROR(IF(MARÍTIMOS[[#This Row],[Etapa Retiro - Inicio de Ruta]]="","",MARÍTIMOS[[#This Row],[Etapa Retiro - Inicio de Ruta]]),"")</f>
        <v/>
      </c>
      <c r="Y273" s="11">
        <f>IFERROR(IF(MARÍTIMOS[[#This Row],[Hora de Posicionamiento]]="","",MARÍTIMOS[[#This Row],[Hora de Carga]]+MARÍTIMOS[[#This Row],[Hora de Posicionamiento]]),"")</f>
        <v>0.33333333333333331</v>
      </c>
      <c r="Z273" s="11" t="str">
        <f>IFERROR(IF(MARÍTIMOS[[#This Row],[Etapa Despacho -  Llegada]]="","",MARÍTIMOS[[#This Row],[Etapa Despacho -  Llegada]]),"")</f>
        <v/>
      </c>
      <c r="AA273" s="11" t="str">
        <f>IFERROR(IF(MARÍTIMOS[[#This Row],[Etapa Despacho -  Registro]]="","",MARÍTIMOS[[#This Row],[Etapa Despacho -  Registro]]),"")</f>
        <v/>
      </c>
      <c r="AB273" s="11" t="str">
        <f>IFERROR(IF(MARÍTIMOS[[#This Row],[Inspección Externa]]="","",MARÍTIMOS[[#This Row],[Inspección Externa]]),"")</f>
        <v/>
      </c>
      <c r="AC273" s="11" t="str">
        <f>IFERROR(IF(MARÍTIMOS[[#This Row],[Etapa Despacho -  Inicio de Carga]]="","",MARÍTIMOS[[#This Row],[Etapa Despacho -  Inicio de Carga]]),"")</f>
        <v/>
      </c>
      <c r="AD273" s="11" t="str">
        <f>IFERROR(IF(MARÍTIMOS[[#This Row],[Etapa Despacho -  Fin de Carga]]="","",MARÍTIMOS[[#This Row],[Etapa Despacho -  Fin de Carga]]),"")</f>
        <v/>
      </c>
      <c r="AE273" s="11" t="str">
        <f>IFERROR(IF(MARÍTIMOS[[#This Row],[Etapa Despacho -  Salida]]="","",MARÍTIMOS[[#This Row],[Etapa Despacho -  Salida]]),"")</f>
        <v/>
      </c>
      <c r="AF273" s="2" t="str">
        <f>IFERROR(IF(MARÍTIMOS[[#This Row],[Puerto de Embarque]]="","",MARÍTIMOS[[#This Row],[Puerto de Embarque]]),"")</f>
        <v/>
      </c>
      <c r="AG273" s="2" t="str">
        <f>IFERROR(IF(MARÍTIMOS[[#This Row],[Almacén de Ingreso]]="","",MARÍTIMOS[[#This Row],[Almacén de Ingreso]]),"")</f>
        <v/>
      </c>
      <c r="AH273" s="11" t="str">
        <f>IFERROR(IF(MARÍTIMOS[[#This Row],[Etapa Ingreso - Cita]]="","",MARÍTIMOS[[#This Row],[Etapa Ingreso - Cita]]),"")</f>
        <v/>
      </c>
      <c r="AI273" s="11" t="str">
        <f>IFERROR(IF(MARÍTIMOS[[#This Row],[Etapa Ingreso - Llegada]]="","",MARÍTIMOS[[#This Row],[Etapa Ingreso - Llegada]]),"")</f>
        <v/>
      </c>
      <c r="AJ273" s="11" t="str">
        <f>IFERROR(IF(MARÍTIMOS[[#This Row],[Etapa Ingreso - Ingeso]]="","",MARÍTIMOS[[#This Row],[Etapa Ingreso - Ingeso]]),"")</f>
        <v/>
      </c>
      <c r="AK273" s="11" t="str">
        <f>IFERROR(IF(MARÍTIMOS[[#This Row],[Etapa Ingreso - Atención]]="","",MARÍTIMOS[[#This Row],[Etapa Ingreso - Atención]]),"")</f>
        <v/>
      </c>
      <c r="AL273" s="11" t="str">
        <f>IFERROR(IF(MARÍTIMOS[[#This Row],[Etapa Ingreso - Salida]]="","",MARÍTIMOS[[#This Row],[Etapa Ingreso - Salida]]),"")</f>
        <v/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3" s="5" t="str">
        <f>IFERROR(OLDBD[[#This Row],[Llegada a packing]]-OLDBD[[#This Row],[Inicio de Ruta]],"")</f>
        <v/>
      </c>
      <c r="AQ273" s="6" t="str">
        <f>IFERROR(OLDBD[[#This Row],[Inicio de Ruta]]-OLDBD[[#This Row],[Salida de almacén de retiro]],"")</f>
        <v/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3" s="9" t="str">
        <f>IFERROR(OLDBD[[#This Row],[Ingreso Packing]]-OLDBD[[#This Row],[Registro en Packing]],"")</f>
        <v/>
      </c>
      <c r="AV273" s="9" t="str">
        <f>IFERROR(OLDBD[[#This Row],[Ingreso Packing]]-OLDBD[[#This Row],[Llegada a packing]],"")</f>
        <v/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3" s="5" t="str">
        <f>IFERROR(OLDBD[[#This Row],[Llegada Almacén de Ingreso]]-OLDBD[[#This Row],[Salida Packing]],"")</f>
        <v/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3" s="45" t="s">
        <v>181</v>
      </c>
      <c r="BB273" s="53" t="str">
        <f>IFERROR(IF(MARÍTIMOS[[#This Row],[Estatus]]="","",MARÍTIMOS[[#This Row],[Estatus]]),"")</f>
        <v>Confirmado</v>
      </c>
      <c r="BC273" s="45"/>
      <c r="BD273" s="52" t="str">
        <f>IFERROR(OLDBD[[#This Row],[Salida de almacén de retiro]]-OLDBD[[#This Row],[Ingreso Almacén de retiro]],"")</f>
        <v/>
      </c>
      <c r="BE273" s="52" t="str">
        <f>IFERROR(OLDBD[[#This Row],[Fin de Carga]]-OLDBD[[#This Row],[Inicio de Carga]],"")</f>
        <v/>
      </c>
    </row>
    <row r="274" spans="1:57" x14ac:dyDescent="0.35">
      <c r="A274" s="1"/>
      <c r="B274" s="1">
        <f>IFERROR(IF(MARÍTIMOS[[#This Row],[PP]]="","",MARÍTIMOS[[#This Row],[PP]]),"")</f>
        <v>34</v>
      </c>
      <c r="C274" s="1" t="str">
        <f>IFERROR(IF(MARÍTIMOS[[#This Row],[Sede]]="","",MARÍTIMOS[[#This Row],[Sede]]),"")</f>
        <v/>
      </c>
      <c r="D274" s="1" t="str">
        <f>IFERROR(IF(MARÍTIMOS[[#This Row],[Instruction]]="","",MARÍTIMOS[[#This Row],[Instruction]]),"")</f>
        <v>RH-0503</v>
      </c>
      <c r="E274" s="1"/>
      <c r="F274" s="2" t="str">
        <f>IFERROR(IF(MARÍTIMOS[[#This Row],[Transportista]]="","",MARÍTIMOS[[#This Row],[Transportista]]),"")</f>
        <v/>
      </c>
      <c r="G274" s="2" t="str">
        <f>IFERROR(IF(MARÍTIMOS[[#This Row],[Tercero]]="","",MARÍTIMOS[[#This Row],[Tercero]]),"")</f>
        <v/>
      </c>
      <c r="H274" s="2" t="str">
        <f>IFERROR(IF(MARÍTIMOS[[#This Row],[Razón Social]]="","",MARÍTIMOS[[#This Row],[Razón Social]]),"")</f>
        <v/>
      </c>
      <c r="I274" s="2" t="str">
        <f>IFERROR(IF(MARÍTIMOS[[#This Row],[RUC]]="","",MARÍTIMOS[[#This Row],[RUC]]),"")</f>
        <v/>
      </c>
      <c r="J274" s="2" t="str">
        <f>IFERROR(IF(MARÍTIMOS[[#This Row],[Placa Tracto]]="","",MARÍTIMOS[[#This Row],[Placa Tracto]]),"")</f>
        <v/>
      </c>
      <c r="K274" s="2" t="str">
        <f>IFERROR(IF(MARÍTIMOS[[#This Row],[Placa Carreta]]="","",MARÍTIMOS[[#This Row],[Placa Carreta]]),"")</f>
        <v/>
      </c>
      <c r="L274" s="46" t="str">
        <f>IFERROR(IF(MARÍTIMOS[[#This Row],[Conductor]]="","",MARÍTIMOS[[#This Row],[Conductor]]),"")</f>
        <v/>
      </c>
      <c r="M274" s="2" t="str">
        <f>IFERROR(IF(MARÍTIMOS[[#This Row],[Licencia]]="","",MARÍTIMOS[[#This Row],[Licencia]]),"")</f>
        <v/>
      </c>
      <c r="N274" s="2" t="str">
        <f>IFERROR(IF(MARÍTIMOS[[#This Row],[Número de Contacto]]="","",MARÍTIMOS[[#This Row],[Número de Contacto]]),"")</f>
        <v/>
      </c>
      <c r="O274" s="10" t="str">
        <f>IFERROR(IF(MARÍTIMOS[[#This Row],[Booking|AWB|CRT]]="","",MARÍTIMOS[[#This Row],[Booking|AWB|CRT]]),"")</f>
        <v>PER9184419A</v>
      </c>
      <c r="P274" s="2" t="str">
        <f>IFERROR(IF(MARÍTIMOS[[#This Row],[Contenedor]]="","",MARÍTIMOS[[#This Row],[Contenedor]]),"")</f>
        <v/>
      </c>
      <c r="Q274" s="2" t="str">
        <f>IFERROR(IF(MARÍTIMOS[[#This Row],[Puerto de Retiro]]="","",MARÍTIMOS[[#This Row],[Puerto de Retiro]]),"")</f>
        <v/>
      </c>
      <c r="R274" s="2" t="str">
        <f>IFERROR(IF(MARÍTIMOS[[#This Row],[Almacén de Retiro]]="","",MARÍTIMOS[[#This Row],[Almacén de Retiro]]),"")</f>
        <v/>
      </c>
      <c r="S274" s="11" t="str">
        <f>IFERROR(IF(MARÍTIMOS[[#This Row],[Etapa Retiro - Cita]]="","",MARÍTIMOS[[#This Row],[Etapa Retiro - Cita]]),"")</f>
        <v/>
      </c>
      <c r="T274" s="11" t="str">
        <f>IFERROR(IF(MARÍTIMOS[[#This Row],[Etapa Retiro - Llegada]]="","",MARÍTIMOS[[#This Row],[Etapa Retiro - Llegada]]),"")</f>
        <v/>
      </c>
      <c r="U274" s="11" t="str">
        <f>IFERROR(IF(MARÍTIMOS[[#This Row],[Etapa Retiro - Ingreso]]="","",MARÍTIMOS[[#This Row],[Etapa Retiro - Ingreso]]),"")</f>
        <v/>
      </c>
      <c r="V274" s="11" t="str">
        <f>IFERROR(IF(MARÍTIMOS[[#This Row],[Etapa Retiro - Atención]]="","",MARÍTIMOS[[#This Row],[Etapa Retiro - Atención]]),"")</f>
        <v/>
      </c>
      <c r="W274" s="11" t="str">
        <f>IFERROR(IF(MARÍTIMOS[[#This Row],[Etapa Retiro - Salida]]="","",MARÍTIMOS[[#This Row],[Etapa Retiro - Salida]]),"")</f>
        <v/>
      </c>
      <c r="X274" s="11" t="str">
        <f>IFERROR(IF(MARÍTIMOS[[#This Row],[Etapa Retiro - Inicio de Ruta]]="","",MARÍTIMOS[[#This Row],[Etapa Retiro - Inicio de Ruta]]),"")</f>
        <v/>
      </c>
      <c r="Y274" s="11">
        <f>IFERROR(IF(MARÍTIMOS[[#This Row],[Hora de Posicionamiento]]="","",MARÍTIMOS[[#This Row],[Hora de Carga]]+MARÍTIMOS[[#This Row],[Hora de Posicionamiento]]),"")</f>
        <v>0.33333333333333331</v>
      </c>
      <c r="Z274" s="11" t="str">
        <f>IFERROR(IF(MARÍTIMOS[[#This Row],[Etapa Despacho -  Llegada]]="","",MARÍTIMOS[[#This Row],[Etapa Despacho -  Llegada]]),"")</f>
        <v/>
      </c>
      <c r="AA274" s="11" t="str">
        <f>IFERROR(IF(MARÍTIMOS[[#This Row],[Etapa Despacho -  Registro]]="","",MARÍTIMOS[[#This Row],[Etapa Despacho -  Registro]]),"")</f>
        <v/>
      </c>
      <c r="AB274" s="11" t="str">
        <f>IFERROR(IF(MARÍTIMOS[[#This Row],[Inspección Externa]]="","",MARÍTIMOS[[#This Row],[Inspección Externa]]),"")</f>
        <v/>
      </c>
      <c r="AC274" s="11" t="str">
        <f>IFERROR(IF(MARÍTIMOS[[#This Row],[Etapa Despacho -  Inicio de Carga]]="","",MARÍTIMOS[[#This Row],[Etapa Despacho -  Inicio de Carga]]),"")</f>
        <v/>
      </c>
      <c r="AD274" s="11" t="str">
        <f>IFERROR(IF(MARÍTIMOS[[#This Row],[Etapa Despacho -  Fin de Carga]]="","",MARÍTIMOS[[#This Row],[Etapa Despacho -  Fin de Carga]]),"")</f>
        <v/>
      </c>
      <c r="AE274" s="11" t="str">
        <f>IFERROR(IF(MARÍTIMOS[[#This Row],[Etapa Despacho -  Salida]]="","",MARÍTIMOS[[#This Row],[Etapa Despacho -  Salida]]),"")</f>
        <v/>
      </c>
      <c r="AF274" s="2" t="str">
        <f>IFERROR(IF(MARÍTIMOS[[#This Row],[Puerto de Embarque]]="","",MARÍTIMOS[[#This Row],[Puerto de Embarque]]),"")</f>
        <v/>
      </c>
      <c r="AG274" s="2" t="str">
        <f>IFERROR(IF(MARÍTIMOS[[#This Row],[Almacén de Ingreso]]="","",MARÍTIMOS[[#This Row],[Almacén de Ingreso]]),"")</f>
        <v/>
      </c>
      <c r="AH274" s="11" t="str">
        <f>IFERROR(IF(MARÍTIMOS[[#This Row],[Etapa Ingreso - Cita]]="","",MARÍTIMOS[[#This Row],[Etapa Ingreso - Cita]]),"")</f>
        <v/>
      </c>
      <c r="AI274" s="11" t="str">
        <f>IFERROR(IF(MARÍTIMOS[[#This Row],[Etapa Ingreso - Llegada]]="","",MARÍTIMOS[[#This Row],[Etapa Ingreso - Llegada]]),"")</f>
        <v/>
      </c>
      <c r="AJ274" s="11" t="str">
        <f>IFERROR(IF(MARÍTIMOS[[#This Row],[Etapa Ingreso - Ingeso]]="","",MARÍTIMOS[[#This Row],[Etapa Ingreso - Ingeso]]),"")</f>
        <v/>
      </c>
      <c r="AK274" s="11" t="str">
        <f>IFERROR(IF(MARÍTIMOS[[#This Row],[Etapa Ingreso - Atención]]="","",MARÍTIMOS[[#This Row],[Etapa Ingreso - Atención]]),"")</f>
        <v/>
      </c>
      <c r="AL274" s="11" t="str">
        <f>IFERROR(IF(MARÍTIMOS[[#This Row],[Etapa Ingreso - Salida]]="","",MARÍTIMOS[[#This Row],[Etapa Ingreso - Salida]]),"")</f>
        <v/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4" s="5" t="str">
        <f>IFERROR(OLDBD[[#This Row],[Llegada a packing]]-OLDBD[[#This Row],[Inicio de Ruta]],"")</f>
        <v/>
      </c>
      <c r="AQ274" s="6" t="str">
        <f>IFERROR(OLDBD[[#This Row],[Inicio de Ruta]]-OLDBD[[#This Row],[Salida de almacén de retiro]],"")</f>
        <v/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4" s="9" t="str">
        <f>IFERROR(OLDBD[[#This Row],[Ingreso Packing]]-OLDBD[[#This Row],[Registro en Packing]],"")</f>
        <v/>
      </c>
      <c r="AV274" s="9" t="str">
        <f>IFERROR(OLDBD[[#This Row],[Ingreso Packing]]-OLDBD[[#This Row],[Llegada a packing]],"")</f>
        <v/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4" s="5" t="str">
        <f>IFERROR(OLDBD[[#This Row],[Llegada Almacén de Ingreso]]-OLDBD[[#This Row],[Salida Packing]],"")</f>
        <v/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4" s="45" t="s">
        <v>181</v>
      </c>
      <c r="BB274" s="53" t="str">
        <f>IFERROR(IF(MARÍTIMOS[[#This Row],[Estatus]]="","",MARÍTIMOS[[#This Row],[Estatus]]),"")</f>
        <v>Confirmado</v>
      </c>
      <c r="BC274" s="45"/>
      <c r="BD274" s="52" t="str">
        <f>IFERROR(OLDBD[[#This Row],[Salida de almacén de retiro]]-OLDBD[[#This Row],[Ingreso Almacén de retiro]],"")</f>
        <v/>
      </c>
      <c r="BE274" s="52" t="str">
        <f>IFERROR(OLDBD[[#This Row],[Fin de Carga]]-OLDBD[[#This Row],[Inicio de Carga]],"")</f>
        <v/>
      </c>
    </row>
    <row r="275" spans="1:57" x14ac:dyDescent="0.35">
      <c r="A275" s="1"/>
      <c r="B275" s="1" t="str">
        <f>IFERROR(IF(MARÍTIMOS[[#This Row],[PP]]="","",MARÍTIMOS[[#This Row],[PP]]),"")</f>
        <v/>
      </c>
      <c r="C275" s="1" t="str">
        <f>IFERROR(IF(MARÍTIMOS[[#This Row],[Sede]]="","",MARÍTIMOS[[#This Row],[Sede]]),"")</f>
        <v/>
      </c>
      <c r="D275" s="1" t="str">
        <f>IFERROR(IF(MARÍTIMOS[[#This Row],[Instruction]]="","",MARÍTIMOS[[#This Row],[Instruction]]),"")</f>
        <v/>
      </c>
      <c r="E275" s="1"/>
      <c r="F275" s="2" t="str">
        <f>IFERROR(IF(MARÍTIMOS[[#This Row],[Transportista]]="","",MARÍTIMOS[[#This Row],[Transportista]]),"")</f>
        <v/>
      </c>
      <c r="G275" s="2" t="str">
        <f>IFERROR(IF(MARÍTIMOS[[#This Row],[Tercero]]="","",MARÍTIMOS[[#This Row],[Tercero]]),"")</f>
        <v/>
      </c>
      <c r="H275" s="2" t="str">
        <f>IFERROR(IF(MARÍTIMOS[[#This Row],[Razón Social]]="","",MARÍTIMOS[[#This Row],[Razón Social]]),"")</f>
        <v/>
      </c>
      <c r="I275" s="2" t="str">
        <f>IFERROR(IF(MARÍTIMOS[[#This Row],[RUC]]="","",MARÍTIMOS[[#This Row],[RUC]]),"")</f>
        <v/>
      </c>
      <c r="J275" s="2" t="str">
        <f>IFERROR(IF(MARÍTIMOS[[#This Row],[Placa Tracto]]="","",MARÍTIMOS[[#This Row],[Placa Tracto]]),"")</f>
        <v/>
      </c>
      <c r="K275" s="2" t="str">
        <f>IFERROR(IF(MARÍTIMOS[[#This Row],[Placa Carreta]]="","",MARÍTIMOS[[#This Row],[Placa Carreta]]),"")</f>
        <v/>
      </c>
      <c r="L275" s="46" t="str">
        <f>IFERROR(IF(MARÍTIMOS[[#This Row],[Conductor]]="","",MARÍTIMOS[[#This Row],[Conductor]]),"")</f>
        <v/>
      </c>
      <c r="M275" s="2" t="str">
        <f>IFERROR(IF(MARÍTIMOS[[#This Row],[Licencia]]="","",MARÍTIMOS[[#This Row],[Licencia]]),"")</f>
        <v/>
      </c>
      <c r="N275" s="2" t="str">
        <f>IFERROR(IF(MARÍTIMOS[[#This Row],[Número de Contacto]]="","",MARÍTIMOS[[#This Row],[Número de Contacto]]),"")</f>
        <v/>
      </c>
      <c r="O275" s="10" t="str">
        <f>IFERROR(IF(MARÍTIMOS[[#This Row],[Booking|AWB|CRT]]="","",MARÍTIMOS[[#This Row],[Booking|AWB|CRT]]),"")</f>
        <v/>
      </c>
      <c r="P275" s="2" t="str">
        <f>IFERROR(IF(MARÍTIMOS[[#This Row],[Contenedor]]="","",MARÍTIMOS[[#This Row],[Contenedor]]),"")</f>
        <v/>
      </c>
      <c r="Q275" s="2" t="str">
        <f>IFERROR(IF(MARÍTIMOS[[#This Row],[Puerto de Retiro]]="","",MARÍTIMOS[[#This Row],[Puerto de Retiro]]),"")</f>
        <v/>
      </c>
      <c r="R275" s="2" t="str">
        <f>IFERROR(IF(MARÍTIMOS[[#This Row],[Almacén de Retiro]]="","",MARÍTIMOS[[#This Row],[Almacén de Retiro]]),"")</f>
        <v/>
      </c>
      <c r="S275" s="11" t="str">
        <f>IFERROR(IF(MARÍTIMOS[[#This Row],[Etapa Retiro - Cita]]="","",MARÍTIMOS[[#This Row],[Etapa Retiro - Cita]]),"")</f>
        <v/>
      </c>
      <c r="T275" s="11" t="str">
        <f>IFERROR(IF(MARÍTIMOS[[#This Row],[Etapa Retiro - Llegada]]="","",MARÍTIMOS[[#This Row],[Etapa Retiro - Llegada]]),"")</f>
        <v/>
      </c>
      <c r="U275" s="11" t="str">
        <f>IFERROR(IF(MARÍTIMOS[[#This Row],[Etapa Retiro - Ingreso]]="","",MARÍTIMOS[[#This Row],[Etapa Retiro - Ingreso]]),"")</f>
        <v/>
      </c>
      <c r="V275" s="11" t="str">
        <f>IFERROR(IF(MARÍTIMOS[[#This Row],[Etapa Retiro - Atención]]="","",MARÍTIMOS[[#This Row],[Etapa Retiro - Atención]]),"")</f>
        <v/>
      </c>
      <c r="W275" s="11" t="str">
        <f>IFERROR(IF(MARÍTIMOS[[#This Row],[Etapa Retiro - Salida]]="","",MARÍTIMOS[[#This Row],[Etapa Retiro - Salida]]),"")</f>
        <v/>
      </c>
      <c r="X275" s="11" t="str">
        <f>IFERROR(IF(MARÍTIMOS[[#This Row],[Etapa Retiro - Inicio de Ruta]]="","",MARÍTIMOS[[#This Row],[Etapa Retiro - Inicio de Ruta]]),"")</f>
        <v/>
      </c>
      <c r="Y275" s="11" t="str">
        <f>IFERROR(IF(MARÍTIMOS[[#This Row],[Hora de Posicionamiento]]="","",MARÍTIMOS[[#This Row],[Hora de Carga]]+MARÍTIMOS[[#This Row],[Hora de Posicionamiento]]),"")</f>
        <v/>
      </c>
      <c r="Z275" s="11" t="str">
        <f>IFERROR(IF(MARÍTIMOS[[#This Row],[Etapa Despacho -  Llegada]]="","",MARÍTIMOS[[#This Row],[Etapa Despacho -  Llegada]]),"")</f>
        <v/>
      </c>
      <c r="AA275" s="11" t="str">
        <f>IFERROR(IF(MARÍTIMOS[[#This Row],[Etapa Despacho -  Registro]]="","",MARÍTIMOS[[#This Row],[Etapa Despacho -  Registro]]),"")</f>
        <v/>
      </c>
      <c r="AB275" s="11" t="str">
        <f>IFERROR(IF(MARÍTIMOS[[#This Row],[Inspección Externa]]="","",MARÍTIMOS[[#This Row],[Inspección Externa]]),"")</f>
        <v/>
      </c>
      <c r="AC275" s="11" t="str">
        <f>IFERROR(IF(MARÍTIMOS[[#This Row],[Etapa Despacho -  Inicio de Carga]]="","",MARÍTIMOS[[#This Row],[Etapa Despacho -  Inicio de Carga]]),"")</f>
        <v/>
      </c>
      <c r="AD275" s="11" t="str">
        <f>IFERROR(IF(MARÍTIMOS[[#This Row],[Etapa Despacho -  Fin de Carga]]="","",MARÍTIMOS[[#This Row],[Etapa Despacho -  Fin de Carga]]),"")</f>
        <v/>
      </c>
      <c r="AE275" s="11" t="str">
        <f>IFERROR(IF(MARÍTIMOS[[#This Row],[Etapa Despacho -  Salida]]="","",MARÍTIMOS[[#This Row],[Etapa Despacho -  Salida]]),"")</f>
        <v/>
      </c>
      <c r="AF275" s="2" t="str">
        <f>IFERROR(IF(MARÍTIMOS[[#This Row],[Puerto de Embarque]]="","",MARÍTIMOS[[#This Row],[Puerto de Embarque]]),"")</f>
        <v/>
      </c>
      <c r="AG275" s="2" t="str">
        <f>IFERROR(IF(MARÍTIMOS[[#This Row],[Almacén de Ingreso]]="","",MARÍTIMOS[[#This Row],[Almacén de Ingreso]]),"")</f>
        <v/>
      </c>
      <c r="AH275" s="11" t="str">
        <f>IFERROR(IF(MARÍTIMOS[[#This Row],[Etapa Ingreso - Cita]]="","",MARÍTIMOS[[#This Row],[Etapa Ingreso - Cita]]),"")</f>
        <v/>
      </c>
      <c r="AI275" s="11" t="str">
        <f>IFERROR(IF(MARÍTIMOS[[#This Row],[Etapa Ingreso - Llegada]]="","",MARÍTIMOS[[#This Row],[Etapa Ingreso - Llegada]]),"")</f>
        <v/>
      </c>
      <c r="AJ275" s="11" t="str">
        <f>IFERROR(IF(MARÍTIMOS[[#This Row],[Etapa Ingreso - Ingeso]]="","",MARÍTIMOS[[#This Row],[Etapa Ingreso - Ingeso]]),"")</f>
        <v/>
      </c>
      <c r="AK275" s="11" t="str">
        <f>IFERROR(IF(MARÍTIMOS[[#This Row],[Etapa Ingreso - Atención]]="","",MARÍTIMOS[[#This Row],[Etapa Ingreso - Atención]]),"")</f>
        <v/>
      </c>
      <c r="AL275" s="11" t="str">
        <f>IFERROR(IF(MARÍTIMOS[[#This Row],[Etapa Ingreso - Salida]]="","",MARÍTIMOS[[#This Row],[Etapa Ingreso - Salida]]),"")</f>
        <v/>
      </c>
      <c r="AM275" s="2" t="str">
        <f>IFERROR(IF(MARÍTIMOS[[#This Row],[FCL]]="","",MARÍTIMOS[[#This Row],[FCL]]),"")</f>
        <v/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5" s="5" t="str">
        <f>IFERROR(OLDBD[[#This Row],[Llegada a packing]]-OLDBD[[#This Row],[Inicio de Ruta]],"")</f>
        <v/>
      </c>
      <c r="AQ275" s="6" t="str">
        <f>IFERROR(OLDBD[[#This Row],[Inicio de Ruta]]-OLDBD[[#This Row],[Salida de almacén de retiro]],"")</f>
        <v/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5" s="9" t="str">
        <f>IFERROR(OLDBD[[#This Row],[Ingreso Packing]]-OLDBD[[#This Row],[Registro en Packing]],"")</f>
        <v/>
      </c>
      <c r="AV275" s="9" t="str">
        <f>IFERROR(OLDBD[[#This Row],[Ingreso Packing]]-OLDBD[[#This Row],[Llegada a packing]],"")</f>
        <v/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5" s="5" t="str">
        <f>IFERROR(OLDBD[[#This Row],[Llegada Almacén de Ingreso]]-OLDBD[[#This Row],[Salida Packing]],"")</f>
        <v/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5" s="45" t="s">
        <v>181</v>
      </c>
      <c r="BB275" s="53" t="str">
        <f>IFERROR(IF(MARÍTIMOS[[#This Row],[Estatus]]="","",MARÍTIMOS[[#This Row],[Estatus]]),"")</f>
        <v/>
      </c>
      <c r="BC275" s="45"/>
      <c r="BD275" s="52" t="str">
        <f>IFERROR(OLDBD[[#This Row],[Salida de almacén de retiro]]-OLDBD[[#This Row],[Ingreso Almacén de retiro]],"")</f>
        <v/>
      </c>
      <c r="BE275" s="52" t="str">
        <f>IFERROR(OLDBD[[#This Row],[Fin de Carga]]-OLDBD[[#This Row],[Inicio de Carga]],"")</f>
        <v/>
      </c>
    </row>
    <row r="276" spans="1:57" x14ac:dyDescent="0.35">
      <c r="A276" s="1"/>
      <c r="B276" s="1" t="str">
        <f>IFERROR(IF(MARÍTIMOS[[#This Row],[PP]]="","",MARÍTIMOS[[#This Row],[PP]]),"")</f>
        <v/>
      </c>
      <c r="C276" s="1" t="str">
        <f>IFERROR(IF(MARÍTIMOS[[#This Row],[Sede]]="","",MARÍTIMOS[[#This Row],[Sede]]),"")</f>
        <v/>
      </c>
      <c r="D276" s="1" t="str">
        <f>IFERROR(IF(MARÍTIMOS[[#This Row],[Instruction]]="","",MARÍTIMOS[[#This Row],[Instruction]]),"")</f>
        <v/>
      </c>
      <c r="E276" s="1"/>
      <c r="F276" s="2" t="str">
        <f>IFERROR(IF(MARÍTIMOS[[#This Row],[Transportista]]="","",MARÍTIMOS[[#This Row],[Transportista]]),"")</f>
        <v/>
      </c>
      <c r="G276" s="2" t="str">
        <f>IFERROR(IF(MARÍTIMOS[[#This Row],[Tercero]]="","",MARÍTIMOS[[#This Row],[Tercero]]),"")</f>
        <v/>
      </c>
      <c r="H276" s="2" t="str">
        <f>IFERROR(IF(MARÍTIMOS[[#This Row],[Razón Social]]="","",MARÍTIMOS[[#This Row],[Razón Social]]),"")</f>
        <v/>
      </c>
      <c r="I276" s="2" t="str">
        <f>IFERROR(IF(MARÍTIMOS[[#This Row],[RUC]]="","",MARÍTIMOS[[#This Row],[RUC]]),"")</f>
        <v/>
      </c>
      <c r="J276" s="2" t="str">
        <f>IFERROR(IF(MARÍTIMOS[[#This Row],[Placa Tracto]]="","",MARÍTIMOS[[#This Row],[Placa Tracto]]),"")</f>
        <v/>
      </c>
      <c r="K276" s="2" t="str">
        <f>IFERROR(IF(MARÍTIMOS[[#This Row],[Placa Carreta]]="","",MARÍTIMOS[[#This Row],[Placa Carreta]]),"")</f>
        <v/>
      </c>
      <c r="L276" s="46" t="str">
        <f>IFERROR(IF(MARÍTIMOS[[#This Row],[Conductor]]="","",MARÍTIMOS[[#This Row],[Conductor]]),"")</f>
        <v/>
      </c>
      <c r="M276" s="2" t="str">
        <f>IFERROR(IF(MARÍTIMOS[[#This Row],[Licencia]]="","",MARÍTIMOS[[#This Row],[Licencia]]),"")</f>
        <v/>
      </c>
      <c r="N276" s="2" t="str">
        <f>IFERROR(IF(MARÍTIMOS[[#This Row],[Número de Contacto]]="","",MARÍTIMOS[[#This Row],[Número de Contacto]]),"")</f>
        <v/>
      </c>
      <c r="O276" s="10" t="str">
        <f>IFERROR(IF(MARÍTIMOS[[#This Row],[Booking|AWB|CRT]]="","",MARÍTIMOS[[#This Row],[Booking|AWB|CRT]]),"")</f>
        <v/>
      </c>
      <c r="P276" s="2" t="str">
        <f>IFERROR(IF(MARÍTIMOS[[#This Row],[Contenedor]]="","",MARÍTIMOS[[#This Row],[Contenedor]]),"")</f>
        <v/>
      </c>
      <c r="Q276" s="2" t="str">
        <f>IFERROR(IF(MARÍTIMOS[[#This Row],[Puerto de Retiro]]="","",MARÍTIMOS[[#This Row],[Puerto de Retiro]]),"")</f>
        <v/>
      </c>
      <c r="R276" s="2" t="str">
        <f>IFERROR(IF(MARÍTIMOS[[#This Row],[Almacén de Retiro]]="","",MARÍTIMOS[[#This Row],[Almacén de Retiro]]),"")</f>
        <v/>
      </c>
      <c r="S276" s="11" t="str">
        <f>IFERROR(IF(MARÍTIMOS[[#This Row],[Etapa Retiro - Cita]]="","",MARÍTIMOS[[#This Row],[Etapa Retiro - Cita]]),"")</f>
        <v/>
      </c>
      <c r="T276" s="11" t="str">
        <f>IFERROR(IF(MARÍTIMOS[[#This Row],[Etapa Retiro - Llegada]]="","",MARÍTIMOS[[#This Row],[Etapa Retiro - Llegada]]),"")</f>
        <v/>
      </c>
      <c r="U276" s="11" t="str">
        <f>IFERROR(IF(MARÍTIMOS[[#This Row],[Etapa Retiro - Ingreso]]="","",MARÍTIMOS[[#This Row],[Etapa Retiro - Ingreso]]),"")</f>
        <v/>
      </c>
      <c r="V276" s="11" t="str">
        <f>IFERROR(IF(MARÍTIMOS[[#This Row],[Etapa Retiro - Atención]]="","",MARÍTIMOS[[#This Row],[Etapa Retiro - Atención]]),"")</f>
        <v/>
      </c>
      <c r="W276" s="11" t="str">
        <f>IFERROR(IF(MARÍTIMOS[[#This Row],[Etapa Retiro - Salida]]="","",MARÍTIMOS[[#This Row],[Etapa Retiro - Salida]]),"")</f>
        <v/>
      </c>
      <c r="X276" s="11" t="str">
        <f>IFERROR(IF(MARÍTIMOS[[#This Row],[Etapa Retiro - Inicio de Ruta]]="","",MARÍTIMOS[[#This Row],[Etapa Retiro - Inicio de Ruta]]),"")</f>
        <v/>
      </c>
      <c r="Y276" s="11" t="str">
        <f>IFERROR(IF(MARÍTIMOS[[#This Row],[Hora de Posicionamiento]]="","",MARÍTIMOS[[#This Row],[Hora de Carga]]+MARÍTIMOS[[#This Row],[Hora de Posicionamiento]]),"")</f>
        <v/>
      </c>
      <c r="Z276" s="11" t="str">
        <f>IFERROR(IF(MARÍTIMOS[[#This Row],[Etapa Despacho -  Llegada]]="","",MARÍTIMOS[[#This Row],[Etapa Despacho -  Llegada]]),"")</f>
        <v/>
      </c>
      <c r="AA276" s="11" t="str">
        <f>IFERROR(IF(MARÍTIMOS[[#This Row],[Etapa Despacho -  Registro]]="","",MARÍTIMOS[[#This Row],[Etapa Despacho -  Registro]]),"")</f>
        <v/>
      </c>
      <c r="AB276" s="11" t="str">
        <f>IFERROR(IF(MARÍTIMOS[[#This Row],[Inspección Externa]]="","",MARÍTIMOS[[#This Row],[Inspección Externa]]),"")</f>
        <v/>
      </c>
      <c r="AC276" s="11" t="str">
        <f>IFERROR(IF(MARÍTIMOS[[#This Row],[Etapa Despacho -  Inicio de Carga]]="","",MARÍTIMOS[[#This Row],[Etapa Despacho -  Inicio de Carga]]),"")</f>
        <v/>
      </c>
      <c r="AD276" s="11" t="str">
        <f>IFERROR(IF(MARÍTIMOS[[#This Row],[Etapa Despacho -  Fin de Carga]]="","",MARÍTIMOS[[#This Row],[Etapa Despacho -  Fin de Carga]]),"")</f>
        <v/>
      </c>
      <c r="AE276" s="11" t="str">
        <f>IFERROR(IF(MARÍTIMOS[[#This Row],[Etapa Despacho -  Salida]]="","",MARÍTIMOS[[#This Row],[Etapa Despacho -  Salida]]),"")</f>
        <v/>
      </c>
      <c r="AF276" s="2" t="str">
        <f>IFERROR(IF(MARÍTIMOS[[#This Row],[Puerto de Embarque]]="","",MARÍTIMOS[[#This Row],[Puerto de Embarque]]),"")</f>
        <v/>
      </c>
      <c r="AG276" s="2" t="str">
        <f>IFERROR(IF(MARÍTIMOS[[#This Row],[Almacén de Ingreso]]="","",MARÍTIMOS[[#This Row],[Almacén de Ingreso]]),"")</f>
        <v/>
      </c>
      <c r="AH276" s="11" t="str">
        <f>IFERROR(IF(MARÍTIMOS[[#This Row],[Etapa Ingreso - Cita]]="","",MARÍTIMOS[[#This Row],[Etapa Ingreso - Cita]]),"")</f>
        <v/>
      </c>
      <c r="AI276" s="11" t="str">
        <f>IFERROR(IF(MARÍTIMOS[[#This Row],[Etapa Ingreso - Llegada]]="","",MARÍTIMOS[[#This Row],[Etapa Ingreso - Llegada]]),"")</f>
        <v/>
      </c>
      <c r="AJ276" s="11" t="str">
        <f>IFERROR(IF(MARÍTIMOS[[#This Row],[Etapa Ingreso - Ingeso]]="","",MARÍTIMOS[[#This Row],[Etapa Ingreso - Ingeso]]),"")</f>
        <v/>
      </c>
      <c r="AK276" s="11" t="str">
        <f>IFERROR(IF(MARÍTIMOS[[#This Row],[Etapa Ingreso - Atención]]="","",MARÍTIMOS[[#This Row],[Etapa Ingreso - Atención]]),"")</f>
        <v/>
      </c>
      <c r="AL276" s="11" t="str">
        <f>IFERROR(IF(MARÍTIMOS[[#This Row],[Etapa Ingreso - Salida]]="","",MARÍTIMOS[[#This Row],[Etapa Ingreso - Salida]]),"")</f>
        <v/>
      </c>
      <c r="AM276" s="2" t="str">
        <f>IFERROR(IF(MARÍTIMOS[[#This Row],[FCL]]="","",MARÍTIMOS[[#This Row],[FCL]]),"")</f>
        <v/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6" s="5" t="str">
        <f>IFERROR(OLDBD[[#This Row],[Llegada a packing]]-OLDBD[[#This Row],[Inicio de Ruta]],"")</f>
        <v/>
      </c>
      <c r="AQ276" s="6" t="str">
        <f>IFERROR(OLDBD[[#This Row],[Inicio de Ruta]]-OLDBD[[#This Row],[Salida de almacén de retiro]],"")</f>
        <v/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6" s="9" t="str">
        <f>IFERROR(OLDBD[[#This Row],[Ingreso Packing]]-OLDBD[[#This Row],[Registro en Packing]],"")</f>
        <v/>
      </c>
      <c r="AV276" s="9" t="str">
        <f>IFERROR(OLDBD[[#This Row],[Ingreso Packing]]-OLDBD[[#This Row],[Llegada a packing]],"")</f>
        <v/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6" s="5" t="str">
        <f>IFERROR(OLDBD[[#This Row],[Llegada Almacén de Ingreso]]-OLDBD[[#This Row],[Salida Packing]],"")</f>
        <v/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6" s="45" t="s">
        <v>181</v>
      </c>
      <c r="BB276" s="53" t="str">
        <f>IFERROR(IF(MARÍTIMOS[[#This Row],[Estatus]]="","",MARÍTIMOS[[#This Row],[Estatus]]),"")</f>
        <v/>
      </c>
      <c r="BC276" s="45"/>
      <c r="BD276" s="52" t="str">
        <f>IFERROR(OLDBD[[#This Row],[Salida de almacén de retiro]]-OLDBD[[#This Row],[Ingreso Almacén de retiro]],"")</f>
        <v/>
      </c>
      <c r="BE276" s="52" t="str">
        <f>IFERROR(OLDBD[[#This Row],[Fin de Carga]]-OLDBD[[#This Row],[Inicio de Carga]],"")</f>
        <v/>
      </c>
    </row>
    <row r="277" spans="1:57" x14ac:dyDescent="0.35">
      <c r="A277" s="1"/>
      <c r="B277" s="1" t="str">
        <f>IFERROR(IF(MARÍTIMOS[[#This Row],[PP]]="","",MARÍTIMOS[[#This Row],[PP]]),"")</f>
        <v/>
      </c>
      <c r="C277" s="1" t="str">
        <f>IFERROR(IF(MARÍTIMOS[[#This Row],[Sede]]="","",MARÍTIMOS[[#This Row],[Sede]]),"")</f>
        <v/>
      </c>
      <c r="D277" s="1" t="str">
        <f>IFERROR(IF(MARÍTIMOS[[#This Row],[Instruction]]="","",MARÍTIMOS[[#This Row],[Instruction]]),"")</f>
        <v/>
      </c>
      <c r="E277" s="1"/>
      <c r="F277" s="2" t="str">
        <f>IFERROR(IF(MARÍTIMOS[[#This Row],[Transportista]]="","",MARÍTIMOS[[#This Row],[Transportista]]),"")</f>
        <v/>
      </c>
      <c r="G277" s="2" t="str">
        <f>IFERROR(IF(MARÍTIMOS[[#This Row],[Tercero]]="","",MARÍTIMOS[[#This Row],[Tercero]]),"")</f>
        <v/>
      </c>
      <c r="H277" s="2" t="str">
        <f>IFERROR(IF(MARÍTIMOS[[#This Row],[Razón Social]]="","",MARÍTIMOS[[#This Row],[Razón Social]]),"")</f>
        <v/>
      </c>
      <c r="I277" s="2" t="str">
        <f>IFERROR(IF(MARÍTIMOS[[#This Row],[RUC]]="","",MARÍTIMOS[[#This Row],[RUC]]),"")</f>
        <v/>
      </c>
      <c r="J277" s="2" t="str">
        <f>IFERROR(IF(MARÍTIMOS[[#This Row],[Placa Tracto]]="","",MARÍTIMOS[[#This Row],[Placa Tracto]]),"")</f>
        <v/>
      </c>
      <c r="K277" s="2" t="str">
        <f>IFERROR(IF(MARÍTIMOS[[#This Row],[Placa Carreta]]="","",MARÍTIMOS[[#This Row],[Placa Carreta]]),"")</f>
        <v/>
      </c>
      <c r="L277" s="46" t="str">
        <f>IFERROR(IF(MARÍTIMOS[[#This Row],[Conductor]]="","",MARÍTIMOS[[#This Row],[Conductor]]),"")</f>
        <v/>
      </c>
      <c r="M277" s="2" t="str">
        <f>IFERROR(IF(MARÍTIMOS[[#This Row],[Licencia]]="","",MARÍTIMOS[[#This Row],[Licencia]]),"")</f>
        <v/>
      </c>
      <c r="N277" s="2" t="str">
        <f>IFERROR(IF(MARÍTIMOS[[#This Row],[Número de Contacto]]="","",MARÍTIMOS[[#This Row],[Número de Contacto]]),"")</f>
        <v/>
      </c>
      <c r="O277" s="10" t="str">
        <f>IFERROR(IF(MARÍTIMOS[[#This Row],[Booking|AWB|CRT]]="","",MARÍTIMOS[[#This Row],[Booking|AWB|CRT]]),"")</f>
        <v/>
      </c>
      <c r="P277" s="2" t="str">
        <f>IFERROR(IF(MARÍTIMOS[[#This Row],[Contenedor]]="","",MARÍTIMOS[[#This Row],[Contenedor]]),"")</f>
        <v/>
      </c>
      <c r="Q277" s="2" t="str">
        <f>IFERROR(IF(MARÍTIMOS[[#This Row],[Puerto de Retiro]]="","",MARÍTIMOS[[#This Row],[Puerto de Retiro]]),"")</f>
        <v/>
      </c>
      <c r="R277" s="2" t="str">
        <f>IFERROR(IF(MARÍTIMOS[[#This Row],[Almacén de Retiro]]="","",MARÍTIMOS[[#This Row],[Almacén de Retiro]]),"")</f>
        <v/>
      </c>
      <c r="S277" s="11" t="str">
        <f>IFERROR(IF(MARÍTIMOS[[#This Row],[Etapa Retiro - Cita]]="","",MARÍTIMOS[[#This Row],[Etapa Retiro - Cita]]),"")</f>
        <v/>
      </c>
      <c r="T277" s="11" t="str">
        <f>IFERROR(IF(MARÍTIMOS[[#This Row],[Etapa Retiro - Llegada]]="","",MARÍTIMOS[[#This Row],[Etapa Retiro - Llegada]]),"")</f>
        <v/>
      </c>
      <c r="U277" s="11" t="str">
        <f>IFERROR(IF(MARÍTIMOS[[#This Row],[Etapa Retiro - Ingreso]]="","",MARÍTIMOS[[#This Row],[Etapa Retiro - Ingreso]]),"")</f>
        <v/>
      </c>
      <c r="V277" s="11" t="str">
        <f>IFERROR(IF(MARÍTIMOS[[#This Row],[Etapa Retiro - Atención]]="","",MARÍTIMOS[[#This Row],[Etapa Retiro - Atención]]),"")</f>
        <v/>
      </c>
      <c r="W277" s="11" t="str">
        <f>IFERROR(IF(MARÍTIMOS[[#This Row],[Etapa Retiro - Salida]]="","",MARÍTIMOS[[#This Row],[Etapa Retiro - Salida]]),"")</f>
        <v/>
      </c>
      <c r="X277" s="11" t="str">
        <f>IFERROR(IF(MARÍTIMOS[[#This Row],[Etapa Retiro - Inicio de Ruta]]="","",MARÍTIMOS[[#This Row],[Etapa Retiro - Inicio de Ruta]]),"")</f>
        <v/>
      </c>
      <c r="Y277" s="11" t="str">
        <f>IFERROR(IF(MARÍTIMOS[[#This Row],[Hora de Posicionamiento]]="","",MARÍTIMOS[[#This Row],[Hora de Carga]]+MARÍTIMOS[[#This Row],[Hora de Posicionamiento]]),"")</f>
        <v/>
      </c>
      <c r="Z277" s="11" t="str">
        <f>IFERROR(IF(MARÍTIMOS[[#This Row],[Etapa Despacho -  Llegada]]="","",MARÍTIMOS[[#This Row],[Etapa Despacho -  Llegada]]),"")</f>
        <v/>
      </c>
      <c r="AA277" s="11" t="str">
        <f>IFERROR(IF(MARÍTIMOS[[#This Row],[Etapa Despacho -  Registro]]="","",MARÍTIMOS[[#This Row],[Etapa Despacho -  Registro]]),"")</f>
        <v/>
      </c>
      <c r="AB277" s="11" t="str">
        <f>IFERROR(IF(MARÍTIMOS[[#This Row],[Inspección Externa]]="","",MARÍTIMOS[[#This Row],[Inspección Externa]]),"")</f>
        <v/>
      </c>
      <c r="AC277" s="11" t="str">
        <f>IFERROR(IF(MARÍTIMOS[[#This Row],[Etapa Despacho -  Inicio de Carga]]="","",MARÍTIMOS[[#This Row],[Etapa Despacho -  Inicio de Carga]]),"")</f>
        <v/>
      </c>
      <c r="AD277" s="11" t="str">
        <f>IFERROR(IF(MARÍTIMOS[[#This Row],[Etapa Despacho -  Fin de Carga]]="","",MARÍTIMOS[[#This Row],[Etapa Despacho -  Fin de Carga]]),"")</f>
        <v/>
      </c>
      <c r="AE277" s="11" t="str">
        <f>IFERROR(IF(MARÍTIMOS[[#This Row],[Etapa Despacho -  Salida]]="","",MARÍTIMOS[[#This Row],[Etapa Despacho -  Salida]]),"")</f>
        <v/>
      </c>
      <c r="AF277" s="2" t="str">
        <f>IFERROR(IF(MARÍTIMOS[[#This Row],[Puerto de Embarque]]="","",MARÍTIMOS[[#This Row],[Puerto de Embarque]]),"")</f>
        <v/>
      </c>
      <c r="AG277" s="2" t="str">
        <f>IFERROR(IF(MARÍTIMOS[[#This Row],[Almacén de Ingreso]]="","",MARÍTIMOS[[#This Row],[Almacén de Ingreso]]),"")</f>
        <v/>
      </c>
      <c r="AH277" s="11" t="str">
        <f>IFERROR(IF(MARÍTIMOS[[#This Row],[Etapa Ingreso - Cita]]="","",MARÍTIMOS[[#This Row],[Etapa Ingreso - Cita]]),"")</f>
        <v/>
      </c>
      <c r="AI277" s="11" t="str">
        <f>IFERROR(IF(MARÍTIMOS[[#This Row],[Etapa Ingreso - Llegada]]="","",MARÍTIMOS[[#This Row],[Etapa Ingreso - Llegada]]),"")</f>
        <v/>
      </c>
      <c r="AJ277" s="11" t="str">
        <f>IFERROR(IF(MARÍTIMOS[[#This Row],[Etapa Ingreso - Ingeso]]="","",MARÍTIMOS[[#This Row],[Etapa Ingreso - Ingeso]]),"")</f>
        <v/>
      </c>
      <c r="AK277" s="11" t="str">
        <f>IFERROR(IF(MARÍTIMOS[[#This Row],[Etapa Ingreso - Atención]]="","",MARÍTIMOS[[#This Row],[Etapa Ingreso - Atención]]),"")</f>
        <v/>
      </c>
      <c r="AL277" s="11" t="str">
        <f>IFERROR(IF(MARÍTIMOS[[#This Row],[Etapa Ingreso - Salida]]="","",MARÍTIMOS[[#This Row],[Etapa Ingreso - Salida]]),"")</f>
        <v/>
      </c>
      <c r="AM277" s="2" t="str">
        <f>IFERROR(IF(MARÍTIMOS[[#This Row],[FCL]]="","",MARÍTIMOS[[#This Row],[FCL]]),"")</f>
        <v/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7" s="5" t="str">
        <f>IFERROR(OLDBD[[#This Row],[Llegada a packing]]-OLDBD[[#This Row],[Inicio de Ruta]],"")</f>
        <v/>
      </c>
      <c r="AQ277" s="6" t="str">
        <f>IFERROR(OLDBD[[#This Row],[Inicio de Ruta]]-OLDBD[[#This Row],[Salida de almacén de retiro]],"")</f>
        <v/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7" s="9" t="str">
        <f>IFERROR(OLDBD[[#This Row],[Ingreso Packing]]-OLDBD[[#This Row],[Registro en Packing]],"")</f>
        <v/>
      </c>
      <c r="AV277" s="9" t="str">
        <f>IFERROR(OLDBD[[#This Row],[Ingreso Packing]]-OLDBD[[#This Row],[Llegada a packing]],"")</f>
        <v/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7" s="5" t="str">
        <f>IFERROR(OLDBD[[#This Row],[Llegada Almacén de Ingreso]]-OLDBD[[#This Row],[Salida Packing]],"")</f>
        <v/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7" s="45" t="s">
        <v>181</v>
      </c>
      <c r="BB277" s="53" t="str">
        <f>IFERROR(IF(MARÍTIMOS[[#This Row],[Estatus]]="","",MARÍTIMOS[[#This Row],[Estatus]]),"")</f>
        <v/>
      </c>
      <c r="BC277" s="45"/>
      <c r="BD277" s="52" t="str">
        <f>IFERROR(OLDBD[[#This Row],[Salida de almacén de retiro]]-OLDBD[[#This Row],[Ingreso Almacén de retiro]],"")</f>
        <v/>
      </c>
      <c r="BE277" s="52" t="str">
        <f>IFERROR(OLDBD[[#This Row],[Fin de Carga]]-OLDBD[[#This Row],[Inicio de Carga]],"")</f>
        <v/>
      </c>
    </row>
    <row r="278" spans="1:57" x14ac:dyDescent="0.35">
      <c r="A278" s="1"/>
      <c r="B278" s="1" t="str">
        <f>IFERROR(IF(MARÍTIMOS[[#This Row],[PP]]="","",MARÍTIMOS[[#This Row],[PP]]),"")</f>
        <v/>
      </c>
      <c r="C278" s="1" t="str">
        <f>IFERROR(IF(MARÍTIMOS[[#This Row],[Sede]]="","",MARÍTIMOS[[#This Row],[Sede]]),"")</f>
        <v/>
      </c>
      <c r="D278" s="1" t="str">
        <f>IFERROR(IF(MARÍTIMOS[[#This Row],[Instruction]]="","",MARÍTIMOS[[#This Row],[Instruction]]),"")</f>
        <v/>
      </c>
      <c r="E278" s="1"/>
      <c r="F278" s="2" t="str">
        <f>IFERROR(IF(MARÍTIMOS[[#This Row],[Transportista]]="","",MARÍTIMOS[[#This Row],[Transportista]]),"")</f>
        <v/>
      </c>
      <c r="G278" s="2" t="str">
        <f>IFERROR(IF(MARÍTIMOS[[#This Row],[Tercero]]="","",MARÍTIMOS[[#This Row],[Tercero]]),"")</f>
        <v/>
      </c>
      <c r="H278" s="2" t="str">
        <f>IFERROR(IF(MARÍTIMOS[[#This Row],[Razón Social]]="","",MARÍTIMOS[[#This Row],[Razón Social]]),"")</f>
        <v/>
      </c>
      <c r="I278" s="2" t="str">
        <f>IFERROR(IF(MARÍTIMOS[[#This Row],[RUC]]="","",MARÍTIMOS[[#This Row],[RUC]]),"")</f>
        <v/>
      </c>
      <c r="J278" s="2" t="str">
        <f>IFERROR(IF(MARÍTIMOS[[#This Row],[Placa Tracto]]="","",MARÍTIMOS[[#This Row],[Placa Tracto]]),"")</f>
        <v/>
      </c>
      <c r="K278" s="2" t="str">
        <f>IFERROR(IF(MARÍTIMOS[[#This Row],[Placa Carreta]]="","",MARÍTIMOS[[#This Row],[Placa Carreta]]),"")</f>
        <v/>
      </c>
      <c r="L278" s="46" t="str">
        <f>IFERROR(IF(MARÍTIMOS[[#This Row],[Conductor]]="","",MARÍTIMOS[[#This Row],[Conductor]]),"")</f>
        <v/>
      </c>
      <c r="M278" s="2" t="str">
        <f>IFERROR(IF(MARÍTIMOS[[#This Row],[Licencia]]="","",MARÍTIMOS[[#This Row],[Licencia]]),"")</f>
        <v/>
      </c>
      <c r="N278" s="2" t="str">
        <f>IFERROR(IF(MARÍTIMOS[[#This Row],[Número de Contacto]]="","",MARÍTIMOS[[#This Row],[Número de Contacto]]),"")</f>
        <v/>
      </c>
      <c r="O278" s="10" t="str">
        <f>IFERROR(IF(MARÍTIMOS[[#This Row],[Booking|AWB|CRT]]="","",MARÍTIMOS[[#This Row],[Booking|AWB|CRT]]),"")</f>
        <v/>
      </c>
      <c r="P278" s="2" t="str">
        <f>IFERROR(IF(MARÍTIMOS[[#This Row],[Contenedor]]="","",MARÍTIMOS[[#This Row],[Contenedor]]),"")</f>
        <v/>
      </c>
      <c r="Q278" s="2" t="str">
        <f>IFERROR(IF(MARÍTIMOS[[#This Row],[Puerto de Retiro]]="","",MARÍTIMOS[[#This Row],[Puerto de Retiro]]),"")</f>
        <v/>
      </c>
      <c r="R278" s="2" t="str">
        <f>IFERROR(IF(MARÍTIMOS[[#This Row],[Almacén de Retiro]]="","",MARÍTIMOS[[#This Row],[Almacén de Retiro]]),"")</f>
        <v/>
      </c>
      <c r="S278" s="11" t="str">
        <f>IFERROR(IF(MARÍTIMOS[[#This Row],[Etapa Retiro - Cita]]="","",MARÍTIMOS[[#This Row],[Etapa Retiro - Cita]]),"")</f>
        <v/>
      </c>
      <c r="T278" s="11" t="str">
        <f>IFERROR(IF(MARÍTIMOS[[#This Row],[Etapa Retiro - Llegada]]="","",MARÍTIMOS[[#This Row],[Etapa Retiro - Llegada]]),"")</f>
        <v/>
      </c>
      <c r="U278" s="11" t="str">
        <f>IFERROR(IF(MARÍTIMOS[[#This Row],[Etapa Retiro - Ingreso]]="","",MARÍTIMOS[[#This Row],[Etapa Retiro - Ingreso]]),"")</f>
        <v/>
      </c>
      <c r="V278" s="11" t="str">
        <f>IFERROR(IF(MARÍTIMOS[[#This Row],[Etapa Retiro - Atención]]="","",MARÍTIMOS[[#This Row],[Etapa Retiro - Atención]]),"")</f>
        <v/>
      </c>
      <c r="W278" s="11" t="str">
        <f>IFERROR(IF(MARÍTIMOS[[#This Row],[Etapa Retiro - Salida]]="","",MARÍTIMOS[[#This Row],[Etapa Retiro - Salida]]),"")</f>
        <v/>
      </c>
      <c r="X278" s="11" t="str">
        <f>IFERROR(IF(MARÍTIMOS[[#This Row],[Etapa Retiro - Inicio de Ruta]]="","",MARÍTIMOS[[#This Row],[Etapa Retiro - Inicio de Ruta]]),"")</f>
        <v/>
      </c>
      <c r="Y278" s="11" t="str">
        <f>IFERROR(IF(MARÍTIMOS[[#This Row],[Hora de Posicionamiento]]="","",MARÍTIMOS[[#This Row],[Hora de Carga]]+MARÍTIMOS[[#This Row],[Hora de Posicionamiento]]),"")</f>
        <v/>
      </c>
      <c r="Z278" s="11" t="str">
        <f>IFERROR(IF(MARÍTIMOS[[#This Row],[Etapa Despacho -  Llegada]]="","",MARÍTIMOS[[#This Row],[Etapa Despacho -  Llegada]]),"")</f>
        <v/>
      </c>
      <c r="AA278" s="11" t="str">
        <f>IFERROR(IF(MARÍTIMOS[[#This Row],[Etapa Despacho -  Registro]]="","",MARÍTIMOS[[#This Row],[Etapa Despacho -  Registro]]),"")</f>
        <v/>
      </c>
      <c r="AB278" s="11" t="str">
        <f>IFERROR(IF(MARÍTIMOS[[#This Row],[Inspección Externa]]="","",MARÍTIMOS[[#This Row],[Inspección Externa]]),"")</f>
        <v/>
      </c>
      <c r="AC278" s="11" t="str">
        <f>IFERROR(IF(MARÍTIMOS[[#This Row],[Etapa Despacho -  Inicio de Carga]]="","",MARÍTIMOS[[#This Row],[Etapa Despacho -  Inicio de Carga]]),"")</f>
        <v/>
      </c>
      <c r="AD278" s="11" t="str">
        <f>IFERROR(IF(MARÍTIMOS[[#This Row],[Etapa Despacho -  Fin de Carga]]="","",MARÍTIMOS[[#This Row],[Etapa Despacho -  Fin de Carga]]),"")</f>
        <v/>
      </c>
      <c r="AE278" s="11" t="str">
        <f>IFERROR(IF(MARÍTIMOS[[#This Row],[Etapa Despacho -  Salida]]="","",MARÍTIMOS[[#This Row],[Etapa Despacho -  Salida]]),"")</f>
        <v/>
      </c>
      <c r="AF278" s="2" t="str">
        <f>IFERROR(IF(MARÍTIMOS[[#This Row],[Puerto de Embarque]]="","",MARÍTIMOS[[#This Row],[Puerto de Embarque]]),"")</f>
        <v/>
      </c>
      <c r="AG278" s="2" t="str">
        <f>IFERROR(IF(MARÍTIMOS[[#This Row],[Almacén de Ingreso]]="","",MARÍTIMOS[[#This Row],[Almacén de Ingreso]]),"")</f>
        <v/>
      </c>
      <c r="AH278" s="11" t="str">
        <f>IFERROR(IF(MARÍTIMOS[[#This Row],[Etapa Ingreso - Cita]]="","",MARÍTIMOS[[#This Row],[Etapa Ingreso - Cita]]),"")</f>
        <v/>
      </c>
      <c r="AI278" s="11" t="str">
        <f>IFERROR(IF(MARÍTIMOS[[#This Row],[Etapa Ingreso - Llegada]]="","",MARÍTIMOS[[#This Row],[Etapa Ingreso - Llegada]]),"")</f>
        <v/>
      </c>
      <c r="AJ278" s="11" t="str">
        <f>IFERROR(IF(MARÍTIMOS[[#This Row],[Etapa Ingreso - Ingeso]]="","",MARÍTIMOS[[#This Row],[Etapa Ingreso - Ingeso]]),"")</f>
        <v/>
      </c>
      <c r="AK278" s="11" t="str">
        <f>IFERROR(IF(MARÍTIMOS[[#This Row],[Etapa Ingreso - Atención]]="","",MARÍTIMOS[[#This Row],[Etapa Ingreso - Atención]]),"")</f>
        <v/>
      </c>
      <c r="AL278" s="11" t="str">
        <f>IFERROR(IF(MARÍTIMOS[[#This Row],[Etapa Ingreso - Salida]]="","",MARÍTIMOS[[#This Row],[Etapa Ingreso - Salida]]),"")</f>
        <v/>
      </c>
      <c r="AM278" s="2" t="str">
        <f>IFERROR(IF(MARÍTIMOS[[#This Row],[FCL]]="","",MARÍTIMOS[[#This Row],[FCL]]),"")</f>
        <v/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8" s="5" t="str">
        <f>IFERROR(OLDBD[[#This Row],[Llegada a packing]]-OLDBD[[#This Row],[Inicio de Ruta]],"")</f>
        <v/>
      </c>
      <c r="AQ278" s="6" t="str">
        <f>IFERROR(OLDBD[[#This Row],[Inicio de Ruta]]-OLDBD[[#This Row],[Salida de almacén de retiro]],"")</f>
        <v/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8" s="9" t="str">
        <f>IFERROR(OLDBD[[#This Row],[Ingreso Packing]]-OLDBD[[#This Row],[Registro en Packing]],"")</f>
        <v/>
      </c>
      <c r="AV278" s="9" t="str">
        <f>IFERROR(OLDBD[[#This Row],[Ingreso Packing]]-OLDBD[[#This Row],[Llegada a packing]],"")</f>
        <v/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8" s="5" t="str">
        <f>IFERROR(OLDBD[[#This Row],[Llegada Almacén de Ingreso]]-OLDBD[[#This Row],[Salida Packing]],"")</f>
        <v/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8" s="45" t="s">
        <v>181</v>
      </c>
      <c r="BB278" s="53" t="str">
        <f>IFERROR(IF(MARÍTIMOS[[#This Row],[Estatus]]="","",MARÍTIMOS[[#This Row],[Estatus]]),"")</f>
        <v/>
      </c>
      <c r="BC278" s="45"/>
      <c r="BD278" s="52" t="str">
        <f>IFERROR(OLDBD[[#This Row],[Salida de almacén de retiro]]-OLDBD[[#This Row],[Ingreso Almacén de retiro]],"")</f>
        <v/>
      </c>
      <c r="BE278" s="52" t="str">
        <f>IFERROR(OLDBD[[#This Row],[Fin de Carga]]-OLDBD[[#This Row],[Inicio de Carga]],"")</f>
        <v/>
      </c>
    </row>
    <row r="279" spans="1:57" x14ac:dyDescent="0.35">
      <c r="A279" s="1"/>
      <c r="B279" s="1" t="str">
        <f>IFERROR(IF(MARÍTIMOS[[#This Row],[PP]]="","",MARÍTIMOS[[#This Row],[PP]]),"")</f>
        <v/>
      </c>
      <c r="C279" s="1" t="str">
        <f>IFERROR(IF(MARÍTIMOS[[#This Row],[Sede]]="","",MARÍTIMOS[[#This Row],[Sede]]),"")</f>
        <v/>
      </c>
      <c r="D279" s="1" t="str">
        <f>IFERROR(IF(MARÍTIMOS[[#This Row],[Instruction]]="","",MARÍTIMOS[[#This Row],[Instruction]]),"")</f>
        <v/>
      </c>
      <c r="E279" s="1"/>
      <c r="F279" s="2" t="str">
        <f>IFERROR(IF(MARÍTIMOS[[#This Row],[Transportista]]="","",MARÍTIMOS[[#This Row],[Transportista]]),"")</f>
        <v/>
      </c>
      <c r="G279" s="2" t="str">
        <f>IFERROR(IF(MARÍTIMOS[[#This Row],[Tercero]]="","",MARÍTIMOS[[#This Row],[Tercero]]),"")</f>
        <v/>
      </c>
      <c r="H279" s="2" t="str">
        <f>IFERROR(IF(MARÍTIMOS[[#This Row],[Razón Social]]="","",MARÍTIMOS[[#This Row],[Razón Social]]),"")</f>
        <v/>
      </c>
      <c r="I279" s="2" t="str">
        <f>IFERROR(IF(MARÍTIMOS[[#This Row],[RUC]]="","",MARÍTIMOS[[#This Row],[RUC]]),"")</f>
        <v/>
      </c>
      <c r="J279" s="2" t="str">
        <f>IFERROR(IF(MARÍTIMOS[[#This Row],[Placa Tracto]]="","",MARÍTIMOS[[#This Row],[Placa Tracto]]),"")</f>
        <v/>
      </c>
      <c r="K279" s="2" t="str">
        <f>IFERROR(IF(MARÍTIMOS[[#This Row],[Placa Carreta]]="","",MARÍTIMOS[[#This Row],[Placa Carreta]]),"")</f>
        <v/>
      </c>
      <c r="L279" s="46" t="str">
        <f>IFERROR(IF(MARÍTIMOS[[#This Row],[Conductor]]="","",MARÍTIMOS[[#This Row],[Conductor]]),"")</f>
        <v/>
      </c>
      <c r="M279" s="2" t="str">
        <f>IFERROR(IF(MARÍTIMOS[[#This Row],[Licencia]]="","",MARÍTIMOS[[#This Row],[Licencia]]),"")</f>
        <v/>
      </c>
      <c r="N279" s="2" t="str">
        <f>IFERROR(IF(MARÍTIMOS[[#This Row],[Número de Contacto]]="","",MARÍTIMOS[[#This Row],[Número de Contacto]]),"")</f>
        <v/>
      </c>
      <c r="O279" s="10" t="str">
        <f>IFERROR(IF(MARÍTIMOS[[#This Row],[Booking|AWB|CRT]]="","",MARÍTIMOS[[#This Row],[Booking|AWB|CRT]]),"")</f>
        <v/>
      </c>
      <c r="P279" s="2" t="str">
        <f>IFERROR(IF(MARÍTIMOS[[#This Row],[Contenedor]]="","",MARÍTIMOS[[#This Row],[Contenedor]]),"")</f>
        <v/>
      </c>
      <c r="Q279" s="2" t="str">
        <f>IFERROR(IF(MARÍTIMOS[[#This Row],[Puerto de Retiro]]="","",MARÍTIMOS[[#This Row],[Puerto de Retiro]]),"")</f>
        <v/>
      </c>
      <c r="R279" s="2" t="str">
        <f>IFERROR(IF(MARÍTIMOS[[#This Row],[Almacén de Retiro]]="","",MARÍTIMOS[[#This Row],[Almacén de Retiro]]),"")</f>
        <v/>
      </c>
      <c r="S279" s="11" t="str">
        <f>IFERROR(IF(MARÍTIMOS[[#This Row],[Etapa Retiro - Cita]]="","",MARÍTIMOS[[#This Row],[Etapa Retiro - Cita]]),"")</f>
        <v/>
      </c>
      <c r="T279" s="11" t="str">
        <f>IFERROR(IF(MARÍTIMOS[[#This Row],[Etapa Retiro - Llegada]]="","",MARÍTIMOS[[#This Row],[Etapa Retiro - Llegada]]),"")</f>
        <v/>
      </c>
      <c r="U279" s="11" t="str">
        <f>IFERROR(IF(MARÍTIMOS[[#This Row],[Etapa Retiro - Ingreso]]="","",MARÍTIMOS[[#This Row],[Etapa Retiro - Ingreso]]),"")</f>
        <v/>
      </c>
      <c r="V279" s="11" t="str">
        <f>IFERROR(IF(MARÍTIMOS[[#This Row],[Etapa Retiro - Atención]]="","",MARÍTIMOS[[#This Row],[Etapa Retiro - Atención]]),"")</f>
        <v/>
      </c>
      <c r="W279" s="11" t="str">
        <f>IFERROR(IF(MARÍTIMOS[[#This Row],[Etapa Retiro - Salida]]="","",MARÍTIMOS[[#This Row],[Etapa Retiro - Salida]]),"")</f>
        <v/>
      </c>
      <c r="X279" s="11" t="str">
        <f>IFERROR(IF(MARÍTIMOS[[#This Row],[Etapa Retiro - Inicio de Ruta]]="","",MARÍTIMOS[[#This Row],[Etapa Retiro - Inicio de Ruta]]),"")</f>
        <v/>
      </c>
      <c r="Y279" s="11" t="str">
        <f>IFERROR(IF(MARÍTIMOS[[#This Row],[Hora de Posicionamiento]]="","",MARÍTIMOS[[#This Row],[Hora de Carga]]+MARÍTIMOS[[#This Row],[Hora de Posicionamiento]]),"")</f>
        <v/>
      </c>
      <c r="Z279" s="11" t="str">
        <f>IFERROR(IF(MARÍTIMOS[[#This Row],[Etapa Despacho -  Llegada]]="","",MARÍTIMOS[[#This Row],[Etapa Despacho -  Llegada]]),"")</f>
        <v/>
      </c>
      <c r="AA279" s="11" t="str">
        <f>IFERROR(IF(MARÍTIMOS[[#This Row],[Etapa Despacho -  Registro]]="","",MARÍTIMOS[[#This Row],[Etapa Despacho -  Registro]]),"")</f>
        <v/>
      </c>
      <c r="AB279" s="11" t="str">
        <f>IFERROR(IF(MARÍTIMOS[[#This Row],[Inspección Externa]]="","",MARÍTIMOS[[#This Row],[Inspección Externa]]),"")</f>
        <v/>
      </c>
      <c r="AC279" s="11" t="str">
        <f>IFERROR(IF(MARÍTIMOS[[#This Row],[Etapa Despacho -  Inicio de Carga]]="","",MARÍTIMOS[[#This Row],[Etapa Despacho -  Inicio de Carga]]),"")</f>
        <v/>
      </c>
      <c r="AD279" s="11" t="str">
        <f>IFERROR(IF(MARÍTIMOS[[#This Row],[Etapa Despacho -  Fin de Carga]]="","",MARÍTIMOS[[#This Row],[Etapa Despacho -  Fin de Carga]]),"")</f>
        <v/>
      </c>
      <c r="AE279" s="11" t="str">
        <f>IFERROR(IF(MARÍTIMOS[[#This Row],[Etapa Despacho -  Salida]]="","",MARÍTIMOS[[#This Row],[Etapa Despacho -  Salida]]),"")</f>
        <v/>
      </c>
      <c r="AF279" s="2" t="str">
        <f>IFERROR(IF(MARÍTIMOS[[#This Row],[Puerto de Embarque]]="","",MARÍTIMOS[[#This Row],[Puerto de Embarque]]),"")</f>
        <v/>
      </c>
      <c r="AG279" s="2" t="str">
        <f>IFERROR(IF(MARÍTIMOS[[#This Row],[Almacén de Ingreso]]="","",MARÍTIMOS[[#This Row],[Almacén de Ingreso]]),"")</f>
        <v/>
      </c>
      <c r="AH279" s="11" t="str">
        <f>IFERROR(IF(MARÍTIMOS[[#This Row],[Etapa Ingreso - Cita]]="","",MARÍTIMOS[[#This Row],[Etapa Ingreso - Cita]]),"")</f>
        <v/>
      </c>
      <c r="AI279" s="11" t="str">
        <f>IFERROR(IF(MARÍTIMOS[[#This Row],[Etapa Ingreso - Llegada]]="","",MARÍTIMOS[[#This Row],[Etapa Ingreso - Llegada]]),"")</f>
        <v/>
      </c>
      <c r="AJ279" s="11" t="str">
        <f>IFERROR(IF(MARÍTIMOS[[#This Row],[Etapa Ingreso - Ingeso]]="","",MARÍTIMOS[[#This Row],[Etapa Ingreso - Ingeso]]),"")</f>
        <v/>
      </c>
      <c r="AK279" s="11" t="str">
        <f>IFERROR(IF(MARÍTIMOS[[#This Row],[Etapa Ingreso - Atención]]="","",MARÍTIMOS[[#This Row],[Etapa Ingreso - Atención]]),"")</f>
        <v/>
      </c>
      <c r="AL279" s="11" t="str">
        <f>IFERROR(IF(MARÍTIMOS[[#This Row],[Etapa Ingreso - Salida]]="","",MARÍTIMOS[[#This Row],[Etapa Ingreso - Salida]]),"")</f>
        <v/>
      </c>
      <c r="AM279" s="2" t="str">
        <f>IFERROR(IF(MARÍTIMOS[[#This Row],[FCL]]="","",MARÍTIMOS[[#This Row],[FCL]]),"")</f>
        <v/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9" s="5" t="str">
        <f>IFERROR(OLDBD[[#This Row],[Llegada a packing]]-OLDBD[[#This Row],[Inicio de Ruta]],"")</f>
        <v/>
      </c>
      <c r="AQ279" s="6" t="str">
        <f>IFERROR(OLDBD[[#This Row],[Inicio de Ruta]]-OLDBD[[#This Row],[Salida de almacén de retiro]],"")</f>
        <v/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9" s="9" t="str">
        <f>IFERROR(OLDBD[[#This Row],[Ingreso Packing]]-OLDBD[[#This Row],[Registro en Packing]],"")</f>
        <v/>
      </c>
      <c r="AV279" s="9" t="str">
        <f>IFERROR(OLDBD[[#This Row],[Ingreso Packing]]-OLDBD[[#This Row],[Llegada a packing]],"")</f>
        <v/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9" s="5" t="str">
        <f>IFERROR(OLDBD[[#This Row],[Llegada Almacén de Ingreso]]-OLDBD[[#This Row],[Salida Packing]],"")</f>
        <v/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9" s="45" t="s">
        <v>181</v>
      </c>
      <c r="BB279" s="53" t="str">
        <f>IFERROR(IF(MARÍTIMOS[[#This Row],[Estatus]]="","",MARÍTIMOS[[#This Row],[Estatus]]),"")</f>
        <v/>
      </c>
      <c r="BC279" s="45"/>
      <c r="BD279" s="52" t="str">
        <f>IFERROR(OLDBD[[#This Row],[Salida de almacén de retiro]]-OLDBD[[#This Row],[Ingreso Almacén de retiro]],"")</f>
        <v/>
      </c>
      <c r="BE279" s="52" t="str">
        <f>IFERROR(OLDBD[[#This Row],[Fin de Carga]]-OLDBD[[#This Row],[Inicio de Carga]],"")</f>
        <v/>
      </c>
    </row>
    <row r="280" spans="1:57" x14ac:dyDescent="0.35">
      <c r="A280" s="1"/>
      <c r="B280" s="1" t="str">
        <f>IFERROR(IF(MARÍTIMOS[[#This Row],[PP]]="","",MARÍTIMOS[[#This Row],[PP]]),"")</f>
        <v/>
      </c>
      <c r="C280" s="1" t="str">
        <f>IFERROR(IF(MARÍTIMOS[[#This Row],[Sede]]="","",MARÍTIMOS[[#This Row],[Sede]]),"")</f>
        <v/>
      </c>
      <c r="D280" s="1" t="str">
        <f>IFERROR(IF(MARÍTIMOS[[#This Row],[Instruction]]="","",MARÍTIMOS[[#This Row],[Instruction]]),"")</f>
        <v/>
      </c>
      <c r="E280" s="1"/>
      <c r="F280" s="2" t="str">
        <f>IFERROR(IF(MARÍTIMOS[[#This Row],[Transportista]]="","",MARÍTIMOS[[#This Row],[Transportista]]),"")</f>
        <v/>
      </c>
      <c r="G280" s="2" t="str">
        <f>IFERROR(IF(MARÍTIMOS[[#This Row],[Tercero]]="","",MARÍTIMOS[[#This Row],[Tercero]]),"")</f>
        <v/>
      </c>
      <c r="H280" s="2" t="str">
        <f>IFERROR(IF(MARÍTIMOS[[#This Row],[Razón Social]]="","",MARÍTIMOS[[#This Row],[Razón Social]]),"")</f>
        <v/>
      </c>
      <c r="I280" s="2" t="str">
        <f>IFERROR(IF(MARÍTIMOS[[#This Row],[RUC]]="","",MARÍTIMOS[[#This Row],[RUC]]),"")</f>
        <v/>
      </c>
      <c r="J280" s="2" t="str">
        <f>IFERROR(IF(MARÍTIMOS[[#This Row],[Placa Tracto]]="","",MARÍTIMOS[[#This Row],[Placa Tracto]]),"")</f>
        <v/>
      </c>
      <c r="K280" s="2" t="str">
        <f>IFERROR(IF(MARÍTIMOS[[#This Row],[Placa Carreta]]="","",MARÍTIMOS[[#This Row],[Placa Carreta]]),"")</f>
        <v/>
      </c>
      <c r="L280" s="46" t="str">
        <f>IFERROR(IF(MARÍTIMOS[[#This Row],[Conductor]]="","",MARÍTIMOS[[#This Row],[Conductor]]),"")</f>
        <v/>
      </c>
      <c r="M280" s="2" t="str">
        <f>IFERROR(IF(MARÍTIMOS[[#This Row],[Licencia]]="","",MARÍTIMOS[[#This Row],[Licencia]]),"")</f>
        <v/>
      </c>
      <c r="N280" s="2" t="str">
        <f>IFERROR(IF(MARÍTIMOS[[#This Row],[Número de Contacto]]="","",MARÍTIMOS[[#This Row],[Número de Contacto]]),"")</f>
        <v/>
      </c>
      <c r="O280" s="10" t="str">
        <f>IFERROR(IF(MARÍTIMOS[[#This Row],[Booking|AWB|CRT]]="","",MARÍTIMOS[[#This Row],[Booking|AWB|CRT]]),"")</f>
        <v/>
      </c>
      <c r="P280" s="2" t="str">
        <f>IFERROR(IF(MARÍTIMOS[[#This Row],[Contenedor]]="","",MARÍTIMOS[[#This Row],[Contenedor]]),"")</f>
        <v/>
      </c>
      <c r="Q280" s="2" t="str">
        <f>IFERROR(IF(MARÍTIMOS[[#This Row],[Puerto de Retiro]]="","",MARÍTIMOS[[#This Row],[Puerto de Retiro]]),"")</f>
        <v/>
      </c>
      <c r="R280" s="2" t="str">
        <f>IFERROR(IF(MARÍTIMOS[[#This Row],[Almacén de Retiro]]="","",MARÍTIMOS[[#This Row],[Almacén de Retiro]]),"")</f>
        <v/>
      </c>
      <c r="S280" s="11" t="str">
        <f>IFERROR(IF(MARÍTIMOS[[#This Row],[Etapa Retiro - Cita]]="","",MARÍTIMOS[[#This Row],[Etapa Retiro - Cita]]),"")</f>
        <v/>
      </c>
      <c r="T280" s="11" t="str">
        <f>IFERROR(IF(MARÍTIMOS[[#This Row],[Etapa Retiro - Llegada]]="","",MARÍTIMOS[[#This Row],[Etapa Retiro - Llegada]]),"")</f>
        <v/>
      </c>
      <c r="U280" s="11" t="str">
        <f>IFERROR(IF(MARÍTIMOS[[#This Row],[Etapa Retiro - Ingreso]]="","",MARÍTIMOS[[#This Row],[Etapa Retiro - Ingreso]]),"")</f>
        <v/>
      </c>
      <c r="V280" s="11" t="str">
        <f>IFERROR(IF(MARÍTIMOS[[#This Row],[Etapa Retiro - Atención]]="","",MARÍTIMOS[[#This Row],[Etapa Retiro - Atención]]),"")</f>
        <v/>
      </c>
      <c r="W280" s="11" t="str">
        <f>IFERROR(IF(MARÍTIMOS[[#This Row],[Etapa Retiro - Salida]]="","",MARÍTIMOS[[#This Row],[Etapa Retiro - Salida]]),"")</f>
        <v/>
      </c>
      <c r="X280" s="11" t="str">
        <f>IFERROR(IF(MARÍTIMOS[[#This Row],[Etapa Retiro - Inicio de Ruta]]="","",MARÍTIMOS[[#This Row],[Etapa Retiro - Inicio de Ruta]]),"")</f>
        <v/>
      </c>
      <c r="Y280" s="11" t="str">
        <f>IFERROR(IF(MARÍTIMOS[[#This Row],[Hora de Posicionamiento]]="","",MARÍTIMOS[[#This Row],[Hora de Carga]]+MARÍTIMOS[[#This Row],[Hora de Posicionamiento]]),"")</f>
        <v/>
      </c>
      <c r="Z280" s="11" t="str">
        <f>IFERROR(IF(MARÍTIMOS[[#This Row],[Etapa Despacho -  Llegada]]="","",MARÍTIMOS[[#This Row],[Etapa Despacho -  Llegada]]),"")</f>
        <v/>
      </c>
      <c r="AA280" s="11" t="str">
        <f>IFERROR(IF(MARÍTIMOS[[#This Row],[Etapa Despacho -  Registro]]="","",MARÍTIMOS[[#This Row],[Etapa Despacho -  Registro]]),"")</f>
        <v/>
      </c>
      <c r="AB280" s="11" t="str">
        <f>IFERROR(IF(MARÍTIMOS[[#This Row],[Inspección Externa]]="","",MARÍTIMOS[[#This Row],[Inspección Externa]]),"")</f>
        <v/>
      </c>
      <c r="AC280" s="11" t="str">
        <f>IFERROR(IF(MARÍTIMOS[[#This Row],[Etapa Despacho -  Inicio de Carga]]="","",MARÍTIMOS[[#This Row],[Etapa Despacho -  Inicio de Carga]]),"")</f>
        <v/>
      </c>
      <c r="AD280" s="11" t="str">
        <f>IFERROR(IF(MARÍTIMOS[[#This Row],[Etapa Despacho -  Fin de Carga]]="","",MARÍTIMOS[[#This Row],[Etapa Despacho -  Fin de Carga]]),"")</f>
        <v/>
      </c>
      <c r="AE280" s="11" t="str">
        <f>IFERROR(IF(MARÍTIMOS[[#This Row],[Etapa Despacho -  Salida]]="","",MARÍTIMOS[[#This Row],[Etapa Despacho -  Salida]]),"")</f>
        <v/>
      </c>
      <c r="AF280" s="2" t="str">
        <f>IFERROR(IF(MARÍTIMOS[[#This Row],[Puerto de Embarque]]="","",MARÍTIMOS[[#This Row],[Puerto de Embarque]]),"")</f>
        <v/>
      </c>
      <c r="AG280" s="2" t="str">
        <f>IFERROR(IF(MARÍTIMOS[[#This Row],[Almacén de Ingreso]]="","",MARÍTIMOS[[#This Row],[Almacén de Ingreso]]),"")</f>
        <v/>
      </c>
      <c r="AH280" s="11" t="str">
        <f>IFERROR(IF(MARÍTIMOS[[#This Row],[Etapa Ingreso - Cita]]="","",MARÍTIMOS[[#This Row],[Etapa Ingreso - Cita]]),"")</f>
        <v/>
      </c>
      <c r="AI280" s="11" t="str">
        <f>IFERROR(IF(MARÍTIMOS[[#This Row],[Etapa Ingreso - Llegada]]="","",MARÍTIMOS[[#This Row],[Etapa Ingreso - Llegada]]),"")</f>
        <v/>
      </c>
      <c r="AJ280" s="11" t="str">
        <f>IFERROR(IF(MARÍTIMOS[[#This Row],[Etapa Ingreso - Ingeso]]="","",MARÍTIMOS[[#This Row],[Etapa Ingreso - Ingeso]]),"")</f>
        <v/>
      </c>
      <c r="AK280" s="11" t="str">
        <f>IFERROR(IF(MARÍTIMOS[[#This Row],[Etapa Ingreso - Atención]]="","",MARÍTIMOS[[#This Row],[Etapa Ingreso - Atención]]),"")</f>
        <v/>
      </c>
      <c r="AL280" s="11" t="str">
        <f>IFERROR(IF(MARÍTIMOS[[#This Row],[Etapa Ingreso - Salida]]="","",MARÍTIMOS[[#This Row],[Etapa Ingreso - Salida]]),"")</f>
        <v/>
      </c>
      <c r="AM280" s="2" t="str">
        <f>IFERROR(IF(MARÍTIMOS[[#This Row],[FCL]]="","",MARÍTIMOS[[#This Row],[FCL]]),"")</f>
        <v/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0" s="5" t="str">
        <f>IFERROR(OLDBD[[#This Row],[Llegada a packing]]-OLDBD[[#This Row],[Inicio de Ruta]],"")</f>
        <v/>
      </c>
      <c r="AQ280" s="6" t="str">
        <f>IFERROR(OLDBD[[#This Row],[Inicio de Ruta]]-OLDBD[[#This Row],[Salida de almacén de retiro]],"")</f>
        <v/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0" s="9" t="str">
        <f>IFERROR(OLDBD[[#This Row],[Ingreso Packing]]-OLDBD[[#This Row],[Registro en Packing]],"")</f>
        <v/>
      </c>
      <c r="AV280" s="9" t="str">
        <f>IFERROR(OLDBD[[#This Row],[Ingreso Packing]]-OLDBD[[#This Row],[Llegada a packing]],"")</f>
        <v/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0" s="5" t="str">
        <f>IFERROR(OLDBD[[#This Row],[Llegada Almacén de Ingreso]]-OLDBD[[#This Row],[Salida Packing]],"")</f>
        <v/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0" s="45" t="s">
        <v>181</v>
      </c>
      <c r="BB280" s="53" t="str">
        <f>IFERROR(IF(MARÍTIMOS[[#This Row],[Estatus]]="","",MARÍTIMOS[[#This Row],[Estatus]]),"")</f>
        <v/>
      </c>
      <c r="BC280" s="45"/>
      <c r="BD280" s="52" t="str">
        <f>IFERROR(OLDBD[[#This Row],[Salida de almacén de retiro]]-OLDBD[[#This Row],[Ingreso Almacén de retiro]],"")</f>
        <v/>
      </c>
      <c r="BE280" s="52" t="str">
        <f>IFERROR(OLDBD[[#This Row],[Fin de Carga]]-OLDBD[[#This Row],[Inicio de Carga]],"")</f>
        <v/>
      </c>
    </row>
    <row r="281" spans="1:57" x14ac:dyDescent="0.35">
      <c r="A281" s="1"/>
      <c r="B281" s="1" t="str">
        <f>IFERROR(IF(MARÍTIMOS[[#This Row],[PP]]="","",MARÍTIMOS[[#This Row],[PP]]),"")</f>
        <v/>
      </c>
      <c r="C281" s="1" t="str">
        <f>IFERROR(IF(MARÍTIMOS[[#This Row],[Sede]]="","",MARÍTIMOS[[#This Row],[Sede]]),"")</f>
        <v/>
      </c>
      <c r="D281" s="1" t="str">
        <f>IFERROR(IF(MARÍTIMOS[[#This Row],[Instruction]]="","",MARÍTIMOS[[#This Row],[Instruction]]),"")</f>
        <v/>
      </c>
      <c r="E281" s="1"/>
      <c r="F281" s="2" t="str">
        <f>IFERROR(IF(MARÍTIMOS[[#This Row],[Transportista]]="","",MARÍTIMOS[[#This Row],[Transportista]]),"")</f>
        <v/>
      </c>
      <c r="G281" s="2" t="str">
        <f>IFERROR(IF(MARÍTIMOS[[#This Row],[Tercero]]="","",MARÍTIMOS[[#This Row],[Tercero]]),"")</f>
        <v/>
      </c>
      <c r="H281" s="2" t="str">
        <f>IFERROR(IF(MARÍTIMOS[[#This Row],[Razón Social]]="","",MARÍTIMOS[[#This Row],[Razón Social]]),"")</f>
        <v/>
      </c>
      <c r="I281" s="2" t="str">
        <f>IFERROR(IF(MARÍTIMOS[[#This Row],[RUC]]="","",MARÍTIMOS[[#This Row],[RUC]]),"")</f>
        <v/>
      </c>
      <c r="J281" s="2" t="str">
        <f>IFERROR(IF(MARÍTIMOS[[#This Row],[Placa Tracto]]="","",MARÍTIMOS[[#This Row],[Placa Tracto]]),"")</f>
        <v/>
      </c>
      <c r="K281" s="2" t="str">
        <f>IFERROR(IF(MARÍTIMOS[[#This Row],[Placa Carreta]]="","",MARÍTIMOS[[#This Row],[Placa Carreta]]),"")</f>
        <v/>
      </c>
      <c r="L281" s="46" t="str">
        <f>IFERROR(IF(MARÍTIMOS[[#This Row],[Conductor]]="","",MARÍTIMOS[[#This Row],[Conductor]]),"")</f>
        <v/>
      </c>
      <c r="M281" s="2" t="str">
        <f>IFERROR(IF(MARÍTIMOS[[#This Row],[Licencia]]="","",MARÍTIMOS[[#This Row],[Licencia]]),"")</f>
        <v/>
      </c>
      <c r="N281" s="2" t="str">
        <f>IFERROR(IF(MARÍTIMOS[[#This Row],[Número de Contacto]]="","",MARÍTIMOS[[#This Row],[Número de Contacto]]),"")</f>
        <v/>
      </c>
      <c r="O281" s="10" t="str">
        <f>IFERROR(IF(MARÍTIMOS[[#This Row],[Booking|AWB|CRT]]="","",MARÍTIMOS[[#This Row],[Booking|AWB|CRT]]),"")</f>
        <v/>
      </c>
      <c r="P281" s="2" t="str">
        <f>IFERROR(IF(MARÍTIMOS[[#This Row],[Contenedor]]="","",MARÍTIMOS[[#This Row],[Contenedor]]),"")</f>
        <v/>
      </c>
      <c r="Q281" s="2" t="str">
        <f>IFERROR(IF(MARÍTIMOS[[#This Row],[Puerto de Retiro]]="","",MARÍTIMOS[[#This Row],[Puerto de Retiro]]),"")</f>
        <v/>
      </c>
      <c r="R281" s="2" t="str">
        <f>IFERROR(IF(MARÍTIMOS[[#This Row],[Almacén de Retiro]]="","",MARÍTIMOS[[#This Row],[Almacén de Retiro]]),"")</f>
        <v/>
      </c>
      <c r="S281" s="11" t="str">
        <f>IFERROR(IF(MARÍTIMOS[[#This Row],[Etapa Retiro - Cita]]="","",MARÍTIMOS[[#This Row],[Etapa Retiro - Cita]]),"")</f>
        <v/>
      </c>
      <c r="T281" s="11" t="str">
        <f>IFERROR(IF(MARÍTIMOS[[#This Row],[Etapa Retiro - Llegada]]="","",MARÍTIMOS[[#This Row],[Etapa Retiro - Llegada]]),"")</f>
        <v/>
      </c>
      <c r="U281" s="11" t="str">
        <f>IFERROR(IF(MARÍTIMOS[[#This Row],[Etapa Retiro - Ingreso]]="","",MARÍTIMOS[[#This Row],[Etapa Retiro - Ingreso]]),"")</f>
        <v/>
      </c>
      <c r="V281" s="11" t="str">
        <f>IFERROR(IF(MARÍTIMOS[[#This Row],[Etapa Retiro - Atención]]="","",MARÍTIMOS[[#This Row],[Etapa Retiro - Atención]]),"")</f>
        <v/>
      </c>
      <c r="W281" s="11" t="str">
        <f>IFERROR(IF(MARÍTIMOS[[#This Row],[Etapa Retiro - Salida]]="","",MARÍTIMOS[[#This Row],[Etapa Retiro - Salida]]),"")</f>
        <v/>
      </c>
      <c r="X281" s="11" t="str">
        <f>IFERROR(IF(MARÍTIMOS[[#This Row],[Etapa Retiro - Inicio de Ruta]]="","",MARÍTIMOS[[#This Row],[Etapa Retiro - Inicio de Ruta]]),"")</f>
        <v/>
      </c>
      <c r="Y281" s="11" t="str">
        <f>IFERROR(IF(MARÍTIMOS[[#This Row],[Hora de Posicionamiento]]="","",MARÍTIMOS[[#This Row],[Hora de Carga]]+MARÍTIMOS[[#This Row],[Hora de Posicionamiento]]),"")</f>
        <v/>
      </c>
      <c r="Z281" s="11" t="str">
        <f>IFERROR(IF(MARÍTIMOS[[#This Row],[Etapa Despacho -  Llegada]]="","",MARÍTIMOS[[#This Row],[Etapa Despacho -  Llegada]]),"")</f>
        <v/>
      </c>
      <c r="AA281" s="11" t="str">
        <f>IFERROR(IF(MARÍTIMOS[[#This Row],[Etapa Despacho -  Registro]]="","",MARÍTIMOS[[#This Row],[Etapa Despacho -  Registro]]),"")</f>
        <v/>
      </c>
      <c r="AB281" s="11" t="str">
        <f>IFERROR(IF(MARÍTIMOS[[#This Row],[Inspección Externa]]="","",MARÍTIMOS[[#This Row],[Inspección Externa]]),"")</f>
        <v/>
      </c>
      <c r="AC281" s="11" t="str">
        <f>IFERROR(IF(MARÍTIMOS[[#This Row],[Etapa Despacho -  Inicio de Carga]]="","",MARÍTIMOS[[#This Row],[Etapa Despacho -  Inicio de Carga]]),"")</f>
        <v/>
      </c>
      <c r="AD281" s="11" t="str">
        <f>IFERROR(IF(MARÍTIMOS[[#This Row],[Etapa Despacho -  Fin de Carga]]="","",MARÍTIMOS[[#This Row],[Etapa Despacho -  Fin de Carga]]),"")</f>
        <v/>
      </c>
      <c r="AE281" s="11" t="str">
        <f>IFERROR(IF(MARÍTIMOS[[#This Row],[Etapa Despacho -  Salida]]="","",MARÍTIMOS[[#This Row],[Etapa Despacho -  Salida]]),"")</f>
        <v/>
      </c>
      <c r="AF281" s="2" t="str">
        <f>IFERROR(IF(MARÍTIMOS[[#This Row],[Puerto de Embarque]]="","",MARÍTIMOS[[#This Row],[Puerto de Embarque]]),"")</f>
        <v/>
      </c>
      <c r="AG281" s="2" t="str">
        <f>IFERROR(IF(MARÍTIMOS[[#This Row],[Almacén de Ingreso]]="","",MARÍTIMOS[[#This Row],[Almacén de Ingreso]]),"")</f>
        <v/>
      </c>
      <c r="AH281" s="11" t="str">
        <f>IFERROR(IF(MARÍTIMOS[[#This Row],[Etapa Ingreso - Cita]]="","",MARÍTIMOS[[#This Row],[Etapa Ingreso - Cita]]),"")</f>
        <v/>
      </c>
      <c r="AI281" s="11" t="str">
        <f>IFERROR(IF(MARÍTIMOS[[#This Row],[Etapa Ingreso - Llegada]]="","",MARÍTIMOS[[#This Row],[Etapa Ingreso - Llegada]]),"")</f>
        <v/>
      </c>
      <c r="AJ281" s="11" t="str">
        <f>IFERROR(IF(MARÍTIMOS[[#This Row],[Etapa Ingreso - Ingeso]]="","",MARÍTIMOS[[#This Row],[Etapa Ingreso - Ingeso]]),"")</f>
        <v/>
      </c>
      <c r="AK281" s="11" t="str">
        <f>IFERROR(IF(MARÍTIMOS[[#This Row],[Etapa Ingreso - Atención]]="","",MARÍTIMOS[[#This Row],[Etapa Ingreso - Atención]]),"")</f>
        <v/>
      </c>
      <c r="AL281" s="11" t="str">
        <f>IFERROR(IF(MARÍTIMOS[[#This Row],[Etapa Ingreso - Salida]]="","",MARÍTIMOS[[#This Row],[Etapa Ingreso - Salida]]),"")</f>
        <v/>
      </c>
      <c r="AM281" s="2" t="str">
        <f>IFERROR(IF(MARÍTIMOS[[#This Row],[FCL]]="","",MARÍTIMOS[[#This Row],[FCL]]),"")</f>
        <v/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1" s="5" t="str">
        <f>IFERROR(OLDBD[[#This Row],[Llegada a packing]]-OLDBD[[#This Row],[Inicio de Ruta]],"")</f>
        <v/>
      </c>
      <c r="AQ281" s="6" t="str">
        <f>IFERROR(OLDBD[[#This Row],[Inicio de Ruta]]-OLDBD[[#This Row],[Salida de almacén de retiro]],"")</f>
        <v/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1" s="9" t="str">
        <f>IFERROR(OLDBD[[#This Row],[Ingreso Packing]]-OLDBD[[#This Row],[Registro en Packing]],"")</f>
        <v/>
      </c>
      <c r="AV281" s="9" t="str">
        <f>IFERROR(OLDBD[[#This Row],[Ingreso Packing]]-OLDBD[[#This Row],[Llegada a packing]],"")</f>
        <v/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1" s="5" t="str">
        <f>IFERROR(OLDBD[[#This Row],[Llegada Almacén de Ingreso]]-OLDBD[[#This Row],[Salida Packing]],"")</f>
        <v/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1" s="45" t="s">
        <v>181</v>
      </c>
      <c r="BB281" s="53" t="str">
        <f>IFERROR(IF(MARÍTIMOS[[#This Row],[Estatus]]="","",MARÍTIMOS[[#This Row],[Estatus]]),"")</f>
        <v/>
      </c>
      <c r="BC281" s="45"/>
      <c r="BD281" s="52" t="str">
        <f>IFERROR(OLDBD[[#This Row],[Salida de almacén de retiro]]-OLDBD[[#This Row],[Ingreso Almacén de retiro]],"")</f>
        <v/>
      </c>
      <c r="BE281" s="52" t="str">
        <f>IFERROR(OLDBD[[#This Row],[Fin de Carga]]-OLDBD[[#This Row],[Inicio de Carga]],"")</f>
        <v/>
      </c>
    </row>
    <row r="282" spans="1:57" x14ac:dyDescent="0.35">
      <c r="A282" s="1"/>
      <c r="B282" s="1" t="str">
        <f>IFERROR(IF(MARÍTIMOS[[#This Row],[PP]]="","",MARÍTIMOS[[#This Row],[PP]]),"")</f>
        <v/>
      </c>
      <c r="C282" s="1" t="str">
        <f>IFERROR(IF(MARÍTIMOS[[#This Row],[Sede]]="","",MARÍTIMOS[[#This Row],[Sede]]),"")</f>
        <v/>
      </c>
      <c r="D282" s="1" t="str">
        <f>IFERROR(IF(MARÍTIMOS[[#This Row],[Instruction]]="","",MARÍTIMOS[[#This Row],[Instruction]]),"")</f>
        <v/>
      </c>
      <c r="E282" s="1"/>
      <c r="F282" s="2" t="str">
        <f>IFERROR(IF(MARÍTIMOS[[#This Row],[Transportista]]="","",MARÍTIMOS[[#This Row],[Transportista]]),"")</f>
        <v/>
      </c>
      <c r="G282" s="2" t="str">
        <f>IFERROR(IF(MARÍTIMOS[[#This Row],[Tercero]]="","",MARÍTIMOS[[#This Row],[Tercero]]),"")</f>
        <v/>
      </c>
      <c r="H282" s="2" t="str">
        <f>IFERROR(IF(MARÍTIMOS[[#This Row],[Razón Social]]="","",MARÍTIMOS[[#This Row],[Razón Social]]),"")</f>
        <v/>
      </c>
      <c r="I282" s="2" t="str">
        <f>IFERROR(IF(MARÍTIMOS[[#This Row],[RUC]]="","",MARÍTIMOS[[#This Row],[RUC]]),"")</f>
        <v/>
      </c>
      <c r="J282" s="2" t="str">
        <f>IFERROR(IF(MARÍTIMOS[[#This Row],[Placa Tracto]]="","",MARÍTIMOS[[#This Row],[Placa Tracto]]),"")</f>
        <v/>
      </c>
      <c r="K282" s="2" t="str">
        <f>IFERROR(IF(MARÍTIMOS[[#This Row],[Placa Carreta]]="","",MARÍTIMOS[[#This Row],[Placa Carreta]]),"")</f>
        <v/>
      </c>
      <c r="L282" s="46" t="str">
        <f>IFERROR(IF(MARÍTIMOS[[#This Row],[Conductor]]="","",MARÍTIMOS[[#This Row],[Conductor]]),"")</f>
        <v/>
      </c>
      <c r="M282" s="2" t="str">
        <f>IFERROR(IF(MARÍTIMOS[[#This Row],[Licencia]]="","",MARÍTIMOS[[#This Row],[Licencia]]),"")</f>
        <v/>
      </c>
      <c r="N282" s="2" t="str">
        <f>IFERROR(IF(MARÍTIMOS[[#This Row],[Número de Contacto]]="","",MARÍTIMOS[[#This Row],[Número de Contacto]]),"")</f>
        <v/>
      </c>
      <c r="O282" s="10" t="str">
        <f>IFERROR(IF(MARÍTIMOS[[#This Row],[Booking|AWB|CRT]]="","",MARÍTIMOS[[#This Row],[Booking|AWB|CRT]]),"")</f>
        <v/>
      </c>
      <c r="P282" s="2" t="str">
        <f>IFERROR(IF(MARÍTIMOS[[#This Row],[Contenedor]]="","",MARÍTIMOS[[#This Row],[Contenedor]]),"")</f>
        <v/>
      </c>
      <c r="Q282" s="2" t="str">
        <f>IFERROR(IF(MARÍTIMOS[[#This Row],[Puerto de Retiro]]="","",MARÍTIMOS[[#This Row],[Puerto de Retiro]]),"")</f>
        <v/>
      </c>
      <c r="R282" s="2" t="str">
        <f>IFERROR(IF(MARÍTIMOS[[#This Row],[Almacén de Retiro]]="","",MARÍTIMOS[[#This Row],[Almacén de Retiro]]),"")</f>
        <v/>
      </c>
      <c r="S282" s="11" t="str">
        <f>IFERROR(IF(MARÍTIMOS[[#This Row],[Etapa Retiro - Cita]]="","",MARÍTIMOS[[#This Row],[Etapa Retiro - Cita]]),"")</f>
        <v/>
      </c>
      <c r="T282" s="11" t="str">
        <f>IFERROR(IF(MARÍTIMOS[[#This Row],[Etapa Retiro - Llegada]]="","",MARÍTIMOS[[#This Row],[Etapa Retiro - Llegada]]),"")</f>
        <v/>
      </c>
      <c r="U282" s="11" t="str">
        <f>IFERROR(IF(MARÍTIMOS[[#This Row],[Etapa Retiro - Ingreso]]="","",MARÍTIMOS[[#This Row],[Etapa Retiro - Ingreso]]),"")</f>
        <v/>
      </c>
      <c r="V282" s="11" t="str">
        <f>IFERROR(IF(MARÍTIMOS[[#This Row],[Etapa Retiro - Atención]]="","",MARÍTIMOS[[#This Row],[Etapa Retiro - Atención]]),"")</f>
        <v/>
      </c>
      <c r="W282" s="11" t="str">
        <f>IFERROR(IF(MARÍTIMOS[[#This Row],[Etapa Retiro - Salida]]="","",MARÍTIMOS[[#This Row],[Etapa Retiro - Salida]]),"")</f>
        <v/>
      </c>
      <c r="X282" s="11" t="str">
        <f>IFERROR(IF(MARÍTIMOS[[#This Row],[Etapa Retiro - Inicio de Ruta]]="","",MARÍTIMOS[[#This Row],[Etapa Retiro - Inicio de Ruta]]),"")</f>
        <v/>
      </c>
      <c r="Y282" s="11" t="str">
        <f>IFERROR(IF(MARÍTIMOS[[#This Row],[Hora de Posicionamiento]]="","",MARÍTIMOS[[#This Row],[Hora de Carga]]+MARÍTIMOS[[#This Row],[Hora de Posicionamiento]]),"")</f>
        <v/>
      </c>
      <c r="Z282" s="11" t="str">
        <f>IFERROR(IF(MARÍTIMOS[[#This Row],[Etapa Despacho -  Llegada]]="","",MARÍTIMOS[[#This Row],[Etapa Despacho -  Llegada]]),"")</f>
        <v/>
      </c>
      <c r="AA282" s="11" t="str">
        <f>IFERROR(IF(MARÍTIMOS[[#This Row],[Etapa Despacho -  Registro]]="","",MARÍTIMOS[[#This Row],[Etapa Despacho -  Registro]]),"")</f>
        <v/>
      </c>
      <c r="AB282" s="11" t="str">
        <f>IFERROR(IF(MARÍTIMOS[[#This Row],[Inspección Externa]]="","",MARÍTIMOS[[#This Row],[Inspección Externa]]),"")</f>
        <v/>
      </c>
      <c r="AC282" s="11" t="str">
        <f>IFERROR(IF(MARÍTIMOS[[#This Row],[Etapa Despacho -  Inicio de Carga]]="","",MARÍTIMOS[[#This Row],[Etapa Despacho -  Inicio de Carga]]),"")</f>
        <v/>
      </c>
      <c r="AD282" s="11" t="str">
        <f>IFERROR(IF(MARÍTIMOS[[#This Row],[Etapa Despacho -  Fin de Carga]]="","",MARÍTIMOS[[#This Row],[Etapa Despacho -  Fin de Carga]]),"")</f>
        <v/>
      </c>
      <c r="AE282" s="11" t="str">
        <f>IFERROR(IF(MARÍTIMOS[[#This Row],[Etapa Despacho -  Salida]]="","",MARÍTIMOS[[#This Row],[Etapa Despacho -  Salida]]),"")</f>
        <v/>
      </c>
      <c r="AF282" s="2" t="str">
        <f>IFERROR(IF(MARÍTIMOS[[#This Row],[Puerto de Embarque]]="","",MARÍTIMOS[[#This Row],[Puerto de Embarque]]),"")</f>
        <v/>
      </c>
      <c r="AG282" s="2" t="str">
        <f>IFERROR(IF(MARÍTIMOS[[#This Row],[Almacén de Ingreso]]="","",MARÍTIMOS[[#This Row],[Almacén de Ingreso]]),"")</f>
        <v/>
      </c>
      <c r="AH282" s="11" t="str">
        <f>IFERROR(IF(MARÍTIMOS[[#This Row],[Etapa Ingreso - Cita]]="","",MARÍTIMOS[[#This Row],[Etapa Ingreso - Cita]]),"")</f>
        <v/>
      </c>
      <c r="AI282" s="11" t="str">
        <f>IFERROR(IF(MARÍTIMOS[[#This Row],[Etapa Ingreso - Llegada]]="","",MARÍTIMOS[[#This Row],[Etapa Ingreso - Llegada]]),"")</f>
        <v/>
      </c>
      <c r="AJ282" s="11" t="str">
        <f>IFERROR(IF(MARÍTIMOS[[#This Row],[Etapa Ingreso - Ingeso]]="","",MARÍTIMOS[[#This Row],[Etapa Ingreso - Ingeso]]),"")</f>
        <v/>
      </c>
      <c r="AK282" s="11" t="str">
        <f>IFERROR(IF(MARÍTIMOS[[#This Row],[Etapa Ingreso - Atención]]="","",MARÍTIMOS[[#This Row],[Etapa Ingreso - Atención]]),"")</f>
        <v/>
      </c>
      <c r="AL282" s="11" t="str">
        <f>IFERROR(IF(MARÍTIMOS[[#This Row],[Etapa Ingreso - Salida]]="","",MARÍTIMOS[[#This Row],[Etapa Ingreso - Salida]]),"")</f>
        <v/>
      </c>
      <c r="AM282" s="2" t="str">
        <f>IFERROR(IF(MARÍTIMOS[[#This Row],[FCL]]="","",MARÍTIMOS[[#This Row],[FCL]]),"")</f>
        <v/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2" s="5" t="str">
        <f>IFERROR(OLDBD[[#This Row],[Llegada a packing]]-OLDBD[[#This Row],[Inicio de Ruta]],"")</f>
        <v/>
      </c>
      <c r="AQ282" s="6" t="str">
        <f>IFERROR(OLDBD[[#This Row],[Inicio de Ruta]]-OLDBD[[#This Row],[Salida de almacén de retiro]],"")</f>
        <v/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2" s="9" t="str">
        <f>IFERROR(OLDBD[[#This Row],[Ingreso Packing]]-OLDBD[[#This Row],[Registro en Packing]],"")</f>
        <v/>
      </c>
      <c r="AV282" s="9" t="str">
        <f>IFERROR(OLDBD[[#This Row],[Ingreso Packing]]-OLDBD[[#This Row],[Llegada a packing]],"")</f>
        <v/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2" s="5" t="str">
        <f>IFERROR(OLDBD[[#This Row],[Llegada Almacén de Ingreso]]-OLDBD[[#This Row],[Salida Packing]],"")</f>
        <v/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2" s="45" t="s">
        <v>181</v>
      </c>
      <c r="BB282" s="53" t="str">
        <f>IFERROR(IF(MARÍTIMOS[[#This Row],[Estatus]]="","",MARÍTIMOS[[#This Row],[Estatus]]),"")</f>
        <v/>
      </c>
      <c r="BC282" s="45"/>
      <c r="BD282" s="52" t="str">
        <f>IFERROR(OLDBD[[#This Row],[Salida de almacén de retiro]]-OLDBD[[#This Row],[Ingreso Almacén de retiro]],"")</f>
        <v/>
      </c>
      <c r="BE282" s="52" t="str">
        <f>IFERROR(OLDBD[[#This Row],[Fin de Carga]]-OLDBD[[#This Row],[Inicio de Carga]],"")</f>
        <v/>
      </c>
    </row>
    <row r="283" spans="1:57" x14ac:dyDescent="0.35">
      <c r="A283" s="1"/>
      <c r="B283" s="1" t="str">
        <f>IFERROR(IF(MARÍTIMOS[[#This Row],[PP]]="","",MARÍTIMOS[[#This Row],[PP]]),"")</f>
        <v/>
      </c>
      <c r="C283" s="1" t="str">
        <f>IFERROR(IF(MARÍTIMOS[[#This Row],[Sede]]="","",MARÍTIMOS[[#This Row],[Sede]]),"")</f>
        <v/>
      </c>
      <c r="D283" s="1" t="str">
        <f>IFERROR(IF(MARÍTIMOS[[#This Row],[Instruction]]="","",MARÍTIMOS[[#This Row],[Instruction]]),"")</f>
        <v/>
      </c>
      <c r="E283" s="1"/>
      <c r="F283" s="2" t="str">
        <f>IFERROR(IF(MARÍTIMOS[[#This Row],[Transportista]]="","",MARÍTIMOS[[#This Row],[Transportista]]),"")</f>
        <v/>
      </c>
      <c r="G283" s="2" t="str">
        <f>IFERROR(IF(MARÍTIMOS[[#This Row],[Tercero]]="","",MARÍTIMOS[[#This Row],[Tercero]]),"")</f>
        <v/>
      </c>
      <c r="H283" s="2" t="str">
        <f>IFERROR(IF(MARÍTIMOS[[#This Row],[Razón Social]]="","",MARÍTIMOS[[#This Row],[Razón Social]]),"")</f>
        <v/>
      </c>
      <c r="I283" s="2" t="str">
        <f>IFERROR(IF(MARÍTIMOS[[#This Row],[RUC]]="","",MARÍTIMOS[[#This Row],[RUC]]),"")</f>
        <v/>
      </c>
      <c r="J283" s="2" t="str">
        <f>IFERROR(IF(MARÍTIMOS[[#This Row],[Placa Tracto]]="","",MARÍTIMOS[[#This Row],[Placa Tracto]]),"")</f>
        <v/>
      </c>
      <c r="K283" s="2" t="str">
        <f>IFERROR(IF(MARÍTIMOS[[#This Row],[Placa Carreta]]="","",MARÍTIMOS[[#This Row],[Placa Carreta]]),"")</f>
        <v/>
      </c>
      <c r="L283" s="46" t="str">
        <f>IFERROR(IF(MARÍTIMOS[[#This Row],[Conductor]]="","",MARÍTIMOS[[#This Row],[Conductor]]),"")</f>
        <v/>
      </c>
      <c r="M283" s="2" t="str">
        <f>IFERROR(IF(MARÍTIMOS[[#This Row],[Licencia]]="","",MARÍTIMOS[[#This Row],[Licencia]]),"")</f>
        <v/>
      </c>
      <c r="N283" s="2" t="str">
        <f>IFERROR(IF(MARÍTIMOS[[#This Row],[Número de Contacto]]="","",MARÍTIMOS[[#This Row],[Número de Contacto]]),"")</f>
        <v/>
      </c>
      <c r="O283" s="10" t="str">
        <f>IFERROR(IF(MARÍTIMOS[[#This Row],[Booking|AWB|CRT]]="","",MARÍTIMOS[[#This Row],[Booking|AWB|CRT]]),"")</f>
        <v/>
      </c>
      <c r="P283" s="2" t="str">
        <f>IFERROR(IF(MARÍTIMOS[[#This Row],[Contenedor]]="","",MARÍTIMOS[[#This Row],[Contenedor]]),"")</f>
        <v/>
      </c>
      <c r="Q283" s="2" t="str">
        <f>IFERROR(IF(MARÍTIMOS[[#This Row],[Puerto de Retiro]]="","",MARÍTIMOS[[#This Row],[Puerto de Retiro]]),"")</f>
        <v/>
      </c>
      <c r="R283" s="2" t="str">
        <f>IFERROR(IF(MARÍTIMOS[[#This Row],[Almacén de Retiro]]="","",MARÍTIMOS[[#This Row],[Almacén de Retiro]]),"")</f>
        <v/>
      </c>
      <c r="S283" s="11" t="str">
        <f>IFERROR(IF(MARÍTIMOS[[#This Row],[Etapa Retiro - Cita]]="","",MARÍTIMOS[[#This Row],[Etapa Retiro - Cita]]),"")</f>
        <v/>
      </c>
      <c r="T283" s="11" t="str">
        <f>IFERROR(IF(MARÍTIMOS[[#This Row],[Etapa Retiro - Llegada]]="","",MARÍTIMOS[[#This Row],[Etapa Retiro - Llegada]]),"")</f>
        <v/>
      </c>
      <c r="U283" s="11" t="str">
        <f>IFERROR(IF(MARÍTIMOS[[#This Row],[Etapa Retiro - Ingreso]]="","",MARÍTIMOS[[#This Row],[Etapa Retiro - Ingreso]]),"")</f>
        <v/>
      </c>
      <c r="V283" s="11" t="str">
        <f>IFERROR(IF(MARÍTIMOS[[#This Row],[Etapa Retiro - Atención]]="","",MARÍTIMOS[[#This Row],[Etapa Retiro - Atención]]),"")</f>
        <v/>
      </c>
      <c r="W283" s="11" t="str">
        <f>IFERROR(IF(MARÍTIMOS[[#This Row],[Etapa Retiro - Salida]]="","",MARÍTIMOS[[#This Row],[Etapa Retiro - Salida]]),"")</f>
        <v/>
      </c>
      <c r="X283" s="11" t="str">
        <f>IFERROR(IF(MARÍTIMOS[[#This Row],[Etapa Retiro - Inicio de Ruta]]="","",MARÍTIMOS[[#This Row],[Etapa Retiro - Inicio de Ruta]]),"")</f>
        <v/>
      </c>
      <c r="Y283" s="11" t="str">
        <f>IFERROR(IF(MARÍTIMOS[[#This Row],[Hora de Posicionamiento]]="","",MARÍTIMOS[[#This Row],[Hora de Carga]]+MARÍTIMOS[[#This Row],[Hora de Posicionamiento]]),"")</f>
        <v/>
      </c>
      <c r="Z283" s="11" t="str">
        <f>IFERROR(IF(MARÍTIMOS[[#This Row],[Etapa Despacho -  Llegada]]="","",MARÍTIMOS[[#This Row],[Etapa Despacho -  Llegada]]),"")</f>
        <v/>
      </c>
      <c r="AA283" s="11" t="str">
        <f>IFERROR(IF(MARÍTIMOS[[#This Row],[Etapa Despacho -  Registro]]="","",MARÍTIMOS[[#This Row],[Etapa Despacho -  Registro]]),"")</f>
        <v/>
      </c>
      <c r="AB283" s="11" t="str">
        <f>IFERROR(IF(MARÍTIMOS[[#This Row],[Inspección Externa]]="","",MARÍTIMOS[[#This Row],[Inspección Externa]]),"")</f>
        <v/>
      </c>
      <c r="AC283" s="11" t="str">
        <f>IFERROR(IF(MARÍTIMOS[[#This Row],[Etapa Despacho -  Inicio de Carga]]="","",MARÍTIMOS[[#This Row],[Etapa Despacho -  Inicio de Carga]]),"")</f>
        <v/>
      </c>
      <c r="AD283" s="11" t="str">
        <f>IFERROR(IF(MARÍTIMOS[[#This Row],[Etapa Despacho -  Fin de Carga]]="","",MARÍTIMOS[[#This Row],[Etapa Despacho -  Fin de Carga]]),"")</f>
        <v/>
      </c>
      <c r="AE283" s="11" t="str">
        <f>IFERROR(IF(MARÍTIMOS[[#This Row],[Etapa Despacho -  Salida]]="","",MARÍTIMOS[[#This Row],[Etapa Despacho -  Salida]]),"")</f>
        <v/>
      </c>
      <c r="AF283" s="2" t="str">
        <f>IFERROR(IF(MARÍTIMOS[[#This Row],[Puerto de Embarque]]="","",MARÍTIMOS[[#This Row],[Puerto de Embarque]]),"")</f>
        <v/>
      </c>
      <c r="AG283" s="2" t="str">
        <f>IFERROR(IF(MARÍTIMOS[[#This Row],[Almacén de Ingreso]]="","",MARÍTIMOS[[#This Row],[Almacén de Ingreso]]),"")</f>
        <v/>
      </c>
      <c r="AH283" s="11" t="str">
        <f>IFERROR(IF(MARÍTIMOS[[#This Row],[Etapa Ingreso - Cita]]="","",MARÍTIMOS[[#This Row],[Etapa Ingreso - Cita]]),"")</f>
        <v/>
      </c>
      <c r="AI283" s="11" t="str">
        <f>IFERROR(IF(MARÍTIMOS[[#This Row],[Etapa Ingreso - Llegada]]="","",MARÍTIMOS[[#This Row],[Etapa Ingreso - Llegada]]),"")</f>
        <v/>
      </c>
      <c r="AJ283" s="11" t="str">
        <f>IFERROR(IF(MARÍTIMOS[[#This Row],[Etapa Ingreso - Ingeso]]="","",MARÍTIMOS[[#This Row],[Etapa Ingreso - Ingeso]]),"")</f>
        <v/>
      </c>
      <c r="AK283" s="11" t="str">
        <f>IFERROR(IF(MARÍTIMOS[[#This Row],[Etapa Ingreso - Atención]]="","",MARÍTIMOS[[#This Row],[Etapa Ingreso - Atención]]),"")</f>
        <v/>
      </c>
      <c r="AL283" s="11" t="str">
        <f>IFERROR(IF(MARÍTIMOS[[#This Row],[Etapa Ingreso - Salida]]="","",MARÍTIMOS[[#This Row],[Etapa Ingreso - Salida]]),"")</f>
        <v/>
      </c>
      <c r="AM283" s="2" t="str">
        <f>IFERROR(IF(MARÍTIMOS[[#This Row],[FCL]]="","",MARÍTIMOS[[#This Row],[FCL]]),"")</f>
        <v/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3" s="5" t="str">
        <f>IFERROR(OLDBD[[#This Row],[Llegada a packing]]-OLDBD[[#This Row],[Inicio de Ruta]],"")</f>
        <v/>
      </c>
      <c r="AQ283" s="6" t="str">
        <f>IFERROR(OLDBD[[#This Row],[Inicio de Ruta]]-OLDBD[[#This Row],[Salida de almacén de retiro]],"")</f>
        <v/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3" s="9" t="str">
        <f>IFERROR(OLDBD[[#This Row],[Ingreso Packing]]-OLDBD[[#This Row],[Registro en Packing]],"")</f>
        <v/>
      </c>
      <c r="AV283" s="9" t="str">
        <f>IFERROR(OLDBD[[#This Row],[Ingreso Packing]]-OLDBD[[#This Row],[Llegada a packing]],"")</f>
        <v/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3" s="5" t="str">
        <f>IFERROR(OLDBD[[#This Row],[Llegada Almacén de Ingreso]]-OLDBD[[#This Row],[Salida Packing]],"")</f>
        <v/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3" s="45" t="s">
        <v>181</v>
      </c>
      <c r="BB283" s="53" t="str">
        <f>IFERROR(IF(MARÍTIMOS[[#This Row],[Estatus]]="","",MARÍTIMOS[[#This Row],[Estatus]]),"")</f>
        <v/>
      </c>
      <c r="BC283" s="45"/>
      <c r="BD283" s="52" t="str">
        <f>IFERROR(OLDBD[[#This Row],[Salida de almacén de retiro]]-OLDBD[[#This Row],[Ingreso Almacén de retiro]],"")</f>
        <v/>
      </c>
      <c r="BE283" s="52" t="str">
        <f>IFERROR(OLDBD[[#This Row],[Fin de Carga]]-OLDBD[[#This Row],[Inicio de Carga]],"")</f>
        <v/>
      </c>
    </row>
    <row r="284" spans="1:57" x14ac:dyDescent="0.35">
      <c r="A284" s="1"/>
      <c r="B284" s="1" t="str">
        <f>IFERROR(IF(MARÍTIMOS[[#This Row],[PP]]="","",MARÍTIMOS[[#This Row],[PP]]),"")</f>
        <v/>
      </c>
      <c r="C284" s="1" t="str">
        <f>IFERROR(IF(MARÍTIMOS[[#This Row],[Sede]]="","",MARÍTIMOS[[#This Row],[Sede]]),"")</f>
        <v/>
      </c>
      <c r="D284" s="1" t="str">
        <f>IFERROR(IF(MARÍTIMOS[[#This Row],[Instruction]]="","",MARÍTIMOS[[#This Row],[Instruction]]),"")</f>
        <v/>
      </c>
      <c r="E284" s="1"/>
      <c r="F284" s="2" t="str">
        <f>IFERROR(IF(MARÍTIMOS[[#This Row],[Transportista]]="","",MARÍTIMOS[[#This Row],[Transportista]]),"")</f>
        <v/>
      </c>
      <c r="G284" s="2" t="str">
        <f>IFERROR(IF(MARÍTIMOS[[#This Row],[Tercero]]="","",MARÍTIMOS[[#This Row],[Tercero]]),"")</f>
        <v/>
      </c>
      <c r="H284" s="2" t="str">
        <f>IFERROR(IF(MARÍTIMOS[[#This Row],[Razón Social]]="","",MARÍTIMOS[[#This Row],[Razón Social]]),"")</f>
        <v/>
      </c>
      <c r="I284" s="2" t="str">
        <f>IFERROR(IF(MARÍTIMOS[[#This Row],[RUC]]="","",MARÍTIMOS[[#This Row],[RUC]]),"")</f>
        <v/>
      </c>
      <c r="J284" s="2" t="str">
        <f>IFERROR(IF(MARÍTIMOS[[#This Row],[Placa Tracto]]="","",MARÍTIMOS[[#This Row],[Placa Tracto]]),"")</f>
        <v/>
      </c>
      <c r="K284" s="2" t="str">
        <f>IFERROR(IF(MARÍTIMOS[[#This Row],[Placa Carreta]]="","",MARÍTIMOS[[#This Row],[Placa Carreta]]),"")</f>
        <v/>
      </c>
      <c r="L284" s="46" t="str">
        <f>IFERROR(IF(MARÍTIMOS[[#This Row],[Conductor]]="","",MARÍTIMOS[[#This Row],[Conductor]]),"")</f>
        <v/>
      </c>
      <c r="M284" s="2" t="str">
        <f>IFERROR(IF(MARÍTIMOS[[#This Row],[Licencia]]="","",MARÍTIMOS[[#This Row],[Licencia]]),"")</f>
        <v/>
      </c>
      <c r="N284" s="2" t="str">
        <f>IFERROR(IF(MARÍTIMOS[[#This Row],[Número de Contacto]]="","",MARÍTIMOS[[#This Row],[Número de Contacto]]),"")</f>
        <v/>
      </c>
      <c r="O284" s="10" t="str">
        <f>IFERROR(IF(MARÍTIMOS[[#This Row],[Booking|AWB|CRT]]="","",MARÍTIMOS[[#This Row],[Booking|AWB|CRT]]),"")</f>
        <v/>
      </c>
      <c r="P284" s="2" t="str">
        <f>IFERROR(IF(MARÍTIMOS[[#This Row],[Contenedor]]="","",MARÍTIMOS[[#This Row],[Contenedor]]),"")</f>
        <v/>
      </c>
      <c r="Q284" s="2" t="str">
        <f>IFERROR(IF(MARÍTIMOS[[#This Row],[Puerto de Retiro]]="","",MARÍTIMOS[[#This Row],[Puerto de Retiro]]),"")</f>
        <v/>
      </c>
      <c r="R284" s="2" t="str">
        <f>IFERROR(IF(MARÍTIMOS[[#This Row],[Almacén de Retiro]]="","",MARÍTIMOS[[#This Row],[Almacén de Retiro]]),"")</f>
        <v/>
      </c>
      <c r="S284" s="11" t="str">
        <f>IFERROR(IF(MARÍTIMOS[[#This Row],[Etapa Retiro - Cita]]="","",MARÍTIMOS[[#This Row],[Etapa Retiro - Cita]]),"")</f>
        <v/>
      </c>
      <c r="T284" s="11" t="str">
        <f>IFERROR(IF(MARÍTIMOS[[#This Row],[Etapa Retiro - Llegada]]="","",MARÍTIMOS[[#This Row],[Etapa Retiro - Llegada]]),"")</f>
        <v/>
      </c>
      <c r="U284" s="11" t="str">
        <f>IFERROR(IF(MARÍTIMOS[[#This Row],[Etapa Retiro - Ingreso]]="","",MARÍTIMOS[[#This Row],[Etapa Retiro - Ingreso]]),"")</f>
        <v/>
      </c>
      <c r="V284" s="11" t="str">
        <f>IFERROR(IF(MARÍTIMOS[[#This Row],[Etapa Retiro - Atención]]="","",MARÍTIMOS[[#This Row],[Etapa Retiro - Atención]]),"")</f>
        <v/>
      </c>
      <c r="W284" s="11" t="str">
        <f>IFERROR(IF(MARÍTIMOS[[#This Row],[Etapa Retiro - Salida]]="","",MARÍTIMOS[[#This Row],[Etapa Retiro - Salida]]),"")</f>
        <v/>
      </c>
      <c r="X284" s="11" t="str">
        <f>IFERROR(IF(MARÍTIMOS[[#This Row],[Etapa Retiro - Inicio de Ruta]]="","",MARÍTIMOS[[#This Row],[Etapa Retiro - Inicio de Ruta]]),"")</f>
        <v/>
      </c>
      <c r="Y284" s="11" t="str">
        <f>IFERROR(IF(MARÍTIMOS[[#This Row],[Hora de Posicionamiento]]="","",MARÍTIMOS[[#This Row],[Hora de Carga]]+MARÍTIMOS[[#This Row],[Hora de Posicionamiento]]),"")</f>
        <v/>
      </c>
      <c r="Z284" s="11" t="str">
        <f>IFERROR(IF(MARÍTIMOS[[#This Row],[Etapa Despacho -  Llegada]]="","",MARÍTIMOS[[#This Row],[Etapa Despacho -  Llegada]]),"")</f>
        <v/>
      </c>
      <c r="AA284" s="11" t="str">
        <f>IFERROR(IF(MARÍTIMOS[[#This Row],[Etapa Despacho -  Registro]]="","",MARÍTIMOS[[#This Row],[Etapa Despacho -  Registro]]),"")</f>
        <v/>
      </c>
      <c r="AB284" s="11" t="str">
        <f>IFERROR(IF(MARÍTIMOS[[#This Row],[Inspección Externa]]="","",MARÍTIMOS[[#This Row],[Inspección Externa]]),"")</f>
        <v/>
      </c>
      <c r="AC284" s="11" t="str">
        <f>IFERROR(IF(MARÍTIMOS[[#This Row],[Etapa Despacho -  Inicio de Carga]]="","",MARÍTIMOS[[#This Row],[Etapa Despacho -  Inicio de Carga]]),"")</f>
        <v/>
      </c>
      <c r="AD284" s="11" t="str">
        <f>IFERROR(IF(MARÍTIMOS[[#This Row],[Etapa Despacho -  Fin de Carga]]="","",MARÍTIMOS[[#This Row],[Etapa Despacho -  Fin de Carga]]),"")</f>
        <v/>
      </c>
      <c r="AE284" s="11" t="str">
        <f>IFERROR(IF(MARÍTIMOS[[#This Row],[Etapa Despacho -  Salida]]="","",MARÍTIMOS[[#This Row],[Etapa Despacho -  Salida]]),"")</f>
        <v/>
      </c>
      <c r="AF284" s="2" t="str">
        <f>IFERROR(IF(MARÍTIMOS[[#This Row],[Puerto de Embarque]]="","",MARÍTIMOS[[#This Row],[Puerto de Embarque]]),"")</f>
        <v/>
      </c>
      <c r="AG284" s="2" t="str">
        <f>IFERROR(IF(MARÍTIMOS[[#This Row],[Almacén de Ingreso]]="","",MARÍTIMOS[[#This Row],[Almacén de Ingreso]]),"")</f>
        <v/>
      </c>
      <c r="AH284" s="11" t="str">
        <f>IFERROR(IF(MARÍTIMOS[[#This Row],[Etapa Ingreso - Cita]]="","",MARÍTIMOS[[#This Row],[Etapa Ingreso - Cita]]),"")</f>
        <v/>
      </c>
      <c r="AI284" s="11" t="str">
        <f>IFERROR(IF(MARÍTIMOS[[#This Row],[Etapa Ingreso - Llegada]]="","",MARÍTIMOS[[#This Row],[Etapa Ingreso - Llegada]]),"")</f>
        <v/>
      </c>
      <c r="AJ284" s="11" t="str">
        <f>IFERROR(IF(MARÍTIMOS[[#This Row],[Etapa Ingreso - Ingeso]]="","",MARÍTIMOS[[#This Row],[Etapa Ingreso - Ingeso]]),"")</f>
        <v/>
      </c>
      <c r="AK284" s="11" t="str">
        <f>IFERROR(IF(MARÍTIMOS[[#This Row],[Etapa Ingreso - Atención]]="","",MARÍTIMOS[[#This Row],[Etapa Ingreso - Atención]]),"")</f>
        <v/>
      </c>
      <c r="AL284" s="11" t="str">
        <f>IFERROR(IF(MARÍTIMOS[[#This Row],[Etapa Ingreso - Salida]]="","",MARÍTIMOS[[#This Row],[Etapa Ingreso - Salida]]),"")</f>
        <v/>
      </c>
      <c r="AM284" s="2" t="str">
        <f>IFERROR(IF(MARÍTIMOS[[#This Row],[FCL]]="","",MARÍTIMOS[[#This Row],[FCL]]),"")</f>
        <v/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4" s="5" t="str">
        <f>IFERROR(OLDBD[[#This Row],[Llegada a packing]]-OLDBD[[#This Row],[Inicio de Ruta]],"")</f>
        <v/>
      </c>
      <c r="AQ284" s="6" t="str">
        <f>IFERROR(OLDBD[[#This Row],[Inicio de Ruta]]-OLDBD[[#This Row],[Salida de almacén de retiro]],"")</f>
        <v/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4" s="9" t="str">
        <f>IFERROR(OLDBD[[#This Row],[Ingreso Packing]]-OLDBD[[#This Row],[Registro en Packing]],"")</f>
        <v/>
      </c>
      <c r="AV284" s="9" t="str">
        <f>IFERROR(OLDBD[[#This Row],[Ingreso Packing]]-OLDBD[[#This Row],[Llegada a packing]],"")</f>
        <v/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4" s="5" t="str">
        <f>IFERROR(OLDBD[[#This Row],[Llegada Almacén de Ingreso]]-OLDBD[[#This Row],[Salida Packing]],"")</f>
        <v/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4" s="45" t="s">
        <v>181</v>
      </c>
      <c r="BB284" s="53" t="str">
        <f>IFERROR(IF(MARÍTIMOS[[#This Row],[Estatus]]="","",MARÍTIMOS[[#This Row],[Estatus]]),"")</f>
        <v/>
      </c>
      <c r="BC284" s="45"/>
      <c r="BD284" s="52" t="str">
        <f>IFERROR(OLDBD[[#This Row],[Salida de almacén de retiro]]-OLDBD[[#This Row],[Ingreso Almacén de retiro]],"")</f>
        <v/>
      </c>
      <c r="BE284" s="52" t="str">
        <f>IFERROR(OLDBD[[#This Row],[Fin de Carga]]-OLDBD[[#This Row],[Inicio de Carga]],"")</f>
        <v/>
      </c>
    </row>
    <row r="285" spans="1:57" x14ac:dyDescent="0.35">
      <c r="A285" s="1"/>
      <c r="B285" s="1" t="str">
        <f>IFERROR(IF(MARÍTIMOS[[#This Row],[PP]]="","",MARÍTIMOS[[#This Row],[PP]]),"")</f>
        <v/>
      </c>
      <c r="C285" s="1" t="str">
        <f>IFERROR(IF(MARÍTIMOS[[#This Row],[Sede]]="","",MARÍTIMOS[[#This Row],[Sede]]),"")</f>
        <v/>
      </c>
      <c r="D285" s="1" t="str">
        <f>IFERROR(IF(MARÍTIMOS[[#This Row],[Instruction]]="","",MARÍTIMOS[[#This Row],[Instruction]]),"")</f>
        <v/>
      </c>
      <c r="E285" s="1"/>
      <c r="F285" s="2" t="str">
        <f>IFERROR(IF(MARÍTIMOS[[#This Row],[Transportista]]="","",MARÍTIMOS[[#This Row],[Transportista]]),"")</f>
        <v/>
      </c>
      <c r="G285" s="2" t="str">
        <f>IFERROR(IF(MARÍTIMOS[[#This Row],[Tercero]]="","",MARÍTIMOS[[#This Row],[Tercero]]),"")</f>
        <v/>
      </c>
      <c r="H285" s="2" t="str">
        <f>IFERROR(IF(MARÍTIMOS[[#This Row],[Razón Social]]="","",MARÍTIMOS[[#This Row],[Razón Social]]),"")</f>
        <v/>
      </c>
      <c r="I285" s="2" t="str">
        <f>IFERROR(IF(MARÍTIMOS[[#This Row],[RUC]]="","",MARÍTIMOS[[#This Row],[RUC]]),"")</f>
        <v/>
      </c>
      <c r="J285" s="2" t="str">
        <f>IFERROR(IF(MARÍTIMOS[[#This Row],[Placa Tracto]]="","",MARÍTIMOS[[#This Row],[Placa Tracto]]),"")</f>
        <v/>
      </c>
      <c r="K285" s="2" t="str">
        <f>IFERROR(IF(MARÍTIMOS[[#This Row],[Placa Carreta]]="","",MARÍTIMOS[[#This Row],[Placa Carreta]]),"")</f>
        <v/>
      </c>
      <c r="L285" s="46" t="str">
        <f>IFERROR(IF(MARÍTIMOS[[#This Row],[Conductor]]="","",MARÍTIMOS[[#This Row],[Conductor]]),"")</f>
        <v/>
      </c>
      <c r="M285" s="2" t="str">
        <f>IFERROR(IF(MARÍTIMOS[[#This Row],[Licencia]]="","",MARÍTIMOS[[#This Row],[Licencia]]),"")</f>
        <v/>
      </c>
      <c r="N285" s="2" t="str">
        <f>IFERROR(IF(MARÍTIMOS[[#This Row],[Número de Contacto]]="","",MARÍTIMOS[[#This Row],[Número de Contacto]]),"")</f>
        <v/>
      </c>
      <c r="O285" s="10" t="str">
        <f>IFERROR(IF(MARÍTIMOS[[#This Row],[Booking|AWB|CRT]]="","",MARÍTIMOS[[#This Row],[Booking|AWB|CRT]]),"")</f>
        <v/>
      </c>
      <c r="P285" s="2" t="str">
        <f>IFERROR(IF(MARÍTIMOS[[#This Row],[Contenedor]]="","",MARÍTIMOS[[#This Row],[Contenedor]]),"")</f>
        <v/>
      </c>
      <c r="Q285" s="2" t="str">
        <f>IFERROR(IF(MARÍTIMOS[[#This Row],[Puerto de Retiro]]="","",MARÍTIMOS[[#This Row],[Puerto de Retiro]]),"")</f>
        <v/>
      </c>
      <c r="R285" s="2" t="str">
        <f>IFERROR(IF(MARÍTIMOS[[#This Row],[Almacén de Retiro]]="","",MARÍTIMOS[[#This Row],[Almacén de Retiro]]),"")</f>
        <v/>
      </c>
      <c r="S285" s="11" t="str">
        <f>IFERROR(IF(MARÍTIMOS[[#This Row],[Etapa Retiro - Cita]]="","",MARÍTIMOS[[#This Row],[Etapa Retiro - Cita]]),"")</f>
        <v/>
      </c>
      <c r="T285" s="11" t="str">
        <f>IFERROR(IF(MARÍTIMOS[[#This Row],[Etapa Retiro - Llegada]]="","",MARÍTIMOS[[#This Row],[Etapa Retiro - Llegada]]),"")</f>
        <v/>
      </c>
      <c r="U285" s="11" t="str">
        <f>IFERROR(IF(MARÍTIMOS[[#This Row],[Etapa Retiro - Ingreso]]="","",MARÍTIMOS[[#This Row],[Etapa Retiro - Ingreso]]),"")</f>
        <v/>
      </c>
      <c r="V285" s="11" t="str">
        <f>IFERROR(IF(MARÍTIMOS[[#This Row],[Etapa Retiro - Atención]]="","",MARÍTIMOS[[#This Row],[Etapa Retiro - Atención]]),"")</f>
        <v/>
      </c>
      <c r="W285" s="11" t="str">
        <f>IFERROR(IF(MARÍTIMOS[[#This Row],[Etapa Retiro - Salida]]="","",MARÍTIMOS[[#This Row],[Etapa Retiro - Salida]]),"")</f>
        <v/>
      </c>
      <c r="X285" s="11" t="str">
        <f>IFERROR(IF(MARÍTIMOS[[#This Row],[Etapa Retiro - Inicio de Ruta]]="","",MARÍTIMOS[[#This Row],[Etapa Retiro - Inicio de Ruta]]),"")</f>
        <v/>
      </c>
      <c r="Y285" s="11" t="str">
        <f>IFERROR(IF(MARÍTIMOS[[#This Row],[Hora de Posicionamiento]]="","",MARÍTIMOS[[#This Row],[Hora de Carga]]+MARÍTIMOS[[#This Row],[Hora de Posicionamiento]]),"")</f>
        <v/>
      </c>
      <c r="Z285" s="11" t="str">
        <f>IFERROR(IF(MARÍTIMOS[[#This Row],[Etapa Despacho -  Llegada]]="","",MARÍTIMOS[[#This Row],[Etapa Despacho -  Llegada]]),"")</f>
        <v/>
      </c>
      <c r="AA285" s="11" t="str">
        <f>IFERROR(IF(MARÍTIMOS[[#This Row],[Etapa Despacho -  Registro]]="","",MARÍTIMOS[[#This Row],[Etapa Despacho -  Registro]]),"")</f>
        <v/>
      </c>
      <c r="AB285" s="11" t="str">
        <f>IFERROR(IF(MARÍTIMOS[[#This Row],[Inspección Externa]]="","",MARÍTIMOS[[#This Row],[Inspección Externa]]),"")</f>
        <v/>
      </c>
      <c r="AC285" s="11" t="str">
        <f>IFERROR(IF(MARÍTIMOS[[#This Row],[Etapa Despacho -  Inicio de Carga]]="","",MARÍTIMOS[[#This Row],[Etapa Despacho -  Inicio de Carga]]),"")</f>
        <v/>
      </c>
      <c r="AD285" s="11" t="str">
        <f>IFERROR(IF(MARÍTIMOS[[#This Row],[Etapa Despacho -  Fin de Carga]]="","",MARÍTIMOS[[#This Row],[Etapa Despacho -  Fin de Carga]]),"")</f>
        <v/>
      </c>
      <c r="AE285" s="11" t="str">
        <f>IFERROR(IF(MARÍTIMOS[[#This Row],[Etapa Despacho -  Salida]]="","",MARÍTIMOS[[#This Row],[Etapa Despacho -  Salida]]),"")</f>
        <v/>
      </c>
      <c r="AF285" s="2" t="str">
        <f>IFERROR(IF(MARÍTIMOS[[#This Row],[Puerto de Embarque]]="","",MARÍTIMOS[[#This Row],[Puerto de Embarque]]),"")</f>
        <v/>
      </c>
      <c r="AG285" s="2" t="str">
        <f>IFERROR(IF(MARÍTIMOS[[#This Row],[Almacén de Ingreso]]="","",MARÍTIMOS[[#This Row],[Almacén de Ingreso]]),"")</f>
        <v/>
      </c>
      <c r="AH285" s="11" t="str">
        <f>IFERROR(IF(MARÍTIMOS[[#This Row],[Etapa Ingreso - Cita]]="","",MARÍTIMOS[[#This Row],[Etapa Ingreso - Cita]]),"")</f>
        <v/>
      </c>
      <c r="AI285" s="11" t="str">
        <f>IFERROR(IF(MARÍTIMOS[[#This Row],[Etapa Ingreso - Llegada]]="","",MARÍTIMOS[[#This Row],[Etapa Ingreso - Llegada]]),"")</f>
        <v/>
      </c>
      <c r="AJ285" s="11" t="str">
        <f>IFERROR(IF(MARÍTIMOS[[#This Row],[Etapa Ingreso - Ingeso]]="","",MARÍTIMOS[[#This Row],[Etapa Ingreso - Ingeso]]),"")</f>
        <v/>
      </c>
      <c r="AK285" s="11" t="str">
        <f>IFERROR(IF(MARÍTIMOS[[#This Row],[Etapa Ingreso - Atención]]="","",MARÍTIMOS[[#This Row],[Etapa Ingreso - Atención]]),"")</f>
        <v/>
      </c>
      <c r="AL285" s="11" t="str">
        <f>IFERROR(IF(MARÍTIMOS[[#This Row],[Etapa Ingreso - Salida]]="","",MARÍTIMOS[[#This Row],[Etapa Ingreso - Salida]]),"")</f>
        <v/>
      </c>
      <c r="AM285" s="2" t="str">
        <f>IFERROR(IF(MARÍTIMOS[[#This Row],[FCL]]="","",MARÍTIMOS[[#This Row],[FCL]]),"")</f>
        <v/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5" s="5" t="str">
        <f>IFERROR(OLDBD[[#This Row],[Llegada a packing]]-OLDBD[[#This Row],[Inicio de Ruta]],"")</f>
        <v/>
      </c>
      <c r="AQ285" s="6" t="str">
        <f>IFERROR(OLDBD[[#This Row],[Inicio de Ruta]]-OLDBD[[#This Row],[Salida de almacén de retiro]],"")</f>
        <v/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5" s="9" t="str">
        <f>IFERROR(OLDBD[[#This Row],[Ingreso Packing]]-OLDBD[[#This Row],[Registro en Packing]],"")</f>
        <v/>
      </c>
      <c r="AV285" s="9" t="str">
        <f>IFERROR(OLDBD[[#This Row],[Ingreso Packing]]-OLDBD[[#This Row],[Llegada a packing]],"")</f>
        <v/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5" s="5" t="str">
        <f>IFERROR(OLDBD[[#This Row],[Llegada Almacén de Ingreso]]-OLDBD[[#This Row],[Salida Packing]],"")</f>
        <v/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5" s="45" t="s">
        <v>181</v>
      </c>
      <c r="BB285" s="53" t="str">
        <f>IFERROR(IF(MARÍTIMOS[[#This Row],[Estatus]]="","",MARÍTIMOS[[#This Row],[Estatus]]),"")</f>
        <v/>
      </c>
      <c r="BC285" s="45"/>
      <c r="BD285" s="52" t="str">
        <f>IFERROR(OLDBD[[#This Row],[Salida de almacén de retiro]]-OLDBD[[#This Row],[Ingreso Almacén de retiro]],"")</f>
        <v/>
      </c>
      <c r="BE285" s="52" t="str">
        <f>IFERROR(OLDBD[[#This Row],[Fin de Carga]]-OLDBD[[#This Row],[Inicio de Carga]],"")</f>
        <v/>
      </c>
    </row>
    <row r="286" spans="1:57" x14ac:dyDescent="0.35">
      <c r="A286" s="1"/>
      <c r="B286" s="1" t="str">
        <f>IFERROR(IF(MARÍTIMOS[[#This Row],[PP]]="","",MARÍTIMOS[[#This Row],[PP]]),"")</f>
        <v/>
      </c>
      <c r="C286" s="1" t="str">
        <f>IFERROR(IF(MARÍTIMOS[[#This Row],[Sede]]="","",MARÍTIMOS[[#This Row],[Sede]]),"")</f>
        <v/>
      </c>
      <c r="D286" s="1" t="str">
        <f>IFERROR(IF(MARÍTIMOS[[#This Row],[Instruction]]="","",MARÍTIMOS[[#This Row],[Instruction]]),"")</f>
        <v/>
      </c>
      <c r="E286" s="1"/>
      <c r="F286" s="2" t="str">
        <f>IFERROR(IF(MARÍTIMOS[[#This Row],[Transportista]]="","",MARÍTIMOS[[#This Row],[Transportista]]),"")</f>
        <v/>
      </c>
      <c r="G286" s="2" t="str">
        <f>IFERROR(IF(MARÍTIMOS[[#This Row],[Tercero]]="","",MARÍTIMOS[[#This Row],[Tercero]]),"")</f>
        <v/>
      </c>
      <c r="H286" s="2" t="str">
        <f>IFERROR(IF(MARÍTIMOS[[#This Row],[Razón Social]]="","",MARÍTIMOS[[#This Row],[Razón Social]]),"")</f>
        <v/>
      </c>
      <c r="I286" s="2" t="str">
        <f>IFERROR(IF(MARÍTIMOS[[#This Row],[RUC]]="","",MARÍTIMOS[[#This Row],[RUC]]),"")</f>
        <v/>
      </c>
      <c r="J286" s="2" t="str">
        <f>IFERROR(IF(MARÍTIMOS[[#This Row],[Placa Tracto]]="","",MARÍTIMOS[[#This Row],[Placa Tracto]]),"")</f>
        <v/>
      </c>
      <c r="K286" s="2" t="str">
        <f>IFERROR(IF(MARÍTIMOS[[#This Row],[Placa Carreta]]="","",MARÍTIMOS[[#This Row],[Placa Carreta]]),"")</f>
        <v/>
      </c>
      <c r="L286" s="46" t="str">
        <f>IFERROR(IF(MARÍTIMOS[[#This Row],[Conductor]]="","",MARÍTIMOS[[#This Row],[Conductor]]),"")</f>
        <v/>
      </c>
      <c r="M286" s="2" t="str">
        <f>IFERROR(IF(MARÍTIMOS[[#This Row],[Licencia]]="","",MARÍTIMOS[[#This Row],[Licencia]]),"")</f>
        <v/>
      </c>
      <c r="N286" s="2" t="str">
        <f>IFERROR(IF(MARÍTIMOS[[#This Row],[Número de Contacto]]="","",MARÍTIMOS[[#This Row],[Número de Contacto]]),"")</f>
        <v/>
      </c>
      <c r="O286" s="10" t="str">
        <f>IFERROR(IF(MARÍTIMOS[[#This Row],[Booking|AWB|CRT]]="","",MARÍTIMOS[[#This Row],[Booking|AWB|CRT]]),"")</f>
        <v/>
      </c>
      <c r="P286" s="2" t="str">
        <f>IFERROR(IF(MARÍTIMOS[[#This Row],[Contenedor]]="","",MARÍTIMOS[[#This Row],[Contenedor]]),"")</f>
        <v/>
      </c>
      <c r="Q286" s="2" t="str">
        <f>IFERROR(IF(MARÍTIMOS[[#This Row],[Puerto de Retiro]]="","",MARÍTIMOS[[#This Row],[Puerto de Retiro]]),"")</f>
        <v/>
      </c>
      <c r="R286" s="2" t="str">
        <f>IFERROR(IF(MARÍTIMOS[[#This Row],[Almacén de Retiro]]="","",MARÍTIMOS[[#This Row],[Almacén de Retiro]]),"")</f>
        <v/>
      </c>
      <c r="S286" s="11" t="str">
        <f>IFERROR(IF(MARÍTIMOS[[#This Row],[Etapa Retiro - Cita]]="","",MARÍTIMOS[[#This Row],[Etapa Retiro - Cita]]),"")</f>
        <v/>
      </c>
      <c r="T286" s="11" t="str">
        <f>IFERROR(IF(MARÍTIMOS[[#This Row],[Etapa Retiro - Llegada]]="","",MARÍTIMOS[[#This Row],[Etapa Retiro - Llegada]]),"")</f>
        <v/>
      </c>
      <c r="U286" s="11" t="str">
        <f>IFERROR(IF(MARÍTIMOS[[#This Row],[Etapa Retiro - Ingreso]]="","",MARÍTIMOS[[#This Row],[Etapa Retiro - Ingreso]]),"")</f>
        <v/>
      </c>
      <c r="V286" s="11" t="str">
        <f>IFERROR(IF(MARÍTIMOS[[#This Row],[Etapa Retiro - Atención]]="","",MARÍTIMOS[[#This Row],[Etapa Retiro - Atención]]),"")</f>
        <v/>
      </c>
      <c r="W286" s="11" t="str">
        <f>IFERROR(IF(MARÍTIMOS[[#This Row],[Etapa Retiro - Salida]]="","",MARÍTIMOS[[#This Row],[Etapa Retiro - Salida]]),"")</f>
        <v/>
      </c>
      <c r="X286" s="11" t="str">
        <f>IFERROR(IF(MARÍTIMOS[[#This Row],[Etapa Retiro - Inicio de Ruta]]="","",MARÍTIMOS[[#This Row],[Etapa Retiro - Inicio de Ruta]]),"")</f>
        <v/>
      </c>
      <c r="Y286" s="11" t="str">
        <f>IFERROR(IF(MARÍTIMOS[[#This Row],[Hora de Posicionamiento]]="","",MARÍTIMOS[[#This Row],[Hora de Carga]]+MARÍTIMOS[[#This Row],[Hora de Posicionamiento]]),"")</f>
        <v/>
      </c>
      <c r="Z286" s="11" t="str">
        <f>IFERROR(IF(MARÍTIMOS[[#This Row],[Etapa Despacho -  Llegada]]="","",MARÍTIMOS[[#This Row],[Etapa Despacho -  Llegada]]),"")</f>
        <v/>
      </c>
      <c r="AA286" s="11" t="str">
        <f>IFERROR(IF(MARÍTIMOS[[#This Row],[Etapa Despacho -  Registro]]="","",MARÍTIMOS[[#This Row],[Etapa Despacho -  Registro]]),"")</f>
        <v/>
      </c>
      <c r="AB286" s="11" t="str">
        <f>IFERROR(IF(MARÍTIMOS[[#This Row],[Inspección Externa]]="","",MARÍTIMOS[[#This Row],[Inspección Externa]]),"")</f>
        <v/>
      </c>
      <c r="AC286" s="11" t="str">
        <f>IFERROR(IF(MARÍTIMOS[[#This Row],[Etapa Despacho -  Inicio de Carga]]="","",MARÍTIMOS[[#This Row],[Etapa Despacho -  Inicio de Carga]]),"")</f>
        <v/>
      </c>
      <c r="AD286" s="11" t="str">
        <f>IFERROR(IF(MARÍTIMOS[[#This Row],[Etapa Despacho -  Fin de Carga]]="","",MARÍTIMOS[[#This Row],[Etapa Despacho -  Fin de Carga]]),"")</f>
        <v/>
      </c>
      <c r="AE286" s="11" t="str">
        <f>IFERROR(IF(MARÍTIMOS[[#This Row],[Etapa Despacho -  Salida]]="","",MARÍTIMOS[[#This Row],[Etapa Despacho -  Salida]]),"")</f>
        <v/>
      </c>
      <c r="AF286" s="2" t="str">
        <f>IFERROR(IF(MARÍTIMOS[[#This Row],[Puerto de Embarque]]="","",MARÍTIMOS[[#This Row],[Puerto de Embarque]]),"")</f>
        <v/>
      </c>
      <c r="AG286" s="2" t="str">
        <f>IFERROR(IF(MARÍTIMOS[[#This Row],[Almacén de Ingreso]]="","",MARÍTIMOS[[#This Row],[Almacén de Ingreso]]),"")</f>
        <v/>
      </c>
      <c r="AH286" s="11" t="str">
        <f>IFERROR(IF(MARÍTIMOS[[#This Row],[Etapa Ingreso - Cita]]="","",MARÍTIMOS[[#This Row],[Etapa Ingreso - Cita]]),"")</f>
        <v/>
      </c>
      <c r="AI286" s="11" t="str">
        <f>IFERROR(IF(MARÍTIMOS[[#This Row],[Etapa Ingreso - Llegada]]="","",MARÍTIMOS[[#This Row],[Etapa Ingreso - Llegada]]),"")</f>
        <v/>
      </c>
      <c r="AJ286" s="11" t="str">
        <f>IFERROR(IF(MARÍTIMOS[[#This Row],[Etapa Ingreso - Ingeso]]="","",MARÍTIMOS[[#This Row],[Etapa Ingreso - Ingeso]]),"")</f>
        <v/>
      </c>
      <c r="AK286" s="11" t="str">
        <f>IFERROR(IF(MARÍTIMOS[[#This Row],[Etapa Ingreso - Atención]]="","",MARÍTIMOS[[#This Row],[Etapa Ingreso - Atención]]),"")</f>
        <v/>
      </c>
      <c r="AL286" s="11" t="str">
        <f>IFERROR(IF(MARÍTIMOS[[#This Row],[Etapa Ingreso - Salida]]="","",MARÍTIMOS[[#This Row],[Etapa Ingreso - Salida]]),"")</f>
        <v/>
      </c>
      <c r="AM286" s="2" t="str">
        <f>IFERROR(IF(MARÍTIMOS[[#This Row],[FCL]]="","",MARÍTIMOS[[#This Row],[FCL]]),"")</f>
        <v/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6" s="5" t="str">
        <f>IFERROR(OLDBD[[#This Row],[Llegada a packing]]-OLDBD[[#This Row],[Inicio de Ruta]],"")</f>
        <v/>
      </c>
      <c r="AQ286" s="6" t="str">
        <f>IFERROR(OLDBD[[#This Row],[Inicio de Ruta]]-OLDBD[[#This Row],[Salida de almacén de retiro]],"")</f>
        <v/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6" s="9" t="str">
        <f>IFERROR(OLDBD[[#This Row],[Ingreso Packing]]-OLDBD[[#This Row],[Registro en Packing]],"")</f>
        <v/>
      </c>
      <c r="AV286" s="9" t="str">
        <f>IFERROR(OLDBD[[#This Row],[Ingreso Packing]]-OLDBD[[#This Row],[Llegada a packing]],"")</f>
        <v/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6" s="5" t="str">
        <f>IFERROR(OLDBD[[#This Row],[Llegada Almacén de Ingreso]]-OLDBD[[#This Row],[Salida Packing]],"")</f>
        <v/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6" s="45" t="s">
        <v>181</v>
      </c>
      <c r="BB286" s="53" t="str">
        <f>IFERROR(IF(MARÍTIMOS[[#This Row],[Estatus]]="","",MARÍTIMOS[[#This Row],[Estatus]]),"")</f>
        <v/>
      </c>
      <c r="BC286" s="45"/>
      <c r="BD286" s="52" t="str">
        <f>IFERROR(OLDBD[[#This Row],[Salida de almacén de retiro]]-OLDBD[[#This Row],[Ingreso Almacén de retiro]],"")</f>
        <v/>
      </c>
      <c r="BE286" s="52" t="str">
        <f>IFERROR(OLDBD[[#This Row],[Fin de Carga]]-OLDBD[[#This Row],[Inicio de Carga]],"")</f>
        <v/>
      </c>
    </row>
    <row r="287" spans="1:57" x14ac:dyDescent="0.35">
      <c r="A287" s="1"/>
      <c r="B287" s="1" t="str">
        <f>IFERROR(IF(MARÍTIMOS[[#This Row],[PP]]="","",MARÍTIMOS[[#This Row],[PP]]),"")</f>
        <v/>
      </c>
      <c r="C287" s="1" t="str">
        <f>IFERROR(IF(MARÍTIMOS[[#This Row],[Sede]]="","",MARÍTIMOS[[#This Row],[Sede]]),"")</f>
        <v/>
      </c>
      <c r="D287" s="1" t="str">
        <f>IFERROR(IF(MARÍTIMOS[[#This Row],[Instruction]]="","",MARÍTIMOS[[#This Row],[Instruction]]),"")</f>
        <v/>
      </c>
      <c r="E287" s="1"/>
      <c r="F287" s="2" t="str">
        <f>IFERROR(IF(MARÍTIMOS[[#This Row],[Transportista]]="","",MARÍTIMOS[[#This Row],[Transportista]]),"")</f>
        <v/>
      </c>
      <c r="G287" s="2" t="str">
        <f>IFERROR(IF(MARÍTIMOS[[#This Row],[Tercero]]="","",MARÍTIMOS[[#This Row],[Tercero]]),"")</f>
        <v/>
      </c>
      <c r="H287" s="2" t="str">
        <f>IFERROR(IF(MARÍTIMOS[[#This Row],[Razón Social]]="","",MARÍTIMOS[[#This Row],[Razón Social]]),"")</f>
        <v/>
      </c>
      <c r="I287" s="2" t="str">
        <f>IFERROR(IF(MARÍTIMOS[[#This Row],[RUC]]="","",MARÍTIMOS[[#This Row],[RUC]]),"")</f>
        <v/>
      </c>
      <c r="J287" s="2" t="str">
        <f>IFERROR(IF(MARÍTIMOS[[#This Row],[Placa Tracto]]="","",MARÍTIMOS[[#This Row],[Placa Tracto]]),"")</f>
        <v/>
      </c>
      <c r="K287" s="2" t="str">
        <f>IFERROR(IF(MARÍTIMOS[[#This Row],[Placa Carreta]]="","",MARÍTIMOS[[#This Row],[Placa Carreta]]),"")</f>
        <v/>
      </c>
      <c r="L287" s="46" t="str">
        <f>IFERROR(IF(MARÍTIMOS[[#This Row],[Conductor]]="","",MARÍTIMOS[[#This Row],[Conductor]]),"")</f>
        <v/>
      </c>
      <c r="M287" s="2" t="str">
        <f>IFERROR(IF(MARÍTIMOS[[#This Row],[Licencia]]="","",MARÍTIMOS[[#This Row],[Licencia]]),"")</f>
        <v/>
      </c>
      <c r="N287" s="2" t="str">
        <f>IFERROR(IF(MARÍTIMOS[[#This Row],[Número de Contacto]]="","",MARÍTIMOS[[#This Row],[Número de Contacto]]),"")</f>
        <v/>
      </c>
      <c r="O287" s="10" t="str">
        <f>IFERROR(IF(MARÍTIMOS[[#This Row],[Booking|AWB|CRT]]="","",MARÍTIMOS[[#This Row],[Booking|AWB|CRT]]),"")</f>
        <v/>
      </c>
      <c r="P287" s="2" t="str">
        <f>IFERROR(IF(MARÍTIMOS[[#This Row],[Contenedor]]="","",MARÍTIMOS[[#This Row],[Contenedor]]),"")</f>
        <v/>
      </c>
      <c r="Q287" s="2" t="str">
        <f>IFERROR(IF(MARÍTIMOS[[#This Row],[Puerto de Retiro]]="","",MARÍTIMOS[[#This Row],[Puerto de Retiro]]),"")</f>
        <v/>
      </c>
      <c r="R287" s="2" t="str">
        <f>IFERROR(IF(MARÍTIMOS[[#This Row],[Almacén de Retiro]]="","",MARÍTIMOS[[#This Row],[Almacén de Retiro]]),"")</f>
        <v/>
      </c>
      <c r="S287" s="11" t="str">
        <f>IFERROR(IF(MARÍTIMOS[[#This Row],[Etapa Retiro - Cita]]="","",MARÍTIMOS[[#This Row],[Etapa Retiro - Cita]]),"")</f>
        <v/>
      </c>
      <c r="T287" s="11" t="str">
        <f>IFERROR(IF(MARÍTIMOS[[#This Row],[Etapa Retiro - Llegada]]="","",MARÍTIMOS[[#This Row],[Etapa Retiro - Llegada]]),"")</f>
        <v/>
      </c>
      <c r="U287" s="11" t="str">
        <f>IFERROR(IF(MARÍTIMOS[[#This Row],[Etapa Retiro - Ingreso]]="","",MARÍTIMOS[[#This Row],[Etapa Retiro - Ingreso]]),"")</f>
        <v/>
      </c>
      <c r="V287" s="11" t="str">
        <f>IFERROR(IF(MARÍTIMOS[[#This Row],[Etapa Retiro - Atención]]="","",MARÍTIMOS[[#This Row],[Etapa Retiro - Atención]]),"")</f>
        <v/>
      </c>
      <c r="W287" s="11" t="str">
        <f>IFERROR(IF(MARÍTIMOS[[#This Row],[Etapa Retiro - Salida]]="","",MARÍTIMOS[[#This Row],[Etapa Retiro - Salida]]),"")</f>
        <v/>
      </c>
      <c r="X287" s="11" t="str">
        <f>IFERROR(IF(MARÍTIMOS[[#This Row],[Etapa Retiro - Inicio de Ruta]]="","",MARÍTIMOS[[#This Row],[Etapa Retiro - Inicio de Ruta]]),"")</f>
        <v/>
      </c>
      <c r="Y287" s="11" t="str">
        <f>IFERROR(IF(MARÍTIMOS[[#This Row],[Hora de Posicionamiento]]="","",MARÍTIMOS[[#This Row],[Hora de Carga]]+MARÍTIMOS[[#This Row],[Hora de Posicionamiento]]),"")</f>
        <v/>
      </c>
      <c r="Z287" s="11" t="str">
        <f>IFERROR(IF(MARÍTIMOS[[#This Row],[Etapa Despacho -  Llegada]]="","",MARÍTIMOS[[#This Row],[Etapa Despacho -  Llegada]]),"")</f>
        <v/>
      </c>
      <c r="AA287" s="11" t="str">
        <f>IFERROR(IF(MARÍTIMOS[[#This Row],[Etapa Despacho -  Registro]]="","",MARÍTIMOS[[#This Row],[Etapa Despacho -  Registro]]),"")</f>
        <v/>
      </c>
      <c r="AB287" s="11" t="str">
        <f>IFERROR(IF(MARÍTIMOS[[#This Row],[Inspección Externa]]="","",MARÍTIMOS[[#This Row],[Inspección Externa]]),"")</f>
        <v/>
      </c>
      <c r="AC287" s="11" t="str">
        <f>IFERROR(IF(MARÍTIMOS[[#This Row],[Etapa Despacho -  Inicio de Carga]]="","",MARÍTIMOS[[#This Row],[Etapa Despacho -  Inicio de Carga]]),"")</f>
        <v/>
      </c>
      <c r="AD287" s="11" t="str">
        <f>IFERROR(IF(MARÍTIMOS[[#This Row],[Etapa Despacho -  Fin de Carga]]="","",MARÍTIMOS[[#This Row],[Etapa Despacho -  Fin de Carga]]),"")</f>
        <v/>
      </c>
      <c r="AE287" s="11" t="str">
        <f>IFERROR(IF(MARÍTIMOS[[#This Row],[Etapa Despacho -  Salida]]="","",MARÍTIMOS[[#This Row],[Etapa Despacho -  Salida]]),"")</f>
        <v/>
      </c>
      <c r="AF287" s="2" t="str">
        <f>IFERROR(IF(MARÍTIMOS[[#This Row],[Puerto de Embarque]]="","",MARÍTIMOS[[#This Row],[Puerto de Embarque]]),"")</f>
        <v/>
      </c>
      <c r="AG287" s="2" t="str">
        <f>IFERROR(IF(MARÍTIMOS[[#This Row],[Almacén de Ingreso]]="","",MARÍTIMOS[[#This Row],[Almacén de Ingreso]]),"")</f>
        <v/>
      </c>
      <c r="AH287" s="11" t="str">
        <f>IFERROR(IF(MARÍTIMOS[[#This Row],[Etapa Ingreso - Cita]]="","",MARÍTIMOS[[#This Row],[Etapa Ingreso - Cita]]),"")</f>
        <v/>
      </c>
      <c r="AI287" s="11" t="str">
        <f>IFERROR(IF(MARÍTIMOS[[#This Row],[Etapa Ingreso - Llegada]]="","",MARÍTIMOS[[#This Row],[Etapa Ingreso - Llegada]]),"")</f>
        <v/>
      </c>
      <c r="AJ287" s="11" t="str">
        <f>IFERROR(IF(MARÍTIMOS[[#This Row],[Etapa Ingreso - Ingeso]]="","",MARÍTIMOS[[#This Row],[Etapa Ingreso - Ingeso]]),"")</f>
        <v/>
      </c>
      <c r="AK287" s="11" t="str">
        <f>IFERROR(IF(MARÍTIMOS[[#This Row],[Etapa Ingreso - Atención]]="","",MARÍTIMOS[[#This Row],[Etapa Ingreso - Atención]]),"")</f>
        <v/>
      </c>
      <c r="AL287" s="11" t="str">
        <f>IFERROR(IF(MARÍTIMOS[[#This Row],[Etapa Ingreso - Salida]]="","",MARÍTIMOS[[#This Row],[Etapa Ingreso - Salida]]),"")</f>
        <v/>
      </c>
      <c r="AM287" s="2" t="str">
        <f>IFERROR(IF(MARÍTIMOS[[#This Row],[FCL]]="","",MARÍTIMOS[[#This Row],[FCL]]),"")</f>
        <v/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7" s="5" t="str">
        <f>IFERROR(OLDBD[[#This Row],[Llegada a packing]]-OLDBD[[#This Row],[Inicio de Ruta]],"")</f>
        <v/>
      </c>
      <c r="AQ287" s="6" t="str">
        <f>IFERROR(OLDBD[[#This Row],[Inicio de Ruta]]-OLDBD[[#This Row],[Salida de almacén de retiro]],"")</f>
        <v/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7" s="9" t="str">
        <f>IFERROR(OLDBD[[#This Row],[Ingreso Packing]]-OLDBD[[#This Row],[Registro en Packing]],"")</f>
        <v/>
      </c>
      <c r="AV287" s="9" t="str">
        <f>IFERROR(OLDBD[[#This Row],[Ingreso Packing]]-OLDBD[[#This Row],[Llegada a packing]],"")</f>
        <v/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7" s="5" t="str">
        <f>IFERROR(OLDBD[[#This Row],[Llegada Almacén de Ingreso]]-OLDBD[[#This Row],[Salida Packing]],"")</f>
        <v/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7" s="45" t="s">
        <v>181</v>
      </c>
      <c r="BB287" s="53" t="str">
        <f>IFERROR(IF(MARÍTIMOS[[#This Row],[Estatus]]="","",MARÍTIMOS[[#This Row],[Estatus]]),"")</f>
        <v/>
      </c>
      <c r="BC287" s="45"/>
      <c r="BD287" s="52" t="str">
        <f>IFERROR(OLDBD[[#This Row],[Salida de almacén de retiro]]-OLDBD[[#This Row],[Ingreso Almacén de retiro]],"")</f>
        <v/>
      </c>
      <c r="BE287" s="52" t="str">
        <f>IFERROR(OLDBD[[#This Row],[Fin de Carga]]-OLDBD[[#This Row],[Inicio de Carga]],"")</f>
        <v/>
      </c>
    </row>
    <row r="288" spans="1:57" x14ac:dyDescent="0.35">
      <c r="A288" s="1"/>
      <c r="B288" s="1" t="str">
        <f>IFERROR(IF(MARÍTIMOS[[#This Row],[PP]]="","",MARÍTIMOS[[#This Row],[PP]]),"")</f>
        <v/>
      </c>
      <c r="C288" s="1" t="str">
        <f>IFERROR(IF(MARÍTIMOS[[#This Row],[Sede]]="","",MARÍTIMOS[[#This Row],[Sede]]),"")</f>
        <v/>
      </c>
      <c r="D288" s="1" t="str">
        <f>IFERROR(IF(MARÍTIMOS[[#This Row],[Instruction]]="","",MARÍTIMOS[[#This Row],[Instruction]]),"")</f>
        <v/>
      </c>
      <c r="E288" s="1"/>
      <c r="F288" s="2" t="str">
        <f>IFERROR(IF(MARÍTIMOS[[#This Row],[Transportista]]="","",MARÍTIMOS[[#This Row],[Transportista]]),"")</f>
        <v/>
      </c>
      <c r="G288" s="2" t="str">
        <f>IFERROR(IF(MARÍTIMOS[[#This Row],[Tercero]]="","",MARÍTIMOS[[#This Row],[Tercero]]),"")</f>
        <v/>
      </c>
      <c r="H288" s="2" t="str">
        <f>IFERROR(IF(MARÍTIMOS[[#This Row],[Razón Social]]="","",MARÍTIMOS[[#This Row],[Razón Social]]),"")</f>
        <v/>
      </c>
      <c r="I288" s="2" t="str">
        <f>IFERROR(IF(MARÍTIMOS[[#This Row],[RUC]]="","",MARÍTIMOS[[#This Row],[RUC]]),"")</f>
        <v/>
      </c>
      <c r="J288" s="2" t="str">
        <f>IFERROR(IF(MARÍTIMOS[[#This Row],[Placa Tracto]]="","",MARÍTIMOS[[#This Row],[Placa Tracto]]),"")</f>
        <v/>
      </c>
      <c r="K288" s="2" t="str">
        <f>IFERROR(IF(MARÍTIMOS[[#This Row],[Placa Carreta]]="","",MARÍTIMOS[[#This Row],[Placa Carreta]]),"")</f>
        <v/>
      </c>
      <c r="L288" s="46" t="str">
        <f>IFERROR(IF(MARÍTIMOS[[#This Row],[Conductor]]="","",MARÍTIMOS[[#This Row],[Conductor]]),"")</f>
        <v/>
      </c>
      <c r="M288" s="2" t="str">
        <f>IFERROR(IF(MARÍTIMOS[[#This Row],[Licencia]]="","",MARÍTIMOS[[#This Row],[Licencia]]),"")</f>
        <v/>
      </c>
      <c r="N288" s="2" t="str">
        <f>IFERROR(IF(MARÍTIMOS[[#This Row],[Número de Contacto]]="","",MARÍTIMOS[[#This Row],[Número de Contacto]]),"")</f>
        <v/>
      </c>
      <c r="O288" s="10" t="str">
        <f>IFERROR(IF(MARÍTIMOS[[#This Row],[Booking|AWB|CRT]]="","",MARÍTIMOS[[#This Row],[Booking|AWB|CRT]]),"")</f>
        <v/>
      </c>
      <c r="P288" s="2" t="str">
        <f>IFERROR(IF(MARÍTIMOS[[#This Row],[Contenedor]]="","",MARÍTIMOS[[#This Row],[Contenedor]]),"")</f>
        <v/>
      </c>
      <c r="Q288" s="2" t="str">
        <f>IFERROR(IF(MARÍTIMOS[[#This Row],[Puerto de Retiro]]="","",MARÍTIMOS[[#This Row],[Puerto de Retiro]]),"")</f>
        <v/>
      </c>
      <c r="R288" s="2" t="str">
        <f>IFERROR(IF(MARÍTIMOS[[#This Row],[Almacén de Retiro]]="","",MARÍTIMOS[[#This Row],[Almacén de Retiro]]),"")</f>
        <v/>
      </c>
      <c r="S288" s="11" t="str">
        <f>IFERROR(IF(MARÍTIMOS[[#This Row],[Etapa Retiro - Cita]]="","",MARÍTIMOS[[#This Row],[Etapa Retiro - Cita]]),"")</f>
        <v/>
      </c>
      <c r="T288" s="11" t="str">
        <f>IFERROR(IF(MARÍTIMOS[[#This Row],[Etapa Retiro - Llegada]]="","",MARÍTIMOS[[#This Row],[Etapa Retiro - Llegada]]),"")</f>
        <v/>
      </c>
      <c r="U288" s="11" t="str">
        <f>IFERROR(IF(MARÍTIMOS[[#This Row],[Etapa Retiro - Ingreso]]="","",MARÍTIMOS[[#This Row],[Etapa Retiro - Ingreso]]),"")</f>
        <v/>
      </c>
      <c r="V288" s="11" t="str">
        <f>IFERROR(IF(MARÍTIMOS[[#This Row],[Etapa Retiro - Atención]]="","",MARÍTIMOS[[#This Row],[Etapa Retiro - Atención]]),"")</f>
        <v/>
      </c>
      <c r="W288" s="11" t="str">
        <f>IFERROR(IF(MARÍTIMOS[[#This Row],[Etapa Retiro - Salida]]="","",MARÍTIMOS[[#This Row],[Etapa Retiro - Salida]]),"")</f>
        <v/>
      </c>
      <c r="X288" s="11" t="str">
        <f>IFERROR(IF(MARÍTIMOS[[#This Row],[Etapa Retiro - Inicio de Ruta]]="","",MARÍTIMOS[[#This Row],[Etapa Retiro - Inicio de Ruta]]),"")</f>
        <v/>
      </c>
      <c r="Y288" s="11" t="str">
        <f>IFERROR(IF(MARÍTIMOS[[#This Row],[Hora de Posicionamiento]]="","",MARÍTIMOS[[#This Row],[Hora de Carga]]+MARÍTIMOS[[#This Row],[Hora de Posicionamiento]]),"")</f>
        <v/>
      </c>
      <c r="Z288" s="11" t="str">
        <f>IFERROR(IF(MARÍTIMOS[[#This Row],[Etapa Despacho -  Llegada]]="","",MARÍTIMOS[[#This Row],[Etapa Despacho -  Llegada]]),"")</f>
        <v/>
      </c>
      <c r="AA288" s="11" t="str">
        <f>IFERROR(IF(MARÍTIMOS[[#This Row],[Etapa Despacho -  Registro]]="","",MARÍTIMOS[[#This Row],[Etapa Despacho -  Registro]]),"")</f>
        <v/>
      </c>
      <c r="AB288" s="11" t="str">
        <f>IFERROR(IF(MARÍTIMOS[[#This Row],[Inspección Externa]]="","",MARÍTIMOS[[#This Row],[Inspección Externa]]),"")</f>
        <v/>
      </c>
      <c r="AC288" s="11" t="str">
        <f>IFERROR(IF(MARÍTIMOS[[#This Row],[Etapa Despacho -  Inicio de Carga]]="","",MARÍTIMOS[[#This Row],[Etapa Despacho -  Inicio de Carga]]),"")</f>
        <v/>
      </c>
      <c r="AD288" s="11" t="str">
        <f>IFERROR(IF(MARÍTIMOS[[#This Row],[Etapa Despacho -  Fin de Carga]]="","",MARÍTIMOS[[#This Row],[Etapa Despacho -  Fin de Carga]]),"")</f>
        <v/>
      </c>
      <c r="AE288" s="11" t="str">
        <f>IFERROR(IF(MARÍTIMOS[[#This Row],[Etapa Despacho -  Salida]]="","",MARÍTIMOS[[#This Row],[Etapa Despacho -  Salida]]),"")</f>
        <v/>
      </c>
      <c r="AF288" s="2" t="str">
        <f>IFERROR(IF(MARÍTIMOS[[#This Row],[Puerto de Embarque]]="","",MARÍTIMOS[[#This Row],[Puerto de Embarque]]),"")</f>
        <v/>
      </c>
      <c r="AG288" s="2" t="str">
        <f>IFERROR(IF(MARÍTIMOS[[#This Row],[Almacén de Ingreso]]="","",MARÍTIMOS[[#This Row],[Almacén de Ingreso]]),"")</f>
        <v/>
      </c>
      <c r="AH288" s="11" t="str">
        <f>IFERROR(IF(MARÍTIMOS[[#This Row],[Etapa Ingreso - Cita]]="","",MARÍTIMOS[[#This Row],[Etapa Ingreso - Cita]]),"")</f>
        <v/>
      </c>
      <c r="AI288" s="11" t="str">
        <f>IFERROR(IF(MARÍTIMOS[[#This Row],[Etapa Ingreso - Llegada]]="","",MARÍTIMOS[[#This Row],[Etapa Ingreso - Llegada]]),"")</f>
        <v/>
      </c>
      <c r="AJ288" s="11" t="str">
        <f>IFERROR(IF(MARÍTIMOS[[#This Row],[Etapa Ingreso - Ingeso]]="","",MARÍTIMOS[[#This Row],[Etapa Ingreso - Ingeso]]),"")</f>
        <v/>
      </c>
      <c r="AK288" s="11" t="str">
        <f>IFERROR(IF(MARÍTIMOS[[#This Row],[Etapa Ingreso - Atención]]="","",MARÍTIMOS[[#This Row],[Etapa Ingreso - Atención]]),"")</f>
        <v/>
      </c>
      <c r="AL288" s="11" t="str">
        <f>IFERROR(IF(MARÍTIMOS[[#This Row],[Etapa Ingreso - Salida]]="","",MARÍTIMOS[[#This Row],[Etapa Ingreso - Salida]]),"")</f>
        <v/>
      </c>
      <c r="AM288" s="2" t="str">
        <f>IFERROR(IF(MARÍTIMOS[[#This Row],[FCL]]="","",MARÍTIMOS[[#This Row],[FCL]]),"")</f>
        <v/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8" s="5" t="str">
        <f>IFERROR(OLDBD[[#This Row],[Llegada a packing]]-OLDBD[[#This Row],[Inicio de Ruta]],"")</f>
        <v/>
      </c>
      <c r="AQ288" s="6" t="str">
        <f>IFERROR(OLDBD[[#This Row],[Inicio de Ruta]]-OLDBD[[#This Row],[Salida de almacén de retiro]],"")</f>
        <v/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8" s="9" t="str">
        <f>IFERROR(OLDBD[[#This Row],[Ingreso Packing]]-OLDBD[[#This Row],[Registro en Packing]],"")</f>
        <v/>
      </c>
      <c r="AV288" s="9" t="str">
        <f>IFERROR(OLDBD[[#This Row],[Ingreso Packing]]-OLDBD[[#This Row],[Llegada a packing]],"")</f>
        <v/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8" s="5" t="str">
        <f>IFERROR(OLDBD[[#This Row],[Llegada Almacén de Ingreso]]-OLDBD[[#This Row],[Salida Packing]],"")</f>
        <v/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8" s="45" t="s">
        <v>181</v>
      </c>
      <c r="BB288" s="53" t="str">
        <f>IFERROR(IF(MARÍTIMOS[[#This Row],[Estatus]]="","",MARÍTIMOS[[#This Row],[Estatus]]),"")</f>
        <v/>
      </c>
      <c r="BC288" s="45"/>
      <c r="BD288" s="52" t="str">
        <f>IFERROR(OLDBD[[#This Row],[Salida de almacén de retiro]]-OLDBD[[#This Row],[Ingreso Almacén de retiro]],"")</f>
        <v/>
      </c>
      <c r="BE288" s="52" t="str">
        <f>IFERROR(OLDBD[[#This Row],[Fin de Carga]]-OLDBD[[#This Row],[Inicio de Carga]],"")</f>
        <v/>
      </c>
    </row>
    <row r="289" spans="1:57" x14ac:dyDescent="0.35">
      <c r="A289" s="1"/>
      <c r="B289" s="1" t="str">
        <f>IFERROR(IF(MARÍTIMOS[[#This Row],[PP]]="","",MARÍTIMOS[[#This Row],[PP]]),"")</f>
        <v/>
      </c>
      <c r="C289" s="1" t="str">
        <f>IFERROR(IF(MARÍTIMOS[[#This Row],[Sede]]="","",MARÍTIMOS[[#This Row],[Sede]]),"")</f>
        <v/>
      </c>
      <c r="D289" s="1" t="str">
        <f>IFERROR(IF(MARÍTIMOS[[#This Row],[Instruction]]="","",MARÍTIMOS[[#This Row],[Instruction]]),"")</f>
        <v/>
      </c>
      <c r="E289" s="1"/>
      <c r="F289" s="2" t="str">
        <f>IFERROR(IF(MARÍTIMOS[[#This Row],[Transportista]]="","",MARÍTIMOS[[#This Row],[Transportista]]),"")</f>
        <v/>
      </c>
      <c r="G289" s="2" t="str">
        <f>IFERROR(IF(MARÍTIMOS[[#This Row],[Tercero]]="","",MARÍTIMOS[[#This Row],[Tercero]]),"")</f>
        <v/>
      </c>
      <c r="H289" s="2" t="str">
        <f>IFERROR(IF(MARÍTIMOS[[#This Row],[Razón Social]]="","",MARÍTIMOS[[#This Row],[Razón Social]]),"")</f>
        <v/>
      </c>
      <c r="I289" s="2" t="str">
        <f>IFERROR(IF(MARÍTIMOS[[#This Row],[RUC]]="","",MARÍTIMOS[[#This Row],[RUC]]),"")</f>
        <v/>
      </c>
      <c r="J289" s="2" t="str">
        <f>IFERROR(IF(MARÍTIMOS[[#This Row],[Placa Tracto]]="","",MARÍTIMOS[[#This Row],[Placa Tracto]]),"")</f>
        <v/>
      </c>
      <c r="K289" s="2" t="str">
        <f>IFERROR(IF(MARÍTIMOS[[#This Row],[Placa Carreta]]="","",MARÍTIMOS[[#This Row],[Placa Carreta]]),"")</f>
        <v/>
      </c>
      <c r="L289" s="46" t="str">
        <f>IFERROR(IF(MARÍTIMOS[[#This Row],[Conductor]]="","",MARÍTIMOS[[#This Row],[Conductor]]),"")</f>
        <v/>
      </c>
      <c r="M289" s="2" t="str">
        <f>IFERROR(IF(MARÍTIMOS[[#This Row],[Licencia]]="","",MARÍTIMOS[[#This Row],[Licencia]]),"")</f>
        <v/>
      </c>
      <c r="N289" s="2" t="str">
        <f>IFERROR(IF(MARÍTIMOS[[#This Row],[Número de Contacto]]="","",MARÍTIMOS[[#This Row],[Número de Contacto]]),"")</f>
        <v/>
      </c>
      <c r="O289" s="10" t="str">
        <f>IFERROR(IF(MARÍTIMOS[[#This Row],[Booking|AWB|CRT]]="","",MARÍTIMOS[[#This Row],[Booking|AWB|CRT]]),"")</f>
        <v/>
      </c>
      <c r="P289" s="2" t="str">
        <f>IFERROR(IF(MARÍTIMOS[[#This Row],[Contenedor]]="","",MARÍTIMOS[[#This Row],[Contenedor]]),"")</f>
        <v/>
      </c>
      <c r="Q289" s="2" t="str">
        <f>IFERROR(IF(MARÍTIMOS[[#This Row],[Puerto de Retiro]]="","",MARÍTIMOS[[#This Row],[Puerto de Retiro]]),"")</f>
        <v/>
      </c>
      <c r="R289" s="2" t="str">
        <f>IFERROR(IF(MARÍTIMOS[[#This Row],[Almacén de Retiro]]="","",MARÍTIMOS[[#This Row],[Almacén de Retiro]]),"")</f>
        <v/>
      </c>
      <c r="S289" s="11" t="str">
        <f>IFERROR(IF(MARÍTIMOS[[#This Row],[Etapa Retiro - Cita]]="","",MARÍTIMOS[[#This Row],[Etapa Retiro - Cita]]),"")</f>
        <v/>
      </c>
      <c r="T289" s="11" t="str">
        <f>IFERROR(IF(MARÍTIMOS[[#This Row],[Etapa Retiro - Llegada]]="","",MARÍTIMOS[[#This Row],[Etapa Retiro - Llegada]]),"")</f>
        <v/>
      </c>
      <c r="U289" s="11" t="str">
        <f>IFERROR(IF(MARÍTIMOS[[#This Row],[Etapa Retiro - Ingreso]]="","",MARÍTIMOS[[#This Row],[Etapa Retiro - Ingreso]]),"")</f>
        <v/>
      </c>
      <c r="V289" s="11" t="str">
        <f>IFERROR(IF(MARÍTIMOS[[#This Row],[Etapa Retiro - Atención]]="","",MARÍTIMOS[[#This Row],[Etapa Retiro - Atención]]),"")</f>
        <v/>
      </c>
      <c r="W289" s="11" t="str">
        <f>IFERROR(IF(MARÍTIMOS[[#This Row],[Etapa Retiro - Salida]]="","",MARÍTIMOS[[#This Row],[Etapa Retiro - Salida]]),"")</f>
        <v/>
      </c>
      <c r="X289" s="11" t="str">
        <f>IFERROR(IF(MARÍTIMOS[[#This Row],[Etapa Retiro - Inicio de Ruta]]="","",MARÍTIMOS[[#This Row],[Etapa Retiro - Inicio de Ruta]]),"")</f>
        <v/>
      </c>
      <c r="Y289" s="11" t="str">
        <f>IFERROR(IF(MARÍTIMOS[[#This Row],[Hora de Posicionamiento]]="","",MARÍTIMOS[[#This Row],[Hora de Carga]]+MARÍTIMOS[[#This Row],[Hora de Posicionamiento]]),"")</f>
        <v/>
      </c>
      <c r="Z289" s="11" t="str">
        <f>IFERROR(IF(MARÍTIMOS[[#This Row],[Etapa Despacho -  Llegada]]="","",MARÍTIMOS[[#This Row],[Etapa Despacho -  Llegada]]),"")</f>
        <v/>
      </c>
      <c r="AA289" s="11" t="str">
        <f>IFERROR(IF(MARÍTIMOS[[#This Row],[Etapa Despacho -  Registro]]="","",MARÍTIMOS[[#This Row],[Etapa Despacho -  Registro]]),"")</f>
        <v/>
      </c>
      <c r="AB289" s="11" t="str">
        <f>IFERROR(IF(MARÍTIMOS[[#This Row],[Inspección Externa]]="","",MARÍTIMOS[[#This Row],[Inspección Externa]]),"")</f>
        <v/>
      </c>
      <c r="AC289" s="11" t="str">
        <f>IFERROR(IF(MARÍTIMOS[[#This Row],[Etapa Despacho -  Inicio de Carga]]="","",MARÍTIMOS[[#This Row],[Etapa Despacho -  Inicio de Carga]]),"")</f>
        <v/>
      </c>
      <c r="AD289" s="11" t="str">
        <f>IFERROR(IF(MARÍTIMOS[[#This Row],[Etapa Despacho -  Fin de Carga]]="","",MARÍTIMOS[[#This Row],[Etapa Despacho -  Fin de Carga]]),"")</f>
        <v/>
      </c>
      <c r="AE289" s="11" t="str">
        <f>IFERROR(IF(MARÍTIMOS[[#This Row],[Etapa Despacho -  Salida]]="","",MARÍTIMOS[[#This Row],[Etapa Despacho -  Salida]]),"")</f>
        <v/>
      </c>
      <c r="AF289" s="2" t="str">
        <f>IFERROR(IF(MARÍTIMOS[[#This Row],[Puerto de Embarque]]="","",MARÍTIMOS[[#This Row],[Puerto de Embarque]]),"")</f>
        <v/>
      </c>
      <c r="AG289" s="2" t="str">
        <f>IFERROR(IF(MARÍTIMOS[[#This Row],[Almacén de Ingreso]]="","",MARÍTIMOS[[#This Row],[Almacén de Ingreso]]),"")</f>
        <v/>
      </c>
      <c r="AH289" s="11" t="str">
        <f>IFERROR(IF(MARÍTIMOS[[#This Row],[Etapa Ingreso - Cita]]="","",MARÍTIMOS[[#This Row],[Etapa Ingreso - Cita]]),"")</f>
        <v/>
      </c>
      <c r="AI289" s="11" t="str">
        <f>IFERROR(IF(MARÍTIMOS[[#This Row],[Etapa Ingreso - Llegada]]="","",MARÍTIMOS[[#This Row],[Etapa Ingreso - Llegada]]),"")</f>
        <v/>
      </c>
      <c r="AJ289" s="11" t="str">
        <f>IFERROR(IF(MARÍTIMOS[[#This Row],[Etapa Ingreso - Ingeso]]="","",MARÍTIMOS[[#This Row],[Etapa Ingreso - Ingeso]]),"")</f>
        <v/>
      </c>
      <c r="AK289" s="11" t="str">
        <f>IFERROR(IF(MARÍTIMOS[[#This Row],[Etapa Ingreso - Atención]]="","",MARÍTIMOS[[#This Row],[Etapa Ingreso - Atención]]),"")</f>
        <v/>
      </c>
      <c r="AL289" s="11" t="str">
        <f>IFERROR(IF(MARÍTIMOS[[#This Row],[Etapa Ingreso - Salida]]="","",MARÍTIMOS[[#This Row],[Etapa Ingreso - Salida]]),"")</f>
        <v/>
      </c>
      <c r="AM289" s="2" t="str">
        <f>IFERROR(IF(MARÍTIMOS[[#This Row],[FCL]]="","",MARÍTIMOS[[#This Row],[FCL]]),"")</f>
        <v/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9" s="5" t="str">
        <f>IFERROR(OLDBD[[#This Row],[Llegada a packing]]-OLDBD[[#This Row],[Inicio de Ruta]],"")</f>
        <v/>
      </c>
      <c r="AQ289" s="6" t="str">
        <f>IFERROR(OLDBD[[#This Row],[Inicio de Ruta]]-OLDBD[[#This Row],[Salida de almacén de retiro]],"")</f>
        <v/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9" s="9" t="str">
        <f>IFERROR(OLDBD[[#This Row],[Ingreso Packing]]-OLDBD[[#This Row],[Registro en Packing]],"")</f>
        <v/>
      </c>
      <c r="AV289" s="9" t="str">
        <f>IFERROR(OLDBD[[#This Row],[Ingreso Packing]]-OLDBD[[#This Row],[Llegada a packing]],"")</f>
        <v/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9" s="5" t="str">
        <f>IFERROR(OLDBD[[#This Row],[Llegada Almacén de Ingreso]]-OLDBD[[#This Row],[Salida Packing]],"")</f>
        <v/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9" s="45" t="s">
        <v>181</v>
      </c>
      <c r="BB289" s="53" t="str">
        <f>IFERROR(IF(MARÍTIMOS[[#This Row],[Estatus]]="","",MARÍTIMOS[[#This Row],[Estatus]]),"")</f>
        <v/>
      </c>
      <c r="BC289" s="45"/>
      <c r="BD289" s="52" t="str">
        <f>IFERROR(OLDBD[[#This Row],[Salida de almacén de retiro]]-OLDBD[[#This Row],[Ingreso Almacén de retiro]],"")</f>
        <v/>
      </c>
      <c r="BE289" s="52" t="str">
        <f>IFERROR(OLDBD[[#This Row],[Fin de Carga]]-OLDBD[[#This Row],[Inicio de Carga]],"")</f>
        <v/>
      </c>
    </row>
    <row r="290" spans="1:57" x14ac:dyDescent="0.35">
      <c r="A290" s="1"/>
      <c r="B290" s="1" t="str">
        <f>IFERROR(IF(MARÍTIMOS[[#This Row],[PP]]="","",MARÍTIMOS[[#This Row],[PP]]),"")</f>
        <v/>
      </c>
      <c r="C290" s="1" t="str">
        <f>IFERROR(IF(MARÍTIMOS[[#This Row],[Sede]]="","",MARÍTIMOS[[#This Row],[Sede]]),"")</f>
        <v/>
      </c>
      <c r="D290" s="1" t="str">
        <f>IFERROR(IF(MARÍTIMOS[[#This Row],[Instruction]]="","",MARÍTIMOS[[#This Row],[Instruction]]),"")</f>
        <v/>
      </c>
      <c r="E290" s="1"/>
      <c r="F290" s="2" t="str">
        <f>IFERROR(IF(MARÍTIMOS[[#This Row],[Transportista]]="","",MARÍTIMOS[[#This Row],[Transportista]]),"")</f>
        <v/>
      </c>
      <c r="G290" s="2" t="str">
        <f>IFERROR(IF(MARÍTIMOS[[#This Row],[Tercero]]="","",MARÍTIMOS[[#This Row],[Tercero]]),"")</f>
        <v/>
      </c>
      <c r="H290" s="2" t="str">
        <f>IFERROR(IF(MARÍTIMOS[[#This Row],[Razón Social]]="","",MARÍTIMOS[[#This Row],[Razón Social]]),"")</f>
        <v/>
      </c>
      <c r="I290" s="2" t="str">
        <f>IFERROR(IF(MARÍTIMOS[[#This Row],[RUC]]="","",MARÍTIMOS[[#This Row],[RUC]]),"")</f>
        <v/>
      </c>
      <c r="J290" s="2" t="str">
        <f>IFERROR(IF(MARÍTIMOS[[#This Row],[Placa Tracto]]="","",MARÍTIMOS[[#This Row],[Placa Tracto]]),"")</f>
        <v/>
      </c>
      <c r="K290" s="2" t="str">
        <f>IFERROR(IF(MARÍTIMOS[[#This Row],[Placa Carreta]]="","",MARÍTIMOS[[#This Row],[Placa Carreta]]),"")</f>
        <v/>
      </c>
      <c r="L290" s="46" t="str">
        <f>IFERROR(IF(MARÍTIMOS[[#This Row],[Conductor]]="","",MARÍTIMOS[[#This Row],[Conductor]]),"")</f>
        <v/>
      </c>
      <c r="M290" s="2" t="str">
        <f>IFERROR(IF(MARÍTIMOS[[#This Row],[Licencia]]="","",MARÍTIMOS[[#This Row],[Licencia]]),"")</f>
        <v/>
      </c>
      <c r="N290" s="2" t="str">
        <f>IFERROR(IF(MARÍTIMOS[[#This Row],[Número de Contacto]]="","",MARÍTIMOS[[#This Row],[Número de Contacto]]),"")</f>
        <v/>
      </c>
      <c r="O290" s="10" t="str">
        <f>IFERROR(IF(MARÍTIMOS[[#This Row],[Booking|AWB|CRT]]="","",MARÍTIMOS[[#This Row],[Booking|AWB|CRT]]),"")</f>
        <v/>
      </c>
      <c r="P290" s="2" t="str">
        <f>IFERROR(IF(MARÍTIMOS[[#This Row],[Contenedor]]="","",MARÍTIMOS[[#This Row],[Contenedor]]),"")</f>
        <v/>
      </c>
      <c r="Q290" s="2" t="str">
        <f>IFERROR(IF(MARÍTIMOS[[#This Row],[Puerto de Retiro]]="","",MARÍTIMOS[[#This Row],[Puerto de Retiro]]),"")</f>
        <v/>
      </c>
      <c r="R290" s="2" t="str">
        <f>IFERROR(IF(MARÍTIMOS[[#This Row],[Almacén de Retiro]]="","",MARÍTIMOS[[#This Row],[Almacén de Retiro]]),"")</f>
        <v/>
      </c>
      <c r="S290" s="11" t="str">
        <f>IFERROR(IF(MARÍTIMOS[[#This Row],[Etapa Retiro - Cita]]="","",MARÍTIMOS[[#This Row],[Etapa Retiro - Cita]]),"")</f>
        <v/>
      </c>
      <c r="T290" s="11" t="str">
        <f>IFERROR(IF(MARÍTIMOS[[#This Row],[Etapa Retiro - Llegada]]="","",MARÍTIMOS[[#This Row],[Etapa Retiro - Llegada]]),"")</f>
        <v/>
      </c>
      <c r="U290" s="11" t="str">
        <f>IFERROR(IF(MARÍTIMOS[[#This Row],[Etapa Retiro - Ingreso]]="","",MARÍTIMOS[[#This Row],[Etapa Retiro - Ingreso]]),"")</f>
        <v/>
      </c>
      <c r="V290" s="11" t="str">
        <f>IFERROR(IF(MARÍTIMOS[[#This Row],[Etapa Retiro - Atención]]="","",MARÍTIMOS[[#This Row],[Etapa Retiro - Atención]]),"")</f>
        <v/>
      </c>
      <c r="W290" s="11" t="str">
        <f>IFERROR(IF(MARÍTIMOS[[#This Row],[Etapa Retiro - Salida]]="","",MARÍTIMOS[[#This Row],[Etapa Retiro - Salida]]),"")</f>
        <v/>
      </c>
      <c r="X290" s="11" t="str">
        <f>IFERROR(IF(MARÍTIMOS[[#This Row],[Etapa Retiro - Inicio de Ruta]]="","",MARÍTIMOS[[#This Row],[Etapa Retiro - Inicio de Ruta]]),"")</f>
        <v/>
      </c>
      <c r="Y290" s="11" t="str">
        <f>IFERROR(IF(MARÍTIMOS[[#This Row],[Hora de Posicionamiento]]="","",MARÍTIMOS[[#This Row],[Hora de Carga]]+MARÍTIMOS[[#This Row],[Hora de Posicionamiento]]),"")</f>
        <v/>
      </c>
      <c r="Z290" s="11" t="str">
        <f>IFERROR(IF(MARÍTIMOS[[#This Row],[Etapa Despacho -  Llegada]]="","",MARÍTIMOS[[#This Row],[Etapa Despacho -  Llegada]]),"")</f>
        <v/>
      </c>
      <c r="AA290" s="11" t="str">
        <f>IFERROR(IF(MARÍTIMOS[[#This Row],[Etapa Despacho -  Registro]]="","",MARÍTIMOS[[#This Row],[Etapa Despacho -  Registro]]),"")</f>
        <v/>
      </c>
      <c r="AB290" s="11" t="str">
        <f>IFERROR(IF(MARÍTIMOS[[#This Row],[Inspección Externa]]="","",MARÍTIMOS[[#This Row],[Inspección Externa]]),"")</f>
        <v/>
      </c>
      <c r="AC290" s="11" t="str">
        <f>IFERROR(IF(MARÍTIMOS[[#This Row],[Etapa Despacho -  Inicio de Carga]]="","",MARÍTIMOS[[#This Row],[Etapa Despacho -  Inicio de Carga]]),"")</f>
        <v/>
      </c>
      <c r="AD290" s="11" t="str">
        <f>IFERROR(IF(MARÍTIMOS[[#This Row],[Etapa Despacho -  Fin de Carga]]="","",MARÍTIMOS[[#This Row],[Etapa Despacho -  Fin de Carga]]),"")</f>
        <v/>
      </c>
      <c r="AE290" s="11" t="str">
        <f>IFERROR(IF(MARÍTIMOS[[#This Row],[Etapa Despacho -  Salida]]="","",MARÍTIMOS[[#This Row],[Etapa Despacho -  Salida]]),"")</f>
        <v/>
      </c>
      <c r="AF290" s="2" t="str">
        <f>IFERROR(IF(MARÍTIMOS[[#This Row],[Puerto de Embarque]]="","",MARÍTIMOS[[#This Row],[Puerto de Embarque]]),"")</f>
        <v/>
      </c>
      <c r="AG290" s="2" t="str">
        <f>IFERROR(IF(MARÍTIMOS[[#This Row],[Almacén de Ingreso]]="","",MARÍTIMOS[[#This Row],[Almacén de Ingreso]]),"")</f>
        <v/>
      </c>
      <c r="AH290" s="11" t="str">
        <f>IFERROR(IF(MARÍTIMOS[[#This Row],[Etapa Ingreso - Cita]]="","",MARÍTIMOS[[#This Row],[Etapa Ingreso - Cita]]),"")</f>
        <v/>
      </c>
      <c r="AI290" s="11" t="str">
        <f>IFERROR(IF(MARÍTIMOS[[#This Row],[Etapa Ingreso - Llegada]]="","",MARÍTIMOS[[#This Row],[Etapa Ingreso - Llegada]]),"")</f>
        <v/>
      </c>
      <c r="AJ290" s="11" t="str">
        <f>IFERROR(IF(MARÍTIMOS[[#This Row],[Etapa Ingreso - Ingeso]]="","",MARÍTIMOS[[#This Row],[Etapa Ingreso - Ingeso]]),"")</f>
        <v/>
      </c>
      <c r="AK290" s="11" t="str">
        <f>IFERROR(IF(MARÍTIMOS[[#This Row],[Etapa Ingreso - Atención]]="","",MARÍTIMOS[[#This Row],[Etapa Ingreso - Atención]]),"")</f>
        <v/>
      </c>
      <c r="AL290" s="11" t="str">
        <f>IFERROR(IF(MARÍTIMOS[[#This Row],[Etapa Ingreso - Salida]]="","",MARÍTIMOS[[#This Row],[Etapa Ingreso - Salida]]),"")</f>
        <v/>
      </c>
      <c r="AM290" s="2" t="str">
        <f>IFERROR(IF(MARÍTIMOS[[#This Row],[FCL]]="","",MARÍTIMOS[[#This Row],[FCL]]),"")</f>
        <v/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0" s="5" t="str">
        <f>IFERROR(OLDBD[[#This Row],[Llegada a packing]]-OLDBD[[#This Row],[Inicio de Ruta]],"")</f>
        <v/>
      </c>
      <c r="AQ290" s="6" t="str">
        <f>IFERROR(OLDBD[[#This Row],[Inicio de Ruta]]-OLDBD[[#This Row],[Salida de almacén de retiro]],"")</f>
        <v/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0" s="9" t="str">
        <f>IFERROR(OLDBD[[#This Row],[Ingreso Packing]]-OLDBD[[#This Row],[Registro en Packing]],"")</f>
        <v/>
      </c>
      <c r="AV290" s="9" t="str">
        <f>IFERROR(OLDBD[[#This Row],[Ingreso Packing]]-OLDBD[[#This Row],[Llegada a packing]],"")</f>
        <v/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0" s="5" t="str">
        <f>IFERROR(OLDBD[[#This Row],[Llegada Almacén de Ingreso]]-OLDBD[[#This Row],[Salida Packing]],"")</f>
        <v/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0" s="45" t="s">
        <v>181</v>
      </c>
      <c r="BB290" s="53" t="str">
        <f>IFERROR(IF(MARÍTIMOS[[#This Row],[Estatus]]="","",MARÍTIMOS[[#This Row],[Estatus]]),"")</f>
        <v/>
      </c>
      <c r="BC290" s="45"/>
      <c r="BD290" s="52" t="str">
        <f>IFERROR(OLDBD[[#This Row],[Salida de almacén de retiro]]-OLDBD[[#This Row],[Ingreso Almacén de retiro]],"")</f>
        <v/>
      </c>
      <c r="BE290" s="52" t="str">
        <f>IFERROR(OLDBD[[#This Row],[Fin de Carga]]-OLDBD[[#This Row],[Inicio de Carga]],"")</f>
        <v/>
      </c>
    </row>
    <row r="291" spans="1:57" x14ac:dyDescent="0.35">
      <c r="A291" s="1"/>
      <c r="B291" s="1" t="str">
        <f>IFERROR(IF(MARÍTIMOS[[#This Row],[PP]]="","",MARÍTIMOS[[#This Row],[PP]]),"")</f>
        <v/>
      </c>
      <c r="C291" s="1" t="str">
        <f>IFERROR(IF(MARÍTIMOS[[#This Row],[Sede]]="","",MARÍTIMOS[[#This Row],[Sede]]),"")</f>
        <v/>
      </c>
      <c r="D291" s="1" t="str">
        <f>IFERROR(IF(MARÍTIMOS[[#This Row],[Instruction]]="","",MARÍTIMOS[[#This Row],[Instruction]]),"")</f>
        <v/>
      </c>
      <c r="E291" s="1"/>
      <c r="F291" s="2" t="str">
        <f>IFERROR(IF(MARÍTIMOS[[#This Row],[Transportista]]="","",MARÍTIMOS[[#This Row],[Transportista]]),"")</f>
        <v/>
      </c>
      <c r="G291" s="2" t="str">
        <f>IFERROR(IF(MARÍTIMOS[[#This Row],[Tercero]]="","",MARÍTIMOS[[#This Row],[Tercero]]),"")</f>
        <v/>
      </c>
      <c r="H291" s="2" t="str">
        <f>IFERROR(IF(MARÍTIMOS[[#This Row],[Razón Social]]="","",MARÍTIMOS[[#This Row],[Razón Social]]),"")</f>
        <v/>
      </c>
      <c r="I291" s="2" t="str">
        <f>IFERROR(IF(MARÍTIMOS[[#This Row],[RUC]]="","",MARÍTIMOS[[#This Row],[RUC]]),"")</f>
        <v/>
      </c>
      <c r="J291" s="2" t="str">
        <f>IFERROR(IF(MARÍTIMOS[[#This Row],[Placa Tracto]]="","",MARÍTIMOS[[#This Row],[Placa Tracto]]),"")</f>
        <v/>
      </c>
      <c r="K291" s="2" t="str">
        <f>IFERROR(IF(MARÍTIMOS[[#This Row],[Placa Carreta]]="","",MARÍTIMOS[[#This Row],[Placa Carreta]]),"")</f>
        <v/>
      </c>
      <c r="L291" s="46" t="str">
        <f>IFERROR(IF(MARÍTIMOS[[#This Row],[Conductor]]="","",MARÍTIMOS[[#This Row],[Conductor]]),"")</f>
        <v/>
      </c>
      <c r="M291" s="2" t="str">
        <f>IFERROR(IF(MARÍTIMOS[[#This Row],[Licencia]]="","",MARÍTIMOS[[#This Row],[Licencia]]),"")</f>
        <v/>
      </c>
      <c r="N291" s="2" t="str">
        <f>IFERROR(IF(MARÍTIMOS[[#This Row],[Número de Contacto]]="","",MARÍTIMOS[[#This Row],[Número de Contacto]]),"")</f>
        <v/>
      </c>
      <c r="O291" s="10" t="str">
        <f>IFERROR(IF(MARÍTIMOS[[#This Row],[Booking|AWB|CRT]]="","",MARÍTIMOS[[#This Row],[Booking|AWB|CRT]]),"")</f>
        <v/>
      </c>
      <c r="P291" s="2" t="str">
        <f>IFERROR(IF(MARÍTIMOS[[#This Row],[Contenedor]]="","",MARÍTIMOS[[#This Row],[Contenedor]]),"")</f>
        <v/>
      </c>
      <c r="Q291" s="2" t="str">
        <f>IFERROR(IF(MARÍTIMOS[[#This Row],[Puerto de Retiro]]="","",MARÍTIMOS[[#This Row],[Puerto de Retiro]]),"")</f>
        <v/>
      </c>
      <c r="R291" s="2" t="str">
        <f>IFERROR(IF(MARÍTIMOS[[#This Row],[Almacén de Retiro]]="","",MARÍTIMOS[[#This Row],[Almacén de Retiro]]),"")</f>
        <v/>
      </c>
      <c r="S291" s="11" t="str">
        <f>IFERROR(IF(MARÍTIMOS[[#This Row],[Etapa Retiro - Cita]]="","",MARÍTIMOS[[#This Row],[Etapa Retiro - Cita]]),"")</f>
        <v/>
      </c>
      <c r="T291" s="11" t="str">
        <f>IFERROR(IF(MARÍTIMOS[[#This Row],[Etapa Retiro - Llegada]]="","",MARÍTIMOS[[#This Row],[Etapa Retiro - Llegada]]),"")</f>
        <v/>
      </c>
      <c r="U291" s="11" t="str">
        <f>IFERROR(IF(MARÍTIMOS[[#This Row],[Etapa Retiro - Ingreso]]="","",MARÍTIMOS[[#This Row],[Etapa Retiro - Ingreso]]),"")</f>
        <v/>
      </c>
      <c r="V291" s="11" t="str">
        <f>IFERROR(IF(MARÍTIMOS[[#This Row],[Etapa Retiro - Atención]]="","",MARÍTIMOS[[#This Row],[Etapa Retiro - Atención]]),"")</f>
        <v/>
      </c>
      <c r="W291" s="11" t="str">
        <f>IFERROR(IF(MARÍTIMOS[[#This Row],[Etapa Retiro - Salida]]="","",MARÍTIMOS[[#This Row],[Etapa Retiro - Salida]]),"")</f>
        <v/>
      </c>
      <c r="X291" s="11" t="str">
        <f>IFERROR(IF(MARÍTIMOS[[#This Row],[Etapa Retiro - Inicio de Ruta]]="","",MARÍTIMOS[[#This Row],[Etapa Retiro - Inicio de Ruta]]),"")</f>
        <v/>
      </c>
      <c r="Y291" s="11" t="str">
        <f>IFERROR(IF(MARÍTIMOS[[#This Row],[Hora de Posicionamiento]]="","",MARÍTIMOS[[#This Row],[Hora de Carga]]+MARÍTIMOS[[#This Row],[Hora de Posicionamiento]]),"")</f>
        <v/>
      </c>
      <c r="Z291" s="11" t="str">
        <f>IFERROR(IF(MARÍTIMOS[[#This Row],[Etapa Despacho -  Llegada]]="","",MARÍTIMOS[[#This Row],[Etapa Despacho -  Llegada]]),"")</f>
        <v/>
      </c>
      <c r="AA291" s="11" t="str">
        <f>IFERROR(IF(MARÍTIMOS[[#This Row],[Etapa Despacho -  Registro]]="","",MARÍTIMOS[[#This Row],[Etapa Despacho -  Registro]]),"")</f>
        <v/>
      </c>
      <c r="AB291" s="11" t="str">
        <f>IFERROR(IF(MARÍTIMOS[[#This Row],[Inspección Externa]]="","",MARÍTIMOS[[#This Row],[Inspección Externa]]),"")</f>
        <v/>
      </c>
      <c r="AC291" s="11" t="str">
        <f>IFERROR(IF(MARÍTIMOS[[#This Row],[Etapa Despacho -  Inicio de Carga]]="","",MARÍTIMOS[[#This Row],[Etapa Despacho -  Inicio de Carga]]),"")</f>
        <v/>
      </c>
      <c r="AD291" s="11" t="str">
        <f>IFERROR(IF(MARÍTIMOS[[#This Row],[Etapa Despacho -  Fin de Carga]]="","",MARÍTIMOS[[#This Row],[Etapa Despacho -  Fin de Carga]]),"")</f>
        <v/>
      </c>
      <c r="AE291" s="11" t="str">
        <f>IFERROR(IF(MARÍTIMOS[[#This Row],[Etapa Despacho -  Salida]]="","",MARÍTIMOS[[#This Row],[Etapa Despacho -  Salida]]),"")</f>
        <v/>
      </c>
      <c r="AF291" s="2" t="str">
        <f>IFERROR(IF(MARÍTIMOS[[#This Row],[Puerto de Embarque]]="","",MARÍTIMOS[[#This Row],[Puerto de Embarque]]),"")</f>
        <v/>
      </c>
      <c r="AG291" s="2" t="str">
        <f>IFERROR(IF(MARÍTIMOS[[#This Row],[Almacén de Ingreso]]="","",MARÍTIMOS[[#This Row],[Almacén de Ingreso]]),"")</f>
        <v/>
      </c>
      <c r="AH291" s="11" t="str">
        <f>IFERROR(IF(MARÍTIMOS[[#This Row],[Etapa Ingreso - Cita]]="","",MARÍTIMOS[[#This Row],[Etapa Ingreso - Cita]]),"")</f>
        <v/>
      </c>
      <c r="AI291" s="11" t="str">
        <f>IFERROR(IF(MARÍTIMOS[[#This Row],[Etapa Ingreso - Llegada]]="","",MARÍTIMOS[[#This Row],[Etapa Ingreso - Llegada]]),"")</f>
        <v/>
      </c>
      <c r="AJ291" s="11" t="str">
        <f>IFERROR(IF(MARÍTIMOS[[#This Row],[Etapa Ingreso - Ingeso]]="","",MARÍTIMOS[[#This Row],[Etapa Ingreso - Ingeso]]),"")</f>
        <v/>
      </c>
      <c r="AK291" s="11" t="str">
        <f>IFERROR(IF(MARÍTIMOS[[#This Row],[Etapa Ingreso - Atención]]="","",MARÍTIMOS[[#This Row],[Etapa Ingreso - Atención]]),"")</f>
        <v/>
      </c>
      <c r="AL291" s="11" t="str">
        <f>IFERROR(IF(MARÍTIMOS[[#This Row],[Etapa Ingreso - Salida]]="","",MARÍTIMOS[[#This Row],[Etapa Ingreso - Salida]]),"")</f>
        <v/>
      </c>
      <c r="AM291" s="2" t="str">
        <f>IFERROR(IF(MARÍTIMOS[[#This Row],[FCL]]="","",MARÍTIMOS[[#This Row],[FCL]]),"")</f>
        <v/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1" s="5" t="str">
        <f>IFERROR(OLDBD[[#This Row],[Llegada a packing]]-OLDBD[[#This Row],[Inicio de Ruta]],"")</f>
        <v/>
      </c>
      <c r="AQ291" s="6" t="str">
        <f>IFERROR(OLDBD[[#This Row],[Inicio de Ruta]]-OLDBD[[#This Row],[Salida de almacén de retiro]],"")</f>
        <v/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1" s="9" t="str">
        <f>IFERROR(OLDBD[[#This Row],[Ingreso Packing]]-OLDBD[[#This Row],[Registro en Packing]],"")</f>
        <v/>
      </c>
      <c r="AV291" s="9" t="str">
        <f>IFERROR(OLDBD[[#This Row],[Ingreso Packing]]-OLDBD[[#This Row],[Llegada a packing]],"")</f>
        <v/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1" s="5" t="str">
        <f>IFERROR(OLDBD[[#This Row],[Llegada Almacén de Ingreso]]-OLDBD[[#This Row],[Salida Packing]],"")</f>
        <v/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1" s="45" t="s">
        <v>181</v>
      </c>
      <c r="BB291" s="53" t="str">
        <f>IFERROR(IF(MARÍTIMOS[[#This Row],[Estatus]]="","",MARÍTIMOS[[#This Row],[Estatus]]),"")</f>
        <v/>
      </c>
      <c r="BC291" s="45"/>
      <c r="BD291" s="52" t="str">
        <f>IFERROR(OLDBD[[#This Row],[Salida de almacén de retiro]]-OLDBD[[#This Row],[Ingreso Almacén de retiro]],"")</f>
        <v/>
      </c>
      <c r="BE291" s="52" t="str">
        <f>IFERROR(OLDBD[[#This Row],[Fin de Carga]]-OLDBD[[#This Row],[Inicio de Carga]],"")</f>
        <v/>
      </c>
    </row>
    <row r="292" spans="1:57" x14ac:dyDescent="0.35">
      <c r="A292" s="1"/>
      <c r="B292" s="1" t="str">
        <f>IFERROR(IF(MARÍTIMOS[[#This Row],[PP]]="","",MARÍTIMOS[[#This Row],[PP]]),"")</f>
        <v/>
      </c>
      <c r="C292" s="1" t="str">
        <f>IFERROR(IF(MARÍTIMOS[[#This Row],[Sede]]="","",MARÍTIMOS[[#This Row],[Sede]]),"")</f>
        <v/>
      </c>
      <c r="D292" s="1" t="str">
        <f>IFERROR(IF(MARÍTIMOS[[#This Row],[Instruction]]="","",MARÍTIMOS[[#This Row],[Instruction]]),"")</f>
        <v/>
      </c>
      <c r="E292" s="1"/>
      <c r="F292" s="2" t="str">
        <f>IFERROR(IF(MARÍTIMOS[[#This Row],[Transportista]]="","",MARÍTIMOS[[#This Row],[Transportista]]),"")</f>
        <v/>
      </c>
      <c r="G292" s="2" t="str">
        <f>IFERROR(IF(MARÍTIMOS[[#This Row],[Tercero]]="","",MARÍTIMOS[[#This Row],[Tercero]]),"")</f>
        <v/>
      </c>
      <c r="H292" s="2" t="str">
        <f>IFERROR(IF(MARÍTIMOS[[#This Row],[Razón Social]]="","",MARÍTIMOS[[#This Row],[Razón Social]]),"")</f>
        <v/>
      </c>
      <c r="I292" s="2" t="str">
        <f>IFERROR(IF(MARÍTIMOS[[#This Row],[RUC]]="","",MARÍTIMOS[[#This Row],[RUC]]),"")</f>
        <v/>
      </c>
      <c r="J292" s="2" t="str">
        <f>IFERROR(IF(MARÍTIMOS[[#This Row],[Placa Tracto]]="","",MARÍTIMOS[[#This Row],[Placa Tracto]]),"")</f>
        <v/>
      </c>
      <c r="K292" s="2" t="str">
        <f>IFERROR(IF(MARÍTIMOS[[#This Row],[Placa Carreta]]="","",MARÍTIMOS[[#This Row],[Placa Carreta]]),"")</f>
        <v/>
      </c>
      <c r="L292" s="46" t="str">
        <f>IFERROR(IF(MARÍTIMOS[[#This Row],[Conductor]]="","",MARÍTIMOS[[#This Row],[Conductor]]),"")</f>
        <v/>
      </c>
      <c r="M292" s="2" t="str">
        <f>IFERROR(IF(MARÍTIMOS[[#This Row],[Licencia]]="","",MARÍTIMOS[[#This Row],[Licencia]]),"")</f>
        <v/>
      </c>
      <c r="N292" s="2" t="str">
        <f>IFERROR(IF(MARÍTIMOS[[#This Row],[Número de Contacto]]="","",MARÍTIMOS[[#This Row],[Número de Contacto]]),"")</f>
        <v/>
      </c>
      <c r="O292" s="10" t="str">
        <f>IFERROR(IF(MARÍTIMOS[[#This Row],[Booking|AWB|CRT]]="","",MARÍTIMOS[[#This Row],[Booking|AWB|CRT]]),"")</f>
        <v/>
      </c>
      <c r="P292" s="2" t="str">
        <f>IFERROR(IF(MARÍTIMOS[[#This Row],[Contenedor]]="","",MARÍTIMOS[[#This Row],[Contenedor]]),"")</f>
        <v/>
      </c>
      <c r="Q292" s="2" t="str">
        <f>IFERROR(IF(MARÍTIMOS[[#This Row],[Puerto de Retiro]]="","",MARÍTIMOS[[#This Row],[Puerto de Retiro]]),"")</f>
        <v/>
      </c>
      <c r="R292" s="2" t="str">
        <f>IFERROR(IF(MARÍTIMOS[[#This Row],[Almacén de Retiro]]="","",MARÍTIMOS[[#This Row],[Almacén de Retiro]]),"")</f>
        <v/>
      </c>
      <c r="S292" s="11" t="str">
        <f>IFERROR(IF(MARÍTIMOS[[#This Row],[Etapa Retiro - Cita]]="","",MARÍTIMOS[[#This Row],[Etapa Retiro - Cita]]),"")</f>
        <v/>
      </c>
      <c r="T292" s="11" t="str">
        <f>IFERROR(IF(MARÍTIMOS[[#This Row],[Etapa Retiro - Llegada]]="","",MARÍTIMOS[[#This Row],[Etapa Retiro - Llegada]]),"")</f>
        <v/>
      </c>
      <c r="U292" s="11" t="str">
        <f>IFERROR(IF(MARÍTIMOS[[#This Row],[Etapa Retiro - Ingreso]]="","",MARÍTIMOS[[#This Row],[Etapa Retiro - Ingreso]]),"")</f>
        <v/>
      </c>
      <c r="V292" s="11" t="str">
        <f>IFERROR(IF(MARÍTIMOS[[#This Row],[Etapa Retiro - Atención]]="","",MARÍTIMOS[[#This Row],[Etapa Retiro - Atención]]),"")</f>
        <v/>
      </c>
      <c r="W292" s="11" t="str">
        <f>IFERROR(IF(MARÍTIMOS[[#This Row],[Etapa Retiro - Salida]]="","",MARÍTIMOS[[#This Row],[Etapa Retiro - Salida]]),"")</f>
        <v/>
      </c>
      <c r="X292" s="11" t="str">
        <f>IFERROR(IF(MARÍTIMOS[[#This Row],[Etapa Retiro - Inicio de Ruta]]="","",MARÍTIMOS[[#This Row],[Etapa Retiro - Inicio de Ruta]]),"")</f>
        <v/>
      </c>
      <c r="Y292" s="11" t="str">
        <f>IFERROR(IF(MARÍTIMOS[[#This Row],[Hora de Posicionamiento]]="","",MARÍTIMOS[[#This Row],[Hora de Carga]]+MARÍTIMOS[[#This Row],[Hora de Posicionamiento]]),"")</f>
        <v/>
      </c>
      <c r="Z292" s="11" t="str">
        <f>IFERROR(IF(MARÍTIMOS[[#This Row],[Etapa Despacho -  Llegada]]="","",MARÍTIMOS[[#This Row],[Etapa Despacho -  Llegada]]),"")</f>
        <v/>
      </c>
      <c r="AA292" s="11" t="str">
        <f>IFERROR(IF(MARÍTIMOS[[#This Row],[Etapa Despacho -  Registro]]="","",MARÍTIMOS[[#This Row],[Etapa Despacho -  Registro]]),"")</f>
        <v/>
      </c>
      <c r="AB292" s="11" t="str">
        <f>IFERROR(IF(MARÍTIMOS[[#This Row],[Inspección Externa]]="","",MARÍTIMOS[[#This Row],[Inspección Externa]]),"")</f>
        <v/>
      </c>
      <c r="AC292" s="11" t="str">
        <f>IFERROR(IF(MARÍTIMOS[[#This Row],[Etapa Despacho -  Inicio de Carga]]="","",MARÍTIMOS[[#This Row],[Etapa Despacho -  Inicio de Carga]]),"")</f>
        <v/>
      </c>
      <c r="AD292" s="11" t="str">
        <f>IFERROR(IF(MARÍTIMOS[[#This Row],[Etapa Despacho -  Fin de Carga]]="","",MARÍTIMOS[[#This Row],[Etapa Despacho -  Fin de Carga]]),"")</f>
        <v/>
      </c>
      <c r="AE292" s="11" t="str">
        <f>IFERROR(IF(MARÍTIMOS[[#This Row],[Etapa Despacho -  Salida]]="","",MARÍTIMOS[[#This Row],[Etapa Despacho -  Salida]]),"")</f>
        <v/>
      </c>
      <c r="AF292" s="2" t="str">
        <f>IFERROR(IF(MARÍTIMOS[[#This Row],[Puerto de Embarque]]="","",MARÍTIMOS[[#This Row],[Puerto de Embarque]]),"")</f>
        <v/>
      </c>
      <c r="AG292" s="2" t="str">
        <f>IFERROR(IF(MARÍTIMOS[[#This Row],[Almacén de Ingreso]]="","",MARÍTIMOS[[#This Row],[Almacén de Ingreso]]),"")</f>
        <v/>
      </c>
      <c r="AH292" s="11" t="str">
        <f>IFERROR(IF(MARÍTIMOS[[#This Row],[Etapa Ingreso - Cita]]="","",MARÍTIMOS[[#This Row],[Etapa Ingreso - Cita]]),"")</f>
        <v/>
      </c>
      <c r="AI292" s="11" t="str">
        <f>IFERROR(IF(MARÍTIMOS[[#This Row],[Etapa Ingreso - Llegada]]="","",MARÍTIMOS[[#This Row],[Etapa Ingreso - Llegada]]),"")</f>
        <v/>
      </c>
      <c r="AJ292" s="11" t="str">
        <f>IFERROR(IF(MARÍTIMOS[[#This Row],[Etapa Ingreso - Ingeso]]="","",MARÍTIMOS[[#This Row],[Etapa Ingreso - Ingeso]]),"")</f>
        <v/>
      </c>
      <c r="AK292" s="11" t="str">
        <f>IFERROR(IF(MARÍTIMOS[[#This Row],[Etapa Ingreso - Atención]]="","",MARÍTIMOS[[#This Row],[Etapa Ingreso - Atención]]),"")</f>
        <v/>
      </c>
      <c r="AL292" s="11" t="str">
        <f>IFERROR(IF(MARÍTIMOS[[#This Row],[Etapa Ingreso - Salida]]="","",MARÍTIMOS[[#This Row],[Etapa Ingreso - Salida]]),"")</f>
        <v/>
      </c>
      <c r="AM292" s="2" t="str">
        <f>IFERROR(IF(MARÍTIMOS[[#This Row],[FCL]]="","",MARÍTIMOS[[#This Row],[FCL]]),"")</f>
        <v/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2" s="5" t="str">
        <f>IFERROR(OLDBD[[#This Row],[Llegada a packing]]-OLDBD[[#This Row],[Inicio de Ruta]],"")</f>
        <v/>
      </c>
      <c r="AQ292" s="6" t="str">
        <f>IFERROR(OLDBD[[#This Row],[Inicio de Ruta]]-OLDBD[[#This Row],[Salida de almacén de retiro]],"")</f>
        <v/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2" s="9" t="str">
        <f>IFERROR(OLDBD[[#This Row],[Ingreso Packing]]-OLDBD[[#This Row],[Registro en Packing]],"")</f>
        <v/>
      </c>
      <c r="AV292" s="9" t="str">
        <f>IFERROR(OLDBD[[#This Row],[Ingreso Packing]]-OLDBD[[#This Row],[Llegada a packing]],"")</f>
        <v/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2" s="5" t="str">
        <f>IFERROR(OLDBD[[#This Row],[Llegada Almacén de Ingreso]]-OLDBD[[#This Row],[Salida Packing]],"")</f>
        <v/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2" s="45" t="s">
        <v>181</v>
      </c>
      <c r="BB292" s="53" t="str">
        <f>IFERROR(IF(MARÍTIMOS[[#This Row],[Estatus]]="","",MARÍTIMOS[[#This Row],[Estatus]]),"")</f>
        <v/>
      </c>
      <c r="BC292" s="45"/>
      <c r="BD292" s="52" t="str">
        <f>IFERROR(OLDBD[[#This Row],[Salida de almacén de retiro]]-OLDBD[[#This Row],[Ingreso Almacén de retiro]],"")</f>
        <v/>
      </c>
      <c r="BE292" s="52" t="str">
        <f>IFERROR(OLDBD[[#This Row],[Fin de Carga]]-OLDBD[[#This Row],[Inicio de Carga]],"")</f>
        <v/>
      </c>
    </row>
    <row r="293" spans="1:57" x14ac:dyDescent="0.35">
      <c r="A293" s="1"/>
      <c r="B293" s="1" t="str">
        <f>IFERROR(IF(MARÍTIMOS[[#This Row],[PP]]="","",MARÍTIMOS[[#This Row],[PP]]),"")</f>
        <v/>
      </c>
      <c r="C293" s="1" t="str">
        <f>IFERROR(IF(MARÍTIMOS[[#This Row],[Sede]]="","",MARÍTIMOS[[#This Row],[Sede]]),"")</f>
        <v/>
      </c>
      <c r="D293" s="1" t="str">
        <f>IFERROR(IF(MARÍTIMOS[[#This Row],[Instruction]]="","",MARÍTIMOS[[#This Row],[Instruction]]),"")</f>
        <v/>
      </c>
      <c r="E293" s="1"/>
      <c r="F293" s="2" t="str">
        <f>IFERROR(IF(MARÍTIMOS[[#This Row],[Transportista]]="","",MARÍTIMOS[[#This Row],[Transportista]]),"")</f>
        <v/>
      </c>
      <c r="G293" s="2" t="str">
        <f>IFERROR(IF(MARÍTIMOS[[#This Row],[Tercero]]="","",MARÍTIMOS[[#This Row],[Tercero]]),"")</f>
        <v/>
      </c>
      <c r="H293" s="2" t="str">
        <f>IFERROR(IF(MARÍTIMOS[[#This Row],[Razón Social]]="","",MARÍTIMOS[[#This Row],[Razón Social]]),"")</f>
        <v/>
      </c>
      <c r="I293" s="2" t="str">
        <f>IFERROR(IF(MARÍTIMOS[[#This Row],[RUC]]="","",MARÍTIMOS[[#This Row],[RUC]]),"")</f>
        <v/>
      </c>
      <c r="J293" s="2" t="str">
        <f>IFERROR(IF(MARÍTIMOS[[#This Row],[Placa Tracto]]="","",MARÍTIMOS[[#This Row],[Placa Tracto]]),"")</f>
        <v/>
      </c>
      <c r="K293" s="2" t="str">
        <f>IFERROR(IF(MARÍTIMOS[[#This Row],[Placa Carreta]]="","",MARÍTIMOS[[#This Row],[Placa Carreta]]),"")</f>
        <v/>
      </c>
      <c r="L293" s="46" t="str">
        <f>IFERROR(IF(MARÍTIMOS[[#This Row],[Conductor]]="","",MARÍTIMOS[[#This Row],[Conductor]]),"")</f>
        <v/>
      </c>
      <c r="M293" s="2" t="str">
        <f>IFERROR(IF(MARÍTIMOS[[#This Row],[Licencia]]="","",MARÍTIMOS[[#This Row],[Licencia]]),"")</f>
        <v/>
      </c>
      <c r="N293" s="2" t="str">
        <f>IFERROR(IF(MARÍTIMOS[[#This Row],[Número de Contacto]]="","",MARÍTIMOS[[#This Row],[Número de Contacto]]),"")</f>
        <v/>
      </c>
      <c r="O293" s="10" t="str">
        <f>IFERROR(IF(MARÍTIMOS[[#This Row],[Booking|AWB|CRT]]="","",MARÍTIMOS[[#This Row],[Booking|AWB|CRT]]),"")</f>
        <v/>
      </c>
      <c r="P293" s="2" t="str">
        <f>IFERROR(IF(MARÍTIMOS[[#This Row],[Contenedor]]="","",MARÍTIMOS[[#This Row],[Contenedor]]),"")</f>
        <v/>
      </c>
      <c r="Q293" s="2" t="str">
        <f>IFERROR(IF(MARÍTIMOS[[#This Row],[Puerto de Retiro]]="","",MARÍTIMOS[[#This Row],[Puerto de Retiro]]),"")</f>
        <v/>
      </c>
      <c r="R293" s="2" t="str">
        <f>IFERROR(IF(MARÍTIMOS[[#This Row],[Almacén de Retiro]]="","",MARÍTIMOS[[#This Row],[Almacén de Retiro]]),"")</f>
        <v/>
      </c>
      <c r="S293" s="11" t="str">
        <f>IFERROR(IF(MARÍTIMOS[[#This Row],[Etapa Retiro - Cita]]="","",MARÍTIMOS[[#This Row],[Etapa Retiro - Cita]]),"")</f>
        <v/>
      </c>
      <c r="T293" s="11" t="str">
        <f>IFERROR(IF(MARÍTIMOS[[#This Row],[Etapa Retiro - Llegada]]="","",MARÍTIMOS[[#This Row],[Etapa Retiro - Llegada]]),"")</f>
        <v/>
      </c>
      <c r="U293" s="11" t="str">
        <f>IFERROR(IF(MARÍTIMOS[[#This Row],[Etapa Retiro - Ingreso]]="","",MARÍTIMOS[[#This Row],[Etapa Retiro - Ingreso]]),"")</f>
        <v/>
      </c>
      <c r="V293" s="11" t="str">
        <f>IFERROR(IF(MARÍTIMOS[[#This Row],[Etapa Retiro - Atención]]="","",MARÍTIMOS[[#This Row],[Etapa Retiro - Atención]]),"")</f>
        <v/>
      </c>
      <c r="W293" s="11" t="str">
        <f>IFERROR(IF(MARÍTIMOS[[#This Row],[Etapa Retiro - Salida]]="","",MARÍTIMOS[[#This Row],[Etapa Retiro - Salida]]),"")</f>
        <v/>
      </c>
      <c r="X293" s="11" t="str">
        <f>IFERROR(IF(MARÍTIMOS[[#This Row],[Etapa Retiro - Inicio de Ruta]]="","",MARÍTIMOS[[#This Row],[Etapa Retiro - Inicio de Ruta]]),"")</f>
        <v/>
      </c>
      <c r="Y293" s="11" t="str">
        <f>IFERROR(IF(MARÍTIMOS[[#This Row],[Hora de Posicionamiento]]="","",MARÍTIMOS[[#This Row],[Hora de Carga]]+MARÍTIMOS[[#This Row],[Hora de Posicionamiento]]),"")</f>
        <v/>
      </c>
      <c r="Z293" s="11" t="str">
        <f>IFERROR(IF(MARÍTIMOS[[#This Row],[Etapa Despacho -  Llegada]]="","",MARÍTIMOS[[#This Row],[Etapa Despacho -  Llegada]]),"")</f>
        <v/>
      </c>
      <c r="AA293" s="11" t="str">
        <f>IFERROR(IF(MARÍTIMOS[[#This Row],[Etapa Despacho -  Registro]]="","",MARÍTIMOS[[#This Row],[Etapa Despacho -  Registro]]),"")</f>
        <v/>
      </c>
      <c r="AB293" s="11" t="str">
        <f>IFERROR(IF(MARÍTIMOS[[#This Row],[Inspección Externa]]="","",MARÍTIMOS[[#This Row],[Inspección Externa]]),"")</f>
        <v/>
      </c>
      <c r="AC293" s="11" t="str">
        <f>IFERROR(IF(MARÍTIMOS[[#This Row],[Etapa Despacho -  Inicio de Carga]]="","",MARÍTIMOS[[#This Row],[Etapa Despacho -  Inicio de Carga]]),"")</f>
        <v/>
      </c>
      <c r="AD293" s="11" t="str">
        <f>IFERROR(IF(MARÍTIMOS[[#This Row],[Etapa Despacho -  Fin de Carga]]="","",MARÍTIMOS[[#This Row],[Etapa Despacho -  Fin de Carga]]),"")</f>
        <v/>
      </c>
      <c r="AE293" s="11" t="str">
        <f>IFERROR(IF(MARÍTIMOS[[#This Row],[Etapa Despacho -  Salida]]="","",MARÍTIMOS[[#This Row],[Etapa Despacho -  Salida]]),"")</f>
        <v/>
      </c>
      <c r="AF293" s="2" t="str">
        <f>IFERROR(IF(MARÍTIMOS[[#This Row],[Puerto de Embarque]]="","",MARÍTIMOS[[#This Row],[Puerto de Embarque]]),"")</f>
        <v/>
      </c>
      <c r="AG293" s="2" t="str">
        <f>IFERROR(IF(MARÍTIMOS[[#This Row],[Almacén de Ingreso]]="","",MARÍTIMOS[[#This Row],[Almacén de Ingreso]]),"")</f>
        <v/>
      </c>
      <c r="AH293" s="11" t="str">
        <f>IFERROR(IF(MARÍTIMOS[[#This Row],[Etapa Ingreso - Cita]]="","",MARÍTIMOS[[#This Row],[Etapa Ingreso - Cita]]),"")</f>
        <v/>
      </c>
      <c r="AI293" s="11" t="str">
        <f>IFERROR(IF(MARÍTIMOS[[#This Row],[Etapa Ingreso - Llegada]]="","",MARÍTIMOS[[#This Row],[Etapa Ingreso - Llegada]]),"")</f>
        <v/>
      </c>
      <c r="AJ293" s="11" t="str">
        <f>IFERROR(IF(MARÍTIMOS[[#This Row],[Etapa Ingreso - Ingeso]]="","",MARÍTIMOS[[#This Row],[Etapa Ingreso - Ingeso]]),"")</f>
        <v/>
      </c>
      <c r="AK293" s="11" t="str">
        <f>IFERROR(IF(MARÍTIMOS[[#This Row],[Etapa Ingreso - Atención]]="","",MARÍTIMOS[[#This Row],[Etapa Ingreso - Atención]]),"")</f>
        <v/>
      </c>
      <c r="AL293" s="11" t="str">
        <f>IFERROR(IF(MARÍTIMOS[[#This Row],[Etapa Ingreso - Salida]]="","",MARÍTIMOS[[#This Row],[Etapa Ingreso - Salida]]),"")</f>
        <v/>
      </c>
      <c r="AM293" s="2" t="str">
        <f>IFERROR(IF(MARÍTIMOS[[#This Row],[FCL]]="","",MARÍTIMOS[[#This Row],[FCL]]),"")</f>
        <v/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3" s="5" t="str">
        <f>IFERROR(OLDBD[[#This Row],[Llegada a packing]]-OLDBD[[#This Row],[Inicio de Ruta]],"")</f>
        <v/>
      </c>
      <c r="AQ293" s="6" t="str">
        <f>IFERROR(OLDBD[[#This Row],[Inicio de Ruta]]-OLDBD[[#This Row],[Salida de almacén de retiro]],"")</f>
        <v/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3" s="9" t="str">
        <f>IFERROR(OLDBD[[#This Row],[Ingreso Packing]]-OLDBD[[#This Row],[Registro en Packing]],"")</f>
        <v/>
      </c>
      <c r="AV293" s="9" t="str">
        <f>IFERROR(OLDBD[[#This Row],[Ingreso Packing]]-OLDBD[[#This Row],[Llegada a packing]],"")</f>
        <v/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3" s="5" t="str">
        <f>IFERROR(OLDBD[[#This Row],[Llegada Almacén de Ingreso]]-OLDBD[[#This Row],[Salida Packing]],"")</f>
        <v/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3" s="45" t="s">
        <v>181</v>
      </c>
      <c r="BB293" s="53" t="str">
        <f>IFERROR(IF(MARÍTIMOS[[#This Row],[Estatus]]="","",MARÍTIMOS[[#This Row],[Estatus]]),"")</f>
        <v/>
      </c>
      <c r="BC293" s="45"/>
      <c r="BD293" s="52" t="str">
        <f>IFERROR(OLDBD[[#This Row],[Salida de almacén de retiro]]-OLDBD[[#This Row],[Ingreso Almacén de retiro]],"")</f>
        <v/>
      </c>
      <c r="BE293" s="52" t="str">
        <f>IFERROR(OLDBD[[#This Row],[Fin de Carga]]-OLDBD[[#This Row],[Inicio de Carga]],"")</f>
        <v/>
      </c>
    </row>
    <row r="294" spans="1:57" x14ac:dyDescent="0.35">
      <c r="A294" s="1"/>
      <c r="B294" s="1" t="str">
        <f>IFERROR(IF(MARÍTIMOS[[#This Row],[PP]]="","",MARÍTIMOS[[#This Row],[PP]]),"")</f>
        <v/>
      </c>
      <c r="C294" s="1" t="str">
        <f>IFERROR(IF(MARÍTIMOS[[#This Row],[Sede]]="","",MARÍTIMOS[[#This Row],[Sede]]),"")</f>
        <v/>
      </c>
      <c r="D294" s="1" t="str">
        <f>IFERROR(IF(MARÍTIMOS[[#This Row],[Instruction]]="","",MARÍTIMOS[[#This Row],[Instruction]]),"")</f>
        <v/>
      </c>
      <c r="E294" s="1"/>
      <c r="F294" s="2" t="str">
        <f>IFERROR(IF(MARÍTIMOS[[#This Row],[Transportista]]="","",MARÍTIMOS[[#This Row],[Transportista]]),"")</f>
        <v/>
      </c>
      <c r="G294" s="2" t="str">
        <f>IFERROR(IF(MARÍTIMOS[[#This Row],[Tercero]]="","",MARÍTIMOS[[#This Row],[Tercero]]),"")</f>
        <v/>
      </c>
      <c r="H294" s="2" t="str">
        <f>IFERROR(IF(MARÍTIMOS[[#This Row],[Razón Social]]="","",MARÍTIMOS[[#This Row],[Razón Social]]),"")</f>
        <v/>
      </c>
      <c r="I294" s="2" t="str">
        <f>IFERROR(IF(MARÍTIMOS[[#This Row],[RUC]]="","",MARÍTIMOS[[#This Row],[RUC]]),"")</f>
        <v/>
      </c>
      <c r="J294" s="2" t="str">
        <f>IFERROR(IF(MARÍTIMOS[[#This Row],[Placa Tracto]]="","",MARÍTIMOS[[#This Row],[Placa Tracto]]),"")</f>
        <v/>
      </c>
      <c r="K294" s="2" t="str">
        <f>IFERROR(IF(MARÍTIMOS[[#This Row],[Placa Carreta]]="","",MARÍTIMOS[[#This Row],[Placa Carreta]]),"")</f>
        <v/>
      </c>
      <c r="L294" s="46" t="str">
        <f>IFERROR(IF(MARÍTIMOS[[#This Row],[Conductor]]="","",MARÍTIMOS[[#This Row],[Conductor]]),"")</f>
        <v/>
      </c>
      <c r="M294" s="2" t="str">
        <f>IFERROR(IF(MARÍTIMOS[[#This Row],[Licencia]]="","",MARÍTIMOS[[#This Row],[Licencia]]),"")</f>
        <v/>
      </c>
      <c r="N294" s="2" t="str">
        <f>IFERROR(IF(MARÍTIMOS[[#This Row],[Número de Contacto]]="","",MARÍTIMOS[[#This Row],[Número de Contacto]]),"")</f>
        <v/>
      </c>
      <c r="O294" s="10" t="str">
        <f>IFERROR(IF(MARÍTIMOS[[#This Row],[Booking|AWB|CRT]]="","",MARÍTIMOS[[#This Row],[Booking|AWB|CRT]]),"")</f>
        <v/>
      </c>
      <c r="P294" s="2" t="str">
        <f>IFERROR(IF(MARÍTIMOS[[#This Row],[Contenedor]]="","",MARÍTIMOS[[#This Row],[Contenedor]]),"")</f>
        <v/>
      </c>
      <c r="Q294" s="2" t="str">
        <f>IFERROR(IF(MARÍTIMOS[[#This Row],[Puerto de Retiro]]="","",MARÍTIMOS[[#This Row],[Puerto de Retiro]]),"")</f>
        <v/>
      </c>
      <c r="R294" s="2" t="str">
        <f>IFERROR(IF(MARÍTIMOS[[#This Row],[Almacén de Retiro]]="","",MARÍTIMOS[[#This Row],[Almacén de Retiro]]),"")</f>
        <v/>
      </c>
      <c r="S294" s="11" t="str">
        <f>IFERROR(IF(MARÍTIMOS[[#This Row],[Etapa Retiro - Cita]]="","",MARÍTIMOS[[#This Row],[Etapa Retiro - Cita]]),"")</f>
        <v/>
      </c>
      <c r="T294" s="11" t="str">
        <f>IFERROR(IF(MARÍTIMOS[[#This Row],[Etapa Retiro - Llegada]]="","",MARÍTIMOS[[#This Row],[Etapa Retiro - Llegada]]),"")</f>
        <v/>
      </c>
      <c r="U294" s="11" t="str">
        <f>IFERROR(IF(MARÍTIMOS[[#This Row],[Etapa Retiro - Ingreso]]="","",MARÍTIMOS[[#This Row],[Etapa Retiro - Ingreso]]),"")</f>
        <v/>
      </c>
      <c r="V294" s="11" t="str">
        <f>IFERROR(IF(MARÍTIMOS[[#This Row],[Etapa Retiro - Atención]]="","",MARÍTIMOS[[#This Row],[Etapa Retiro - Atención]]),"")</f>
        <v/>
      </c>
      <c r="W294" s="11" t="str">
        <f>IFERROR(IF(MARÍTIMOS[[#This Row],[Etapa Retiro - Salida]]="","",MARÍTIMOS[[#This Row],[Etapa Retiro - Salida]]),"")</f>
        <v/>
      </c>
      <c r="X294" s="11" t="str">
        <f>IFERROR(IF(MARÍTIMOS[[#This Row],[Etapa Retiro - Inicio de Ruta]]="","",MARÍTIMOS[[#This Row],[Etapa Retiro - Inicio de Ruta]]),"")</f>
        <v/>
      </c>
      <c r="Y294" s="11" t="str">
        <f>IFERROR(IF(MARÍTIMOS[[#This Row],[Hora de Posicionamiento]]="","",MARÍTIMOS[[#This Row],[Hora de Carga]]+MARÍTIMOS[[#This Row],[Hora de Posicionamiento]]),"")</f>
        <v/>
      </c>
      <c r="Z294" s="11" t="str">
        <f>IFERROR(IF(MARÍTIMOS[[#This Row],[Etapa Despacho -  Llegada]]="","",MARÍTIMOS[[#This Row],[Etapa Despacho -  Llegada]]),"")</f>
        <v/>
      </c>
      <c r="AA294" s="11" t="str">
        <f>IFERROR(IF(MARÍTIMOS[[#This Row],[Etapa Despacho -  Registro]]="","",MARÍTIMOS[[#This Row],[Etapa Despacho -  Registro]]),"")</f>
        <v/>
      </c>
      <c r="AB294" s="11" t="str">
        <f>IFERROR(IF(MARÍTIMOS[[#This Row],[Inspección Externa]]="","",MARÍTIMOS[[#This Row],[Inspección Externa]]),"")</f>
        <v/>
      </c>
      <c r="AC294" s="11" t="str">
        <f>IFERROR(IF(MARÍTIMOS[[#This Row],[Etapa Despacho -  Inicio de Carga]]="","",MARÍTIMOS[[#This Row],[Etapa Despacho -  Inicio de Carga]]),"")</f>
        <v/>
      </c>
      <c r="AD294" s="11" t="str">
        <f>IFERROR(IF(MARÍTIMOS[[#This Row],[Etapa Despacho -  Fin de Carga]]="","",MARÍTIMOS[[#This Row],[Etapa Despacho -  Fin de Carga]]),"")</f>
        <v/>
      </c>
      <c r="AE294" s="11" t="str">
        <f>IFERROR(IF(MARÍTIMOS[[#This Row],[Etapa Despacho -  Salida]]="","",MARÍTIMOS[[#This Row],[Etapa Despacho -  Salida]]),"")</f>
        <v/>
      </c>
      <c r="AF294" s="2" t="str">
        <f>IFERROR(IF(MARÍTIMOS[[#This Row],[Puerto de Embarque]]="","",MARÍTIMOS[[#This Row],[Puerto de Embarque]]),"")</f>
        <v/>
      </c>
      <c r="AG294" s="2" t="str">
        <f>IFERROR(IF(MARÍTIMOS[[#This Row],[Almacén de Ingreso]]="","",MARÍTIMOS[[#This Row],[Almacén de Ingreso]]),"")</f>
        <v/>
      </c>
      <c r="AH294" s="11" t="str">
        <f>IFERROR(IF(MARÍTIMOS[[#This Row],[Etapa Ingreso - Cita]]="","",MARÍTIMOS[[#This Row],[Etapa Ingreso - Cita]]),"")</f>
        <v/>
      </c>
      <c r="AI294" s="11" t="str">
        <f>IFERROR(IF(MARÍTIMOS[[#This Row],[Etapa Ingreso - Llegada]]="","",MARÍTIMOS[[#This Row],[Etapa Ingreso - Llegada]]),"")</f>
        <v/>
      </c>
      <c r="AJ294" s="11" t="str">
        <f>IFERROR(IF(MARÍTIMOS[[#This Row],[Etapa Ingreso - Ingeso]]="","",MARÍTIMOS[[#This Row],[Etapa Ingreso - Ingeso]]),"")</f>
        <v/>
      </c>
      <c r="AK294" s="11" t="str">
        <f>IFERROR(IF(MARÍTIMOS[[#This Row],[Etapa Ingreso - Atención]]="","",MARÍTIMOS[[#This Row],[Etapa Ingreso - Atención]]),"")</f>
        <v/>
      </c>
      <c r="AL294" s="11" t="str">
        <f>IFERROR(IF(MARÍTIMOS[[#This Row],[Etapa Ingreso - Salida]]="","",MARÍTIMOS[[#This Row],[Etapa Ingreso - Salida]]),"")</f>
        <v/>
      </c>
      <c r="AM294" s="2" t="str">
        <f>IFERROR(IF(MARÍTIMOS[[#This Row],[FCL]]="","",MARÍTIMOS[[#This Row],[FCL]]),"")</f>
        <v/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4" s="5" t="str">
        <f>IFERROR(OLDBD[[#This Row],[Llegada a packing]]-OLDBD[[#This Row],[Inicio de Ruta]],"")</f>
        <v/>
      </c>
      <c r="AQ294" s="6" t="str">
        <f>IFERROR(OLDBD[[#This Row],[Inicio de Ruta]]-OLDBD[[#This Row],[Salida de almacén de retiro]],"")</f>
        <v/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4" s="9" t="str">
        <f>IFERROR(OLDBD[[#This Row],[Ingreso Packing]]-OLDBD[[#This Row],[Registro en Packing]],"")</f>
        <v/>
      </c>
      <c r="AV294" s="9" t="str">
        <f>IFERROR(OLDBD[[#This Row],[Ingreso Packing]]-OLDBD[[#This Row],[Llegada a packing]],"")</f>
        <v/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4" s="5" t="str">
        <f>IFERROR(OLDBD[[#This Row],[Llegada Almacén de Ingreso]]-OLDBD[[#This Row],[Salida Packing]],"")</f>
        <v/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4" s="45" t="s">
        <v>181</v>
      </c>
      <c r="BB294" s="53" t="str">
        <f>IFERROR(IF(MARÍTIMOS[[#This Row],[Estatus]]="","",MARÍTIMOS[[#This Row],[Estatus]]),"")</f>
        <v/>
      </c>
      <c r="BC294" s="45"/>
      <c r="BD294" s="52" t="str">
        <f>IFERROR(OLDBD[[#This Row],[Salida de almacén de retiro]]-OLDBD[[#This Row],[Ingreso Almacén de retiro]],"")</f>
        <v/>
      </c>
      <c r="BE294" s="52" t="str">
        <f>IFERROR(OLDBD[[#This Row],[Fin de Carga]]-OLDBD[[#This Row],[Inicio de Carga]],"")</f>
        <v/>
      </c>
    </row>
    <row r="295" spans="1:57" x14ac:dyDescent="0.35">
      <c r="A295" s="1"/>
      <c r="B295" s="1" t="str">
        <f>IFERROR(IF(MARÍTIMOS[[#This Row],[PP]]="","",MARÍTIMOS[[#This Row],[PP]]),"")</f>
        <v/>
      </c>
      <c r="C295" s="1" t="str">
        <f>IFERROR(IF(MARÍTIMOS[[#This Row],[Sede]]="","",MARÍTIMOS[[#This Row],[Sede]]),"")</f>
        <v/>
      </c>
      <c r="D295" s="1" t="str">
        <f>IFERROR(IF(MARÍTIMOS[[#This Row],[Instruction]]="","",MARÍTIMOS[[#This Row],[Instruction]]),"")</f>
        <v/>
      </c>
      <c r="E295" s="1"/>
      <c r="F295" s="2" t="str">
        <f>IFERROR(IF(MARÍTIMOS[[#This Row],[Transportista]]="","",MARÍTIMOS[[#This Row],[Transportista]]),"")</f>
        <v/>
      </c>
      <c r="G295" s="2" t="str">
        <f>IFERROR(IF(MARÍTIMOS[[#This Row],[Tercero]]="","",MARÍTIMOS[[#This Row],[Tercero]]),"")</f>
        <v/>
      </c>
      <c r="H295" s="2" t="str">
        <f>IFERROR(IF(MARÍTIMOS[[#This Row],[Razón Social]]="","",MARÍTIMOS[[#This Row],[Razón Social]]),"")</f>
        <v/>
      </c>
      <c r="I295" s="2" t="str">
        <f>IFERROR(IF(MARÍTIMOS[[#This Row],[RUC]]="","",MARÍTIMOS[[#This Row],[RUC]]),"")</f>
        <v/>
      </c>
      <c r="J295" s="2" t="str">
        <f>IFERROR(IF(MARÍTIMOS[[#This Row],[Placa Tracto]]="","",MARÍTIMOS[[#This Row],[Placa Tracto]]),"")</f>
        <v/>
      </c>
      <c r="K295" s="2" t="str">
        <f>IFERROR(IF(MARÍTIMOS[[#This Row],[Placa Carreta]]="","",MARÍTIMOS[[#This Row],[Placa Carreta]]),"")</f>
        <v/>
      </c>
      <c r="L295" s="46" t="str">
        <f>IFERROR(IF(MARÍTIMOS[[#This Row],[Conductor]]="","",MARÍTIMOS[[#This Row],[Conductor]]),"")</f>
        <v/>
      </c>
      <c r="M295" s="2" t="str">
        <f>IFERROR(IF(MARÍTIMOS[[#This Row],[Licencia]]="","",MARÍTIMOS[[#This Row],[Licencia]]),"")</f>
        <v/>
      </c>
      <c r="N295" s="2" t="str">
        <f>IFERROR(IF(MARÍTIMOS[[#This Row],[Número de Contacto]]="","",MARÍTIMOS[[#This Row],[Número de Contacto]]),"")</f>
        <v/>
      </c>
      <c r="O295" s="10" t="str">
        <f>IFERROR(IF(MARÍTIMOS[[#This Row],[Booking|AWB|CRT]]="","",MARÍTIMOS[[#This Row],[Booking|AWB|CRT]]),"")</f>
        <v/>
      </c>
      <c r="P295" s="2" t="str">
        <f>IFERROR(IF(MARÍTIMOS[[#This Row],[Contenedor]]="","",MARÍTIMOS[[#This Row],[Contenedor]]),"")</f>
        <v/>
      </c>
      <c r="Q295" s="2" t="str">
        <f>IFERROR(IF(MARÍTIMOS[[#This Row],[Puerto de Retiro]]="","",MARÍTIMOS[[#This Row],[Puerto de Retiro]]),"")</f>
        <v/>
      </c>
      <c r="R295" s="2" t="str">
        <f>IFERROR(IF(MARÍTIMOS[[#This Row],[Almacén de Retiro]]="","",MARÍTIMOS[[#This Row],[Almacén de Retiro]]),"")</f>
        <v/>
      </c>
      <c r="S295" s="11" t="str">
        <f>IFERROR(IF(MARÍTIMOS[[#This Row],[Etapa Retiro - Cita]]="","",MARÍTIMOS[[#This Row],[Etapa Retiro - Cita]]),"")</f>
        <v/>
      </c>
      <c r="T295" s="11" t="str">
        <f>IFERROR(IF(MARÍTIMOS[[#This Row],[Etapa Retiro - Llegada]]="","",MARÍTIMOS[[#This Row],[Etapa Retiro - Llegada]]),"")</f>
        <v/>
      </c>
      <c r="U295" s="11" t="str">
        <f>IFERROR(IF(MARÍTIMOS[[#This Row],[Etapa Retiro - Ingreso]]="","",MARÍTIMOS[[#This Row],[Etapa Retiro - Ingreso]]),"")</f>
        <v/>
      </c>
      <c r="V295" s="11" t="str">
        <f>IFERROR(IF(MARÍTIMOS[[#This Row],[Etapa Retiro - Atención]]="","",MARÍTIMOS[[#This Row],[Etapa Retiro - Atención]]),"")</f>
        <v/>
      </c>
      <c r="W295" s="11" t="str">
        <f>IFERROR(IF(MARÍTIMOS[[#This Row],[Etapa Retiro - Salida]]="","",MARÍTIMOS[[#This Row],[Etapa Retiro - Salida]]),"")</f>
        <v/>
      </c>
      <c r="X295" s="11" t="str">
        <f>IFERROR(IF(MARÍTIMOS[[#This Row],[Etapa Retiro - Inicio de Ruta]]="","",MARÍTIMOS[[#This Row],[Etapa Retiro - Inicio de Ruta]]),"")</f>
        <v/>
      </c>
      <c r="Y295" s="11" t="str">
        <f>IFERROR(IF(MARÍTIMOS[[#This Row],[Hora de Posicionamiento]]="","",MARÍTIMOS[[#This Row],[Hora de Carga]]+MARÍTIMOS[[#This Row],[Hora de Posicionamiento]]),"")</f>
        <v/>
      </c>
      <c r="Z295" s="11" t="str">
        <f>IFERROR(IF(MARÍTIMOS[[#This Row],[Etapa Despacho -  Llegada]]="","",MARÍTIMOS[[#This Row],[Etapa Despacho -  Llegada]]),"")</f>
        <v/>
      </c>
      <c r="AA295" s="11" t="str">
        <f>IFERROR(IF(MARÍTIMOS[[#This Row],[Etapa Despacho -  Registro]]="","",MARÍTIMOS[[#This Row],[Etapa Despacho -  Registro]]),"")</f>
        <v/>
      </c>
      <c r="AB295" s="11" t="str">
        <f>IFERROR(IF(MARÍTIMOS[[#This Row],[Inspección Externa]]="","",MARÍTIMOS[[#This Row],[Inspección Externa]]),"")</f>
        <v/>
      </c>
      <c r="AC295" s="11" t="str">
        <f>IFERROR(IF(MARÍTIMOS[[#This Row],[Etapa Despacho -  Inicio de Carga]]="","",MARÍTIMOS[[#This Row],[Etapa Despacho -  Inicio de Carga]]),"")</f>
        <v/>
      </c>
      <c r="AD295" s="11" t="str">
        <f>IFERROR(IF(MARÍTIMOS[[#This Row],[Etapa Despacho -  Fin de Carga]]="","",MARÍTIMOS[[#This Row],[Etapa Despacho -  Fin de Carga]]),"")</f>
        <v/>
      </c>
      <c r="AE295" s="11" t="str">
        <f>IFERROR(IF(MARÍTIMOS[[#This Row],[Etapa Despacho -  Salida]]="","",MARÍTIMOS[[#This Row],[Etapa Despacho -  Salida]]),"")</f>
        <v/>
      </c>
      <c r="AF295" s="2" t="str">
        <f>IFERROR(IF(MARÍTIMOS[[#This Row],[Puerto de Embarque]]="","",MARÍTIMOS[[#This Row],[Puerto de Embarque]]),"")</f>
        <v/>
      </c>
      <c r="AG295" s="2" t="str">
        <f>IFERROR(IF(MARÍTIMOS[[#This Row],[Almacén de Ingreso]]="","",MARÍTIMOS[[#This Row],[Almacén de Ingreso]]),"")</f>
        <v/>
      </c>
      <c r="AH295" s="11" t="str">
        <f>IFERROR(IF(MARÍTIMOS[[#This Row],[Etapa Ingreso - Cita]]="","",MARÍTIMOS[[#This Row],[Etapa Ingreso - Cita]]),"")</f>
        <v/>
      </c>
      <c r="AI295" s="11" t="str">
        <f>IFERROR(IF(MARÍTIMOS[[#This Row],[Etapa Ingreso - Llegada]]="","",MARÍTIMOS[[#This Row],[Etapa Ingreso - Llegada]]),"")</f>
        <v/>
      </c>
      <c r="AJ295" s="11" t="str">
        <f>IFERROR(IF(MARÍTIMOS[[#This Row],[Etapa Ingreso - Ingeso]]="","",MARÍTIMOS[[#This Row],[Etapa Ingreso - Ingeso]]),"")</f>
        <v/>
      </c>
      <c r="AK295" s="11" t="str">
        <f>IFERROR(IF(MARÍTIMOS[[#This Row],[Etapa Ingreso - Atención]]="","",MARÍTIMOS[[#This Row],[Etapa Ingreso - Atención]]),"")</f>
        <v/>
      </c>
      <c r="AL295" s="11" t="str">
        <f>IFERROR(IF(MARÍTIMOS[[#This Row],[Etapa Ingreso - Salida]]="","",MARÍTIMOS[[#This Row],[Etapa Ingreso - Salida]]),"")</f>
        <v/>
      </c>
      <c r="AM295" s="2" t="str">
        <f>IFERROR(IF(MARÍTIMOS[[#This Row],[FCL]]="","",MARÍTIMOS[[#This Row],[FCL]]),"")</f>
        <v/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5" s="5" t="str">
        <f>IFERROR(OLDBD[[#This Row],[Llegada a packing]]-OLDBD[[#This Row],[Inicio de Ruta]],"")</f>
        <v/>
      </c>
      <c r="AQ295" s="6" t="str">
        <f>IFERROR(OLDBD[[#This Row],[Inicio de Ruta]]-OLDBD[[#This Row],[Salida de almacén de retiro]],"")</f>
        <v/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5" s="9" t="str">
        <f>IFERROR(OLDBD[[#This Row],[Ingreso Packing]]-OLDBD[[#This Row],[Registro en Packing]],"")</f>
        <v/>
      </c>
      <c r="AV295" s="9" t="str">
        <f>IFERROR(OLDBD[[#This Row],[Ingreso Packing]]-OLDBD[[#This Row],[Llegada a packing]],"")</f>
        <v/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5" s="5" t="str">
        <f>IFERROR(OLDBD[[#This Row],[Llegada Almacén de Ingreso]]-OLDBD[[#This Row],[Salida Packing]],"")</f>
        <v/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5" s="45" t="s">
        <v>181</v>
      </c>
      <c r="BB295" s="53" t="str">
        <f>IFERROR(IF(MARÍTIMOS[[#This Row],[Estatus]]="","",MARÍTIMOS[[#This Row],[Estatus]]),"")</f>
        <v/>
      </c>
      <c r="BC295" s="45"/>
      <c r="BD295" s="52" t="str">
        <f>IFERROR(OLDBD[[#This Row],[Salida de almacén de retiro]]-OLDBD[[#This Row],[Ingreso Almacén de retiro]],"")</f>
        <v/>
      </c>
      <c r="BE295" s="52" t="str">
        <f>IFERROR(OLDBD[[#This Row],[Fin de Carga]]-OLDBD[[#This Row],[Inicio de Carga]],"")</f>
        <v/>
      </c>
    </row>
    <row r="296" spans="1:57" x14ac:dyDescent="0.35">
      <c r="A296" s="1"/>
      <c r="B296" s="1" t="str">
        <f>IFERROR(IF(MARÍTIMOS[[#This Row],[PP]]="","",MARÍTIMOS[[#This Row],[PP]]),"")</f>
        <v/>
      </c>
      <c r="C296" s="1" t="str">
        <f>IFERROR(IF(MARÍTIMOS[[#This Row],[Sede]]="","",MARÍTIMOS[[#This Row],[Sede]]),"")</f>
        <v/>
      </c>
      <c r="D296" s="1" t="str">
        <f>IFERROR(IF(MARÍTIMOS[[#This Row],[Instruction]]="","",MARÍTIMOS[[#This Row],[Instruction]]),"")</f>
        <v/>
      </c>
      <c r="E296" s="1"/>
      <c r="F296" s="2" t="str">
        <f>IFERROR(IF(MARÍTIMOS[[#This Row],[Transportista]]="","",MARÍTIMOS[[#This Row],[Transportista]]),"")</f>
        <v/>
      </c>
      <c r="G296" s="2" t="str">
        <f>IFERROR(IF(MARÍTIMOS[[#This Row],[Tercero]]="","",MARÍTIMOS[[#This Row],[Tercero]]),"")</f>
        <v/>
      </c>
      <c r="H296" s="2" t="str">
        <f>IFERROR(IF(MARÍTIMOS[[#This Row],[Razón Social]]="","",MARÍTIMOS[[#This Row],[Razón Social]]),"")</f>
        <v/>
      </c>
      <c r="I296" s="2" t="str">
        <f>IFERROR(IF(MARÍTIMOS[[#This Row],[RUC]]="","",MARÍTIMOS[[#This Row],[RUC]]),"")</f>
        <v/>
      </c>
      <c r="J296" s="2" t="str">
        <f>IFERROR(IF(MARÍTIMOS[[#This Row],[Placa Tracto]]="","",MARÍTIMOS[[#This Row],[Placa Tracto]]),"")</f>
        <v/>
      </c>
      <c r="K296" s="2" t="str">
        <f>IFERROR(IF(MARÍTIMOS[[#This Row],[Placa Carreta]]="","",MARÍTIMOS[[#This Row],[Placa Carreta]]),"")</f>
        <v/>
      </c>
      <c r="L296" s="46" t="str">
        <f>IFERROR(IF(MARÍTIMOS[[#This Row],[Conductor]]="","",MARÍTIMOS[[#This Row],[Conductor]]),"")</f>
        <v/>
      </c>
      <c r="M296" s="2" t="str">
        <f>IFERROR(IF(MARÍTIMOS[[#This Row],[Licencia]]="","",MARÍTIMOS[[#This Row],[Licencia]]),"")</f>
        <v/>
      </c>
      <c r="N296" s="2" t="str">
        <f>IFERROR(IF(MARÍTIMOS[[#This Row],[Número de Contacto]]="","",MARÍTIMOS[[#This Row],[Número de Contacto]]),"")</f>
        <v/>
      </c>
      <c r="O296" s="10" t="str">
        <f>IFERROR(IF(MARÍTIMOS[[#This Row],[Booking|AWB|CRT]]="","",MARÍTIMOS[[#This Row],[Booking|AWB|CRT]]),"")</f>
        <v/>
      </c>
      <c r="P296" s="2" t="str">
        <f>IFERROR(IF(MARÍTIMOS[[#This Row],[Contenedor]]="","",MARÍTIMOS[[#This Row],[Contenedor]]),"")</f>
        <v/>
      </c>
      <c r="Q296" s="2" t="str">
        <f>IFERROR(IF(MARÍTIMOS[[#This Row],[Puerto de Retiro]]="","",MARÍTIMOS[[#This Row],[Puerto de Retiro]]),"")</f>
        <v/>
      </c>
      <c r="R296" s="2" t="str">
        <f>IFERROR(IF(MARÍTIMOS[[#This Row],[Almacén de Retiro]]="","",MARÍTIMOS[[#This Row],[Almacén de Retiro]]),"")</f>
        <v/>
      </c>
      <c r="S296" s="11" t="str">
        <f>IFERROR(IF(MARÍTIMOS[[#This Row],[Etapa Retiro - Cita]]="","",MARÍTIMOS[[#This Row],[Etapa Retiro - Cita]]),"")</f>
        <v/>
      </c>
      <c r="T296" s="11" t="str">
        <f>IFERROR(IF(MARÍTIMOS[[#This Row],[Etapa Retiro - Llegada]]="","",MARÍTIMOS[[#This Row],[Etapa Retiro - Llegada]]),"")</f>
        <v/>
      </c>
      <c r="U296" s="11" t="str">
        <f>IFERROR(IF(MARÍTIMOS[[#This Row],[Etapa Retiro - Ingreso]]="","",MARÍTIMOS[[#This Row],[Etapa Retiro - Ingreso]]),"")</f>
        <v/>
      </c>
      <c r="V296" s="11" t="str">
        <f>IFERROR(IF(MARÍTIMOS[[#This Row],[Etapa Retiro - Atención]]="","",MARÍTIMOS[[#This Row],[Etapa Retiro - Atención]]),"")</f>
        <v/>
      </c>
      <c r="W296" s="11" t="str">
        <f>IFERROR(IF(MARÍTIMOS[[#This Row],[Etapa Retiro - Salida]]="","",MARÍTIMOS[[#This Row],[Etapa Retiro - Salida]]),"")</f>
        <v/>
      </c>
      <c r="X296" s="11" t="str">
        <f>IFERROR(IF(MARÍTIMOS[[#This Row],[Etapa Retiro - Inicio de Ruta]]="","",MARÍTIMOS[[#This Row],[Etapa Retiro - Inicio de Ruta]]),"")</f>
        <v/>
      </c>
      <c r="Y296" s="11" t="str">
        <f>IFERROR(IF(MARÍTIMOS[[#This Row],[Hora de Posicionamiento]]="","",MARÍTIMOS[[#This Row],[Hora de Carga]]+MARÍTIMOS[[#This Row],[Hora de Posicionamiento]]),"")</f>
        <v/>
      </c>
      <c r="Z296" s="11" t="str">
        <f>IFERROR(IF(MARÍTIMOS[[#This Row],[Etapa Despacho -  Llegada]]="","",MARÍTIMOS[[#This Row],[Etapa Despacho -  Llegada]]),"")</f>
        <v/>
      </c>
      <c r="AA296" s="11" t="str">
        <f>IFERROR(IF(MARÍTIMOS[[#This Row],[Etapa Despacho -  Registro]]="","",MARÍTIMOS[[#This Row],[Etapa Despacho -  Registro]]),"")</f>
        <v/>
      </c>
      <c r="AB296" s="11" t="str">
        <f>IFERROR(IF(MARÍTIMOS[[#This Row],[Inspección Externa]]="","",MARÍTIMOS[[#This Row],[Inspección Externa]]),"")</f>
        <v/>
      </c>
      <c r="AC296" s="11" t="str">
        <f>IFERROR(IF(MARÍTIMOS[[#This Row],[Etapa Despacho -  Inicio de Carga]]="","",MARÍTIMOS[[#This Row],[Etapa Despacho -  Inicio de Carga]]),"")</f>
        <v/>
      </c>
      <c r="AD296" s="11" t="str">
        <f>IFERROR(IF(MARÍTIMOS[[#This Row],[Etapa Despacho -  Fin de Carga]]="","",MARÍTIMOS[[#This Row],[Etapa Despacho -  Fin de Carga]]),"")</f>
        <v/>
      </c>
      <c r="AE296" s="11" t="str">
        <f>IFERROR(IF(MARÍTIMOS[[#This Row],[Etapa Despacho -  Salida]]="","",MARÍTIMOS[[#This Row],[Etapa Despacho -  Salida]]),"")</f>
        <v/>
      </c>
      <c r="AF296" s="2" t="str">
        <f>IFERROR(IF(MARÍTIMOS[[#This Row],[Puerto de Embarque]]="","",MARÍTIMOS[[#This Row],[Puerto de Embarque]]),"")</f>
        <v/>
      </c>
      <c r="AG296" s="2" t="str">
        <f>IFERROR(IF(MARÍTIMOS[[#This Row],[Almacén de Ingreso]]="","",MARÍTIMOS[[#This Row],[Almacén de Ingreso]]),"")</f>
        <v/>
      </c>
      <c r="AH296" s="11" t="str">
        <f>IFERROR(IF(MARÍTIMOS[[#This Row],[Etapa Ingreso - Cita]]="","",MARÍTIMOS[[#This Row],[Etapa Ingreso - Cita]]),"")</f>
        <v/>
      </c>
      <c r="AI296" s="11" t="str">
        <f>IFERROR(IF(MARÍTIMOS[[#This Row],[Etapa Ingreso - Llegada]]="","",MARÍTIMOS[[#This Row],[Etapa Ingreso - Llegada]]),"")</f>
        <v/>
      </c>
      <c r="AJ296" s="11" t="str">
        <f>IFERROR(IF(MARÍTIMOS[[#This Row],[Etapa Ingreso - Ingeso]]="","",MARÍTIMOS[[#This Row],[Etapa Ingreso - Ingeso]]),"")</f>
        <v/>
      </c>
      <c r="AK296" s="11" t="str">
        <f>IFERROR(IF(MARÍTIMOS[[#This Row],[Etapa Ingreso - Atención]]="","",MARÍTIMOS[[#This Row],[Etapa Ingreso - Atención]]),"")</f>
        <v/>
      </c>
      <c r="AL296" s="11" t="str">
        <f>IFERROR(IF(MARÍTIMOS[[#This Row],[Etapa Ingreso - Salida]]="","",MARÍTIMOS[[#This Row],[Etapa Ingreso - Salida]]),"")</f>
        <v/>
      </c>
      <c r="AM296" s="2" t="str">
        <f>IFERROR(IF(MARÍTIMOS[[#This Row],[FCL]]="","",MARÍTIMOS[[#This Row],[FCL]]),"")</f>
        <v/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6" s="5" t="str">
        <f>IFERROR(OLDBD[[#This Row],[Llegada a packing]]-OLDBD[[#This Row],[Inicio de Ruta]],"")</f>
        <v/>
      </c>
      <c r="AQ296" s="6" t="str">
        <f>IFERROR(OLDBD[[#This Row],[Inicio de Ruta]]-OLDBD[[#This Row],[Salida de almacén de retiro]],"")</f>
        <v/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6" s="9" t="str">
        <f>IFERROR(OLDBD[[#This Row],[Ingreso Packing]]-OLDBD[[#This Row],[Registro en Packing]],"")</f>
        <v/>
      </c>
      <c r="AV296" s="9" t="str">
        <f>IFERROR(OLDBD[[#This Row],[Ingreso Packing]]-OLDBD[[#This Row],[Llegada a packing]],"")</f>
        <v/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6" s="5" t="str">
        <f>IFERROR(OLDBD[[#This Row],[Llegada Almacén de Ingreso]]-OLDBD[[#This Row],[Salida Packing]],"")</f>
        <v/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6" s="45" t="s">
        <v>181</v>
      </c>
      <c r="BB296" s="53" t="str">
        <f>IFERROR(IF(MARÍTIMOS[[#This Row],[Estatus]]="","",MARÍTIMOS[[#This Row],[Estatus]]),"")</f>
        <v/>
      </c>
      <c r="BC296" s="45"/>
      <c r="BD296" s="52" t="str">
        <f>IFERROR(OLDBD[[#This Row],[Salida de almacén de retiro]]-OLDBD[[#This Row],[Ingreso Almacén de retiro]],"")</f>
        <v/>
      </c>
      <c r="BE296" s="52" t="str">
        <f>IFERROR(OLDBD[[#This Row],[Fin de Carga]]-OLDBD[[#This Row],[Inicio de Carga]],"")</f>
        <v/>
      </c>
    </row>
    <row r="297" spans="1:57" x14ac:dyDescent="0.35">
      <c r="A297" s="1"/>
      <c r="B297" s="1" t="str">
        <f>IFERROR(IF(MARÍTIMOS[[#This Row],[PP]]="","",MARÍTIMOS[[#This Row],[PP]]),"")</f>
        <v/>
      </c>
      <c r="C297" s="1" t="str">
        <f>IFERROR(IF(MARÍTIMOS[[#This Row],[Sede]]="","",MARÍTIMOS[[#This Row],[Sede]]),"")</f>
        <v/>
      </c>
      <c r="D297" s="1" t="str">
        <f>IFERROR(IF(MARÍTIMOS[[#This Row],[Instruction]]="","",MARÍTIMOS[[#This Row],[Instruction]]),"")</f>
        <v/>
      </c>
      <c r="E297" s="1"/>
      <c r="F297" s="2" t="str">
        <f>IFERROR(IF(MARÍTIMOS[[#This Row],[Transportista]]="","",MARÍTIMOS[[#This Row],[Transportista]]),"")</f>
        <v/>
      </c>
      <c r="G297" s="2" t="str">
        <f>IFERROR(IF(MARÍTIMOS[[#This Row],[Tercero]]="","",MARÍTIMOS[[#This Row],[Tercero]]),"")</f>
        <v/>
      </c>
      <c r="H297" s="2" t="str">
        <f>IFERROR(IF(MARÍTIMOS[[#This Row],[Razón Social]]="","",MARÍTIMOS[[#This Row],[Razón Social]]),"")</f>
        <v/>
      </c>
      <c r="I297" s="2" t="str">
        <f>IFERROR(IF(MARÍTIMOS[[#This Row],[RUC]]="","",MARÍTIMOS[[#This Row],[RUC]]),"")</f>
        <v/>
      </c>
      <c r="J297" s="2" t="str">
        <f>IFERROR(IF(MARÍTIMOS[[#This Row],[Placa Tracto]]="","",MARÍTIMOS[[#This Row],[Placa Tracto]]),"")</f>
        <v/>
      </c>
      <c r="K297" s="2" t="str">
        <f>IFERROR(IF(MARÍTIMOS[[#This Row],[Placa Carreta]]="","",MARÍTIMOS[[#This Row],[Placa Carreta]]),"")</f>
        <v/>
      </c>
      <c r="L297" s="46" t="str">
        <f>IFERROR(IF(MARÍTIMOS[[#This Row],[Conductor]]="","",MARÍTIMOS[[#This Row],[Conductor]]),"")</f>
        <v/>
      </c>
      <c r="M297" s="2" t="str">
        <f>IFERROR(IF(MARÍTIMOS[[#This Row],[Licencia]]="","",MARÍTIMOS[[#This Row],[Licencia]]),"")</f>
        <v/>
      </c>
      <c r="N297" s="2" t="str">
        <f>IFERROR(IF(MARÍTIMOS[[#This Row],[Número de Contacto]]="","",MARÍTIMOS[[#This Row],[Número de Contacto]]),"")</f>
        <v/>
      </c>
      <c r="O297" s="10" t="str">
        <f>IFERROR(IF(MARÍTIMOS[[#This Row],[Booking|AWB|CRT]]="","",MARÍTIMOS[[#This Row],[Booking|AWB|CRT]]),"")</f>
        <v/>
      </c>
      <c r="P297" s="2" t="str">
        <f>IFERROR(IF(MARÍTIMOS[[#This Row],[Contenedor]]="","",MARÍTIMOS[[#This Row],[Contenedor]]),"")</f>
        <v/>
      </c>
      <c r="Q297" s="2" t="str">
        <f>IFERROR(IF(MARÍTIMOS[[#This Row],[Puerto de Retiro]]="","",MARÍTIMOS[[#This Row],[Puerto de Retiro]]),"")</f>
        <v/>
      </c>
      <c r="R297" s="2" t="str">
        <f>IFERROR(IF(MARÍTIMOS[[#This Row],[Almacén de Retiro]]="","",MARÍTIMOS[[#This Row],[Almacén de Retiro]]),"")</f>
        <v/>
      </c>
      <c r="S297" s="11" t="str">
        <f>IFERROR(IF(MARÍTIMOS[[#This Row],[Etapa Retiro - Cita]]="","",MARÍTIMOS[[#This Row],[Etapa Retiro - Cita]]),"")</f>
        <v/>
      </c>
      <c r="T297" s="11" t="str">
        <f>IFERROR(IF(MARÍTIMOS[[#This Row],[Etapa Retiro - Llegada]]="","",MARÍTIMOS[[#This Row],[Etapa Retiro - Llegada]]),"")</f>
        <v/>
      </c>
      <c r="U297" s="11" t="str">
        <f>IFERROR(IF(MARÍTIMOS[[#This Row],[Etapa Retiro - Ingreso]]="","",MARÍTIMOS[[#This Row],[Etapa Retiro - Ingreso]]),"")</f>
        <v/>
      </c>
      <c r="V297" s="11" t="str">
        <f>IFERROR(IF(MARÍTIMOS[[#This Row],[Etapa Retiro - Atención]]="","",MARÍTIMOS[[#This Row],[Etapa Retiro - Atención]]),"")</f>
        <v/>
      </c>
      <c r="W297" s="11" t="str">
        <f>IFERROR(IF(MARÍTIMOS[[#This Row],[Etapa Retiro - Salida]]="","",MARÍTIMOS[[#This Row],[Etapa Retiro - Salida]]),"")</f>
        <v/>
      </c>
      <c r="X297" s="11" t="str">
        <f>IFERROR(IF(MARÍTIMOS[[#This Row],[Etapa Retiro - Inicio de Ruta]]="","",MARÍTIMOS[[#This Row],[Etapa Retiro - Inicio de Ruta]]),"")</f>
        <v/>
      </c>
      <c r="Y297" s="11" t="str">
        <f>IFERROR(IF(MARÍTIMOS[[#This Row],[Hora de Posicionamiento]]="","",MARÍTIMOS[[#This Row],[Hora de Carga]]+MARÍTIMOS[[#This Row],[Hora de Posicionamiento]]),"")</f>
        <v/>
      </c>
      <c r="Z297" s="11" t="str">
        <f>IFERROR(IF(MARÍTIMOS[[#This Row],[Etapa Despacho -  Llegada]]="","",MARÍTIMOS[[#This Row],[Etapa Despacho -  Llegada]]),"")</f>
        <v/>
      </c>
      <c r="AA297" s="11" t="str">
        <f>IFERROR(IF(MARÍTIMOS[[#This Row],[Etapa Despacho -  Registro]]="","",MARÍTIMOS[[#This Row],[Etapa Despacho -  Registro]]),"")</f>
        <v/>
      </c>
      <c r="AB297" s="11" t="str">
        <f>IFERROR(IF(MARÍTIMOS[[#This Row],[Inspección Externa]]="","",MARÍTIMOS[[#This Row],[Inspección Externa]]),"")</f>
        <v/>
      </c>
      <c r="AC297" s="11" t="str">
        <f>IFERROR(IF(MARÍTIMOS[[#This Row],[Etapa Despacho -  Inicio de Carga]]="","",MARÍTIMOS[[#This Row],[Etapa Despacho -  Inicio de Carga]]),"")</f>
        <v/>
      </c>
      <c r="AD297" s="11" t="str">
        <f>IFERROR(IF(MARÍTIMOS[[#This Row],[Etapa Despacho -  Fin de Carga]]="","",MARÍTIMOS[[#This Row],[Etapa Despacho -  Fin de Carga]]),"")</f>
        <v/>
      </c>
      <c r="AE297" s="11" t="str">
        <f>IFERROR(IF(MARÍTIMOS[[#This Row],[Etapa Despacho -  Salida]]="","",MARÍTIMOS[[#This Row],[Etapa Despacho -  Salida]]),"")</f>
        <v/>
      </c>
      <c r="AF297" s="2" t="str">
        <f>IFERROR(IF(MARÍTIMOS[[#This Row],[Puerto de Embarque]]="","",MARÍTIMOS[[#This Row],[Puerto de Embarque]]),"")</f>
        <v/>
      </c>
      <c r="AG297" s="2" t="str">
        <f>IFERROR(IF(MARÍTIMOS[[#This Row],[Almacén de Ingreso]]="","",MARÍTIMOS[[#This Row],[Almacén de Ingreso]]),"")</f>
        <v/>
      </c>
      <c r="AH297" s="11" t="str">
        <f>IFERROR(IF(MARÍTIMOS[[#This Row],[Etapa Ingreso - Cita]]="","",MARÍTIMOS[[#This Row],[Etapa Ingreso - Cita]]),"")</f>
        <v/>
      </c>
      <c r="AI297" s="11" t="str">
        <f>IFERROR(IF(MARÍTIMOS[[#This Row],[Etapa Ingreso - Llegada]]="","",MARÍTIMOS[[#This Row],[Etapa Ingreso - Llegada]]),"")</f>
        <v/>
      </c>
      <c r="AJ297" s="11" t="str">
        <f>IFERROR(IF(MARÍTIMOS[[#This Row],[Etapa Ingreso - Ingeso]]="","",MARÍTIMOS[[#This Row],[Etapa Ingreso - Ingeso]]),"")</f>
        <v/>
      </c>
      <c r="AK297" s="11" t="str">
        <f>IFERROR(IF(MARÍTIMOS[[#This Row],[Etapa Ingreso - Atención]]="","",MARÍTIMOS[[#This Row],[Etapa Ingreso - Atención]]),"")</f>
        <v/>
      </c>
      <c r="AL297" s="11" t="str">
        <f>IFERROR(IF(MARÍTIMOS[[#This Row],[Etapa Ingreso - Salida]]="","",MARÍTIMOS[[#This Row],[Etapa Ingreso - Salida]]),"")</f>
        <v/>
      </c>
      <c r="AM297" s="2" t="str">
        <f>IFERROR(IF(MARÍTIMOS[[#This Row],[FCL]]="","",MARÍTIMOS[[#This Row],[FCL]]),"")</f>
        <v/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7" s="5" t="str">
        <f>IFERROR(OLDBD[[#This Row],[Llegada a packing]]-OLDBD[[#This Row],[Inicio de Ruta]],"")</f>
        <v/>
      </c>
      <c r="AQ297" s="6" t="str">
        <f>IFERROR(OLDBD[[#This Row],[Inicio de Ruta]]-OLDBD[[#This Row],[Salida de almacén de retiro]],"")</f>
        <v/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7" s="9" t="str">
        <f>IFERROR(OLDBD[[#This Row],[Ingreso Packing]]-OLDBD[[#This Row],[Registro en Packing]],"")</f>
        <v/>
      </c>
      <c r="AV297" s="9" t="str">
        <f>IFERROR(OLDBD[[#This Row],[Ingreso Packing]]-OLDBD[[#This Row],[Llegada a packing]],"")</f>
        <v/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7" s="5" t="str">
        <f>IFERROR(OLDBD[[#This Row],[Llegada Almacén de Ingreso]]-OLDBD[[#This Row],[Salida Packing]],"")</f>
        <v/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7" s="45" t="s">
        <v>181</v>
      </c>
      <c r="BB297" s="53" t="str">
        <f>IFERROR(IF(MARÍTIMOS[[#This Row],[Estatus]]="","",MARÍTIMOS[[#This Row],[Estatus]]),"")</f>
        <v/>
      </c>
      <c r="BC297" s="45"/>
      <c r="BD297" s="52" t="str">
        <f>IFERROR(OLDBD[[#This Row],[Salida de almacén de retiro]]-OLDBD[[#This Row],[Ingreso Almacén de retiro]],"")</f>
        <v/>
      </c>
      <c r="BE297" s="52" t="str">
        <f>IFERROR(OLDBD[[#This Row],[Fin de Carga]]-OLDBD[[#This Row],[Inicio de Carga]],"")</f>
        <v/>
      </c>
    </row>
    <row r="298" spans="1:57" x14ac:dyDescent="0.35">
      <c r="A298" s="1"/>
      <c r="B298" s="1" t="str">
        <f>IFERROR(IF(MARÍTIMOS[[#This Row],[PP]]="","",MARÍTIMOS[[#This Row],[PP]]),"")</f>
        <v/>
      </c>
      <c r="C298" s="1" t="str">
        <f>IFERROR(IF(MARÍTIMOS[[#This Row],[Sede]]="","",MARÍTIMOS[[#This Row],[Sede]]),"")</f>
        <v/>
      </c>
      <c r="D298" s="1" t="str">
        <f>IFERROR(IF(MARÍTIMOS[[#This Row],[Instruction]]="","",MARÍTIMOS[[#This Row],[Instruction]]),"")</f>
        <v/>
      </c>
      <c r="E298" s="1"/>
      <c r="F298" s="2" t="str">
        <f>IFERROR(IF(MARÍTIMOS[[#This Row],[Transportista]]="","",MARÍTIMOS[[#This Row],[Transportista]]),"")</f>
        <v/>
      </c>
      <c r="G298" s="2" t="str">
        <f>IFERROR(IF(MARÍTIMOS[[#This Row],[Tercero]]="","",MARÍTIMOS[[#This Row],[Tercero]]),"")</f>
        <v/>
      </c>
      <c r="H298" s="2" t="str">
        <f>IFERROR(IF(MARÍTIMOS[[#This Row],[Razón Social]]="","",MARÍTIMOS[[#This Row],[Razón Social]]),"")</f>
        <v/>
      </c>
      <c r="I298" s="2" t="str">
        <f>IFERROR(IF(MARÍTIMOS[[#This Row],[RUC]]="","",MARÍTIMOS[[#This Row],[RUC]]),"")</f>
        <v/>
      </c>
      <c r="J298" s="2" t="str">
        <f>IFERROR(IF(MARÍTIMOS[[#This Row],[Placa Tracto]]="","",MARÍTIMOS[[#This Row],[Placa Tracto]]),"")</f>
        <v/>
      </c>
      <c r="K298" s="2" t="str">
        <f>IFERROR(IF(MARÍTIMOS[[#This Row],[Placa Carreta]]="","",MARÍTIMOS[[#This Row],[Placa Carreta]]),"")</f>
        <v/>
      </c>
      <c r="L298" s="46" t="str">
        <f>IFERROR(IF(MARÍTIMOS[[#This Row],[Conductor]]="","",MARÍTIMOS[[#This Row],[Conductor]]),"")</f>
        <v/>
      </c>
      <c r="M298" s="2" t="str">
        <f>IFERROR(IF(MARÍTIMOS[[#This Row],[Licencia]]="","",MARÍTIMOS[[#This Row],[Licencia]]),"")</f>
        <v/>
      </c>
      <c r="N298" s="2" t="str">
        <f>IFERROR(IF(MARÍTIMOS[[#This Row],[Número de Contacto]]="","",MARÍTIMOS[[#This Row],[Número de Contacto]]),"")</f>
        <v/>
      </c>
      <c r="O298" s="10" t="str">
        <f>IFERROR(IF(MARÍTIMOS[[#This Row],[Booking|AWB|CRT]]="","",MARÍTIMOS[[#This Row],[Booking|AWB|CRT]]),"")</f>
        <v/>
      </c>
      <c r="P298" s="2" t="str">
        <f>IFERROR(IF(MARÍTIMOS[[#This Row],[Contenedor]]="","",MARÍTIMOS[[#This Row],[Contenedor]]),"")</f>
        <v/>
      </c>
      <c r="Q298" s="2" t="str">
        <f>IFERROR(IF(MARÍTIMOS[[#This Row],[Puerto de Retiro]]="","",MARÍTIMOS[[#This Row],[Puerto de Retiro]]),"")</f>
        <v/>
      </c>
      <c r="R298" s="2" t="str">
        <f>IFERROR(IF(MARÍTIMOS[[#This Row],[Almacén de Retiro]]="","",MARÍTIMOS[[#This Row],[Almacén de Retiro]]),"")</f>
        <v/>
      </c>
      <c r="S298" s="11" t="str">
        <f>IFERROR(IF(MARÍTIMOS[[#This Row],[Etapa Retiro - Cita]]="","",MARÍTIMOS[[#This Row],[Etapa Retiro - Cita]]),"")</f>
        <v/>
      </c>
      <c r="T298" s="11" t="str">
        <f>IFERROR(IF(MARÍTIMOS[[#This Row],[Etapa Retiro - Llegada]]="","",MARÍTIMOS[[#This Row],[Etapa Retiro - Llegada]]),"")</f>
        <v/>
      </c>
      <c r="U298" s="11" t="str">
        <f>IFERROR(IF(MARÍTIMOS[[#This Row],[Etapa Retiro - Ingreso]]="","",MARÍTIMOS[[#This Row],[Etapa Retiro - Ingreso]]),"")</f>
        <v/>
      </c>
      <c r="V298" s="11" t="str">
        <f>IFERROR(IF(MARÍTIMOS[[#This Row],[Etapa Retiro - Atención]]="","",MARÍTIMOS[[#This Row],[Etapa Retiro - Atención]]),"")</f>
        <v/>
      </c>
      <c r="W298" s="11" t="str">
        <f>IFERROR(IF(MARÍTIMOS[[#This Row],[Etapa Retiro - Salida]]="","",MARÍTIMOS[[#This Row],[Etapa Retiro - Salida]]),"")</f>
        <v/>
      </c>
      <c r="X298" s="11" t="str">
        <f>IFERROR(IF(MARÍTIMOS[[#This Row],[Etapa Retiro - Inicio de Ruta]]="","",MARÍTIMOS[[#This Row],[Etapa Retiro - Inicio de Ruta]]),"")</f>
        <v/>
      </c>
      <c r="Y298" s="11" t="str">
        <f>IFERROR(IF(MARÍTIMOS[[#This Row],[Hora de Posicionamiento]]="","",MARÍTIMOS[[#This Row],[Hora de Carga]]+MARÍTIMOS[[#This Row],[Hora de Posicionamiento]]),"")</f>
        <v/>
      </c>
      <c r="Z298" s="11" t="str">
        <f>IFERROR(IF(MARÍTIMOS[[#This Row],[Etapa Despacho -  Llegada]]="","",MARÍTIMOS[[#This Row],[Etapa Despacho -  Llegada]]),"")</f>
        <v/>
      </c>
      <c r="AA298" s="11" t="str">
        <f>IFERROR(IF(MARÍTIMOS[[#This Row],[Etapa Despacho -  Registro]]="","",MARÍTIMOS[[#This Row],[Etapa Despacho -  Registro]]),"")</f>
        <v/>
      </c>
      <c r="AB298" s="11" t="str">
        <f>IFERROR(IF(MARÍTIMOS[[#This Row],[Inspección Externa]]="","",MARÍTIMOS[[#This Row],[Inspección Externa]]),"")</f>
        <v/>
      </c>
      <c r="AC298" s="11" t="str">
        <f>IFERROR(IF(MARÍTIMOS[[#This Row],[Etapa Despacho -  Inicio de Carga]]="","",MARÍTIMOS[[#This Row],[Etapa Despacho -  Inicio de Carga]]),"")</f>
        <v/>
      </c>
      <c r="AD298" s="11" t="str">
        <f>IFERROR(IF(MARÍTIMOS[[#This Row],[Etapa Despacho -  Fin de Carga]]="","",MARÍTIMOS[[#This Row],[Etapa Despacho -  Fin de Carga]]),"")</f>
        <v/>
      </c>
      <c r="AE298" s="11" t="str">
        <f>IFERROR(IF(MARÍTIMOS[[#This Row],[Etapa Despacho -  Salida]]="","",MARÍTIMOS[[#This Row],[Etapa Despacho -  Salida]]),"")</f>
        <v/>
      </c>
      <c r="AF298" s="2" t="str">
        <f>IFERROR(IF(MARÍTIMOS[[#This Row],[Puerto de Embarque]]="","",MARÍTIMOS[[#This Row],[Puerto de Embarque]]),"")</f>
        <v/>
      </c>
      <c r="AG298" s="2" t="str">
        <f>IFERROR(IF(MARÍTIMOS[[#This Row],[Almacén de Ingreso]]="","",MARÍTIMOS[[#This Row],[Almacén de Ingreso]]),"")</f>
        <v/>
      </c>
      <c r="AH298" s="11" t="str">
        <f>IFERROR(IF(MARÍTIMOS[[#This Row],[Etapa Ingreso - Cita]]="","",MARÍTIMOS[[#This Row],[Etapa Ingreso - Cita]]),"")</f>
        <v/>
      </c>
      <c r="AI298" s="11" t="str">
        <f>IFERROR(IF(MARÍTIMOS[[#This Row],[Etapa Ingreso - Llegada]]="","",MARÍTIMOS[[#This Row],[Etapa Ingreso - Llegada]]),"")</f>
        <v/>
      </c>
      <c r="AJ298" s="11" t="str">
        <f>IFERROR(IF(MARÍTIMOS[[#This Row],[Etapa Ingreso - Ingeso]]="","",MARÍTIMOS[[#This Row],[Etapa Ingreso - Ingeso]]),"")</f>
        <v/>
      </c>
      <c r="AK298" s="11" t="str">
        <f>IFERROR(IF(MARÍTIMOS[[#This Row],[Etapa Ingreso - Atención]]="","",MARÍTIMOS[[#This Row],[Etapa Ingreso - Atención]]),"")</f>
        <v/>
      </c>
      <c r="AL298" s="11" t="str">
        <f>IFERROR(IF(MARÍTIMOS[[#This Row],[Etapa Ingreso - Salida]]="","",MARÍTIMOS[[#This Row],[Etapa Ingreso - Salida]]),"")</f>
        <v/>
      </c>
      <c r="AM298" s="2" t="str">
        <f>IFERROR(IF(MARÍTIMOS[[#This Row],[FCL]]="","",MARÍTIMOS[[#This Row],[FCL]]),"")</f>
        <v/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8" s="5" t="str">
        <f>IFERROR(OLDBD[[#This Row],[Llegada a packing]]-OLDBD[[#This Row],[Inicio de Ruta]],"")</f>
        <v/>
      </c>
      <c r="AQ298" s="6" t="str">
        <f>IFERROR(OLDBD[[#This Row],[Inicio de Ruta]]-OLDBD[[#This Row],[Salida de almacén de retiro]],"")</f>
        <v/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8" s="9" t="str">
        <f>IFERROR(OLDBD[[#This Row],[Ingreso Packing]]-OLDBD[[#This Row],[Registro en Packing]],"")</f>
        <v/>
      </c>
      <c r="AV298" s="9" t="str">
        <f>IFERROR(OLDBD[[#This Row],[Ingreso Packing]]-OLDBD[[#This Row],[Llegada a packing]],"")</f>
        <v/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8" s="5" t="str">
        <f>IFERROR(OLDBD[[#This Row],[Llegada Almacén de Ingreso]]-OLDBD[[#This Row],[Salida Packing]],"")</f>
        <v/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8" s="45" t="s">
        <v>181</v>
      </c>
      <c r="BB298" s="53" t="str">
        <f>IFERROR(IF(MARÍTIMOS[[#This Row],[Estatus]]="","",MARÍTIMOS[[#This Row],[Estatus]]),"")</f>
        <v/>
      </c>
      <c r="BC298" s="45"/>
      <c r="BD298" s="52" t="str">
        <f>IFERROR(OLDBD[[#This Row],[Salida de almacén de retiro]]-OLDBD[[#This Row],[Ingreso Almacén de retiro]],"")</f>
        <v/>
      </c>
      <c r="BE298" s="52" t="str">
        <f>IFERROR(OLDBD[[#This Row],[Fin de Carga]]-OLDBD[[#This Row],[Inicio de Carga]],"")</f>
        <v/>
      </c>
    </row>
    <row r="299" spans="1:57" x14ac:dyDescent="0.35">
      <c r="A299" s="1"/>
      <c r="B299" s="1" t="str">
        <f>IFERROR(IF(MARÍTIMOS[[#This Row],[PP]]="","",MARÍTIMOS[[#This Row],[PP]]),"")</f>
        <v/>
      </c>
      <c r="C299" s="1" t="str">
        <f>IFERROR(IF(MARÍTIMOS[[#This Row],[Sede]]="","",MARÍTIMOS[[#This Row],[Sede]]),"")</f>
        <v/>
      </c>
      <c r="D299" s="1" t="str">
        <f>IFERROR(IF(MARÍTIMOS[[#This Row],[Instruction]]="","",MARÍTIMOS[[#This Row],[Instruction]]),"")</f>
        <v/>
      </c>
      <c r="E299" s="1"/>
      <c r="F299" s="2" t="str">
        <f>IFERROR(IF(MARÍTIMOS[[#This Row],[Transportista]]="","",MARÍTIMOS[[#This Row],[Transportista]]),"")</f>
        <v/>
      </c>
      <c r="G299" s="2" t="str">
        <f>IFERROR(IF(MARÍTIMOS[[#This Row],[Tercero]]="","",MARÍTIMOS[[#This Row],[Tercero]]),"")</f>
        <v/>
      </c>
      <c r="H299" s="2" t="str">
        <f>IFERROR(IF(MARÍTIMOS[[#This Row],[Razón Social]]="","",MARÍTIMOS[[#This Row],[Razón Social]]),"")</f>
        <v/>
      </c>
      <c r="I299" s="2" t="str">
        <f>IFERROR(IF(MARÍTIMOS[[#This Row],[RUC]]="","",MARÍTIMOS[[#This Row],[RUC]]),"")</f>
        <v/>
      </c>
      <c r="J299" s="2" t="str">
        <f>IFERROR(IF(MARÍTIMOS[[#This Row],[Placa Tracto]]="","",MARÍTIMOS[[#This Row],[Placa Tracto]]),"")</f>
        <v/>
      </c>
      <c r="K299" s="2" t="str">
        <f>IFERROR(IF(MARÍTIMOS[[#This Row],[Placa Carreta]]="","",MARÍTIMOS[[#This Row],[Placa Carreta]]),"")</f>
        <v/>
      </c>
      <c r="L299" s="46" t="str">
        <f>IFERROR(IF(MARÍTIMOS[[#This Row],[Conductor]]="","",MARÍTIMOS[[#This Row],[Conductor]]),"")</f>
        <v/>
      </c>
      <c r="M299" s="2" t="str">
        <f>IFERROR(IF(MARÍTIMOS[[#This Row],[Licencia]]="","",MARÍTIMOS[[#This Row],[Licencia]]),"")</f>
        <v/>
      </c>
      <c r="N299" s="2" t="str">
        <f>IFERROR(IF(MARÍTIMOS[[#This Row],[Número de Contacto]]="","",MARÍTIMOS[[#This Row],[Número de Contacto]]),"")</f>
        <v/>
      </c>
      <c r="O299" s="10" t="str">
        <f>IFERROR(IF(MARÍTIMOS[[#This Row],[Booking|AWB|CRT]]="","",MARÍTIMOS[[#This Row],[Booking|AWB|CRT]]),"")</f>
        <v/>
      </c>
      <c r="P299" s="2" t="str">
        <f>IFERROR(IF(MARÍTIMOS[[#This Row],[Contenedor]]="","",MARÍTIMOS[[#This Row],[Contenedor]]),"")</f>
        <v/>
      </c>
      <c r="Q299" s="2" t="str">
        <f>IFERROR(IF(MARÍTIMOS[[#This Row],[Puerto de Retiro]]="","",MARÍTIMOS[[#This Row],[Puerto de Retiro]]),"")</f>
        <v/>
      </c>
      <c r="R299" s="2" t="str">
        <f>IFERROR(IF(MARÍTIMOS[[#This Row],[Almacén de Retiro]]="","",MARÍTIMOS[[#This Row],[Almacén de Retiro]]),"")</f>
        <v/>
      </c>
      <c r="S299" s="11" t="str">
        <f>IFERROR(IF(MARÍTIMOS[[#This Row],[Etapa Retiro - Cita]]="","",MARÍTIMOS[[#This Row],[Etapa Retiro - Cita]]),"")</f>
        <v/>
      </c>
      <c r="T299" s="11" t="str">
        <f>IFERROR(IF(MARÍTIMOS[[#This Row],[Etapa Retiro - Llegada]]="","",MARÍTIMOS[[#This Row],[Etapa Retiro - Llegada]]),"")</f>
        <v/>
      </c>
      <c r="U299" s="11" t="str">
        <f>IFERROR(IF(MARÍTIMOS[[#This Row],[Etapa Retiro - Ingreso]]="","",MARÍTIMOS[[#This Row],[Etapa Retiro - Ingreso]]),"")</f>
        <v/>
      </c>
      <c r="V299" s="11" t="str">
        <f>IFERROR(IF(MARÍTIMOS[[#This Row],[Etapa Retiro - Atención]]="","",MARÍTIMOS[[#This Row],[Etapa Retiro - Atención]]),"")</f>
        <v/>
      </c>
      <c r="W299" s="11" t="str">
        <f>IFERROR(IF(MARÍTIMOS[[#This Row],[Etapa Retiro - Salida]]="","",MARÍTIMOS[[#This Row],[Etapa Retiro - Salida]]),"")</f>
        <v/>
      </c>
      <c r="X299" s="11" t="str">
        <f>IFERROR(IF(MARÍTIMOS[[#This Row],[Etapa Retiro - Inicio de Ruta]]="","",MARÍTIMOS[[#This Row],[Etapa Retiro - Inicio de Ruta]]),"")</f>
        <v/>
      </c>
      <c r="Y299" s="11" t="str">
        <f>IFERROR(IF(MARÍTIMOS[[#This Row],[Hora de Posicionamiento]]="","",MARÍTIMOS[[#This Row],[Hora de Carga]]+MARÍTIMOS[[#This Row],[Hora de Posicionamiento]]),"")</f>
        <v/>
      </c>
      <c r="Z299" s="11" t="str">
        <f>IFERROR(IF(MARÍTIMOS[[#This Row],[Etapa Despacho -  Llegada]]="","",MARÍTIMOS[[#This Row],[Etapa Despacho -  Llegada]]),"")</f>
        <v/>
      </c>
      <c r="AA299" s="11" t="str">
        <f>IFERROR(IF(MARÍTIMOS[[#This Row],[Etapa Despacho -  Registro]]="","",MARÍTIMOS[[#This Row],[Etapa Despacho -  Registro]]),"")</f>
        <v/>
      </c>
      <c r="AB299" s="11" t="str">
        <f>IFERROR(IF(MARÍTIMOS[[#This Row],[Inspección Externa]]="","",MARÍTIMOS[[#This Row],[Inspección Externa]]),"")</f>
        <v/>
      </c>
      <c r="AC299" s="11" t="str">
        <f>IFERROR(IF(MARÍTIMOS[[#This Row],[Etapa Despacho -  Inicio de Carga]]="","",MARÍTIMOS[[#This Row],[Etapa Despacho -  Inicio de Carga]]),"")</f>
        <v/>
      </c>
      <c r="AD299" s="11" t="str">
        <f>IFERROR(IF(MARÍTIMOS[[#This Row],[Etapa Despacho -  Fin de Carga]]="","",MARÍTIMOS[[#This Row],[Etapa Despacho -  Fin de Carga]]),"")</f>
        <v/>
      </c>
      <c r="AE299" s="11" t="str">
        <f>IFERROR(IF(MARÍTIMOS[[#This Row],[Etapa Despacho -  Salida]]="","",MARÍTIMOS[[#This Row],[Etapa Despacho -  Salida]]),"")</f>
        <v/>
      </c>
      <c r="AF299" s="2" t="str">
        <f>IFERROR(IF(MARÍTIMOS[[#This Row],[Puerto de Embarque]]="","",MARÍTIMOS[[#This Row],[Puerto de Embarque]]),"")</f>
        <v/>
      </c>
      <c r="AG299" s="2" t="str">
        <f>IFERROR(IF(MARÍTIMOS[[#This Row],[Almacén de Ingreso]]="","",MARÍTIMOS[[#This Row],[Almacén de Ingreso]]),"")</f>
        <v/>
      </c>
      <c r="AH299" s="11" t="str">
        <f>IFERROR(IF(MARÍTIMOS[[#This Row],[Etapa Ingreso - Cita]]="","",MARÍTIMOS[[#This Row],[Etapa Ingreso - Cita]]),"")</f>
        <v/>
      </c>
      <c r="AI299" s="11" t="str">
        <f>IFERROR(IF(MARÍTIMOS[[#This Row],[Etapa Ingreso - Llegada]]="","",MARÍTIMOS[[#This Row],[Etapa Ingreso - Llegada]]),"")</f>
        <v/>
      </c>
      <c r="AJ299" s="11" t="str">
        <f>IFERROR(IF(MARÍTIMOS[[#This Row],[Etapa Ingreso - Ingeso]]="","",MARÍTIMOS[[#This Row],[Etapa Ingreso - Ingeso]]),"")</f>
        <v/>
      </c>
      <c r="AK299" s="11" t="str">
        <f>IFERROR(IF(MARÍTIMOS[[#This Row],[Etapa Ingreso - Atención]]="","",MARÍTIMOS[[#This Row],[Etapa Ingreso - Atención]]),"")</f>
        <v/>
      </c>
      <c r="AL299" s="11" t="str">
        <f>IFERROR(IF(MARÍTIMOS[[#This Row],[Etapa Ingreso - Salida]]="","",MARÍTIMOS[[#This Row],[Etapa Ingreso - Salida]]),"")</f>
        <v/>
      </c>
      <c r="AM299" s="2" t="str">
        <f>IFERROR(IF(MARÍTIMOS[[#This Row],[FCL]]="","",MARÍTIMOS[[#This Row],[FCL]]),"")</f>
        <v/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9" s="5" t="str">
        <f>IFERROR(OLDBD[[#This Row],[Llegada a packing]]-OLDBD[[#This Row],[Inicio de Ruta]],"")</f>
        <v/>
      </c>
      <c r="AQ299" s="6" t="str">
        <f>IFERROR(OLDBD[[#This Row],[Inicio de Ruta]]-OLDBD[[#This Row],[Salida de almacén de retiro]],"")</f>
        <v/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9" s="9" t="str">
        <f>IFERROR(OLDBD[[#This Row],[Ingreso Packing]]-OLDBD[[#This Row],[Registro en Packing]],"")</f>
        <v/>
      </c>
      <c r="AV299" s="9" t="str">
        <f>IFERROR(OLDBD[[#This Row],[Ingreso Packing]]-OLDBD[[#This Row],[Llegada a packing]],"")</f>
        <v/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9" s="5" t="str">
        <f>IFERROR(OLDBD[[#This Row],[Llegada Almacén de Ingreso]]-OLDBD[[#This Row],[Salida Packing]],"")</f>
        <v/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9" s="45" t="s">
        <v>181</v>
      </c>
      <c r="BB299" s="53" t="str">
        <f>IFERROR(IF(MARÍTIMOS[[#This Row],[Estatus]]="","",MARÍTIMOS[[#This Row],[Estatus]]),"")</f>
        <v/>
      </c>
      <c r="BC299" s="45"/>
      <c r="BD299" s="52" t="str">
        <f>IFERROR(OLDBD[[#This Row],[Salida de almacén de retiro]]-OLDBD[[#This Row],[Ingreso Almacén de retiro]],"")</f>
        <v/>
      </c>
      <c r="BE299" s="52" t="str">
        <f>IFERROR(OLDBD[[#This Row],[Fin de Carga]]-OLDBD[[#This Row],[Inicio de Carga]],"")</f>
        <v/>
      </c>
    </row>
    <row r="300" spans="1:57" x14ac:dyDescent="0.35">
      <c r="A300" s="1"/>
      <c r="B300" s="1" t="str">
        <f>IFERROR(IF(MARÍTIMOS[[#This Row],[PP]]="","",MARÍTIMOS[[#This Row],[PP]]),"")</f>
        <v/>
      </c>
      <c r="C300" s="1" t="str">
        <f>IFERROR(IF(MARÍTIMOS[[#This Row],[Sede]]="","",MARÍTIMOS[[#This Row],[Sede]]),"")</f>
        <v/>
      </c>
      <c r="D300" s="1" t="str">
        <f>IFERROR(IF(MARÍTIMOS[[#This Row],[Instruction]]="","",MARÍTIMOS[[#This Row],[Instruction]]),"")</f>
        <v/>
      </c>
      <c r="E300" s="1"/>
      <c r="F300" s="2" t="str">
        <f>IFERROR(IF(MARÍTIMOS[[#This Row],[Transportista]]="","",MARÍTIMOS[[#This Row],[Transportista]]),"")</f>
        <v/>
      </c>
      <c r="G300" s="2" t="str">
        <f>IFERROR(IF(MARÍTIMOS[[#This Row],[Tercero]]="","",MARÍTIMOS[[#This Row],[Tercero]]),"")</f>
        <v/>
      </c>
      <c r="H300" s="2" t="str">
        <f>IFERROR(IF(MARÍTIMOS[[#This Row],[Razón Social]]="","",MARÍTIMOS[[#This Row],[Razón Social]]),"")</f>
        <v/>
      </c>
      <c r="I300" s="2" t="str">
        <f>IFERROR(IF(MARÍTIMOS[[#This Row],[RUC]]="","",MARÍTIMOS[[#This Row],[RUC]]),"")</f>
        <v/>
      </c>
      <c r="J300" s="2" t="str">
        <f>IFERROR(IF(MARÍTIMOS[[#This Row],[Placa Tracto]]="","",MARÍTIMOS[[#This Row],[Placa Tracto]]),"")</f>
        <v/>
      </c>
      <c r="K300" s="2" t="str">
        <f>IFERROR(IF(MARÍTIMOS[[#This Row],[Placa Carreta]]="","",MARÍTIMOS[[#This Row],[Placa Carreta]]),"")</f>
        <v/>
      </c>
      <c r="L300" s="46" t="str">
        <f>IFERROR(IF(MARÍTIMOS[[#This Row],[Conductor]]="","",MARÍTIMOS[[#This Row],[Conductor]]),"")</f>
        <v/>
      </c>
      <c r="M300" s="2" t="str">
        <f>IFERROR(IF(MARÍTIMOS[[#This Row],[Licencia]]="","",MARÍTIMOS[[#This Row],[Licencia]]),"")</f>
        <v/>
      </c>
      <c r="N300" s="2" t="str">
        <f>IFERROR(IF(MARÍTIMOS[[#This Row],[Número de Contacto]]="","",MARÍTIMOS[[#This Row],[Número de Contacto]]),"")</f>
        <v/>
      </c>
      <c r="O300" s="10" t="str">
        <f>IFERROR(IF(MARÍTIMOS[[#This Row],[Booking|AWB|CRT]]="","",MARÍTIMOS[[#This Row],[Booking|AWB|CRT]]),"")</f>
        <v/>
      </c>
      <c r="P300" s="2" t="str">
        <f>IFERROR(IF(MARÍTIMOS[[#This Row],[Contenedor]]="","",MARÍTIMOS[[#This Row],[Contenedor]]),"")</f>
        <v/>
      </c>
      <c r="Q300" s="2" t="str">
        <f>IFERROR(IF(MARÍTIMOS[[#This Row],[Puerto de Retiro]]="","",MARÍTIMOS[[#This Row],[Puerto de Retiro]]),"")</f>
        <v/>
      </c>
      <c r="R300" s="2" t="str">
        <f>IFERROR(IF(MARÍTIMOS[[#This Row],[Almacén de Retiro]]="","",MARÍTIMOS[[#This Row],[Almacén de Retiro]]),"")</f>
        <v/>
      </c>
      <c r="S300" s="11" t="str">
        <f>IFERROR(IF(MARÍTIMOS[[#This Row],[Etapa Retiro - Cita]]="","",MARÍTIMOS[[#This Row],[Etapa Retiro - Cita]]),"")</f>
        <v/>
      </c>
      <c r="T300" s="11" t="str">
        <f>IFERROR(IF(MARÍTIMOS[[#This Row],[Etapa Retiro - Llegada]]="","",MARÍTIMOS[[#This Row],[Etapa Retiro - Llegada]]),"")</f>
        <v/>
      </c>
      <c r="U300" s="11" t="str">
        <f>IFERROR(IF(MARÍTIMOS[[#This Row],[Etapa Retiro - Ingreso]]="","",MARÍTIMOS[[#This Row],[Etapa Retiro - Ingreso]]),"")</f>
        <v/>
      </c>
      <c r="V300" s="11" t="str">
        <f>IFERROR(IF(MARÍTIMOS[[#This Row],[Etapa Retiro - Atención]]="","",MARÍTIMOS[[#This Row],[Etapa Retiro - Atención]]),"")</f>
        <v/>
      </c>
      <c r="W300" s="11" t="str">
        <f>IFERROR(IF(MARÍTIMOS[[#This Row],[Etapa Retiro - Salida]]="","",MARÍTIMOS[[#This Row],[Etapa Retiro - Salida]]),"")</f>
        <v/>
      </c>
      <c r="X300" s="11" t="str">
        <f>IFERROR(IF(MARÍTIMOS[[#This Row],[Etapa Retiro - Inicio de Ruta]]="","",MARÍTIMOS[[#This Row],[Etapa Retiro - Inicio de Ruta]]),"")</f>
        <v/>
      </c>
      <c r="Y300" s="11" t="str">
        <f>IFERROR(IF(MARÍTIMOS[[#This Row],[Hora de Posicionamiento]]="","",MARÍTIMOS[[#This Row],[Hora de Carga]]+MARÍTIMOS[[#This Row],[Hora de Posicionamiento]]),"")</f>
        <v/>
      </c>
      <c r="Z300" s="11" t="str">
        <f>IFERROR(IF(MARÍTIMOS[[#This Row],[Etapa Despacho -  Llegada]]="","",MARÍTIMOS[[#This Row],[Etapa Despacho -  Llegada]]),"")</f>
        <v/>
      </c>
      <c r="AA300" s="11" t="str">
        <f>IFERROR(IF(MARÍTIMOS[[#This Row],[Etapa Despacho -  Registro]]="","",MARÍTIMOS[[#This Row],[Etapa Despacho -  Registro]]),"")</f>
        <v/>
      </c>
      <c r="AB300" s="11" t="str">
        <f>IFERROR(IF(MARÍTIMOS[[#This Row],[Inspección Externa]]="","",MARÍTIMOS[[#This Row],[Inspección Externa]]),"")</f>
        <v/>
      </c>
      <c r="AC300" s="11" t="str">
        <f>IFERROR(IF(MARÍTIMOS[[#This Row],[Etapa Despacho -  Inicio de Carga]]="","",MARÍTIMOS[[#This Row],[Etapa Despacho -  Inicio de Carga]]),"")</f>
        <v/>
      </c>
      <c r="AD300" s="11" t="str">
        <f>IFERROR(IF(MARÍTIMOS[[#This Row],[Etapa Despacho -  Fin de Carga]]="","",MARÍTIMOS[[#This Row],[Etapa Despacho -  Fin de Carga]]),"")</f>
        <v/>
      </c>
      <c r="AE300" s="11" t="str">
        <f>IFERROR(IF(MARÍTIMOS[[#This Row],[Etapa Despacho -  Salida]]="","",MARÍTIMOS[[#This Row],[Etapa Despacho -  Salida]]),"")</f>
        <v/>
      </c>
      <c r="AF300" s="2" t="str">
        <f>IFERROR(IF(MARÍTIMOS[[#This Row],[Puerto de Embarque]]="","",MARÍTIMOS[[#This Row],[Puerto de Embarque]]),"")</f>
        <v/>
      </c>
      <c r="AG300" s="2" t="str">
        <f>IFERROR(IF(MARÍTIMOS[[#This Row],[Almacén de Ingreso]]="","",MARÍTIMOS[[#This Row],[Almacén de Ingreso]]),"")</f>
        <v/>
      </c>
      <c r="AH300" s="11" t="str">
        <f>IFERROR(IF(MARÍTIMOS[[#This Row],[Etapa Ingreso - Cita]]="","",MARÍTIMOS[[#This Row],[Etapa Ingreso - Cita]]),"")</f>
        <v/>
      </c>
      <c r="AI300" s="11" t="str">
        <f>IFERROR(IF(MARÍTIMOS[[#This Row],[Etapa Ingreso - Llegada]]="","",MARÍTIMOS[[#This Row],[Etapa Ingreso - Llegada]]),"")</f>
        <v/>
      </c>
      <c r="AJ300" s="11" t="str">
        <f>IFERROR(IF(MARÍTIMOS[[#This Row],[Etapa Ingreso - Ingeso]]="","",MARÍTIMOS[[#This Row],[Etapa Ingreso - Ingeso]]),"")</f>
        <v/>
      </c>
      <c r="AK300" s="11" t="str">
        <f>IFERROR(IF(MARÍTIMOS[[#This Row],[Etapa Ingreso - Atención]]="","",MARÍTIMOS[[#This Row],[Etapa Ingreso - Atención]]),"")</f>
        <v/>
      </c>
      <c r="AL300" s="11" t="str">
        <f>IFERROR(IF(MARÍTIMOS[[#This Row],[Etapa Ingreso - Salida]]="","",MARÍTIMOS[[#This Row],[Etapa Ingreso - Salida]]),"")</f>
        <v/>
      </c>
      <c r="AM300" s="2" t="str">
        <f>IFERROR(IF(MARÍTIMOS[[#This Row],[FCL]]="","",MARÍTIMOS[[#This Row],[FCL]]),"")</f>
        <v/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0" s="5" t="str">
        <f>IFERROR(OLDBD[[#This Row],[Llegada a packing]]-OLDBD[[#This Row],[Inicio de Ruta]],"")</f>
        <v/>
      </c>
      <c r="AQ300" s="6" t="str">
        <f>IFERROR(OLDBD[[#This Row],[Inicio de Ruta]]-OLDBD[[#This Row],[Salida de almacén de retiro]],"")</f>
        <v/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0" s="9" t="str">
        <f>IFERROR(OLDBD[[#This Row],[Ingreso Packing]]-OLDBD[[#This Row],[Registro en Packing]],"")</f>
        <v/>
      </c>
      <c r="AV300" s="9" t="str">
        <f>IFERROR(OLDBD[[#This Row],[Ingreso Packing]]-OLDBD[[#This Row],[Llegada a packing]],"")</f>
        <v/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0" s="5" t="str">
        <f>IFERROR(OLDBD[[#This Row],[Llegada Almacén de Ingreso]]-OLDBD[[#This Row],[Salida Packing]],"")</f>
        <v/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0" s="45" t="s">
        <v>181</v>
      </c>
      <c r="BB300" s="53" t="str">
        <f>IFERROR(IF(MARÍTIMOS[[#This Row],[Estatus]]="","",MARÍTIMOS[[#This Row],[Estatus]]),"")</f>
        <v/>
      </c>
      <c r="BC300" s="45"/>
      <c r="BD300" s="52" t="str">
        <f>IFERROR(OLDBD[[#This Row],[Salida de almacén de retiro]]-OLDBD[[#This Row],[Ingreso Almacén de retiro]],"")</f>
        <v/>
      </c>
      <c r="BE300" s="52" t="str">
        <f>IFERROR(OLDBD[[#This Row],[Fin de Carga]]-OLDBD[[#This Row],[Inicio de Carga]],"")</f>
        <v/>
      </c>
    </row>
    <row r="301" spans="1:57" x14ac:dyDescent="0.35">
      <c r="A301" s="1"/>
      <c r="B301" s="1" t="str">
        <f>IFERROR(IF(MARÍTIMOS[[#This Row],[PP]]="","",MARÍTIMOS[[#This Row],[PP]]),"")</f>
        <v/>
      </c>
      <c r="C301" s="1" t="str">
        <f>IFERROR(IF(MARÍTIMOS[[#This Row],[Sede]]="","",MARÍTIMOS[[#This Row],[Sede]]),"")</f>
        <v/>
      </c>
      <c r="D301" s="1" t="str">
        <f>IFERROR(IF(MARÍTIMOS[[#This Row],[Instruction]]="","",MARÍTIMOS[[#This Row],[Instruction]]),"")</f>
        <v/>
      </c>
      <c r="E301" s="1"/>
      <c r="F301" s="2" t="str">
        <f>IFERROR(IF(MARÍTIMOS[[#This Row],[Transportista]]="","",MARÍTIMOS[[#This Row],[Transportista]]),"")</f>
        <v/>
      </c>
      <c r="G301" s="2" t="str">
        <f>IFERROR(IF(MARÍTIMOS[[#This Row],[Tercero]]="","",MARÍTIMOS[[#This Row],[Tercero]]),"")</f>
        <v/>
      </c>
      <c r="H301" s="2" t="str">
        <f>IFERROR(IF(MARÍTIMOS[[#This Row],[Razón Social]]="","",MARÍTIMOS[[#This Row],[Razón Social]]),"")</f>
        <v/>
      </c>
      <c r="I301" s="2" t="str">
        <f>IFERROR(IF(MARÍTIMOS[[#This Row],[RUC]]="","",MARÍTIMOS[[#This Row],[RUC]]),"")</f>
        <v/>
      </c>
      <c r="J301" s="2" t="str">
        <f>IFERROR(IF(MARÍTIMOS[[#This Row],[Placa Tracto]]="","",MARÍTIMOS[[#This Row],[Placa Tracto]]),"")</f>
        <v/>
      </c>
      <c r="K301" s="2" t="str">
        <f>IFERROR(IF(MARÍTIMOS[[#This Row],[Placa Carreta]]="","",MARÍTIMOS[[#This Row],[Placa Carreta]]),"")</f>
        <v/>
      </c>
      <c r="L301" s="46" t="str">
        <f>IFERROR(IF(MARÍTIMOS[[#This Row],[Conductor]]="","",MARÍTIMOS[[#This Row],[Conductor]]),"")</f>
        <v/>
      </c>
      <c r="M301" s="2" t="str">
        <f>IFERROR(IF(MARÍTIMOS[[#This Row],[Licencia]]="","",MARÍTIMOS[[#This Row],[Licencia]]),"")</f>
        <v/>
      </c>
      <c r="N301" s="2" t="str">
        <f>IFERROR(IF(MARÍTIMOS[[#This Row],[Número de Contacto]]="","",MARÍTIMOS[[#This Row],[Número de Contacto]]),"")</f>
        <v/>
      </c>
      <c r="O301" s="10" t="str">
        <f>IFERROR(IF(MARÍTIMOS[[#This Row],[Booking|AWB|CRT]]="","",MARÍTIMOS[[#This Row],[Booking|AWB|CRT]]),"")</f>
        <v/>
      </c>
      <c r="P301" s="2" t="str">
        <f>IFERROR(IF(MARÍTIMOS[[#This Row],[Contenedor]]="","",MARÍTIMOS[[#This Row],[Contenedor]]),"")</f>
        <v/>
      </c>
      <c r="Q301" s="2" t="str">
        <f>IFERROR(IF(MARÍTIMOS[[#This Row],[Puerto de Retiro]]="","",MARÍTIMOS[[#This Row],[Puerto de Retiro]]),"")</f>
        <v/>
      </c>
      <c r="R301" s="2" t="str">
        <f>IFERROR(IF(MARÍTIMOS[[#This Row],[Almacén de Retiro]]="","",MARÍTIMOS[[#This Row],[Almacén de Retiro]]),"")</f>
        <v/>
      </c>
      <c r="S301" s="11" t="str">
        <f>IFERROR(IF(MARÍTIMOS[[#This Row],[Etapa Retiro - Cita]]="","",MARÍTIMOS[[#This Row],[Etapa Retiro - Cita]]),"")</f>
        <v/>
      </c>
      <c r="T301" s="11" t="str">
        <f>IFERROR(IF(MARÍTIMOS[[#This Row],[Etapa Retiro - Llegada]]="","",MARÍTIMOS[[#This Row],[Etapa Retiro - Llegada]]),"")</f>
        <v/>
      </c>
      <c r="U301" s="11" t="str">
        <f>IFERROR(IF(MARÍTIMOS[[#This Row],[Etapa Retiro - Ingreso]]="","",MARÍTIMOS[[#This Row],[Etapa Retiro - Ingreso]]),"")</f>
        <v/>
      </c>
      <c r="V301" s="11" t="str">
        <f>IFERROR(IF(MARÍTIMOS[[#This Row],[Etapa Retiro - Atención]]="","",MARÍTIMOS[[#This Row],[Etapa Retiro - Atención]]),"")</f>
        <v/>
      </c>
      <c r="W301" s="11" t="str">
        <f>IFERROR(IF(MARÍTIMOS[[#This Row],[Etapa Retiro - Salida]]="","",MARÍTIMOS[[#This Row],[Etapa Retiro - Salida]]),"")</f>
        <v/>
      </c>
      <c r="X301" s="11" t="str">
        <f>IFERROR(IF(MARÍTIMOS[[#This Row],[Etapa Retiro - Inicio de Ruta]]="","",MARÍTIMOS[[#This Row],[Etapa Retiro - Inicio de Ruta]]),"")</f>
        <v/>
      </c>
      <c r="Y301" s="11" t="str">
        <f>IFERROR(IF(MARÍTIMOS[[#This Row],[Hora de Posicionamiento]]="","",MARÍTIMOS[[#This Row],[Hora de Carga]]+MARÍTIMOS[[#This Row],[Hora de Posicionamiento]]),"")</f>
        <v/>
      </c>
      <c r="Z301" s="11" t="str">
        <f>IFERROR(IF(MARÍTIMOS[[#This Row],[Etapa Despacho -  Llegada]]="","",MARÍTIMOS[[#This Row],[Etapa Despacho -  Llegada]]),"")</f>
        <v/>
      </c>
      <c r="AA301" s="11" t="str">
        <f>IFERROR(IF(MARÍTIMOS[[#This Row],[Etapa Despacho -  Registro]]="","",MARÍTIMOS[[#This Row],[Etapa Despacho -  Registro]]),"")</f>
        <v/>
      </c>
      <c r="AB301" s="11" t="str">
        <f>IFERROR(IF(MARÍTIMOS[[#This Row],[Inspección Externa]]="","",MARÍTIMOS[[#This Row],[Inspección Externa]]),"")</f>
        <v/>
      </c>
      <c r="AC301" s="11" t="str">
        <f>IFERROR(IF(MARÍTIMOS[[#This Row],[Etapa Despacho -  Inicio de Carga]]="","",MARÍTIMOS[[#This Row],[Etapa Despacho -  Inicio de Carga]]),"")</f>
        <v/>
      </c>
      <c r="AD301" s="11" t="str">
        <f>IFERROR(IF(MARÍTIMOS[[#This Row],[Etapa Despacho -  Fin de Carga]]="","",MARÍTIMOS[[#This Row],[Etapa Despacho -  Fin de Carga]]),"")</f>
        <v/>
      </c>
      <c r="AE301" s="11" t="str">
        <f>IFERROR(IF(MARÍTIMOS[[#This Row],[Etapa Despacho -  Salida]]="","",MARÍTIMOS[[#This Row],[Etapa Despacho -  Salida]]),"")</f>
        <v/>
      </c>
      <c r="AF301" s="2" t="str">
        <f>IFERROR(IF(MARÍTIMOS[[#This Row],[Puerto de Embarque]]="","",MARÍTIMOS[[#This Row],[Puerto de Embarque]]),"")</f>
        <v/>
      </c>
      <c r="AG301" s="2" t="str">
        <f>IFERROR(IF(MARÍTIMOS[[#This Row],[Almacén de Ingreso]]="","",MARÍTIMOS[[#This Row],[Almacén de Ingreso]]),"")</f>
        <v/>
      </c>
      <c r="AH301" s="11" t="str">
        <f>IFERROR(IF(MARÍTIMOS[[#This Row],[Etapa Ingreso - Cita]]="","",MARÍTIMOS[[#This Row],[Etapa Ingreso - Cita]]),"")</f>
        <v/>
      </c>
      <c r="AI301" s="11" t="str">
        <f>IFERROR(IF(MARÍTIMOS[[#This Row],[Etapa Ingreso - Llegada]]="","",MARÍTIMOS[[#This Row],[Etapa Ingreso - Llegada]]),"")</f>
        <v/>
      </c>
      <c r="AJ301" s="11" t="str">
        <f>IFERROR(IF(MARÍTIMOS[[#This Row],[Etapa Ingreso - Ingeso]]="","",MARÍTIMOS[[#This Row],[Etapa Ingreso - Ingeso]]),"")</f>
        <v/>
      </c>
      <c r="AK301" s="11" t="str">
        <f>IFERROR(IF(MARÍTIMOS[[#This Row],[Etapa Ingreso - Atención]]="","",MARÍTIMOS[[#This Row],[Etapa Ingreso - Atención]]),"")</f>
        <v/>
      </c>
      <c r="AL301" s="11" t="str">
        <f>IFERROR(IF(MARÍTIMOS[[#This Row],[Etapa Ingreso - Salida]]="","",MARÍTIMOS[[#This Row],[Etapa Ingreso - Salida]]),"")</f>
        <v/>
      </c>
      <c r="AM301" s="2" t="str">
        <f>IFERROR(IF(MARÍTIMOS[[#This Row],[FCL]]="","",MARÍTIMOS[[#This Row],[FCL]]),"")</f>
        <v/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1" s="5" t="str">
        <f>IFERROR(OLDBD[[#This Row],[Llegada a packing]]-OLDBD[[#This Row],[Inicio de Ruta]],"")</f>
        <v/>
      </c>
      <c r="AQ301" s="6" t="str">
        <f>IFERROR(OLDBD[[#This Row],[Inicio de Ruta]]-OLDBD[[#This Row],[Salida de almacén de retiro]],"")</f>
        <v/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1" s="9" t="str">
        <f>IFERROR(OLDBD[[#This Row],[Ingreso Packing]]-OLDBD[[#This Row],[Registro en Packing]],"")</f>
        <v/>
      </c>
      <c r="AV301" s="9" t="str">
        <f>IFERROR(OLDBD[[#This Row],[Ingreso Packing]]-OLDBD[[#This Row],[Llegada a packing]],"")</f>
        <v/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1" s="5" t="str">
        <f>IFERROR(OLDBD[[#This Row],[Llegada Almacén de Ingreso]]-OLDBD[[#This Row],[Salida Packing]],"")</f>
        <v/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1" s="45" t="s">
        <v>181</v>
      </c>
      <c r="BB301" s="53" t="str">
        <f>IFERROR(IF(MARÍTIMOS[[#This Row],[Estatus]]="","",MARÍTIMOS[[#This Row],[Estatus]]),"")</f>
        <v/>
      </c>
      <c r="BC301" s="45"/>
      <c r="BD301" s="52" t="str">
        <f>IFERROR(OLDBD[[#This Row],[Salida de almacén de retiro]]-OLDBD[[#This Row],[Ingreso Almacén de retiro]],"")</f>
        <v/>
      </c>
      <c r="BE301" s="52" t="str">
        <f>IFERROR(OLDBD[[#This Row],[Fin de Carga]]-OLDBD[[#This Row],[Inicio de Carga]],"")</f>
        <v/>
      </c>
    </row>
    <row r="302" spans="1:57" x14ac:dyDescent="0.35">
      <c r="A302" s="1"/>
      <c r="B302" s="1" t="str">
        <f>IFERROR(IF(MARÍTIMOS[[#This Row],[PP]]="","",MARÍTIMOS[[#This Row],[PP]]),"")</f>
        <v/>
      </c>
      <c r="C302" s="1" t="str">
        <f>IFERROR(IF(MARÍTIMOS[[#This Row],[Sede]]="","",MARÍTIMOS[[#This Row],[Sede]]),"")</f>
        <v/>
      </c>
      <c r="D302" s="1" t="str">
        <f>IFERROR(IF(MARÍTIMOS[[#This Row],[Instruction]]="","",MARÍTIMOS[[#This Row],[Instruction]]),"")</f>
        <v/>
      </c>
      <c r="E302" s="1"/>
      <c r="F302" s="2" t="str">
        <f>IFERROR(IF(MARÍTIMOS[[#This Row],[Transportista]]="","",MARÍTIMOS[[#This Row],[Transportista]]),"")</f>
        <v/>
      </c>
      <c r="G302" s="2" t="str">
        <f>IFERROR(IF(MARÍTIMOS[[#This Row],[Tercero]]="","",MARÍTIMOS[[#This Row],[Tercero]]),"")</f>
        <v/>
      </c>
      <c r="H302" s="2" t="str">
        <f>IFERROR(IF(MARÍTIMOS[[#This Row],[Razón Social]]="","",MARÍTIMOS[[#This Row],[Razón Social]]),"")</f>
        <v/>
      </c>
      <c r="I302" s="2" t="str">
        <f>IFERROR(IF(MARÍTIMOS[[#This Row],[RUC]]="","",MARÍTIMOS[[#This Row],[RUC]]),"")</f>
        <v/>
      </c>
      <c r="J302" s="2" t="str">
        <f>IFERROR(IF(MARÍTIMOS[[#This Row],[Placa Tracto]]="","",MARÍTIMOS[[#This Row],[Placa Tracto]]),"")</f>
        <v/>
      </c>
      <c r="K302" s="2" t="str">
        <f>IFERROR(IF(MARÍTIMOS[[#This Row],[Placa Carreta]]="","",MARÍTIMOS[[#This Row],[Placa Carreta]]),"")</f>
        <v/>
      </c>
      <c r="L302" s="46" t="str">
        <f>IFERROR(IF(MARÍTIMOS[[#This Row],[Conductor]]="","",MARÍTIMOS[[#This Row],[Conductor]]),"")</f>
        <v/>
      </c>
      <c r="M302" s="2" t="str">
        <f>IFERROR(IF(MARÍTIMOS[[#This Row],[Licencia]]="","",MARÍTIMOS[[#This Row],[Licencia]]),"")</f>
        <v/>
      </c>
      <c r="N302" s="2" t="str">
        <f>IFERROR(IF(MARÍTIMOS[[#This Row],[Número de Contacto]]="","",MARÍTIMOS[[#This Row],[Número de Contacto]]),"")</f>
        <v/>
      </c>
      <c r="O302" s="10" t="str">
        <f>IFERROR(IF(MARÍTIMOS[[#This Row],[Booking|AWB|CRT]]="","",MARÍTIMOS[[#This Row],[Booking|AWB|CRT]]),"")</f>
        <v/>
      </c>
      <c r="P302" s="2" t="str">
        <f>IFERROR(IF(MARÍTIMOS[[#This Row],[Contenedor]]="","",MARÍTIMOS[[#This Row],[Contenedor]]),"")</f>
        <v/>
      </c>
      <c r="Q302" s="2" t="str">
        <f>IFERROR(IF(MARÍTIMOS[[#This Row],[Puerto de Retiro]]="","",MARÍTIMOS[[#This Row],[Puerto de Retiro]]),"")</f>
        <v/>
      </c>
      <c r="R302" s="2" t="str">
        <f>IFERROR(IF(MARÍTIMOS[[#This Row],[Almacén de Retiro]]="","",MARÍTIMOS[[#This Row],[Almacén de Retiro]]),"")</f>
        <v/>
      </c>
      <c r="S302" s="11" t="str">
        <f>IFERROR(IF(MARÍTIMOS[[#This Row],[Etapa Retiro - Cita]]="","",MARÍTIMOS[[#This Row],[Etapa Retiro - Cita]]),"")</f>
        <v/>
      </c>
      <c r="T302" s="11" t="str">
        <f>IFERROR(IF(MARÍTIMOS[[#This Row],[Etapa Retiro - Llegada]]="","",MARÍTIMOS[[#This Row],[Etapa Retiro - Llegada]]),"")</f>
        <v/>
      </c>
      <c r="U302" s="11" t="str">
        <f>IFERROR(IF(MARÍTIMOS[[#This Row],[Etapa Retiro - Ingreso]]="","",MARÍTIMOS[[#This Row],[Etapa Retiro - Ingreso]]),"")</f>
        <v/>
      </c>
      <c r="V302" s="11" t="str">
        <f>IFERROR(IF(MARÍTIMOS[[#This Row],[Etapa Retiro - Atención]]="","",MARÍTIMOS[[#This Row],[Etapa Retiro - Atención]]),"")</f>
        <v/>
      </c>
      <c r="W302" s="11" t="str">
        <f>IFERROR(IF(MARÍTIMOS[[#This Row],[Etapa Retiro - Salida]]="","",MARÍTIMOS[[#This Row],[Etapa Retiro - Salida]]),"")</f>
        <v/>
      </c>
      <c r="X302" s="11" t="str">
        <f>IFERROR(IF(MARÍTIMOS[[#This Row],[Etapa Retiro - Inicio de Ruta]]="","",MARÍTIMOS[[#This Row],[Etapa Retiro - Inicio de Ruta]]),"")</f>
        <v/>
      </c>
      <c r="Y302" s="11" t="str">
        <f>IFERROR(IF(MARÍTIMOS[[#This Row],[Hora de Posicionamiento]]="","",MARÍTIMOS[[#This Row],[Hora de Carga]]+MARÍTIMOS[[#This Row],[Hora de Posicionamiento]]),"")</f>
        <v/>
      </c>
      <c r="Z302" s="11" t="str">
        <f>IFERROR(IF(MARÍTIMOS[[#This Row],[Etapa Despacho -  Llegada]]="","",MARÍTIMOS[[#This Row],[Etapa Despacho -  Llegada]]),"")</f>
        <v/>
      </c>
      <c r="AA302" s="11" t="str">
        <f>IFERROR(IF(MARÍTIMOS[[#This Row],[Etapa Despacho -  Registro]]="","",MARÍTIMOS[[#This Row],[Etapa Despacho -  Registro]]),"")</f>
        <v/>
      </c>
      <c r="AB302" s="11" t="str">
        <f>IFERROR(IF(MARÍTIMOS[[#This Row],[Inspección Externa]]="","",MARÍTIMOS[[#This Row],[Inspección Externa]]),"")</f>
        <v/>
      </c>
      <c r="AC302" s="11" t="str">
        <f>IFERROR(IF(MARÍTIMOS[[#This Row],[Etapa Despacho -  Inicio de Carga]]="","",MARÍTIMOS[[#This Row],[Etapa Despacho -  Inicio de Carga]]),"")</f>
        <v/>
      </c>
      <c r="AD302" s="11" t="str">
        <f>IFERROR(IF(MARÍTIMOS[[#This Row],[Etapa Despacho -  Fin de Carga]]="","",MARÍTIMOS[[#This Row],[Etapa Despacho -  Fin de Carga]]),"")</f>
        <v/>
      </c>
      <c r="AE302" s="11" t="str">
        <f>IFERROR(IF(MARÍTIMOS[[#This Row],[Etapa Despacho -  Salida]]="","",MARÍTIMOS[[#This Row],[Etapa Despacho -  Salida]]),"")</f>
        <v/>
      </c>
      <c r="AF302" s="2" t="str">
        <f>IFERROR(IF(MARÍTIMOS[[#This Row],[Puerto de Embarque]]="","",MARÍTIMOS[[#This Row],[Puerto de Embarque]]),"")</f>
        <v/>
      </c>
      <c r="AG302" s="2" t="str">
        <f>IFERROR(IF(MARÍTIMOS[[#This Row],[Almacén de Ingreso]]="","",MARÍTIMOS[[#This Row],[Almacén de Ingreso]]),"")</f>
        <v/>
      </c>
      <c r="AH302" s="11" t="str">
        <f>IFERROR(IF(MARÍTIMOS[[#This Row],[Etapa Ingreso - Cita]]="","",MARÍTIMOS[[#This Row],[Etapa Ingreso - Cita]]),"")</f>
        <v/>
      </c>
      <c r="AI302" s="11" t="str">
        <f>IFERROR(IF(MARÍTIMOS[[#This Row],[Etapa Ingreso - Llegada]]="","",MARÍTIMOS[[#This Row],[Etapa Ingreso - Llegada]]),"")</f>
        <v/>
      </c>
      <c r="AJ302" s="11" t="str">
        <f>IFERROR(IF(MARÍTIMOS[[#This Row],[Etapa Ingreso - Ingeso]]="","",MARÍTIMOS[[#This Row],[Etapa Ingreso - Ingeso]]),"")</f>
        <v/>
      </c>
      <c r="AK302" s="11" t="str">
        <f>IFERROR(IF(MARÍTIMOS[[#This Row],[Etapa Ingreso - Atención]]="","",MARÍTIMOS[[#This Row],[Etapa Ingreso - Atención]]),"")</f>
        <v/>
      </c>
      <c r="AL302" s="11" t="str">
        <f>IFERROR(IF(MARÍTIMOS[[#This Row],[Etapa Ingreso - Salida]]="","",MARÍTIMOS[[#This Row],[Etapa Ingreso - Salida]]),"")</f>
        <v/>
      </c>
      <c r="AM302" s="2" t="str">
        <f>IFERROR(IF(MARÍTIMOS[[#This Row],[FCL]]="","",MARÍTIMOS[[#This Row],[FCL]]),"")</f>
        <v/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2" s="5" t="str">
        <f>IFERROR(OLDBD[[#This Row],[Llegada a packing]]-OLDBD[[#This Row],[Inicio de Ruta]],"")</f>
        <v/>
      </c>
      <c r="AQ302" s="6" t="str">
        <f>IFERROR(OLDBD[[#This Row],[Inicio de Ruta]]-OLDBD[[#This Row],[Salida de almacén de retiro]],"")</f>
        <v/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2" s="9" t="str">
        <f>IFERROR(OLDBD[[#This Row],[Ingreso Packing]]-OLDBD[[#This Row],[Registro en Packing]],"")</f>
        <v/>
      </c>
      <c r="AV302" s="9" t="str">
        <f>IFERROR(OLDBD[[#This Row],[Ingreso Packing]]-OLDBD[[#This Row],[Llegada a packing]],"")</f>
        <v/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2" s="5" t="str">
        <f>IFERROR(OLDBD[[#This Row],[Llegada Almacén de Ingreso]]-OLDBD[[#This Row],[Salida Packing]],"")</f>
        <v/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2" s="45" t="s">
        <v>181</v>
      </c>
      <c r="BB302" s="53" t="str">
        <f>IFERROR(IF(MARÍTIMOS[[#This Row],[Estatus]]="","",MARÍTIMOS[[#This Row],[Estatus]]),"")</f>
        <v/>
      </c>
      <c r="BC302" s="45"/>
      <c r="BD302" s="52" t="str">
        <f>IFERROR(OLDBD[[#This Row],[Salida de almacén de retiro]]-OLDBD[[#This Row],[Ingreso Almacén de retiro]],"")</f>
        <v/>
      </c>
      <c r="BE302" s="52" t="str">
        <f>IFERROR(OLDBD[[#This Row],[Fin de Carga]]-OLDBD[[#This Row],[Inicio de Carga]],"")</f>
        <v/>
      </c>
    </row>
    <row r="303" spans="1:57" x14ac:dyDescent="0.35">
      <c r="A303" s="1"/>
      <c r="B303" s="1" t="str">
        <f>IFERROR(IF(MARÍTIMOS[[#This Row],[PP]]="","",MARÍTIMOS[[#This Row],[PP]]),"")</f>
        <v/>
      </c>
      <c r="C303" s="1" t="str">
        <f>IFERROR(IF(MARÍTIMOS[[#This Row],[Sede]]="","",MARÍTIMOS[[#This Row],[Sede]]),"")</f>
        <v/>
      </c>
      <c r="D303" s="1" t="str">
        <f>IFERROR(IF(MARÍTIMOS[[#This Row],[Instruction]]="","",MARÍTIMOS[[#This Row],[Instruction]]),"")</f>
        <v/>
      </c>
      <c r="E303" s="1"/>
      <c r="F303" s="2" t="str">
        <f>IFERROR(IF(MARÍTIMOS[[#This Row],[Transportista]]="","",MARÍTIMOS[[#This Row],[Transportista]]),"")</f>
        <v/>
      </c>
      <c r="G303" s="2" t="str">
        <f>IFERROR(IF(MARÍTIMOS[[#This Row],[Tercero]]="","",MARÍTIMOS[[#This Row],[Tercero]]),"")</f>
        <v/>
      </c>
      <c r="H303" s="2" t="str">
        <f>IFERROR(IF(MARÍTIMOS[[#This Row],[Razón Social]]="","",MARÍTIMOS[[#This Row],[Razón Social]]),"")</f>
        <v/>
      </c>
      <c r="I303" s="2" t="str">
        <f>IFERROR(IF(MARÍTIMOS[[#This Row],[RUC]]="","",MARÍTIMOS[[#This Row],[RUC]]),"")</f>
        <v/>
      </c>
      <c r="J303" s="2" t="str">
        <f>IFERROR(IF(MARÍTIMOS[[#This Row],[Placa Tracto]]="","",MARÍTIMOS[[#This Row],[Placa Tracto]]),"")</f>
        <v/>
      </c>
      <c r="K303" s="2" t="str">
        <f>IFERROR(IF(MARÍTIMOS[[#This Row],[Placa Carreta]]="","",MARÍTIMOS[[#This Row],[Placa Carreta]]),"")</f>
        <v/>
      </c>
      <c r="L303" s="46" t="str">
        <f>IFERROR(IF(MARÍTIMOS[[#This Row],[Conductor]]="","",MARÍTIMOS[[#This Row],[Conductor]]),"")</f>
        <v/>
      </c>
      <c r="M303" s="2" t="str">
        <f>IFERROR(IF(MARÍTIMOS[[#This Row],[Licencia]]="","",MARÍTIMOS[[#This Row],[Licencia]]),"")</f>
        <v/>
      </c>
      <c r="N303" s="2" t="str">
        <f>IFERROR(IF(MARÍTIMOS[[#This Row],[Número de Contacto]]="","",MARÍTIMOS[[#This Row],[Número de Contacto]]),"")</f>
        <v/>
      </c>
      <c r="O303" s="10" t="str">
        <f>IFERROR(IF(MARÍTIMOS[[#This Row],[Booking|AWB|CRT]]="","",MARÍTIMOS[[#This Row],[Booking|AWB|CRT]]),"")</f>
        <v/>
      </c>
      <c r="P303" s="2" t="str">
        <f>IFERROR(IF(MARÍTIMOS[[#This Row],[Contenedor]]="","",MARÍTIMOS[[#This Row],[Contenedor]]),"")</f>
        <v/>
      </c>
      <c r="Q303" s="2" t="str">
        <f>IFERROR(IF(MARÍTIMOS[[#This Row],[Puerto de Retiro]]="","",MARÍTIMOS[[#This Row],[Puerto de Retiro]]),"")</f>
        <v/>
      </c>
      <c r="R303" s="2" t="str">
        <f>IFERROR(IF(MARÍTIMOS[[#This Row],[Almacén de Retiro]]="","",MARÍTIMOS[[#This Row],[Almacén de Retiro]]),"")</f>
        <v/>
      </c>
      <c r="S303" s="11" t="str">
        <f>IFERROR(IF(MARÍTIMOS[[#This Row],[Etapa Retiro - Cita]]="","",MARÍTIMOS[[#This Row],[Etapa Retiro - Cita]]),"")</f>
        <v/>
      </c>
      <c r="T303" s="11" t="str">
        <f>IFERROR(IF(MARÍTIMOS[[#This Row],[Etapa Retiro - Llegada]]="","",MARÍTIMOS[[#This Row],[Etapa Retiro - Llegada]]),"")</f>
        <v/>
      </c>
      <c r="U303" s="11" t="str">
        <f>IFERROR(IF(MARÍTIMOS[[#This Row],[Etapa Retiro - Ingreso]]="","",MARÍTIMOS[[#This Row],[Etapa Retiro - Ingreso]]),"")</f>
        <v/>
      </c>
      <c r="V303" s="11" t="str">
        <f>IFERROR(IF(MARÍTIMOS[[#This Row],[Etapa Retiro - Atención]]="","",MARÍTIMOS[[#This Row],[Etapa Retiro - Atención]]),"")</f>
        <v/>
      </c>
      <c r="W303" s="11" t="str">
        <f>IFERROR(IF(MARÍTIMOS[[#This Row],[Etapa Retiro - Salida]]="","",MARÍTIMOS[[#This Row],[Etapa Retiro - Salida]]),"")</f>
        <v/>
      </c>
      <c r="X303" s="11" t="str">
        <f>IFERROR(IF(MARÍTIMOS[[#This Row],[Etapa Retiro - Inicio de Ruta]]="","",MARÍTIMOS[[#This Row],[Etapa Retiro - Inicio de Ruta]]),"")</f>
        <v/>
      </c>
      <c r="Y303" s="11" t="str">
        <f>IFERROR(IF(MARÍTIMOS[[#This Row],[Hora de Posicionamiento]]="","",MARÍTIMOS[[#This Row],[Hora de Carga]]+MARÍTIMOS[[#This Row],[Hora de Posicionamiento]]),"")</f>
        <v/>
      </c>
      <c r="Z303" s="11" t="str">
        <f>IFERROR(IF(MARÍTIMOS[[#This Row],[Etapa Despacho -  Llegada]]="","",MARÍTIMOS[[#This Row],[Etapa Despacho -  Llegada]]),"")</f>
        <v/>
      </c>
      <c r="AA303" s="11" t="str">
        <f>IFERROR(IF(MARÍTIMOS[[#This Row],[Etapa Despacho -  Registro]]="","",MARÍTIMOS[[#This Row],[Etapa Despacho -  Registro]]),"")</f>
        <v/>
      </c>
      <c r="AB303" s="11" t="str">
        <f>IFERROR(IF(MARÍTIMOS[[#This Row],[Inspección Externa]]="","",MARÍTIMOS[[#This Row],[Inspección Externa]]),"")</f>
        <v/>
      </c>
      <c r="AC303" s="11" t="str">
        <f>IFERROR(IF(MARÍTIMOS[[#This Row],[Etapa Despacho -  Inicio de Carga]]="","",MARÍTIMOS[[#This Row],[Etapa Despacho -  Inicio de Carga]]),"")</f>
        <v/>
      </c>
      <c r="AD303" s="11" t="str">
        <f>IFERROR(IF(MARÍTIMOS[[#This Row],[Etapa Despacho -  Fin de Carga]]="","",MARÍTIMOS[[#This Row],[Etapa Despacho -  Fin de Carga]]),"")</f>
        <v/>
      </c>
      <c r="AE303" s="11" t="str">
        <f>IFERROR(IF(MARÍTIMOS[[#This Row],[Etapa Despacho -  Salida]]="","",MARÍTIMOS[[#This Row],[Etapa Despacho -  Salida]]),"")</f>
        <v/>
      </c>
      <c r="AF303" s="2" t="str">
        <f>IFERROR(IF(MARÍTIMOS[[#This Row],[Puerto de Embarque]]="","",MARÍTIMOS[[#This Row],[Puerto de Embarque]]),"")</f>
        <v/>
      </c>
      <c r="AG303" s="2" t="str">
        <f>IFERROR(IF(MARÍTIMOS[[#This Row],[Almacén de Ingreso]]="","",MARÍTIMOS[[#This Row],[Almacén de Ingreso]]),"")</f>
        <v/>
      </c>
      <c r="AH303" s="11" t="str">
        <f>IFERROR(IF(MARÍTIMOS[[#This Row],[Etapa Ingreso - Cita]]="","",MARÍTIMOS[[#This Row],[Etapa Ingreso - Cita]]),"")</f>
        <v/>
      </c>
      <c r="AI303" s="11" t="str">
        <f>IFERROR(IF(MARÍTIMOS[[#This Row],[Etapa Ingreso - Llegada]]="","",MARÍTIMOS[[#This Row],[Etapa Ingreso - Llegada]]),"")</f>
        <v/>
      </c>
      <c r="AJ303" s="11" t="str">
        <f>IFERROR(IF(MARÍTIMOS[[#This Row],[Etapa Ingreso - Ingeso]]="","",MARÍTIMOS[[#This Row],[Etapa Ingreso - Ingeso]]),"")</f>
        <v/>
      </c>
      <c r="AK303" s="11" t="str">
        <f>IFERROR(IF(MARÍTIMOS[[#This Row],[Etapa Ingreso - Atención]]="","",MARÍTIMOS[[#This Row],[Etapa Ingreso - Atención]]),"")</f>
        <v/>
      </c>
      <c r="AL303" s="11" t="str">
        <f>IFERROR(IF(MARÍTIMOS[[#This Row],[Etapa Ingreso - Salida]]="","",MARÍTIMOS[[#This Row],[Etapa Ingreso - Salida]]),"")</f>
        <v/>
      </c>
      <c r="AM303" s="2" t="str">
        <f>IFERROR(IF(MARÍTIMOS[[#This Row],[FCL]]="","",MARÍTIMOS[[#This Row],[FCL]]),"")</f>
        <v/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3" s="5" t="str">
        <f>IFERROR(OLDBD[[#This Row],[Llegada a packing]]-OLDBD[[#This Row],[Inicio de Ruta]],"")</f>
        <v/>
      </c>
      <c r="AQ303" s="6" t="str">
        <f>IFERROR(OLDBD[[#This Row],[Inicio de Ruta]]-OLDBD[[#This Row],[Salida de almacén de retiro]],"")</f>
        <v/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3" s="9" t="str">
        <f>IFERROR(OLDBD[[#This Row],[Ingreso Packing]]-OLDBD[[#This Row],[Registro en Packing]],"")</f>
        <v/>
      </c>
      <c r="AV303" s="9" t="str">
        <f>IFERROR(OLDBD[[#This Row],[Ingreso Packing]]-OLDBD[[#This Row],[Llegada a packing]],"")</f>
        <v/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3" s="5" t="str">
        <f>IFERROR(OLDBD[[#This Row],[Llegada Almacén de Ingreso]]-OLDBD[[#This Row],[Salida Packing]],"")</f>
        <v/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3" s="45" t="s">
        <v>181</v>
      </c>
      <c r="BB303" s="53" t="str">
        <f>IFERROR(IF(MARÍTIMOS[[#This Row],[Estatus]]="","",MARÍTIMOS[[#This Row],[Estatus]]),"")</f>
        <v/>
      </c>
      <c r="BC303" s="45"/>
      <c r="BD303" s="52" t="str">
        <f>IFERROR(OLDBD[[#This Row],[Salida de almacén de retiro]]-OLDBD[[#This Row],[Ingreso Almacén de retiro]],"")</f>
        <v/>
      </c>
      <c r="BE303" s="52" t="str">
        <f>IFERROR(OLDBD[[#This Row],[Fin de Carga]]-OLDBD[[#This Row],[Inicio de Carga]],"")</f>
        <v/>
      </c>
    </row>
    <row r="304" spans="1:57" x14ac:dyDescent="0.35">
      <c r="A304" s="1"/>
      <c r="B304" s="1" t="str">
        <f>IFERROR(IF(MARÍTIMOS[[#This Row],[PP]]="","",MARÍTIMOS[[#This Row],[PP]]),"")</f>
        <v/>
      </c>
      <c r="C304" s="1" t="str">
        <f>IFERROR(IF(MARÍTIMOS[[#This Row],[Sede]]="","",MARÍTIMOS[[#This Row],[Sede]]),"")</f>
        <v/>
      </c>
      <c r="D304" s="1" t="str">
        <f>IFERROR(IF(MARÍTIMOS[[#This Row],[Instruction]]="","",MARÍTIMOS[[#This Row],[Instruction]]),"")</f>
        <v/>
      </c>
      <c r="E304" s="1"/>
      <c r="F304" s="2" t="str">
        <f>IFERROR(IF(MARÍTIMOS[[#This Row],[Transportista]]="","",MARÍTIMOS[[#This Row],[Transportista]]),"")</f>
        <v/>
      </c>
      <c r="G304" s="2" t="str">
        <f>IFERROR(IF(MARÍTIMOS[[#This Row],[Tercero]]="","",MARÍTIMOS[[#This Row],[Tercero]]),"")</f>
        <v/>
      </c>
      <c r="H304" s="2" t="str">
        <f>IFERROR(IF(MARÍTIMOS[[#This Row],[Razón Social]]="","",MARÍTIMOS[[#This Row],[Razón Social]]),"")</f>
        <v/>
      </c>
      <c r="I304" s="2" t="str">
        <f>IFERROR(IF(MARÍTIMOS[[#This Row],[RUC]]="","",MARÍTIMOS[[#This Row],[RUC]]),"")</f>
        <v/>
      </c>
      <c r="J304" s="2" t="str">
        <f>IFERROR(IF(MARÍTIMOS[[#This Row],[Placa Tracto]]="","",MARÍTIMOS[[#This Row],[Placa Tracto]]),"")</f>
        <v/>
      </c>
      <c r="K304" s="2" t="str">
        <f>IFERROR(IF(MARÍTIMOS[[#This Row],[Placa Carreta]]="","",MARÍTIMOS[[#This Row],[Placa Carreta]]),"")</f>
        <v/>
      </c>
      <c r="L304" s="46" t="str">
        <f>IFERROR(IF(MARÍTIMOS[[#This Row],[Conductor]]="","",MARÍTIMOS[[#This Row],[Conductor]]),"")</f>
        <v/>
      </c>
      <c r="M304" s="2" t="str">
        <f>IFERROR(IF(MARÍTIMOS[[#This Row],[Licencia]]="","",MARÍTIMOS[[#This Row],[Licencia]]),"")</f>
        <v/>
      </c>
      <c r="N304" s="2" t="str">
        <f>IFERROR(IF(MARÍTIMOS[[#This Row],[Número de Contacto]]="","",MARÍTIMOS[[#This Row],[Número de Contacto]]),"")</f>
        <v/>
      </c>
      <c r="O304" s="10" t="str">
        <f>IFERROR(IF(MARÍTIMOS[[#This Row],[Booking|AWB|CRT]]="","",MARÍTIMOS[[#This Row],[Booking|AWB|CRT]]),"")</f>
        <v/>
      </c>
      <c r="P304" s="2" t="str">
        <f>IFERROR(IF(MARÍTIMOS[[#This Row],[Contenedor]]="","",MARÍTIMOS[[#This Row],[Contenedor]]),"")</f>
        <v/>
      </c>
      <c r="Q304" s="2" t="str">
        <f>IFERROR(IF(MARÍTIMOS[[#This Row],[Puerto de Retiro]]="","",MARÍTIMOS[[#This Row],[Puerto de Retiro]]),"")</f>
        <v/>
      </c>
      <c r="R304" s="2" t="str">
        <f>IFERROR(IF(MARÍTIMOS[[#This Row],[Almacén de Retiro]]="","",MARÍTIMOS[[#This Row],[Almacén de Retiro]]),"")</f>
        <v/>
      </c>
      <c r="S304" s="11" t="str">
        <f>IFERROR(IF(MARÍTIMOS[[#This Row],[Etapa Retiro - Cita]]="","",MARÍTIMOS[[#This Row],[Etapa Retiro - Cita]]),"")</f>
        <v/>
      </c>
      <c r="T304" s="11" t="str">
        <f>IFERROR(IF(MARÍTIMOS[[#This Row],[Etapa Retiro - Llegada]]="","",MARÍTIMOS[[#This Row],[Etapa Retiro - Llegada]]),"")</f>
        <v/>
      </c>
      <c r="U304" s="11" t="str">
        <f>IFERROR(IF(MARÍTIMOS[[#This Row],[Etapa Retiro - Ingreso]]="","",MARÍTIMOS[[#This Row],[Etapa Retiro - Ingreso]]),"")</f>
        <v/>
      </c>
      <c r="V304" s="11" t="str">
        <f>IFERROR(IF(MARÍTIMOS[[#This Row],[Etapa Retiro - Atención]]="","",MARÍTIMOS[[#This Row],[Etapa Retiro - Atención]]),"")</f>
        <v/>
      </c>
      <c r="W304" s="11" t="str">
        <f>IFERROR(IF(MARÍTIMOS[[#This Row],[Etapa Retiro - Salida]]="","",MARÍTIMOS[[#This Row],[Etapa Retiro - Salida]]),"")</f>
        <v/>
      </c>
      <c r="X304" s="11" t="str">
        <f>IFERROR(IF(MARÍTIMOS[[#This Row],[Etapa Retiro - Inicio de Ruta]]="","",MARÍTIMOS[[#This Row],[Etapa Retiro - Inicio de Ruta]]),"")</f>
        <v/>
      </c>
      <c r="Y304" s="11" t="str">
        <f>IFERROR(IF(MARÍTIMOS[[#This Row],[Hora de Posicionamiento]]="","",MARÍTIMOS[[#This Row],[Hora de Carga]]+MARÍTIMOS[[#This Row],[Hora de Posicionamiento]]),"")</f>
        <v/>
      </c>
      <c r="Z304" s="11" t="str">
        <f>IFERROR(IF(MARÍTIMOS[[#This Row],[Etapa Despacho -  Llegada]]="","",MARÍTIMOS[[#This Row],[Etapa Despacho -  Llegada]]),"")</f>
        <v/>
      </c>
      <c r="AA304" s="11" t="str">
        <f>IFERROR(IF(MARÍTIMOS[[#This Row],[Etapa Despacho -  Registro]]="","",MARÍTIMOS[[#This Row],[Etapa Despacho -  Registro]]),"")</f>
        <v/>
      </c>
      <c r="AB304" s="11" t="str">
        <f>IFERROR(IF(MARÍTIMOS[[#This Row],[Inspección Externa]]="","",MARÍTIMOS[[#This Row],[Inspección Externa]]),"")</f>
        <v/>
      </c>
      <c r="AC304" s="11" t="str">
        <f>IFERROR(IF(MARÍTIMOS[[#This Row],[Etapa Despacho -  Inicio de Carga]]="","",MARÍTIMOS[[#This Row],[Etapa Despacho -  Inicio de Carga]]),"")</f>
        <v/>
      </c>
      <c r="AD304" s="11" t="str">
        <f>IFERROR(IF(MARÍTIMOS[[#This Row],[Etapa Despacho -  Fin de Carga]]="","",MARÍTIMOS[[#This Row],[Etapa Despacho -  Fin de Carga]]),"")</f>
        <v/>
      </c>
      <c r="AE304" s="11" t="str">
        <f>IFERROR(IF(MARÍTIMOS[[#This Row],[Etapa Despacho -  Salida]]="","",MARÍTIMOS[[#This Row],[Etapa Despacho -  Salida]]),"")</f>
        <v/>
      </c>
      <c r="AF304" s="2" t="str">
        <f>IFERROR(IF(MARÍTIMOS[[#This Row],[Puerto de Embarque]]="","",MARÍTIMOS[[#This Row],[Puerto de Embarque]]),"")</f>
        <v/>
      </c>
      <c r="AG304" s="2" t="str">
        <f>IFERROR(IF(MARÍTIMOS[[#This Row],[Almacén de Ingreso]]="","",MARÍTIMOS[[#This Row],[Almacén de Ingreso]]),"")</f>
        <v/>
      </c>
      <c r="AH304" s="11" t="str">
        <f>IFERROR(IF(MARÍTIMOS[[#This Row],[Etapa Ingreso - Cita]]="","",MARÍTIMOS[[#This Row],[Etapa Ingreso - Cita]]),"")</f>
        <v/>
      </c>
      <c r="AI304" s="11" t="str">
        <f>IFERROR(IF(MARÍTIMOS[[#This Row],[Etapa Ingreso - Llegada]]="","",MARÍTIMOS[[#This Row],[Etapa Ingreso - Llegada]]),"")</f>
        <v/>
      </c>
      <c r="AJ304" s="11" t="str">
        <f>IFERROR(IF(MARÍTIMOS[[#This Row],[Etapa Ingreso - Ingeso]]="","",MARÍTIMOS[[#This Row],[Etapa Ingreso - Ingeso]]),"")</f>
        <v/>
      </c>
      <c r="AK304" s="11" t="str">
        <f>IFERROR(IF(MARÍTIMOS[[#This Row],[Etapa Ingreso - Atención]]="","",MARÍTIMOS[[#This Row],[Etapa Ingreso - Atención]]),"")</f>
        <v/>
      </c>
      <c r="AL304" s="11" t="str">
        <f>IFERROR(IF(MARÍTIMOS[[#This Row],[Etapa Ingreso - Salida]]="","",MARÍTIMOS[[#This Row],[Etapa Ingreso - Salida]]),"")</f>
        <v/>
      </c>
      <c r="AM304" s="2" t="str">
        <f>IFERROR(IF(MARÍTIMOS[[#This Row],[FCL]]="","",MARÍTIMOS[[#This Row],[FCL]]),"")</f>
        <v/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4" s="5" t="str">
        <f>IFERROR(OLDBD[[#This Row],[Llegada a packing]]-OLDBD[[#This Row],[Inicio de Ruta]],"")</f>
        <v/>
      </c>
      <c r="AQ304" s="6" t="str">
        <f>IFERROR(OLDBD[[#This Row],[Inicio de Ruta]]-OLDBD[[#This Row],[Salida de almacén de retiro]],"")</f>
        <v/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4" s="9" t="str">
        <f>IFERROR(OLDBD[[#This Row],[Ingreso Packing]]-OLDBD[[#This Row],[Registro en Packing]],"")</f>
        <v/>
      </c>
      <c r="AV304" s="9" t="str">
        <f>IFERROR(OLDBD[[#This Row],[Ingreso Packing]]-OLDBD[[#This Row],[Llegada a packing]],"")</f>
        <v/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4" s="5" t="str">
        <f>IFERROR(OLDBD[[#This Row],[Llegada Almacén de Ingreso]]-OLDBD[[#This Row],[Salida Packing]],"")</f>
        <v/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4" s="45" t="s">
        <v>181</v>
      </c>
      <c r="BB304" s="53" t="str">
        <f>IFERROR(IF(MARÍTIMOS[[#This Row],[Estatus]]="","",MARÍTIMOS[[#This Row],[Estatus]]),"")</f>
        <v/>
      </c>
      <c r="BC304" s="45"/>
      <c r="BD304" s="52" t="str">
        <f>IFERROR(OLDBD[[#This Row],[Salida de almacén de retiro]]-OLDBD[[#This Row],[Ingreso Almacén de retiro]],"")</f>
        <v/>
      </c>
      <c r="BE304" s="52" t="str">
        <f>IFERROR(OLDBD[[#This Row],[Fin de Carga]]-OLDBD[[#This Row],[Inicio de Carga]],"")</f>
        <v/>
      </c>
    </row>
    <row r="305" spans="1:57" x14ac:dyDescent="0.35">
      <c r="A305" s="1"/>
      <c r="B305" s="1" t="str">
        <f>IFERROR(IF(MARÍTIMOS[[#This Row],[PP]]="","",MARÍTIMOS[[#This Row],[PP]]),"")</f>
        <v/>
      </c>
      <c r="C305" s="1" t="str">
        <f>IFERROR(IF(MARÍTIMOS[[#This Row],[Sede]]="","",MARÍTIMOS[[#This Row],[Sede]]),"")</f>
        <v/>
      </c>
      <c r="D305" s="1" t="str">
        <f>IFERROR(IF(MARÍTIMOS[[#This Row],[Instruction]]="","",MARÍTIMOS[[#This Row],[Instruction]]),"")</f>
        <v/>
      </c>
      <c r="E305" s="1"/>
      <c r="F305" s="2" t="str">
        <f>IFERROR(IF(MARÍTIMOS[[#This Row],[Transportista]]="","",MARÍTIMOS[[#This Row],[Transportista]]),"")</f>
        <v/>
      </c>
      <c r="G305" s="2" t="str">
        <f>IFERROR(IF(MARÍTIMOS[[#This Row],[Tercero]]="","",MARÍTIMOS[[#This Row],[Tercero]]),"")</f>
        <v/>
      </c>
      <c r="H305" s="2" t="str">
        <f>IFERROR(IF(MARÍTIMOS[[#This Row],[Razón Social]]="","",MARÍTIMOS[[#This Row],[Razón Social]]),"")</f>
        <v/>
      </c>
      <c r="I305" s="2" t="str">
        <f>IFERROR(IF(MARÍTIMOS[[#This Row],[RUC]]="","",MARÍTIMOS[[#This Row],[RUC]]),"")</f>
        <v/>
      </c>
      <c r="J305" s="2" t="str">
        <f>IFERROR(IF(MARÍTIMOS[[#This Row],[Placa Tracto]]="","",MARÍTIMOS[[#This Row],[Placa Tracto]]),"")</f>
        <v/>
      </c>
      <c r="K305" s="2" t="str">
        <f>IFERROR(IF(MARÍTIMOS[[#This Row],[Placa Carreta]]="","",MARÍTIMOS[[#This Row],[Placa Carreta]]),"")</f>
        <v/>
      </c>
      <c r="L305" s="46" t="str">
        <f>IFERROR(IF(MARÍTIMOS[[#This Row],[Conductor]]="","",MARÍTIMOS[[#This Row],[Conductor]]),"")</f>
        <v/>
      </c>
      <c r="M305" s="2" t="str">
        <f>IFERROR(IF(MARÍTIMOS[[#This Row],[Licencia]]="","",MARÍTIMOS[[#This Row],[Licencia]]),"")</f>
        <v/>
      </c>
      <c r="N305" s="2" t="str">
        <f>IFERROR(IF(MARÍTIMOS[[#This Row],[Número de Contacto]]="","",MARÍTIMOS[[#This Row],[Número de Contacto]]),"")</f>
        <v/>
      </c>
      <c r="O305" s="10" t="str">
        <f>IFERROR(IF(MARÍTIMOS[[#This Row],[Booking|AWB|CRT]]="","",MARÍTIMOS[[#This Row],[Booking|AWB|CRT]]),"")</f>
        <v/>
      </c>
      <c r="P305" s="2" t="str">
        <f>IFERROR(IF(MARÍTIMOS[[#This Row],[Contenedor]]="","",MARÍTIMOS[[#This Row],[Contenedor]]),"")</f>
        <v/>
      </c>
      <c r="Q305" s="2" t="str">
        <f>IFERROR(IF(MARÍTIMOS[[#This Row],[Puerto de Retiro]]="","",MARÍTIMOS[[#This Row],[Puerto de Retiro]]),"")</f>
        <v/>
      </c>
      <c r="R305" s="2" t="str">
        <f>IFERROR(IF(MARÍTIMOS[[#This Row],[Almacén de Retiro]]="","",MARÍTIMOS[[#This Row],[Almacén de Retiro]]),"")</f>
        <v/>
      </c>
      <c r="S305" s="11" t="str">
        <f>IFERROR(IF(MARÍTIMOS[[#This Row],[Etapa Retiro - Cita]]="","",MARÍTIMOS[[#This Row],[Etapa Retiro - Cita]]),"")</f>
        <v/>
      </c>
      <c r="T305" s="11" t="str">
        <f>IFERROR(IF(MARÍTIMOS[[#This Row],[Etapa Retiro - Llegada]]="","",MARÍTIMOS[[#This Row],[Etapa Retiro - Llegada]]),"")</f>
        <v/>
      </c>
      <c r="U305" s="11" t="str">
        <f>IFERROR(IF(MARÍTIMOS[[#This Row],[Etapa Retiro - Ingreso]]="","",MARÍTIMOS[[#This Row],[Etapa Retiro - Ingreso]]),"")</f>
        <v/>
      </c>
      <c r="V305" s="11" t="str">
        <f>IFERROR(IF(MARÍTIMOS[[#This Row],[Etapa Retiro - Atención]]="","",MARÍTIMOS[[#This Row],[Etapa Retiro - Atención]]),"")</f>
        <v/>
      </c>
      <c r="W305" s="11" t="str">
        <f>IFERROR(IF(MARÍTIMOS[[#This Row],[Etapa Retiro - Salida]]="","",MARÍTIMOS[[#This Row],[Etapa Retiro - Salida]]),"")</f>
        <v/>
      </c>
      <c r="X305" s="11" t="str">
        <f>IFERROR(IF(MARÍTIMOS[[#This Row],[Etapa Retiro - Inicio de Ruta]]="","",MARÍTIMOS[[#This Row],[Etapa Retiro - Inicio de Ruta]]),"")</f>
        <v/>
      </c>
      <c r="Y305" s="11" t="str">
        <f>IFERROR(IF(MARÍTIMOS[[#This Row],[Hora de Posicionamiento]]="","",MARÍTIMOS[[#This Row],[Hora de Carga]]+MARÍTIMOS[[#This Row],[Hora de Posicionamiento]]),"")</f>
        <v/>
      </c>
      <c r="Z305" s="11" t="str">
        <f>IFERROR(IF(MARÍTIMOS[[#This Row],[Etapa Despacho -  Llegada]]="","",MARÍTIMOS[[#This Row],[Etapa Despacho -  Llegada]]),"")</f>
        <v/>
      </c>
      <c r="AA305" s="11" t="str">
        <f>IFERROR(IF(MARÍTIMOS[[#This Row],[Etapa Despacho -  Registro]]="","",MARÍTIMOS[[#This Row],[Etapa Despacho -  Registro]]),"")</f>
        <v/>
      </c>
      <c r="AB305" s="11" t="str">
        <f>IFERROR(IF(MARÍTIMOS[[#This Row],[Inspección Externa]]="","",MARÍTIMOS[[#This Row],[Inspección Externa]]),"")</f>
        <v/>
      </c>
      <c r="AC305" s="11" t="str">
        <f>IFERROR(IF(MARÍTIMOS[[#This Row],[Etapa Despacho -  Inicio de Carga]]="","",MARÍTIMOS[[#This Row],[Etapa Despacho -  Inicio de Carga]]),"")</f>
        <v/>
      </c>
      <c r="AD305" s="11" t="str">
        <f>IFERROR(IF(MARÍTIMOS[[#This Row],[Etapa Despacho -  Fin de Carga]]="","",MARÍTIMOS[[#This Row],[Etapa Despacho -  Fin de Carga]]),"")</f>
        <v/>
      </c>
      <c r="AE305" s="11" t="str">
        <f>IFERROR(IF(MARÍTIMOS[[#This Row],[Etapa Despacho -  Salida]]="","",MARÍTIMOS[[#This Row],[Etapa Despacho -  Salida]]),"")</f>
        <v/>
      </c>
      <c r="AF305" s="2" t="str">
        <f>IFERROR(IF(MARÍTIMOS[[#This Row],[Puerto de Embarque]]="","",MARÍTIMOS[[#This Row],[Puerto de Embarque]]),"")</f>
        <v/>
      </c>
      <c r="AG305" s="2" t="str">
        <f>IFERROR(IF(MARÍTIMOS[[#This Row],[Almacén de Ingreso]]="","",MARÍTIMOS[[#This Row],[Almacén de Ingreso]]),"")</f>
        <v/>
      </c>
      <c r="AH305" s="11" t="str">
        <f>IFERROR(IF(MARÍTIMOS[[#This Row],[Etapa Ingreso - Cita]]="","",MARÍTIMOS[[#This Row],[Etapa Ingreso - Cita]]),"")</f>
        <v/>
      </c>
      <c r="AI305" s="11" t="str">
        <f>IFERROR(IF(MARÍTIMOS[[#This Row],[Etapa Ingreso - Llegada]]="","",MARÍTIMOS[[#This Row],[Etapa Ingreso - Llegada]]),"")</f>
        <v/>
      </c>
      <c r="AJ305" s="11" t="str">
        <f>IFERROR(IF(MARÍTIMOS[[#This Row],[Etapa Ingreso - Ingeso]]="","",MARÍTIMOS[[#This Row],[Etapa Ingreso - Ingeso]]),"")</f>
        <v/>
      </c>
      <c r="AK305" s="11" t="str">
        <f>IFERROR(IF(MARÍTIMOS[[#This Row],[Etapa Ingreso - Atención]]="","",MARÍTIMOS[[#This Row],[Etapa Ingreso - Atención]]),"")</f>
        <v/>
      </c>
      <c r="AL305" s="11" t="str">
        <f>IFERROR(IF(MARÍTIMOS[[#This Row],[Etapa Ingreso - Salida]]="","",MARÍTIMOS[[#This Row],[Etapa Ingreso - Salida]]),"")</f>
        <v/>
      </c>
      <c r="AM305" s="2" t="str">
        <f>IFERROR(IF(MARÍTIMOS[[#This Row],[FCL]]="","",MARÍTIMOS[[#This Row],[FCL]]),"")</f>
        <v/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5" s="5" t="str">
        <f>IFERROR(OLDBD[[#This Row],[Llegada a packing]]-OLDBD[[#This Row],[Inicio de Ruta]],"")</f>
        <v/>
      </c>
      <c r="AQ305" s="6" t="str">
        <f>IFERROR(OLDBD[[#This Row],[Inicio de Ruta]]-OLDBD[[#This Row],[Salida de almacén de retiro]],"")</f>
        <v/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5" s="9" t="str">
        <f>IFERROR(OLDBD[[#This Row],[Ingreso Packing]]-OLDBD[[#This Row],[Registro en Packing]],"")</f>
        <v/>
      </c>
      <c r="AV305" s="9" t="str">
        <f>IFERROR(OLDBD[[#This Row],[Ingreso Packing]]-OLDBD[[#This Row],[Llegada a packing]],"")</f>
        <v/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5" s="5" t="str">
        <f>IFERROR(OLDBD[[#This Row],[Llegada Almacén de Ingreso]]-OLDBD[[#This Row],[Salida Packing]],"")</f>
        <v/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5" s="45" t="s">
        <v>181</v>
      </c>
      <c r="BB305" s="53" t="str">
        <f>IFERROR(IF(MARÍTIMOS[[#This Row],[Estatus]]="","",MARÍTIMOS[[#This Row],[Estatus]]),"")</f>
        <v/>
      </c>
      <c r="BC305" s="45"/>
      <c r="BD305" s="52" t="str">
        <f>IFERROR(OLDBD[[#This Row],[Salida de almacén de retiro]]-OLDBD[[#This Row],[Ingreso Almacén de retiro]],"")</f>
        <v/>
      </c>
      <c r="BE305" s="52" t="str">
        <f>IFERROR(OLDBD[[#This Row],[Fin de Carga]]-OLDBD[[#This Row],[Inicio de Carga]],"")</f>
        <v/>
      </c>
    </row>
    <row r="306" spans="1:57" x14ac:dyDescent="0.35">
      <c r="A306" s="1"/>
      <c r="B306" s="1" t="str">
        <f>IFERROR(IF(MARÍTIMOS[[#This Row],[PP]]="","",MARÍTIMOS[[#This Row],[PP]]),"")</f>
        <v/>
      </c>
      <c r="C306" s="1" t="str">
        <f>IFERROR(IF(MARÍTIMOS[[#This Row],[Sede]]="","",MARÍTIMOS[[#This Row],[Sede]]),"")</f>
        <v/>
      </c>
      <c r="D306" s="1" t="str">
        <f>IFERROR(IF(MARÍTIMOS[[#This Row],[Instruction]]="","",MARÍTIMOS[[#This Row],[Instruction]]),"")</f>
        <v/>
      </c>
      <c r="E306" s="1"/>
      <c r="F306" s="2" t="str">
        <f>IFERROR(IF(MARÍTIMOS[[#This Row],[Transportista]]="","",MARÍTIMOS[[#This Row],[Transportista]]),"")</f>
        <v/>
      </c>
      <c r="G306" s="2" t="str">
        <f>IFERROR(IF(MARÍTIMOS[[#This Row],[Tercero]]="","",MARÍTIMOS[[#This Row],[Tercero]]),"")</f>
        <v/>
      </c>
      <c r="H306" s="2" t="str">
        <f>IFERROR(IF(MARÍTIMOS[[#This Row],[Razón Social]]="","",MARÍTIMOS[[#This Row],[Razón Social]]),"")</f>
        <v/>
      </c>
      <c r="I306" s="2" t="str">
        <f>IFERROR(IF(MARÍTIMOS[[#This Row],[RUC]]="","",MARÍTIMOS[[#This Row],[RUC]]),"")</f>
        <v/>
      </c>
      <c r="J306" s="2" t="str">
        <f>IFERROR(IF(MARÍTIMOS[[#This Row],[Placa Tracto]]="","",MARÍTIMOS[[#This Row],[Placa Tracto]]),"")</f>
        <v/>
      </c>
      <c r="K306" s="2" t="str">
        <f>IFERROR(IF(MARÍTIMOS[[#This Row],[Placa Carreta]]="","",MARÍTIMOS[[#This Row],[Placa Carreta]]),"")</f>
        <v/>
      </c>
      <c r="L306" s="46" t="str">
        <f>IFERROR(IF(MARÍTIMOS[[#This Row],[Conductor]]="","",MARÍTIMOS[[#This Row],[Conductor]]),"")</f>
        <v/>
      </c>
      <c r="M306" s="2" t="str">
        <f>IFERROR(IF(MARÍTIMOS[[#This Row],[Licencia]]="","",MARÍTIMOS[[#This Row],[Licencia]]),"")</f>
        <v/>
      </c>
      <c r="N306" s="2" t="str">
        <f>IFERROR(IF(MARÍTIMOS[[#This Row],[Número de Contacto]]="","",MARÍTIMOS[[#This Row],[Número de Contacto]]),"")</f>
        <v/>
      </c>
      <c r="O306" s="10" t="str">
        <f>IFERROR(IF(MARÍTIMOS[[#This Row],[Booking|AWB|CRT]]="","",MARÍTIMOS[[#This Row],[Booking|AWB|CRT]]),"")</f>
        <v/>
      </c>
      <c r="P306" s="2" t="str">
        <f>IFERROR(IF(MARÍTIMOS[[#This Row],[Contenedor]]="","",MARÍTIMOS[[#This Row],[Contenedor]]),"")</f>
        <v/>
      </c>
      <c r="Q306" s="2" t="str">
        <f>IFERROR(IF(MARÍTIMOS[[#This Row],[Puerto de Retiro]]="","",MARÍTIMOS[[#This Row],[Puerto de Retiro]]),"")</f>
        <v/>
      </c>
      <c r="R306" s="2" t="str">
        <f>IFERROR(IF(MARÍTIMOS[[#This Row],[Almacén de Retiro]]="","",MARÍTIMOS[[#This Row],[Almacén de Retiro]]),"")</f>
        <v/>
      </c>
      <c r="S306" s="11" t="str">
        <f>IFERROR(IF(MARÍTIMOS[[#This Row],[Etapa Retiro - Cita]]="","",MARÍTIMOS[[#This Row],[Etapa Retiro - Cita]]),"")</f>
        <v/>
      </c>
      <c r="T306" s="11" t="str">
        <f>IFERROR(IF(MARÍTIMOS[[#This Row],[Etapa Retiro - Llegada]]="","",MARÍTIMOS[[#This Row],[Etapa Retiro - Llegada]]),"")</f>
        <v/>
      </c>
      <c r="U306" s="11" t="str">
        <f>IFERROR(IF(MARÍTIMOS[[#This Row],[Etapa Retiro - Ingreso]]="","",MARÍTIMOS[[#This Row],[Etapa Retiro - Ingreso]]),"")</f>
        <v/>
      </c>
      <c r="V306" s="11" t="str">
        <f>IFERROR(IF(MARÍTIMOS[[#This Row],[Etapa Retiro - Atención]]="","",MARÍTIMOS[[#This Row],[Etapa Retiro - Atención]]),"")</f>
        <v/>
      </c>
      <c r="W306" s="11" t="str">
        <f>IFERROR(IF(MARÍTIMOS[[#This Row],[Etapa Retiro - Salida]]="","",MARÍTIMOS[[#This Row],[Etapa Retiro - Salida]]),"")</f>
        <v/>
      </c>
      <c r="X306" s="11" t="str">
        <f>IFERROR(IF(MARÍTIMOS[[#This Row],[Etapa Retiro - Inicio de Ruta]]="","",MARÍTIMOS[[#This Row],[Etapa Retiro - Inicio de Ruta]]),"")</f>
        <v/>
      </c>
      <c r="Y306" s="11" t="str">
        <f>IFERROR(IF(MARÍTIMOS[[#This Row],[Hora de Posicionamiento]]="","",MARÍTIMOS[[#This Row],[Hora de Carga]]+MARÍTIMOS[[#This Row],[Hora de Posicionamiento]]),"")</f>
        <v/>
      </c>
      <c r="Z306" s="11" t="str">
        <f>IFERROR(IF(MARÍTIMOS[[#This Row],[Etapa Despacho -  Llegada]]="","",MARÍTIMOS[[#This Row],[Etapa Despacho -  Llegada]]),"")</f>
        <v/>
      </c>
      <c r="AA306" s="11" t="str">
        <f>IFERROR(IF(MARÍTIMOS[[#This Row],[Etapa Despacho -  Registro]]="","",MARÍTIMOS[[#This Row],[Etapa Despacho -  Registro]]),"")</f>
        <v/>
      </c>
      <c r="AB306" s="11" t="str">
        <f>IFERROR(IF(MARÍTIMOS[[#This Row],[Inspección Externa]]="","",MARÍTIMOS[[#This Row],[Inspección Externa]]),"")</f>
        <v/>
      </c>
      <c r="AC306" s="11" t="str">
        <f>IFERROR(IF(MARÍTIMOS[[#This Row],[Etapa Despacho -  Inicio de Carga]]="","",MARÍTIMOS[[#This Row],[Etapa Despacho -  Inicio de Carga]]),"")</f>
        <v/>
      </c>
      <c r="AD306" s="11" t="str">
        <f>IFERROR(IF(MARÍTIMOS[[#This Row],[Etapa Despacho -  Fin de Carga]]="","",MARÍTIMOS[[#This Row],[Etapa Despacho -  Fin de Carga]]),"")</f>
        <v/>
      </c>
      <c r="AE306" s="11" t="str">
        <f>IFERROR(IF(MARÍTIMOS[[#This Row],[Etapa Despacho -  Salida]]="","",MARÍTIMOS[[#This Row],[Etapa Despacho -  Salida]]),"")</f>
        <v/>
      </c>
      <c r="AF306" s="2" t="str">
        <f>IFERROR(IF(MARÍTIMOS[[#This Row],[Puerto de Embarque]]="","",MARÍTIMOS[[#This Row],[Puerto de Embarque]]),"")</f>
        <v/>
      </c>
      <c r="AG306" s="2" t="str">
        <f>IFERROR(IF(MARÍTIMOS[[#This Row],[Almacén de Ingreso]]="","",MARÍTIMOS[[#This Row],[Almacén de Ingreso]]),"")</f>
        <v/>
      </c>
      <c r="AH306" s="11" t="str">
        <f>IFERROR(IF(MARÍTIMOS[[#This Row],[Etapa Ingreso - Cita]]="","",MARÍTIMOS[[#This Row],[Etapa Ingreso - Cita]]),"")</f>
        <v/>
      </c>
      <c r="AI306" s="11" t="str">
        <f>IFERROR(IF(MARÍTIMOS[[#This Row],[Etapa Ingreso - Llegada]]="","",MARÍTIMOS[[#This Row],[Etapa Ingreso - Llegada]]),"")</f>
        <v/>
      </c>
      <c r="AJ306" s="11" t="str">
        <f>IFERROR(IF(MARÍTIMOS[[#This Row],[Etapa Ingreso - Ingeso]]="","",MARÍTIMOS[[#This Row],[Etapa Ingreso - Ingeso]]),"")</f>
        <v/>
      </c>
      <c r="AK306" s="11" t="str">
        <f>IFERROR(IF(MARÍTIMOS[[#This Row],[Etapa Ingreso - Atención]]="","",MARÍTIMOS[[#This Row],[Etapa Ingreso - Atención]]),"")</f>
        <v/>
      </c>
      <c r="AL306" s="11" t="str">
        <f>IFERROR(IF(MARÍTIMOS[[#This Row],[Etapa Ingreso - Salida]]="","",MARÍTIMOS[[#This Row],[Etapa Ingreso - Salida]]),"")</f>
        <v/>
      </c>
      <c r="AM306" s="2" t="str">
        <f>IFERROR(IF(MARÍTIMOS[[#This Row],[FCL]]="","",MARÍTIMOS[[#This Row],[FCL]]),"")</f>
        <v/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6" s="5" t="str">
        <f>IFERROR(OLDBD[[#This Row],[Llegada a packing]]-OLDBD[[#This Row],[Inicio de Ruta]],"")</f>
        <v/>
      </c>
      <c r="AQ306" s="6" t="str">
        <f>IFERROR(OLDBD[[#This Row],[Inicio de Ruta]]-OLDBD[[#This Row],[Salida de almacén de retiro]],"")</f>
        <v/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6" s="9" t="str">
        <f>IFERROR(OLDBD[[#This Row],[Ingreso Packing]]-OLDBD[[#This Row],[Registro en Packing]],"")</f>
        <v/>
      </c>
      <c r="AV306" s="9" t="str">
        <f>IFERROR(OLDBD[[#This Row],[Ingreso Packing]]-OLDBD[[#This Row],[Llegada a packing]],"")</f>
        <v/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6" s="5" t="str">
        <f>IFERROR(OLDBD[[#This Row],[Llegada Almacén de Ingreso]]-OLDBD[[#This Row],[Salida Packing]],"")</f>
        <v/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6" s="45" t="s">
        <v>181</v>
      </c>
      <c r="BB306" s="53" t="str">
        <f>IFERROR(IF(MARÍTIMOS[[#This Row],[Estatus]]="","",MARÍTIMOS[[#This Row],[Estatus]]),"")</f>
        <v/>
      </c>
      <c r="BC306" s="45"/>
      <c r="BD306" s="52" t="str">
        <f>IFERROR(OLDBD[[#This Row],[Salida de almacén de retiro]]-OLDBD[[#This Row],[Ingreso Almacén de retiro]],"")</f>
        <v/>
      </c>
      <c r="BE306" s="52" t="str">
        <f>IFERROR(OLDBD[[#This Row],[Fin de Carga]]-OLDBD[[#This Row],[Inicio de Carga]],"")</f>
        <v/>
      </c>
    </row>
    <row r="307" spans="1:57" x14ac:dyDescent="0.35">
      <c r="A307" s="1"/>
      <c r="B307" s="1" t="str">
        <f>IFERROR(IF(MARÍTIMOS[[#This Row],[PP]]="","",MARÍTIMOS[[#This Row],[PP]]),"")</f>
        <v/>
      </c>
      <c r="C307" s="1" t="str">
        <f>IFERROR(IF(MARÍTIMOS[[#This Row],[Sede]]="","",MARÍTIMOS[[#This Row],[Sede]]),"")</f>
        <v/>
      </c>
      <c r="D307" s="1" t="str">
        <f>IFERROR(IF(MARÍTIMOS[[#This Row],[Instruction]]="","",MARÍTIMOS[[#This Row],[Instruction]]),"")</f>
        <v/>
      </c>
      <c r="E307" s="1"/>
      <c r="F307" s="2" t="str">
        <f>IFERROR(IF(MARÍTIMOS[[#This Row],[Transportista]]="","",MARÍTIMOS[[#This Row],[Transportista]]),"")</f>
        <v/>
      </c>
      <c r="G307" s="2" t="str">
        <f>IFERROR(IF(MARÍTIMOS[[#This Row],[Tercero]]="","",MARÍTIMOS[[#This Row],[Tercero]]),"")</f>
        <v/>
      </c>
      <c r="H307" s="2" t="str">
        <f>IFERROR(IF(MARÍTIMOS[[#This Row],[Razón Social]]="","",MARÍTIMOS[[#This Row],[Razón Social]]),"")</f>
        <v/>
      </c>
      <c r="I307" s="2" t="str">
        <f>IFERROR(IF(MARÍTIMOS[[#This Row],[RUC]]="","",MARÍTIMOS[[#This Row],[RUC]]),"")</f>
        <v/>
      </c>
      <c r="J307" s="2" t="str">
        <f>IFERROR(IF(MARÍTIMOS[[#This Row],[Placa Tracto]]="","",MARÍTIMOS[[#This Row],[Placa Tracto]]),"")</f>
        <v/>
      </c>
      <c r="K307" s="2" t="str">
        <f>IFERROR(IF(MARÍTIMOS[[#This Row],[Placa Carreta]]="","",MARÍTIMOS[[#This Row],[Placa Carreta]]),"")</f>
        <v/>
      </c>
      <c r="L307" s="46" t="str">
        <f>IFERROR(IF(MARÍTIMOS[[#This Row],[Conductor]]="","",MARÍTIMOS[[#This Row],[Conductor]]),"")</f>
        <v/>
      </c>
      <c r="M307" s="2" t="str">
        <f>IFERROR(IF(MARÍTIMOS[[#This Row],[Licencia]]="","",MARÍTIMOS[[#This Row],[Licencia]]),"")</f>
        <v/>
      </c>
      <c r="N307" s="2" t="str">
        <f>IFERROR(IF(MARÍTIMOS[[#This Row],[Número de Contacto]]="","",MARÍTIMOS[[#This Row],[Número de Contacto]]),"")</f>
        <v/>
      </c>
      <c r="O307" s="10" t="str">
        <f>IFERROR(IF(MARÍTIMOS[[#This Row],[Booking|AWB|CRT]]="","",MARÍTIMOS[[#This Row],[Booking|AWB|CRT]]),"")</f>
        <v/>
      </c>
      <c r="P307" s="2" t="str">
        <f>IFERROR(IF(MARÍTIMOS[[#This Row],[Contenedor]]="","",MARÍTIMOS[[#This Row],[Contenedor]]),"")</f>
        <v/>
      </c>
      <c r="Q307" s="2" t="str">
        <f>IFERROR(IF(MARÍTIMOS[[#This Row],[Puerto de Retiro]]="","",MARÍTIMOS[[#This Row],[Puerto de Retiro]]),"")</f>
        <v/>
      </c>
      <c r="R307" s="2" t="str">
        <f>IFERROR(IF(MARÍTIMOS[[#This Row],[Almacén de Retiro]]="","",MARÍTIMOS[[#This Row],[Almacén de Retiro]]),"")</f>
        <v/>
      </c>
      <c r="S307" s="11" t="str">
        <f>IFERROR(IF(MARÍTIMOS[[#This Row],[Etapa Retiro - Cita]]="","",MARÍTIMOS[[#This Row],[Etapa Retiro - Cita]]),"")</f>
        <v/>
      </c>
      <c r="T307" s="11" t="str">
        <f>IFERROR(IF(MARÍTIMOS[[#This Row],[Etapa Retiro - Llegada]]="","",MARÍTIMOS[[#This Row],[Etapa Retiro - Llegada]]),"")</f>
        <v/>
      </c>
      <c r="U307" s="11" t="str">
        <f>IFERROR(IF(MARÍTIMOS[[#This Row],[Etapa Retiro - Ingreso]]="","",MARÍTIMOS[[#This Row],[Etapa Retiro - Ingreso]]),"")</f>
        <v/>
      </c>
      <c r="V307" s="11" t="str">
        <f>IFERROR(IF(MARÍTIMOS[[#This Row],[Etapa Retiro - Atención]]="","",MARÍTIMOS[[#This Row],[Etapa Retiro - Atención]]),"")</f>
        <v/>
      </c>
      <c r="W307" s="11" t="str">
        <f>IFERROR(IF(MARÍTIMOS[[#This Row],[Etapa Retiro - Salida]]="","",MARÍTIMOS[[#This Row],[Etapa Retiro - Salida]]),"")</f>
        <v/>
      </c>
      <c r="X307" s="11" t="str">
        <f>IFERROR(IF(MARÍTIMOS[[#This Row],[Etapa Retiro - Inicio de Ruta]]="","",MARÍTIMOS[[#This Row],[Etapa Retiro - Inicio de Ruta]]),"")</f>
        <v/>
      </c>
      <c r="Y307" s="11" t="str">
        <f>IFERROR(IF(MARÍTIMOS[[#This Row],[Hora de Posicionamiento]]="","",MARÍTIMOS[[#This Row],[Hora de Carga]]+MARÍTIMOS[[#This Row],[Hora de Posicionamiento]]),"")</f>
        <v/>
      </c>
      <c r="Z307" s="11" t="str">
        <f>IFERROR(IF(MARÍTIMOS[[#This Row],[Etapa Despacho -  Llegada]]="","",MARÍTIMOS[[#This Row],[Etapa Despacho -  Llegada]]),"")</f>
        <v/>
      </c>
      <c r="AA307" s="11" t="str">
        <f>IFERROR(IF(MARÍTIMOS[[#This Row],[Etapa Despacho -  Registro]]="","",MARÍTIMOS[[#This Row],[Etapa Despacho -  Registro]]),"")</f>
        <v/>
      </c>
      <c r="AB307" s="11" t="str">
        <f>IFERROR(IF(MARÍTIMOS[[#This Row],[Inspección Externa]]="","",MARÍTIMOS[[#This Row],[Inspección Externa]]),"")</f>
        <v/>
      </c>
      <c r="AC307" s="11" t="str">
        <f>IFERROR(IF(MARÍTIMOS[[#This Row],[Etapa Despacho -  Inicio de Carga]]="","",MARÍTIMOS[[#This Row],[Etapa Despacho -  Inicio de Carga]]),"")</f>
        <v/>
      </c>
      <c r="AD307" s="11" t="str">
        <f>IFERROR(IF(MARÍTIMOS[[#This Row],[Etapa Despacho -  Fin de Carga]]="","",MARÍTIMOS[[#This Row],[Etapa Despacho -  Fin de Carga]]),"")</f>
        <v/>
      </c>
      <c r="AE307" s="11" t="str">
        <f>IFERROR(IF(MARÍTIMOS[[#This Row],[Etapa Despacho -  Salida]]="","",MARÍTIMOS[[#This Row],[Etapa Despacho -  Salida]]),"")</f>
        <v/>
      </c>
      <c r="AF307" s="2" t="str">
        <f>IFERROR(IF(MARÍTIMOS[[#This Row],[Puerto de Embarque]]="","",MARÍTIMOS[[#This Row],[Puerto de Embarque]]),"")</f>
        <v/>
      </c>
      <c r="AG307" s="2" t="str">
        <f>IFERROR(IF(MARÍTIMOS[[#This Row],[Almacén de Ingreso]]="","",MARÍTIMOS[[#This Row],[Almacén de Ingreso]]),"")</f>
        <v/>
      </c>
      <c r="AH307" s="11" t="str">
        <f>IFERROR(IF(MARÍTIMOS[[#This Row],[Etapa Ingreso - Cita]]="","",MARÍTIMOS[[#This Row],[Etapa Ingreso - Cita]]),"")</f>
        <v/>
      </c>
      <c r="AI307" s="11" t="str">
        <f>IFERROR(IF(MARÍTIMOS[[#This Row],[Etapa Ingreso - Llegada]]="","",MARÍTIMOS[[#This Row],[Etapa Ingreso - Llegada]]),"")</f>
        <v/>
      </c>
      <c r="AJ307" s="11" t="str">
        <f>IFERROR(IF(MARÍTIMOS[[#This Row],[Etapa Ingreso - Ingeso]]="","",MARÍTIMOS[[#This Row],[Etapa Ingreso - Ingeso]]),"")</f>
        <v/>
      </c>
      <c r="AK307" s="11" t="str">
        <f>IFERROR(IF(MARÍTIMOS[[#This Row],[Etapa Ingreso - Atención]]="","",MARÍTIMOS[[#This Row],[Etapa Ingreso - Atención]]),"")</f>
        <v/>
      </c>
      <c r="AL307" s="11" t="str">
        <f>IFERROR(IF(MARÍTIMOS[[#This Row],[Etapa Ingreso - Salida]]="","",MARÍTIMOS[[#This Row],[Etapa Ingreso - Salida]]),"")</f>
        <v/>
      </c>
      <c r="AM307" s="2" t="str">
        <f>IFERROR(IF(MARÍTIMOS[[#This Row],[FCL]]="","",MARÍTIMOS[[#This Row],[FCL]]),"")</f>
        <v/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7" s="5" t="str">
        <f>IFERROR(OLDBD[[#This Row],[Llegada a packing]]-OLDBD[[#This Row],[Inicio de Ruta]],"")</f>
        <v/>
      </c>
      <c r="AQ307" s="6" t="str">
        <f>IFERROR(OLDBD[[#This Row],[Inicio de Ruta]]-OLDBD[[#This Row],[Salida de almacén de retiro]],"")</f>
        <v/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7" s="9" t="str">
        <f>IFERROR(OLDBD[[#This Row],[Ingreso Packing]]-OLDBD[[#This Row],[Registro en Packing]],"")</f>
        <v/>
      </c>
      <c r="AV307" s="9" t="str">
        <f>IFERROR(OLDBD[[#This Row],[Ingreso Packing]]-OLDBD[[#This Row],[Llegada a packing]],"")</f>
        <v/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7" s="5" t="str">
        <f>IFERROR(OLDBD[[#This Row],[Llegada Almacén de Ingreso]]-OLDBD[[#This Row],[Salida Packing]],"")</f>
        <v/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7" s="45" t="s">
        <v>181</v>
      </c>
      <c r="BB307" s="53" t="str">
        <f>IFERROR(IF(MARÍTIMOS[[#This Row],[Estatus]]="","",MARÍTIMOS[[#This Row],[Estatus]]),"")</f>
        <v/>
      </c>
      <c r="BC307" s="45"/>
      <c r="BD307" s="52" t="str">
        <f>IFERROR(OLDBD[[#This Row],[Salida de almacén de retiro]]-OLDBD[[#This Row],[Ingreso Almacén de retiro]],"")</f>
        <v/>
      </c>
      <c r="BE307" s="52" t="str">
        <f>IFERROR(OLDBD[[#This Row],[Fin de Carga]]-OLDBD[[#This Row],[Inicio de Carga]],"")</f>
        <v/>
      </c>
    </row>
    <row r="308" spans="1:57" x14ac:dyDescent="0.35">
      <c r="A308" s="1"/>
      <c r="B308" s="1" t="str">
        <f>IFERROR(IF(MARÍTIMOS[[#This Row],[PP]]="","",MARÍTIMOS[[#This Row],[PP]]),"")</f>
        <v/>
      </c>
      <c r="C308" s="1" t="str">
        <f>IFERROR(IF(MARÍTIMOS[[#This Row],[Sede]]="","",MARÍTIMOS[[#This Row],[Sede]]),"")</f>
        <v/>
      </c>
      <c r="D308" s="1" t="str">
        <f>IFERROR(IF(MARÍTIMOS[[#This Row],[Instruction]]="","",MARÍTIMOS[[#This Row],[Instruction]]),"")</f>
        <v/>
      </c>
      <c r="E308" s="1"/>
      <c r="F308" s="2" t="str">
        <f>IFERROR(IF(MARÍTIMOS[[#This Row],[Transportista]]="","",MARÍTIMOS[[#This Row],[Transportista]]),"")</f>
        <v/>
      </c>
      <c r="G308" s="2" t="str">
        <f>IFERROR(IF(MARÍTIMOS[[#This Row],[Tercero]]="","",MARÍTIMOS[[#This Row],[Tercero]]),"")</f>
        <v/>
      </c>
      <c r="H308" s="2" t="str">
        <f>IFERROR(IF(MARÍTIMOS[[#This Row],[Razón Social]]="","",MARÍTIMOS[[#This Row],[Razón Social]]),"")</f>
        <v/>
      </c>
      <c r="I308" s="2" t="str">
        <f>IFERROR(IF(MARÍTIMOS[[#This Row],[RUC]]="","",MARÍTIMOS[[#This Row],[RUC]]),"")</f>
        <v/>
      </c>
      <c r="J308" s="2" t="str">
        <f>IFERROR(IF(MARÍTIMOS[[#This Row],[Placa Tracto]]="","",MARÍTIMOS[[#This Row],[Placa Tracto]]),"")</f>
        <v/>
      </c>
      <c r="K308" s="2" t="str">
        <f>IFERROR(IF(MARÍTIMOS[[#This Row],[Placa Carreta]]="","",MARÍTIMOS[[#This Row],[Placa Carreta]]),"")</f>
        <v/>
      </c>
      <c r="L308" s="46" t="str">
        <f>IFERROR(IF(MARÍTIMOS[[#This Row],[Conductor]]="","",MARÍTIMOS[[#This Row],[Conductor]]),"")</f>
        <v/>
      </c>
      <c r="M308" s="2" t="str">
        <f>IFERROR(IF(MARÍTIMOS[[#This Row],[Licencia]]="","",MARÍTIMOS[[#This Row],[Licencia]]),"")</f>
        <v/>
      </c>
      <c r="N308" s="2" t="str">
        <f>IFERROR(IF(MARÍTIMOS[[#This Row],[Número de Contacto]]="","",MARÍTIMOS[[#This Row],[Número de Contacto]]),"")</f>
        <v/>
      </c>
      <c r="O308" s="10" t="str">
        <f>IFERROR(IF(MARÍTIMOS[[#This Row],[Booking|AWB|CRT]]="","",MARÍTIMOS[[#This Row],[Booking|AWB|CRT]]),"")</f>
        <v/>
      </c>
      <c r="P308" s="2" t="str">
        <f>IFERROR(IF(MARÍTIMOS[[#This Row],[Contenedor]]="","",MARÍTIMOS[[#This Row],[Contenedor]]),"")</f>
        <v/>
      </c>
      <c r="Q308" s="2" t="str">
        <f>IFERROR(IF(MARÍTIMOS[[#This Row],[Puerto de Retiro]]="","",MARÍTIMOS[[#This Row],[Puerto de Retiro]]),"")</f>
        <v/>
      </c>
      <c r="R308" s="2" t="str">
        <f>IFERROR(IF(MARÍTIMOS[[#This Row],[Almacén de Retiro]]="","",MARÍTIMOS[[#This Row],[Almacén de Retiro]]),"")</f>
        <v/>
      </c>
      <c r="S308" s="11" t="str">
        <f>IFERROR(IF(MARÍTIMOS[[#This Row],[Etapa Retiro - Cita]]="","",MARÍTIMOS[[#This Row],[Etapa Retiro - Cita]]),"")</f>
        <v/>
      </c>
      <c r="T308" s="11" t="str">
        <f>IFERROR(IF(MARÍTIMOS[[#This Row],[Etapa Retiro - Llegada]]="","",MARÍTIMOS[[#This Row],[Etapa Retiro - Llegada]]),"")</f>
        <v/>
      </c>
      <c r="U308" s="11" t="str">
        <f>IFERROR(IF(MARÍTIMOS[[#This Row],[Etapa Retiro - Ingreso]]="","",MARÍTIMOS[[#This Row],[Etapa Retiro - Ingreso]]),"")</f>
        <v/>
      </c>
      <c r="V308" s="11" t="str">
        <f>IFERROR(IF(MARÍTIMOS[[#This Row],[Etapa Retiro - Atención]]="","",MARÍTIMOS[[#This Row],[Etapa Retiro - Atención]]),"")</f>
        <v/>
      </c>
      <c r="W308" s="11" t="str">
        <f>IFERROR(IF(MARÍTIMOS[[#This Row],[Etapa Retiro - Salida]]="","",MARÍTIMOS[[#This Row],[Etapa Retiro - Salida]]),"")</f>
        <v/>
      </c>
      <c r="X308" s="11" t="str">
        <f>IFERROR(IF(MARÍTIMOS[[#This Row],[Etapa Retiro - Inicio de Ruta]]="","",MARÍTIMOS[[#This Row],[Etapa Retiro - Inicio de Ruta]]),"")</f>
        <v/>
      </c>
      <c r="Y308" s="11" t="str">
        <f>IFERROR(IF(MARÍTIMOS[[#This Row],[Hora de Posicionamiento]]="","",MARÍTIMOS[[#This Row],[Hora de Carga]]+MARÍTIMOS[[#This Row],[Hora de Posicionamiento]]),"")</f>
        <v/>
      </c>
      <c r="Z308" s="11" t="str">
        <f>IFERROR(IF(MARÍTIMOS[[#This Row],[Etapa Despacho -  Llegada]]="","",MARÍTIMOS[[#This Row],[Etapa Despacho -  Llegada]]),"")</f>
        <v/>
      </c>
      <c r="AA308" s="11" t="str">
        <f>IFERROR(IF(MARÍTIMOS[[#This Row],[Etapa Despacho -  Registro]]="","",MARÍTIMOS[[#This Row],[Etapa Despacho - 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 Inicio de Carga]]="","",MARÍTIMOS[[#This Row],[Etapa Despacho -  Inicio de Carga]]),"")</f>
        <v/>
      </c>
      <c r="AD308" s="11" t="str">
        <f>IFERROR(IF(MARÍTIMOS[[#This Row],[Etapa Despacho -  Fin de Carga]]="","",MARÍTIMOS[[#This Row],[Etapa Despacho -  Fin de Carga]]),"")</f>
        <v/>
      </c>
      <c r="AE308" s="11" t="str">
        <f>IFERROR(IF(MARÍTIMOS[[#This Row],[Etapa Despacho -  Salida]]="","",MARÍTIMOS[[#This Row],[Etapa Despacho -  Salida]]),"")</f>
        <v/>
      </c>
      <c r="AF308" s="2" t="str">
        <f>IFERROR(IF(MARÍTIMOS[[#This Row],[Puerto de Embarque]]="","",MARÍTIMOS[[#This Row],[Puerto de Embarque]]),"")</f>
        <v/>
      </c>
      <c r="AG308" s="2" t="str">
        <f>IFERROR(IF(MARÍTIMOS[[#This Row],[Almacén de Ingreso]]="","",MARÍTIMOS[[#This Row],[Almacén de Ingreso]]),"")</f>
        <v/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 t="str">
        <f>IFERROR(IF(MARÍTIMOS[[#This Row],[FCL]]="","",MARÍTIMOS[[#This Row],[FCL]]),"")</f>
        <v/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5" t="s">
        <v>181</v>
      </c>
      <c r="BB308" s="53" t="str">
        <f>IFERROR(IF(MARÍTIMOS[[#This Row],[Estatus]]="","",MARÍTIMOS[[#This Row],[Estatus]]),"")</f>
        <v/>
      </c>
      <c r="BC308" s="45"/>
      <c r="BD308" s="52" t="str">
        <f>IFERROR(OLDBD[[#This Row],[Salida de almacén de retiro]]-OLDBD[[#This Row],[Ingreso Almacén de retiro]],"")</f>
        <v/>
      </c>
      <c r="BE308" s="52" t="str">
        <f>IFERROR(OLDBD[[#This Row],[Fin de Carga]]-OLDBD[[#This Row],[Inicio de Carga]],"")</f>
        <v/>
      </c>
    </row>
    <row r="309" spans="1:57" x14ac:dyDescent="0.35">
      <c r="A309" s="1"/>
      <c r="B309" s="1" t="str">
        <f>IFERROR(IF(MARÍTIMOS[[#This Row],[PP]]="","",MARÍTIMOS[[#This Row],[PP]]),"")</f>
        <v/>
      </c>
      <c r="C309" s="1" t="str">
        <f>IFERROR(IF(MARÍTIMOS[[#This Row],[Sede]]="","",MARÍTIMOS[[#This Row],[Sede]]),"")</f>
        <v/>
      </c>
      <c r="D309" s="1" t="str">
        <f>IFERROR(IF(MARÍTIMOS[[#This Row],[Instruction]]="","",MARÍTIMOS[[#This Row],[Instruction]]),"")</f>
        <v/>
      </c>
      <c r="E309" s="1"/>
      <c r="F309" s="2" t="str">
        <f>IFERROR(IF(MARÍTIMOS[[#This Row],[Transportista]]="","",MARÍTIMOS[[#This Row],[Transportista]]),"")</f>
        <v/>
      </c>
      <c r="G309" s="2" t="str">
        <f>IFERROR(IF(MARÍTIMOS[[#This Row],[Tercero]]="","",MARÍTIMOS[[#This Row],[Tercero]]),"")</f>
        <v/>
      </c>
      <c r="H309" s="2" t="str">
        <f>IFERROR(IF(MARÍTIMOS[[#This Row],[Razón Social]]="","",MARÍTIMOS[[#This Row],[Razón Social]]),"")</f>
        <v/>
      </c>
      <c r="I309" s="2" t="str">
        <f>IFERROR(IF(MARÍTIMOS[[#This Row],[RUC]]="","",MARÍTIMOS[[#This Row],[RUC]]),"")</f>
        <v/>
      </c>
      <c r="J309" s="2" t="str">
        <f>IFERROR(IF(MARÍTIMOS[[#This Row],[Placa Tracto]]="","",MARÍTIMOS[[#This Row],[Placa Tracto]]),"")</f>
        <v/>
      </c>
      <c r="K309" s="2" t="str">
        <f>IFERROR(IF(MARÍTIMOS[[#This Row],[Placa Carreta]]="","",MARÍTIMOS[[#This Row],[Placa Carreta]]),"")</f>
        <v/>
      </c>
      <c r="L309" s="46" t="str">
        <f>IFERROR(IF(MARÍTIMOS[[#This Row],[Conductor]]="","",MARÍTIMOS[[#This Row],[Conductor]]),"")</f>
        <v/>
      </c>
      <c r="M309" s="2" t="str">
        <f>IFERROR(IF(MARÍTIMOS[[#This Row],[Licencia]]="","",MARÍTIMOS[[#This Row],[Licencia]]),"")</f>
        <v/>
      </c>
      <c r="N309" s="2" t="str">
        <f>IFERROR(IF(MARÍTIMOS[[#This Row],[Número de Contacto]]="","",MARÍTIMOS[[#This Row],[Número de Contacto]]),"")</f>
        <v/>
      </c>
      <c r="O309" s="10" t="str">
        <f>IFERROR(IF(MARÍTIMOS[[#This Row],[Booking|AWB|CRT]]="","",MARÍTIMOS[[#This Row],[Booking|AWB|CRT]]),"")</f>
        <v/>
      </c>
      <c r="P309" s="2" t="str">
        <f>IFERROR(IF(MARÍTIMOS[[#This Row],[Contenedor]]="","",MARÍTIMOS[[#This Row],[Contenedor]]),"")</f>
        <v/>
      </c>
      <c r="Q309" s="2" t="str">
        <f>IFERROR(IF(MARÍTIMOS[[#This Row],[Puerto de Retiro]]="","",MARÍTIMOS[[#This Row],[Puerto de Retiro]]),"")</f>
        <v/>
      </c>
      <c r="R309" s="2" t="str">
        <f>IFERROR(IF(MARÍTIMOS[[#This Row],[Almacén de Retiro]]="","",MARÍTIMOS[[#This Row],[Almacén de Retiro]]),"")</f>
        <v/>
      </c>
      <c r="S309" s="11" t="str">
        <f>IFERROR(IF(MARÍTIMOS[[#This Row],[Etapa Retiro - Cita]]="","",MARÍTIMOS[[#This Row],[Etapa Retiro - Cita]]),"")</f>
        <v/>
      </c>
      <c r="T309" s="11" t="str">
        <f>IFERROR(IF(MARÍTIMOS[[#This Row],[Etapa Retiro - Llegada]]="","",MARÍTIMOS[[#This Row],[Etapa Retiro - Llegada]]),"")</f>
        <v/>
      </c>
      <c r="U309" s="11" t="str">
        <f>IFERROR(IF(MARÍTIMOS[[#This Row],[Etapa Retiro - Ingreso]]="","",MARÍTIMOS[[#This Row],[Etapa Retiro - Ingreso]]),"")</f>
        <v/>
      </c>
      <c r="V309" s="11" t="str">
        <f>IFERROR(IF(MARÍTIMOS[[#This Row],[Etapa Retiro - Atención]]="","",MARÍTIMOS[[#This Row],[Etapa Retiro - Atención]]),"")</f>
        <v/>
      </c>
      <c r="W309" s="11" t="str">
        <f>IFERROR(IF(MARÍTIMOS[[#This Row],[Etapa Retiro - Salida]]="","",MARÍTIMOS[[#This Row],[Etapa Retiro - Salida]]),"")</f>
        <v/>
      </c>
      <c r="X309" s="11" t="str">
        <f>IFERROR(IF(MARÍTIMOS[[#This Row],[Etapa Retiro - Inicio de Ruta]]="","",MARÍTIMOS[[#This Row],[Etapa Retiro - Inicio de Ruta]]),"")</f>
        <v/>
      </c>
      <c r="Y309" s="11" t="str">
        <f>IFERROR(IF(MARÍTIMOS[[#This Row],[Hora de Posicionamiento]]="","",MARÍTIMOS[[#This Row],[Hora de Carga]]+MARÍTIMOS[[#This Row],[Hora de Posicionamiento]]),"")</f>
        <v/>
      </c>
      <c r="Z309" s="11" t="str">
        <f>IFERROR(IF(MARÍTIMOS[[#This Row],[Etapa Despacho -  Llegada]]="","",MARÍTIMOS[[#This Row],[Etapa Despacho -  Llegada]]),"")</f>
        <v/>
      </c>
      <c r="AA309" s="11" t="str">
        <f>IFERROR(IF(MARÍTIMOS[[#This Row],[Etapa Despacho -  Registro]]="","",MARÍTIMOS[[#This Row],[Etapa Despacho -  Registro]]),"")</f>
        <v/>
      </c>
      <c r="AB309" s="11" t="str">
        <f>IFERROR(IF(MARÍTIMOS[[#This Row],[Inspección Externa]]="","",MARÍTIMOS[[#This Row],[Inspección Externa]]),"")</f>
        <v/>
      </c>
      <c r="AC309" s="11" t="str">
        <f>IFERROR(IF(MARÍTIMOS[[#This Row],[Etapa Despacho -  Inicio de Carga]]="","",MARÍTIMOS[[#This Row],[Etapa Despacho -  Inicio de Carga]]),"")</f>
        <v/>
      </c>
      <c r="AD309" s="11" t="str">
        <f>IFERROR(IF(MARÍTIMOS[[#This Row],[Etapa Despacho -  Fin de Carga]]="","",MARÍTIMOS[[#This Row],[Etapa Despacho -  Fin de Carga]]),"")</f>
        <v/>
      </c>
      <c r="AE309" s="11" t="str">
        <f>IFERROR(IF(MARÍTIMOS[[#This Row],[Etapa Despacho -  Salida]]="","",MARÍTIMOS[[#This Row],[Etapa Despacho -  Salida]]),"")</f>
        <v/>
      </c>
      <c r="AF309" s="2" t="str">
        <f>IFERROR(IF(MARÍTIMOS[[#This Row],[Puerto de Embarque]]="","",MARÍTIMOS[[#This Row],[Puerto de Embarque]]),"")</f>
        <v/>
      </c>
      <c r="AG309" s="2" t="str">
        <f>IFERROR(IF(MARÍTIMOS[[#This Row],[Almacén de Ingreso]]="","",MARÍTIMOS[[#This Row],[Almacén de Ingreso]]),"")</f>
        <v/>
      </c>
      <c r="AH309" s="11" t="str">
        <f>IFERROR(IF(MARÍTIMOS[[#This Row],[Etapa Ingreso - Cita]]="","",MARÍTIMOS[[#This Row],[Etapa Ingreso - Cita]]),"")</f>
        <v/>
      </c>
      <c r="AI309" s="11" t="str">
        <f>IFERROR(IF(MARÍTIMOS[[#This Row],[Etapa Ingreso - Llegada]]="","",MARÍTIMOS[[#This Row],[Etapa Ingreso - Llegada]]),"")</f>
        <v/>
      </c>
      <c r="AJ309" s="11" t="str">
        <f>IFERROR(IF(MARÍTIMOS[[#This Row],[Etapa Ingreso - Ingeso]]="","",MARÍTIMOS[[#This Row],[Etapa Ingreso - Ingeso]]),"")</f>
        <v/>
      </c>
      <c r="AK309" s="11" t="str">
        <f>IFERROR(IF(MARÍTIMOS[[#This Row],[Etapa Ingreso - Atención]]="","",MARÍTIMOS[[#This Row],[Etapa Ingreso - Atención]]),"")</f>
        <v/>
      </c>
      <c r="AL309" s="11" t="str">
        <f>IFERROR(IF(MARÍTIMOS[[#This Row],[Etapa Ingreso - Salida]]="","",MARÍTIMOS[[#This Row],[Etapa Ingreso - Salida]]),"")</f>
        <v/>
      </c>
      <c r="AM309" s="2" t="str">
        <f>IFERROR(IF(MARÍTIMOS[[#This Row],[FCL]]="","",MARÍTIMOS[[#This Row],[FCL]]),"")</f>
        <v/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9" s="5" t="str">
        <f>IFERROR(OLDBD[[#This Row],[Llegada a packing]]-OLDBD[[#This Row],[Inicio de Ruta]],"")</f>
        <v/>
      </c>
      <c r="AQ309" s="6" t="str">
        <f>IFERROR(OLDBD[[#This Row],[Inicio de Ruta]]-OLDBD[[#This Row],[Salida de almacén de retiro]],"")</f>
        <v/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9" s="9" t="str">
        <f>IFERROR(OLDBD[[#This Row],[Ingreso Packing]]-OLDBD[[#This Row],[Registro en Packing]],"")</f>
        <v/>
      </c>
      <c r="AV309" s="9" t="str">
        <f>IFERROR(OLDBD[[#This Row],[Ingreso Packing]]-OLDBD[[#This Row],[Llegada a packing]],"")</f>
        <v/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9" s="5" t="str">
        <f>IFERROR(OLDBD[[#This Row],[Llegada Almacén de Ingreso]]-OLDBD[[#This Row],[Salida Packing]],"")</f>
        <v/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9" s="45" t="s">
        <v>181</v>
      </c>
      <c r="BB309" s="53" t="str">
        <f>IFERROR(IF(MARÍTIMOS[[#This Row],[Estatus]]="","",MARÍTIMOS[[#This Row],[Estatus]]),"")</f>
        <v/>
      </c>
      <c r="BC309" s="45"/>
      <c r="BD309" s="52" t="str">
        <f>IFERROR(OLDBD[[#This Row],[Salida de almacén de retiro]]-OLDBD[[#This Row],[Ingreso Almacén de retiro]],"")</f>
        <v/>
      </c>
      <c r="BE309" s="52" t="str">
        <f>IFERROR(OLDBD[[#This Row],[Fin de Carga]]-OLDBD[[#This Row],[Inicio de Carga]],"")</f>
        <v/>
      </c>
    </row>
    <row r="310" spans="1:57" x14ac:dyDescent="0.35">
      <c r="A310" s="1"/>
      <c r="B310" s="1" t="str">
        <f>IFERROR(IF(MARÍTIMOS[[#This Row],[PP]]="","",MARÍTIMOS[[#This Row],[PP]]),"")</f>
        <v/>
      </c>
      <c r="C310" s="1" t="str">
        <f>IFERROR(IF(MARÍTIMOS[[#This Row],[Sede]]="","",MARÍTIMOS[[#This Row],[Sede]]),"")</f>
        <v/>
      </c>
      <c r="D310" s="1" t="str">
        <f>IFERROR(IF(MARÍTIMOS[[#This Row],[Instruction]]="","",MARÍTIMOS[[#This Row],[Instruction]]),"")</f>
        <v/>
      </c>
      <c r="E310" s="1"/>
      <c r="F310" s="2" t="str">
        <f>IFERROR(IF(MARÍTIMOS[[#This Row],[Transportista]]="","",MARÍTIMOS[[#This Row],[Transportista]]),"")</f>
        <v/>
      </c>
      <c r="G310" s="2" t="str">
        <f>IFERROR(IF(MARÍTIMOS[[#This Row],[Tercero]]="","",MARÍTIMOS[[#This Row],[Tercero]]),"")</f>
        <v/>
      </c>
      <c r="H310" s="2" t="str">
        <f>IFERROR(IF(MARÍTIMOS[[#This Row],[Razón Social]]="","",MARÍTIMOS[[#This Row],[Razón Social]]),"")</f>
        <v/>
      </c>
      <c r="I310" s="2" t="str">
        <f>IFERROR(IF(MARÍTIMOS[[#This Row],[RUC]]="","",MARÍTIMOS[[#This Row],[RUC]]),"")</f>
        <v/>
      </c>
      <c r="J310" s="2" t="str">
        <f>IFERROR(IF(MARÍTIMOS[[#This Row],[Placa Tracto]]="","",MARÍTIMOS[[#This Row],[Placa Tracto]]),"")</f>
        <v/>
      </c>
      <c r="K310" s="2" t="str">
        <f>IFERROR(IF(MARÍTIMOS[[#This Row],[Placa Carreta]]="","",MARÍTIMOS[[#This Row],[Placa Carreta]]),"")</f>
        <v/>
      </c>
      <c r="L310" s="46" t="str">
        <f>IFERROR(IF(MARÍTIMOS[[#This Row],[Conductor]]="","",MARÍTIMOS[[#This Row],[Conductor]]),"")</f>
        <v/>
      </c>
      <c r="M310" s="2" t="str">
        <f>IFERROR(IF(MARÍTIMOS[[#This Row],[Licencia]]="","",MARÍTIMOS[[#This Row],[Licencia]]),"")</f>
        <v/>
      </c>
      <c r="N310" s="2" t="str">
        <f>IFERROR(IF(MARÍTIMOS[[#This Row],[Número de Contacto]]="","",MARÍTIMOS[[#This Row],[Número de Contacto]]),"")</f>
        <v/>
      </c>
      <c r="O310" s="10" t="str">
        <f>IFERROR(IF(MARÍTIMOS[[#This Row],[Booking|AWB|CRT]]="","",MARÍTIMOS[[#This Row],[Booking|AWB|CRT]]),"")</f>
        <v/>
      </c>
      <c r="P310" s="2" t="str">
        <f>IFERROR(IF(MARÍTIMOS[[#This Row],[Contenedor]]="","",MARÍTIMOS[[#This Row],[Contenedor]]),"")</f>
        <v/>
      </c>
      <c r="Q310" s="2" t="str">
        <f>IFERROR(IF(MARÍTIMOS[[#This Row],[Puerto de Retiro]]="","",MARÍTIMOS[[#This Row],[Puerto de Retiro]]),"")</f>
        <v/>
      </c>
      <c r="R310" s="2" t="str">
        <f>IFERROR(IF(MARÍTIMOS[[#This Row],[Almacén de Retiro]]="","",MARÍTIMOS[[#This Row],[Almacén de Retiro]]),"")</f>
        <v/>
      </c>
      <c r="S310" s="11" t="str">
        <f>IFERROR(IF(MARÍTIMOS[[#This Row],[Etapa Retiro - Cita]]="","",MARÍTIMOS[[#This Row],[Etapa Retiro - Cita]]),"")</f>
        <v/>
      </c>
      <c r="T310" s="11" t="str">
        <f>IFERROR(IF(MARÍTIMOS[[#This Row],[Etapa Retiro - Llegada]]="","",MARÍTIMOS[[#This Row],[Etapa Retiro - Llegada]]),"")</f>
        <v/>
      </c>
      <c r="U310" s="11" t="str">
        <f>IFERROR(IF(MARÍTIMOS[[#This Row],[Etapa Retiro - Ingreso]]="","",MARÍTIMOS[[#This Row],[Etapa Retiro - Ingreso]]),"")</f>
        <v/>
      </c>
      <c r="V310" s="11" t="str">
        <f>IFERROR(IF(MARÍTIMOS[[#This Row],[Etapa Retiro - Atención]]="","",MARÍTIMOS[[#This Row],[Etapa Retiro - Atención]]),"")</f>
        <v/>
      </c>
      <c r="W310" s="11" t="str">
        <f>IFERROR(IF(MARÍTIMOS[[#This Row],[Etapa Retiro - Salida]]="","",MARÍTIMOS[[#This Row],[Etapa Retiro - Salida]]),"")</f>
        <v/>
      </c>
      <c r="X310" s="11" t="str">
        <f>IFERROR(IF(MARÍTIMOS[[#This Row],[Etapa Retiro - Inicio de Ruta]]="","",MARÍTIMOS[[#This Row],[Etapa Retiro - Inicio de Ruta]]),"")</f>
        <v/>
      </c>
      <c r="Y310" s="11" t="str">
        <f>IFERROR(IF(MARÍTIMOS[[#This Row],[Hora de Posicionamiento]]="","",MARÍTIMOS[[#This Row],[Hora de Carga]]+MARÍTIMOS[[#This Row],[Hora de Posicionamiento]]),"")</f>
        <v/>
      </c>
      <c r="Z310" s="11" t="str">
        <f>IFERROR(IF(MARÍTIMOS[[#This Row],[Etapa Despacho -  Llegada]]="","",MARÍTIMOS[[#This Row],[Etapa Despacho -  Llegada]]),"")</f>
        <v/>
      </c>
      <c r="AA310" s="11" t="str">
        <f>IFERROR(IF(MARÍTIMOS[[#This Row],[Etapa Despacho -  Registro]]="","",MARÍTIMOS[[#This Row],[Etapa Despacho -  Registro]]),"")</f>
        <v/>
      </c>
      <c r="AB310" s="11" t="str">
        <f>IFERROR(IF(MARÍTIMOS[[#This Row],[Inspección Externa]]="","",MARÍTIMOS[[#This Row],[Inspección Externa]]),"")</f>
        <v/>
      </c>
      <c r="AC310" s="11" t="str">
        <f>IFERROR(IF(MARÍTIMOS[[#This Row],[Etapa Despacho -  Inicio de Carga]]="","",MARÍTIMOS[[#This Row],[Etapa Despacho -  Inicio de Carga]]),"")</f>
        <v/>
      </c>
      <c r="AD310" s="11" t="str">
        <f>IFERROR(IF(MARÍTIMOS[[#This Row],[Etapa Despacho -  Fin de Carga]]="","",MARÍTIMOS[[#This Row],[Etapa Despacho -  Fin de Carga]]),"")</f>
        <v/>
      </c>
      <c r="AE310" s="11" t="str">
        <f>IFERROR(IF(MARÍTIMOS[[#This Row],[Etapa Despacho -  Salida]]="","",MARÍTIMOS[[#This Row],[Etapa Despacho -  Salida]]),"")</f>
        <v/>
      </c>
      <c r="AF310" s="2" t="str">
        <f>IFERROR(IF(MARÍTIMOS[[#This Row],[Puerto de Embarque]]="","",MARÍTIMOS[[#This Row],[Puerto de Embarque]]),"")</f>
        <v/>
      </c>
      <c r="AG310" s="2" t="str">
        <f>IFERROR(IF(MARÍTIMOS[[#This Row],[Almacén de Ingreso]]="","",MARÍTIMOS[[#This Row],[Almacén de Ingreso]]),"")</f>
        <v/>
      </c>
      <c r="AH310" s="11" t="str">
        <f>IFERROR(IF(MARÍTIMOS[[#This Row],[Etapa Ingreso - Cita]]="","",MARÍTIMOS[[#This Row],[Etapa Ingreso - Cita]]),"")</f>
        <v/>
      </c>
      <c r="AI310" s="11" t="str">
        <f>IFERROR(IF(MARÍTIMOS[[#This Row],[Etapa Ingreso - Llegada]]="","",MARÍTIMOS[[#This Row],[Etapa Ingreso - Llegada]]),"")</f>
        <v/>
      </c>
      <c r="AJ310" s="11" t="str">
        <f>IFERROR(IF(MARÍTIMOS[[#This Row],[Etapa Ingreso - Ingeso]]="","",MARÍTIMOS[[#This Row],[Etapa Ingreso - Ingeso]]),"")</f>
        <v/>
      </c>
      <c r="AK310" s="11" t="str">
        <f>IFERROR(IF(MARÍTIMOS[[#This Row],[Etapa Ingreso - Atención]]="","",MARÍTIMOS[[#This Row],[Etapa Ingreso - Atención]]),"")</f>
        <v/>
      </c>
      <c r="AL310" s="11" t="str">
        <f>IFERROR(IF(MARÍTIMOS[[#This Row],[Etapa Ingreso - Salida]]="","",MARÍTIMOS[[#This Row],[Etapa Ingreso - Salida]]),"")</f>
        <v/>
      </c>
      <c r="AM310" s="2" t="str">
        <f>IFERROR(IF(MARÍTIMOS[[#This Row],[FCL]]="","",MARÍTIMOS[[#This Row],[FCL]]),"")</f>
        <v/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0" s="5" t="str">
        <f>IFERROR(OLDBD[[#This Row],[Llegada a packing]]-OLDBD[[#This Row],[Inicio de Ruta]],"")</f>
        <v/>
      </c>
      <c r="AQ310" s="6" t="str">
        <f>IFERROR(OLDBD[[#This Row],[Inicio de Ruta]]-OLDBD[[#This Row],[Salida de almacén de retiro]],"")</f>
        <v/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0" s="9" t="str">
        <f>IFERROR(OLDBD[[#This Row],[Ingreso Packing]]-OLDBD[[#This Row],[Registro en Packing]],"")</f>
        <v/>
      </c>
      <c r="AV310" s="9" t="str">
        <f>IFERROR(OLDBD[[#This Row],[Ingreso Packing]]-OLDBD[[#This Row],[Llegada a packing]],"")</f>
        <v/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0" s="5" t="str">
        <f>IFERROR(OLDBD[[#This Row],[Llegada Almacén de Ingreso]]-OLDBD[[#This Row],[Salida Packing]],"")</f>
        <v/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0" s="45" t="s">
        <v>181</v>
      </c>
      <c r="BB310" s="53" t="str">
        <f>IFERROR(IF(MARÍTIMOS[[#This Row],[Estatus]]="","",MARÍTIMOS[[#This Row],[Estatus]]),"")</f>
        <v/>
      </c>
      <c r="BC310" s="45"/>
      <c r="BD310" s="52" t="str">
        <f>IFERROR(OLDBD[[#This Row],[Salida de almacén de retiro]]-OLDBD[[#This Row],[Ingreso Almacén de retiro]],"")</f>
        <v/>
      </c>
      <c r="BE310" s="52" t="str">
        <f>IFERROR(OLDBD[[#This Row],[Fin de Carga]]-OLDBD[[#This Row],[Inicio de Carga]],"")</f>
        <v/>
      </c>
    </row>
    <row r="311" spans="1:57" x14ac:dyDescent="0.35">
      <c r="A311" s="1"/>
      <c r="B311" s="1" t="str">
        <f>IFERROR(IF(MARÍTIMOS[[#This Row],[PP]]="","",MARÍTIMOS[[#This Row],[PP]]),"")</f>
        <v/>
      </c>
      <c r="C311" s="1" t="str">
        <f>IFERROR(IF(MARÍTIMOS[[#This Row],[Sede]]="","",MARÍTIMOS[[#This Row],[Sede]]),"")</f>
        <v/>
      </c>
      <c r="D311" s="1" t="str">
        <f>IFERROR(IF(MARÍTIMOS[[#This Row],[Instruction]]="","",MARÍTIMOS[[#This Row],[Instruction]]),"")</f>
        <v/>
      </c>
      <c r="E311" s="1"/>
      <c r="F311" s="2" t="str">
        <f>IFERROR(IF(MARÍTIMOS[[#This Row],[Transportista]]="","",MARÍTIMOS[[#This Row],[Transportista]]),"")</f>
        <v/>
      </c>
      <c r="G311" s="2" t="str">
        <f>IFERROR(IF(MARÍTIMOS[[#This Row],[Tercero]]="","",MARÍTIMOS[[#This Row],[Tercero]]),"")</f>
        <v/>
      </c>
      <c r="H311" s="2" t="str">
        <f>IFERROR(IF(MARÍTIMOS[[#This Row],[Razón Social]]="","",MARÍTIMOS[[#This Row],[Razón Social]]),"")</f>
        <v/>
      </c>
      <c r="I311" s="2" t="str">
        <f>IFERROR(IF(MARÍTIMOS[[#This Row],[RUC]]="","",MARÍTIMOS[[#This Row],[RUC]]),"")</f>
        <v/>
      </c>
      <c r="J311" s="2" t="str">
        <f>IFERROR(IF(MARÍTIMOS[[#This Row],[Placa Tracto]]="","",MARÍTIMOS[[#This Row],[Placa Tracto]]),"")</f>
        <v/>
      </c>
      <c r="K311" s="2" t="str">
        <f>IFERROR(IF(MARÍTIMOS[[#This Row],[Placa Carreta]]="","",MARÍTIMOS[[#This Row],[Placa Carreta]]),"")</f>
        <v/>
      </c>
      <c r="L311" s="46" t="str">
        <f>IFERROR(IF(MARÍTIMOS[[#This Row],[Conductor]]="","",MARÍTIMOS[[#This Row],[Conductor]]),"")</f>
        <v/>
      </c>
      <c r="M311" s="2" t="str">
        <f>IFERROR(IF(MARÍTIMOS[[#This Row],[Licencia]]="","",MARÍTIMOS[[#This Row],[Licencia]]),"")</f>
        <v/>
      </c>
      <c r="N311" s="2" t="str">
        <f>IFERROR(IF(MARÍTIMOS[[#This Row],[Número de Contacto]]="","",MARÍTIMOS[[#This Row],[Número de Contacto]]),"")</f>
        <v/>
      </c>
      <c r="O311" s="10" t="str">
        <f>IFERROR(IF(MARÍTIMOS[[#This Row],[Booking|AWB|CRT]]="","",MARÍTIMOS[[#This Row],[Booking|AWB|CRT]]),"")</f>
        <v/>
      </c>
      <c r="P311" s="2" t="str">
        <f>IFERROR(IF(MARÍTIMOS[[#This Row],[Contenedor]]="","",MARÍTIMOS[[#This Row],[Contenedor]]),"")</f>
        <v/>
      </c>
      <c r="Q311" s="2" t="str">
        <f>IFERROR(IF(MARÍTIMOS[[#This Row],[Puerto de Retiro]]="","",MARÍTIMOS[[#This Row],[Puerto de Retiro]]),"")</f>
        <v/>
      </c>
      <c r="R311" s="2" t="str">
        <f>IFERROR(IF(MARÍTIMOS[[#This Row],[Almacén de Retiro]]="","",MARÍTIMOS[[#This Row],[Almacén de Retiro]]),"")</f>
        <v/>
      </c>
      <c r="S311" s="11" t="str">
        <f>IFERROR(IF(MARÍTIMOS[[#This Row],[Etapa Retiro - Cita]]="","",MARÍTIMOS[[#This Row],[Etapa Retiro - Cita]]),"")</f>
        <v/>
      </c>
      <c r="T311" s="11" t="str">
        <f>IFERROR(IF(MARÍTIMOS[[#This Row],[Etapa Retiro - Llegada]]="","",MARÍTIMOS[[#This Row],[Etapa Retiro - Llegada]]),"")</f>
        <v/>
      </c>
      <c r="U311" s="11" t="str">
        <f>IFERROR(IF(MARÍTIMOS[[#This Row],[Etapa Retiro - Ingreso]]="","",MARÍTIMOS[[#This Row],[Etapa Retiro - Ingreso]]),"")</f>
        <v/>
      </c>
      <c r="V311" s="11" t="str">
        <f>IFERROR(IF(MARÍTIMOS[[#This Row],[Etapa Retiro - Atención]]="","",MARÍTIMOS[[#This Row],[Etapa Retiro - Atención]]),"")</f>
        <v/>
      </c>
      <c r="W311" s="11" t="str">
        <f>IFERROR(IF(MARÍTIMOS[[#This Row],[Etapa Retiro - Salida]]="","",MARÍTIMOS[[#This Row],[Etapa Retiro - Salida]]),"")</f>
        <v/>
      </c>
      <c r="X311" s="11" t="str">
        <f>IFERROR(IF(MARÍTIMOS[[#This Row],[Etapa Retiro - Inicio de Ruta]]="","",MARÍTIMOS[[#This Row],[Etapa Retiro - Inicio de Ruta]]),"")</f>
        <v/>
      </c>
      <c r="Y311" s="11" t="str">
        <f>IFERROR(IF(MARÍTIMOS[[#This Row],[Hora de Posicionamiento]]="","",MARÍTIMOS[[#This Row],[Hora de Carga]]+MARÍTIMOS[[#This Row],[Hora de Posicionamiento]]),"")</f>
        <v/>
      </c>
      <c r="Z311" s="11" t="str">
        <f>IFERROR(IF(MARÍTIMOS[[#This Row],[Etapa Despacho -  Llegada]]="","",MARÍTIMOS[[#This Row],[Etapa Despacho -  Llegada]]),"")</f>
        <v/>
      </c>
      <c r="AA311" s="11" t="str">
        <f>IFERROR(IF(MARÍTIMOS[[#This Row],[Etapa Despacho -  Registro]]="","",MARÍTIMOS[[#This Row],[Etapa Despacho -  Registro]]),"")</f>
        <v/>
      </c>
      <c r="AB311" s="11" t="str">
        <f>IFERROR(IF(MARÍTIMOS[[#This Row],[Inspección Externa]]="","",MARÍTIMOS[[#This Row],[Inspección Externa]]),"")</f>
        <v/>
      </c>
      <c r="AC311" s="11" t="str">
        <f>IFERROR(IF(MARÍTIMOS[[#This Row],[Etapa Despacho -  Inicio de Carga]]="","",MARÍTIMOS[[#This Row],[Etapa Despacho -  Inicio de Carga]]),"")</f>
        <v/>
      </c>
      <c r="AD311" s="11" t="str">
        <f>IFERROR(IF(MARÍTIMOS[[#This Row],[Etapa Despacho -  Fin de Carga]]="","",MARÍTIMOS[[#This Row],[Etapa Despacho -  Fin de Carga]]),"")</f>
        <v/>
      </c>
      <c r="AE311" s="11" t="str">
        <f>IFERROR(IF(MARÍTIMOS[[#This Row],[Etapa Despacho -  Salida]]="","",MARÍTIMOS[[#This Row],[Etapa Despacho -  Salida]]),"")</f>
        <v/>
      </c>
      <c r="AF311" s="2" t="str">
        <f>IFERROR(IF(MARÍTIMOS[[#This Row],[Puerto de Embarque]]="","",MARÍTIMOS[[#This Row],[Puerto de Embarque]]),"")</f>
        <v/>
      </c>
      <c r="AG311" s="2" t="str">
        <f>IFERROR(IF(MARÍTIMOS[[#This Row],[Almacén de Ingreso]]="","",MARÍTIMOS[[#This Row],[Almacén de Ingreso]]),"")</f>
        <v/>
      </c>
      <c r="AH311" s="11" t="str">
        <f>IFERROR(IF(MARÍTIMOS[[#This Row],[Etapa Ingreso - Cita]]="","",MARÍTIMOS[[#This Row],[Etapa Ingreso - Cita]]),"")</f>
        <v/>
      </c>
      <c r="AI311" s="11" t="str">
        <f>IFERROR(IF(MARÍTIMOS[[#This Row],[Etapa Ingreso - Llegada]]="","",MARÍTIMOS[[#This Row],[Etapa Ingreso - Llegada]]),"")</f>
        <v/>
      </c>
      <c r="AJ311" s="11" t="str">
        <f>IFERROR(IF(MARÍTIMOS[[#This Row],[Etapa Ingreso - Ingeso]]="","",MARÍTIMOS[[#This Row],[Etapa Ingreso - Ingeso]]),"")</f>
        <v/>
      </c>
      <c r="AK311" s="11" t="str">
        <f>IFERROR(IF(MARÍTIMOS[[#This Row],[Etapa Ingreso - Atención]]="","",MARÍTIMOS[[#This Row],[Etapa Ingreso - Atención]]),"")</f>
        <v/>
      </c>
      <c r="AL311" s="11" t="str">
        <f>IFERROR(IF(MARÍTIMOS[[#This Row],[Etapa Ingreso - Salida]]="","",MARÍTIMOS[[#This Row],[Etapa Ingreso - Salida]]),"")</f>
        <v/>
      </c>
      <c r="AM311" s="2" t="str">
        <f>IFERROR(IF(MARÍTIMOS[[#This Row],[FCL]]="","",MARÍTIMOS[[#This Row],[FCL]]),"")</f>
        <v/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1" s="5" t="str">
        <f>IFERROR(OLDBD[[#This Row],[Llegada a packing]]-OLDBD[[#This Row],[Inicio de Ruta]],"")</f>
        <v/>
      </c>
      <c r="AQ311" s="6" t="str">
        <f>IFERROR(OLDBD[[#This Row],[Inicio de Ruta]]-OLDBD[[#This Row],[Salida de almacén de retiro]],"")</f>
        <v/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1" s="9" t="str">
        <f>IFERROR(OLDBD[[#This Row],[Ingreso Packing]]-OLDBD[[#This Row],[Registro en Packing]],"")</f>
        <v/>
      </c>
      <c r="AV311" s="9" t="str">
        <f>IFERROR(OLDBD[[#This Row],[Ingreso Packing]]-OLDBD[[#This Row],[Llegada a packing]],"")</f>
        <v/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1" s="5" t="str">
        <f>IFERROR(OLDBD[[#This Row],[Llegada Almacén de Ingreso]]-OLDBD[[#This Row],[Salida Packing]],"")</f>
        <v/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1" s="45" t="s">
        <v>181</v>
      </c>
      <c r="BB311" s="53" t="str">
        <f>IFERROR(IF(MARÍTIMOS[[#This Row],[Estatus]]="","",MARÍTIMOS[[#This Row],[Estatus]]),"")</f>
        <v/>
      </c>
      <c r="BC311" s="45"/>
      <c r="BD311" s="52" t="str">
        <f>IFERROR(OLDBD[[#This Row],[Salida de almacén de retiro]]-OLDBD[[#This Row],[Ingreso Almacén de retiro]],"")</f>
        <v/>
      </c>
      <c r="BE311" s="52" t="str">
        <f>IFERROR(OLDBD[[#This Row],[Fin de Carga]]-OLDBD[[#This Row],[Inicio de Carga]],"")</f>
        <v/>
      </c>
    </row>
    <row r="312" spans="1:57" x14ac:dyDescent="0.35">
      <c r="A312" s="1"/>
      <c r="B312" s="1" t="str">
        <f>IFERROR(IF(MARÍTIMOS[[#This Row],[PP]]="","",MARÍTIMOS[[#This Row],[PP]]),"")</f>
        <v/>
      </c>
      <c r="C312" s="1" t="str">
        <f>IFERROR(IF(MARÍTIMOS[[#This Row],[Sede]]="","",MARÍTIMOS[[#This Row],[Sede]]),"")</f>
        <v/>
      </c>
      <c r="D312" s="1" t="str">
        <f>IFERROR(IF(MARÍTIMOS[[#This Row],[Instruction]]="","",MARÍTIMOS[[#This Row],[Instruction]]),"")</f>
        <v/>
      </c>
      <c r="E312" s="1"/>
      <c r="F312" s="2" t="str">
        <f>IFERROR(IF(MARÍTIMOS[[#This Row],[Transportista]]="","",MARÍTIMOS[[#This Row],[Transportista]]),"")</f>
        <v/>
      </c>
      <c r="G312" s="2" t="str">
        <f>IFERROR(IF(MARÍTIMOS[[#This Row],[Tercero]]="","",MARÍTIMOS[[#This Row],[Tercero]]),"")</f>
        <v/>
      </c>
      <c r="H312" s="2" t="str">
        <f>IFERROR(IF(MARÍTIMOS[[#This Row],[Razón Social]]="","",MARÍTIMOS[[#This Row],[Razón Social]]),"")</f>
        <v/>
      </c>
      <c r="I312" s="2" t="str">
        <f>IFERROR(IF(MARÍTIMOS[[#This Row],[RUC]]="","",MARÍTIMOS[[#This Row],[RUC]]),"")</f>
        <v/>
      </c>
      <c r="J312" s="2" t="str">
        <f>IFERROR(IF(MARÍTIMOS[[#This Row],[Placa Tracto]]="","",MARÍTIMOS[[#This Row],[Placa Tracto]]),"")</f>
        <v/>
      </c>
      <c r="K312" s="2" t="str">
        <f>IFERROR(IF(MARÍTIMOS[[#This Row],[Placa Carreta]]="","",MARÍTIMOS[[#This Row],[Placa Carreta]]),"")</f>
        <v/>
      </c>
      <c r="L312" s="46" t="str">
        <f>IFERROR(IF(MARÍTIMOS[[#This Row],[Conductor]]="","",MARÍTIMOS[[#This Row],[Conductor]]),"")</f>
        <v/>
      </c>
      <c r="M312" s="2" t="str">
        <f>IFERROR(IF(MARÍTIMOS[[#This Row],[Licencia]]="","",MARÍTIMOS[[#This Row],[Licencia]]),"")</f>
        <v/>
      </c>
      <c r="N312" s="2" t="str">
        <f>IFERROR(IF(MARÍTIMOS[[#This Row],[Número de Contacto]]="","",MARÍTIMOS[[#This Row],[Número de Contacto]]),"")</f>
        <v/>
      </c>
      <c r="O312" s="10" t="str">
        <f>IFERROR(IF(MARÍTIMOS[[#This Row],[Booking|AWB|CRT]]="","",MARÍTIMOS[[#This Row],[Booking|AWB|CRT]]),"")</f>
        <v/>
      </c>
      <c r="P312" s="2" t="str">
        <f>IFERROR(IF(MARÍTIMOS[[#This Row],[Contenedor]]="","",MARÍTIMOS[[#This Row],[Contenedor]]),"")</f>
        <v/>
      </c>
      <c r="Q312" s="2" t="str">
        <f>IFERROR(IF(MARÍTIMOS[[#This Row],[Puerto de Retiro]]="","",MARÍTIMOS[[#This Row],[Puerto de Retiro]]),"")</f>
        <v/>
      </c>
      <c r="R312" s="2" t="str">
        <f>IFERROR(IF(MARÍTIMOS[[#This Row],[Almacén de Retiro]]="","",MARÍTIMOS[[#This Row],[Almacén de Retiro]]),"")</f>
        <v/>
      </c>
      <c r="S312" s="11" t="str">
        <f>IFERROR(IF(MARÍTIMOS[[#This Row],[Etapa Retiro - Cita]]="","",MARÍTIMOS[[#This Row],[Etapa Retiro - Cita]]),"")</f>
        <v/>
      </c>
      <c r="T312" s="11" t="str">
        <f>IFERROR(IF(MARÍTIMOS[[#This Row],[Etapa Retiro - Llegada]]="","",MARÍTIMOS[[#This Row],[Etapa Retiro - Llegada]]),"")</f>
        <v/>
      </c>
      <c r="U312" s="11" t="str">
        <f>IFERROR(IF(MARÍTIMOS[[#This Row],[Etapa Retiro - Ingreso]]="","",MARÍTIMOS[[#This Row],[Etapa Retiro - Ingreso]]),"")</f>
        <v/>
      </c>
      <c r="V312" s="11" t="str">
        <f>IFERROR(IF(MARÍTIMOS[[#This Row],[Etapa Retiro - Atención]]="","",MARÍTIMOS[[#This Row],[Etapa Retiro - Atención]]),"")</f>
        <v/>
      </c>
      <c r="W312" s="11" t="str">
        <f>IFERROR(IF(MARÍTIMOS[[#This Row],[Etapa Retiro - Salida]]="","",MARÍTIMOS[[#This Row],[Etapa Retiro - Salida]]),"")</f>
        <v/>
      </c>
      <c r="X312" s="11" t="str">
        <f>IFERROR(IF(MARÍTIMOS[[#This Row],[Etapa Retiro - Inicio de Ruta]]="","",MARÍTIMOS[[#This Row],[Etapa Retiro - Inicio de Ruta]]),"")</f>
        <v/>
      </c>
      <c r="Y312" s="11" t="str">
        <f>IFERROR(IF(MARÍTIMOS[[#This Row],[Hora de Posicionamiento]]="","",MARÍTIMOS[[#This Row],[Hora de Carga]]+MARÍTIMOS[[#This Row],[Hora de Posicionamiento]]),"")</f>
        <v/>
      </c>
      <c r="Z312" s="11" t="str">
        <f>IFERROR(IF(MARÍTIMOS[[#This Row],[Etapa Despacho -  Llegada]]="","",MARÍTIMOS[[#This Row],[Etapa Despacho -  Llegada]]),"")</f>
        <v/>
      </c>
      <c r="AA312" s="11" t="str">
        <f>IFERROR(IF(MARÍTIMOS[[#This Row],[Etapa Despacho -  Registro]]="","",MARÍTIMOS[[#This Row],[Etapa Despacho -  Registro]]),"")</f>
        <v/>
      </c>
      <c r="AB312" s="11" t="str">
        <f>IFERROR(IF(MARÍTIMOS[[#This Row],[Inspección Externa]]="","",MARÍTIMOS[[#This Row],[Inspección Externa]]),"")</f>
        <v/>
      </c>
      <c r="AC312" s="11" t="str">
        <f>IFERROR(IF(MARÍTIMOS[[#This Row],[Etapa Despacho -  Inicio de Carga]]="","",MARÍTIMOS[[#This Row],[Etapa Despacho -  Inicio de Carga]]),"")</f>
        <v/>
      </c>
      <c r="AD312" s="11" t="str">
        <f>IFERROR(IF(MARÍTIMOS[[#This Row],[Etapa Despacho -  Fin de Carga]]="","",MARÍTIMOS[[#This Row],[Etapa Despacho -  Fin de Carga]]),"")</f>
        <v/>
      </c>
      <c r="AE312" s="11" t="str">
        <f>IFERROR(IF(MARÍTIMOS[[#This Row],[Etapa Despacho -  Salida]]="","",MARÍTIMOS[[#This Row],[Etapa Despacho -  Salida]]),"")</f>
        <v/>
      </c>
      <c r="AF312" s="2" t="str">
        <f>IFERROR(IF(MARÍTIMOS[[#This Row],[Puerto de Embarque]]="","",MARÍTIMOS[[#This Row],[Puerto de Embarque]]),"")</f>
        <v/>
      </c>
      <c r="AG312" s="2" t="str">
        <f>IFERROR(IF(MARÍTIMOS[[#This Row],[Almacén de Ingreso]]="","",MARÍTIMOS[[#This Row],[Almacén de Ingreso]]),"")</f>
        <v/>
      </c>
      <c r="AH312" s="11" t="str">
        <f>IFERROR(IF(MARÍTIMOS[[#This Row],[Etapa Ingreso - Cita]]="","",MARÍTIMOS[[#This Row],[Etapa Ingreso - Cita]]),"")</f>
        <v/>
      </c>
      <c r="AI312" s="11" t="str">
        <f>IFERROR(IF(MARÍTIMOS[[#This Row],[Etapa Ingreso - Llegada]]="","",MARÍTIMOS[[#This Row],[Etapa Ingreso - Llegada]]),"")</f>
        <v/>
      </c>
      <c r="AJ312" s="11" t="str">
        <f>IFERROR(IF(MARÍTIMOS[[#This Row],[Etapa Ingreso - Ingeso]]="","",MARÍTIMOS[[#This Row],[Etapa Ingreso - Ingeso]]),"")</f>
        <v/>
      </c>
      <c r="AK312" s="11" t="str">
        <f>IFERROR(IF(MARÍTIMOS[[#This Row],[Etapa Ingreso - Atención]]="","",MARÍTIMOS[[#This Row],[Etapa Ingreso - Atención]]),"")</f>
        <v/>
      </c>
      <c r="AL312" s="11" t="str">
        <f>IFERROR(IF(MARÍTIMOS[[#This Row],[Etapa Ingreso - Salida]]="","",MARÍTIMOS[[#This Row],[Etapa Ingreso - Salida]]),"")</f>
        <v/>
      </c>
      <c r="AM312" s="2" t="str">
        <f>IFERROR(IF(MARÍTIMOS[[#This Row],[FCL]]="","",MARÍTIMOS[[#This Row],[FCL]]),"")</f>
        <v/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2" s="5" t="str">
        <f>IFERROR(OLDBD[[#This Row],[Llegada a packing]]-OLDBD[[#This Row],[Inicio de Ruta]],"")</f>
        <v/>
      </c>
      <c r="AQ312" s="6" t="str">
        <f>IFERROR(OLDBD[[#This Row],[Inicio de Ruta]]-OLDBD[[#This Row],[Salida de almacén de retiro]],"")</f>
        <v/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2" s="9" t="str">
        <f>IFERROR(OLDBD[[#This Row],[Ingreso Packing]]-OLDBD[[#This Row],[Registro en Packing]],"")</f>
        <v/>
      </c>
      <c r="AV312" s="9" t="str">
        <f>IFERROR(OLDBD[[#This Row],[Ingreso Packing]]-OLDBD[[#This Row],[Llegada a packing]],"")</f>
        <v/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2" s="5" t="str">
        <f>IFERROR(OLDBD[[#This Row],[Llegada Almacén de Ingreso]]-OLDBD[[#This Row],[Salida Packing]],"")</f>
        <v/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2" s="45" t="s">
        <v>181</v>
      </c>
      <c r="BB312" s="53" t="str">
        <f>IFERROR(IF(MARÍTIMOS[[#This Row],[Estatus]]="","",MARÍTIMOS[[#This Row],[Estatus]]),"")</f>
        <v/>
      </c>
      <c r="BC312" s="45"/>
      <c r="BD312" s="52" t="str">
        <f>IFERROR(OLDBD[[#This Row],[Salida de almacén de retiro]]-OLDBD[[#This Row],[Ingreso Almacén de retiro]],"")</f>
        <v/>
      </c>
      <c r="BE312" s="52" t="str">
        <f>IFERROR(OLDBD[[#This Row],[Fin de Carga]]-OLDBD[[#This Row],[Inicio de Carga]],"")</f>
        <v/>
      </c>
    </row>
    <row r="313" spans="1:57" x14ac:dyDescent="0.35">
      <c r="A313" s="1"/>
      <c r="B313" s="1" t="str">
        <f>IFERROR(IF(MARÍTIMOS[[#This Row],[PP]]="","",MARÍTIMOS[[#This Row],[PP]]),"")</f>
        <v/>
      </c>
      <c r="C313" s="1" t="str">
        <f>IFERROR(IF(MARÍTIMOS[[#This Row],[Sede]]="","",MARÍTIMOS[[#This Row],[Sede]]),"")</f>
        <v/>
      </c>
      <c r="D313" s="1" t="str">
        <f>IFERROR(IF(MARÍTIMOS[[#This Row],[Instruction]]="","",MARÍTIMOS[[#This Row],[Instruction]]),"")</f>
        <v/>
      </c>
      <c r="E313" s="1"/>
      <c r="F313" s="2" t="str">
        <f>IFERROR(IF(MARÍTIMOS[[#This Row],[Transportista]]="","",MARÍTIMOS[[#This Row],[Transportista]]),"")</f>
        <v/>
      </c>
      <c r="G313" s="2" t="str">
        <f>IFERROR(IF(MARÍTIMOS[[#This Row],[Tercero]]="","",MARÍTIMOS[[#This Row],[Tercero]]),"")</f>
        <v/>
      </c>
      <c r="H313" s="2" t="str">
        <f>IFERROR(IF(MARÍTIMOS[[#This Row],[Razón Social]]="","",MARÍTIMOS[[#This Row],[Razón Social]]),"")</f>
        <v/>
      </c>
      <c r="I313" s="2" t="str">
        <f>IFERROR(IF(MARÍTIMOS[[#This Row],[RUC]]="","",MARÍTIMOS[[#This Row],[RUC]]),"")</f>
        <v/>
      </c>
      <c r="J313" s="2" t="str">
        <f>IFERROR(IF(MARÍTIMOS[[#This Row],[Placa Tracto]]="","",MARÍTIMOS[[#This Row],[Placa Tracto]]),"")</f>
        <v/>
      </c>
      <c r="K313" s="2" t="str">
        <f>IFERROR(IF(MARÍTIMOS[[#This Row],[Placa Carreta]]="","",MARÍTIMOS[[#This Row],[Placa Carreta]]),"")</f>
        <v/>
      </c>
      <c r="L313" s="46" t="str">
        <f>IFERROR(IF(MARÍTIMOS[[#This Row],[Conductor]]="","",MARÍTIMOS[[#This Row],[Conductor]]),"")</f>
        <v/>
      </c>
      <c r="M313" s="2" t="str">
        <f>IFERROR(IF(MARÍTIMOS[[#This Row],[Licencia]]="","",MARÍTIMOS[[#This Row],[Licencia]]),"")</f>
        <v/>
      </c>
      <c r="N313" s="2" t="str">
        <f>IFERROR(IF(MARÍTIMOS[[#This Row],[Número de Contacto]]="","",MARÍTIMOS[[#This Row],[Número de Contacto]]),"")</f>
        <v/>
      </c>
      <c r="O313" s="10" t="str">
        <f>IFERROR(IF(MARÍTIMOS[[#This Row],[Booking|AWB|CRT]]="","",MARÍTIMOS[[#This Row],[Booking|AWB|CRT]]),"")</f>
        <v/>
      </c>
      <c r="P313" s="2" t="str">
        <f>IFERROR(IF(MARÍTIMOS[[#This Row],[Contenedor]]="","",MARÍTIMOS[[#This Row],[Contenedor]]),"")</f>
        <v/>
      </c>
      <c r="Q313" s="2" t="str">
        <f>IFERROR(IF(MARÍTIMOS[[#This Row],[Puerto de Retiro]]="","",MARÍTIMOS[[#This Row],[Puerto de Retiro]]),"")</f>
        <v/>
      </c>
      <c r="R313" s="2" t="str">
        <f>IFERROR(IF(MARÍTIMOS[[#This Row],[Almacén de Retiro]]="","",MARÍTIMOS[[#This Row],[Almacén de Retiro]]),"")</f>
        <v/>
      </c>
      <c r="S313" s="11" t="str">
        <f>IFERROR(IF(MARÍTIMOS[[#This Row],[Etapa Retiro - Cita]]="","",MARÍTIMOS[[#This Row],[Etapa Retiro - Cita]]),"")</f>
        <v/>
      </c>
      <c r="T313" s="11" t="str">
        <f>IFERROR(IF(MARÍTIMOS[[#This Row],[Etapa Retiro - Llegada]]="","",MARÍTIMOS[[#This Row],[Etapa Retiro - Llegada]]),"")</f>
        <v/>
      </c>
      <c r="U313" s="11" t="str">
        <f>IFERROR(IF(MARÍTIMOS[[#This Row],[Etapa Retiro - Ingreso]]="","",MARÍTIMOS[[#This Row],[Etapa Retiro - Ingreso]]),"")</f>
        <v/>
      </c>
      <c r="V313" s="11" t="str">
        <f>IFERROR(IF(MARÍTIMOS[[#This Row],[Etapa Retiro - Atención]]="","",MARÍTIMOS[[#This Row],[Etapa Retiro - Atención]]),"")</f>
        <v/>
      </c>
      <c r="W313" s="11" t="str">
        <f>IFERROR(IF(MARÍTIMOS[[#This Row],[Etapa Retiro - Salida]]="","",MARÍTIMOS[[#This Row],[Etapa Retiro - Salida]]),"")</f>
        <v/>
      </c>
      <c r="X313" s="11" t="str">
        <f>IFERROR(IF(MARÍTIMOS[[#This Row],[Etapa Retiro - Inicio de Ruta]]="","",MARÍTIMOS[[#This Row],[Etapa Retiro - Inicio de Ruta]]),"")</f>
        <v/>
      </c>
      <c r="Y313" s="11" t="str">
        <f>IFERROR(IF(MARÍTIMOS[[#This Row],[Hora de Posicionamiento]]="","",MARÍTIMOS[[#This Row],[Hora de Carga]]+MARÍTIMOS[[#This Row],[Hora de Posicionamiento]]),"")</f>
        <v/>
      </c>
      <c r="Z313" s="11" t="str">
        <f>IFERROR(IF(MARÍTIMOS[[#This Row],[Etapa Despacho -  Llegada]]="","",MARÍTIMOS[[#This Row],[Etapa Despacho -  Llegada]]),"")</f>
        <v/>
      </c>
      <c r="AA313" s="11" t="str">
        <f>IFERROR(IF(MARÍTIMOS[[#This Row],[Etapa Despacho -  Registro]]="","",MARÍTIMOS[[#This Row],[Etapa Despacho - 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 Inicio de Carga]]="","",MARÍTIMOS[[#This Row],[Etapa Despacho -  Inicio de Carga]]),"")</f>
        <v/>
      </c>
      <c r="AD313" s="11" t="str">
        <f>IFERROR(IF(MARÍTIMOS[[#This Row],[Etapa Despacho -  Fin de Carga]]="","",MARÍTIMOS[[#This Row],[Etapa Despacho -  Fin de Carga]]),"")</f>
        <v/>
      </c>
      <c r="AE313" s="11" t="str">
        <f>IFERROR(IF(MARÍTIMOS[[#This Row],[Etapa Despacho -  Salida]]="","",MARÍTIMOS[[#This Row],[Etapa Despacho -  Salida]]),"")</f>
        <v/>
      </c>
      <c r="AF313" s="2" t="str">
        <f>IFERROR(IF(MARÍTIMOS[[#This Row],[Puerto de Embarque]]="","",MARÍTIMOS[[#This Row],[Puerto de Embarque]]),"")</f>
        <v/>
      </c>
      <c r="AG313" s="2" t="str">
        <f>IFERROR(IF(MARÍTIMOS[[#This Row],[Almacén de Ingreso]]="","",MARÍTIMOS[[#This Row],[Almacén de Ingreso]]),"")</f>
        <v/>
      </c>
      <c r="AH313" s="11" t="str">
        <f>IFERROR(IF(MARÍTIMOS[[#This Row],[Etapa Ingreso - Cita]]="","",MARÍTIMOS[[#This Row],[Etapa Ingreso - Cita]]),"")</f>
        <v/>
      </c>
      <c r="AI313" s="11" t="str">
        <f>IFERROR(IF(MARÍTIMOS[[#This Row],[Etapa Ingreso - Llegada]]="","",MARÍTIMOS[[#This Row],[Etapa Ingreso - Llegada]]),"")</f>
        <v/>
      </c>
      <c r="AJ313" s="11" t="str">
        <f>IFERROR(IF(MARÍTIMOS[[#This Row],[Etapa Ingreso - Ingeso]]="","",MARÍTIMOS[[#This Row],[Etapa Ingreso - Ingeso]]),"")</f>
        <v/>
      </c>
      <c r="AK313" s="11" t="str">
        <f>IFERROR(IF(MARÍTIMOS[[#This Row],[Etapa Ingreso - Atención]]="","",MARÍTIMOS[[#This Row],[Etapa Ingreso - Atención]]),"")</f>
        <v/>
      </c>
      <c r="AL313" s="11" t="str">
        <f>IFERROR(IF(MARÍTIMOS[[#This Row],[Etapa Ingreso - Salida]]="","",MARÍTIMOS[[#This Row],[Etapa Ingreso - Salida]]),"")</f>
        <v/>
      </c>
      <c r="AM313" s="2" t="str">
        <f>IFERROR(IF(MARÍTIMOS[[#This Row],[FCL]]="","",MARÍTIMOS[[#This Row],[FCL]]),"")</f>
        <v/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3" s="5" t="str">
        <f>IFERROR(OLDBD[[#This Row],[Llegada a packing]]-OLDBD[[#This Row],[Inicio de Ruta]],"")</f>
        <v/>
      </c>
      <c r="AQ313" s="6" t="str">
        <f>IFERROR(OLDBD[[#This Row],[Inicio de Ruta]]-OLDBD[[#This Row],[Salida de almacén de retiro]],"")</f>
        <v/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3" s="45" t="s">
        <v>181</v>
      </c>
      <c r="BB313" s="53" t="str">
        <f>IFERROR(IF(MARÍTIMOS[[#This Row],[Estatus]]="","",MARÍTIMOS[[#This Row],[Estatus]]),"")</f>
        <v/>
      </c>
      <c r="BC313" s="45"/>
      <c r="BD313" s="52" t="str">
        <f>IFERROR(OLDBD[[#This Row],[Salida de almacén de retiro]]-OLDBD[[#This Row],[Ingreso Almacén de retiro]],"")</f>
        <v/>
      </c>
      <c r="BE313" s="52" t="str">
        <f>IFERROR(OLDBD[[#This Row],[Fin de Carga]]-OLDBD[[#This Row],[Inicio de Carga]],"")</f>
        <v/>
      </c>
    </row>
    <row r="314" spans="1:57" x14ac:dyDescent="0.35">
      <c r="A314" s="1"/>
      <c r="B314" s="1" t="str">
        <f>IFERROR(IF(MARÍTIMOS[[#This Row],[PP]]="","",MARÍTIMOS[[#This Row],[PP]]),"")</f>
        <v/>
      </c>
      <c r="C314" s="1" t="str">
        <f>IFERROR(IF(MARÍTIMOS[[#This Row],[Sede]]="","",MARÍTIMOS[[#This Row],[Sede]]),"")</f>
        <v/>
      </c>
      <c r="D314" s="1" t="str">
        <f>IFERROR(IF(MARÍTIMOS[[#This Row],[Instruction]]="","",MARÍTIMOS[[#This Row],[Instruction]]),"")</f>
        <v/>
      </c>
      <c r="E314" s="1"/>
      <c r="F314" s="2" t="str">
        <f>IFERROR(IF(MARÍTIMOS[[#This Row],[Transportista]]="","",MARÍTIMOS[[#This Row],[Transportista]]),"")</f>
        <v/>
      </c>
      <c r="G314" s="2" t="str">
        <f>IFERROR(IF(MARÍTIMOS[[#This Row],[Tercero]]="","",MARÍTIMOS[[#This Row],[Tercero]]),"")</f>
        <v/>
      </c>
      <c r="H314" s="2" t="str">
        <f>IFERROR(IF(MARÍTIMOS[[#This Row],[Razón Social]]="","",MARÍTIMOS[[#This Row],[Razón Social]]),"")</f>
        <v/>
      </c>
      <c r="I314" s="2" t="str">
        <f>IFERROR(IF(MARÍTIMOS[[#This Row],[RUC]]="","",MARÍTIMOS[[#This Row],[RUC]]),"")</f>
        <v/>
      </c>
      <c r="J314" s="2" t="str">
        <f>IFERROR(IF(MARÍTIMOS[[#This Row],[Placa Tracto]]="","",MARÍTIMOS[[#This Row],[Placa Tracto]]),"")</f>
        <v/>
      </c>
      <c r="K314" s="2" t="str">
        <f>IFERROR(IF(MARÍTIMOS[[#This Row],[Placa Carreta]]="","",MARÍTIMOS[[#This Row],[Placa Carreta]]),"")</f>
        <v/>
      </c>
      <c r="L314" s="46" t="str">
        <f>IFERROR(IF(MARÍTIMOS[[#This Row],[Conductor]]="","",MARÍTIMOS[[#This Row],[Conductor]]),"")</f>
        <v/>
      </c>
      <c r="M314" s="2" t="str">
        <f>IFERROR(IF(MARÍTIMOS[[#This Row],[Licencia]]="","",MARÍTIMOS[[#This Row],[Licencia]]),"")</f>
        <v/>
      </c>
      <c r="N314" s="2" t="str">
        <f>IFERROR(IF(MARÍTIMOS[[#This Row],[Número de Contacto]]="","",MARÍTIMOS[[#This Row],[Número de Contacto]]),"")</f>
        <v/>
      </c>
      <c r="O314" s="10" t="str">
        <f>IFERROR(IF(MARÍTIMOS[[#This Row],[Booking|AWB|CRT]]="","",MARÍTIMOS[[#This Row],[Booking|AWB|CRT]]),"")</f>
        <v/>
      </c>
      <c r="P314" s="2" t="str">
        <f>IFERROR(IF(MARÍTIMOS[[#This Row],[Contenedor]]="","",MARÍTIMOS[[#This Row],[Contenedor]]),"")</f>
        <v/>
      </c>
      <c r="Q314" s="2" t="str">
        <f>IFERROR(IF(MARÍTIMOS[[#This Row],[Puerto de Retiro]]="","",MARÍTIMOS[[#This Row],[Puerto de Retiro]]),"")</f>
        <v/>
      </c>
      <c r="R314" s="2" t="str">
        <f>IFERROR(IF(MARÍTIMOS[[#This Row],[Almacén de Retiro]]="","",MARÍTIMOS[[#This Row],[Almacén de Retiro]]),"")</f>
        <v/>
      </c>
      <c r="S314" s="11" t="str">
        <f>IFERROR(IF(MARÍTIMOS[[#This Row],[Etapa Retiro - Cita]]="","",MARÍTIMOS[[#This Row],[Etapa Retiro - Cita]]),"")</f>
        <v/>
      </c>
      <c r="T314" s="11" t="str">
        <f>IFERROR(IF(MARÍTIMOS[[#This Row],[Etapa Retiro - Llegada]]="","",MARÍTIMOS[[#This Row],[Etapa Retiro - Llegada]]),"")</f>
        <v/>
      </c>
      <c r="U314" s="11" t="str">
        <f>IFERROR(IF(MARÍTIMOS[[#This Row],[Etapa Retiro - Ingreso]]="","",MARÍTIMOS[[#This Row],[Etapa Retiro - Ingreso]]),"")</f>
        <v/>
      </c>
      <c r="V314" s="11" t="str">
        <f>IFERROR(IF(MARÍTIMOS[[#This Row],[Etapa Retiro - Atención]]="","",MARÍTIMOS[[#This Row],[Etapa Retiro - Atención]]),"")</f>
        <v/>
      </c>
      <c r="W314" s="11" t="str">
        <f>IFERROR(IF(MARÍTIMOS[[#This Row],[Etapa Retiro - Salida]]="","",MARÍTIMOS[[#This Row],[Etapa Retiro - Salida]]),"")</f>
        <v/>
      </c>
      <c r="X314" s="11" t="str">
        <f>IFERROR(IF(MARÍTIMOS[[#This Row],[Etapa Retiro - Inicio de Ruta]]="","",MARÍTIMOS[[#This Row],[Etapa Retiro - Inicio de Ruta]]),"")</f>
        <v/>
      </c>
      <c r="Y314" s="11" t="str">
        <f>IFERROR(IF(MARÍTIMOS[[#This Row],[Hora de Posicionamiento]]="","",MARÍTIMOS[[#This Row],[Hora de Carga]]+MARÍTIMOS[[#This Row],[Hora de Posicionamiento]]),"")</f>
        <v/>
      </c>
      <c r="Z314" s="11" t="str">
        <f>IFERROR(IF(MARÍTIMOS[[#This Row],[Etapa Despacho -  Llegada]]="","",MARÍTIMOS[[#This Row],[Etapa Despacho -  Llegada]]),"")</f>
        <v/>
      </c>
      <c r="AA314" s="11" t="str">
        <f>IFERROR(IF(MARÍTIMOS[[#This Row],[Etapa Despacho -  Registro]]="","",MARÍTIMOS[[#This Row],[Etapa Despacho -  Registro]]),"")</f>
        <v/>
      </c>
      <c r="AB314" s="11" t="str">
        <f>IFERROR(IF(MARÍTIMOS[[#This Row],[Inspección Externa]]="","",MARÍTIMOS[[#This Row],[Inspección Externa]]),"")</f>
        <v/>
      </c>
      <c r="AC314" s="11" t="str">
        <f>IFERROR(IF(MARÍTIMOS[[#This Row],[Etapa Despacho -  Inicio de Carga]]="","",MARÍTIMOS[[#This Row],[Etapa Despacho -  Inicio de Carga]]),"")</f>
        <v/>
      </c>
      <c r="AD314" s="11" t="str">
        <f>IFERROR(IF(MARÍTIMOS[[#This Row],[Etapa Despacho -  Fin de Carga]]="","",MARÍTIMOS[[#This Row],[Etapa Despacho -  Fin de Carga]]),"")</f>
        <v/>
      </c>
      <c r="AE314" s="11" t="str">
        <f>IFERROR(IF(MARÍTIMOS[[#This Row],[Etapa Despacho -  Salida]]="","",MARÍTIMOS[[#This Row],[Etapa Despacho -  Salida]]),"")</f>
        <v/>
      </c>
      <c r="AF314" s="2" t="str">
        <f>IFERROR(IF(MARÍTIMOS[[#This Row],[Puerto de Embarque]]="","",MARÍTIMOS[[#This Row],[Puerto de Embarque]]),"")</f>
        <v/>
      </c>
      <c r="AG314" s="2" t="str">
        <f>IFERROR(IF(MARÍTIMOS[[#This Row],[Almacén de Ingreso]]="","",MARÍTIMOS[[#This Row],[Almacén de Ingreso]]),"")</f>
        <v/>
      </c>
      <c r="AH314" s="11" t="str">
        <f>IFERROR(IF(MARÍTIMOS[[#This Row],[Etapa Ingreso - Cita]]="","",MARÍTIMOS[[#This Row],[Etapa Ingreso - Cita]]),"")</f>
        <v/>
      </c>
      <c r="AI314" s="11" t="str">
        <f>IFERROR(IF(MARÍTIMOS[[#This Row],[Etapa Ingreso - Llegada]]="","",MARÍTIMOS[[#This Row],[Etapa Ingreso - Llegada]]),"")</f>
        <v/>
      </c>
      <c r="AJ314" s="11" t="str">
        <f>IFERROR(IF(MARÍTIMOS[[#This Row],[Etapa Ingreso - Ingeso]]="","",MARÍTIMOS[[#This Row],[Etapa Ingreso - Ingeso]]),"")</f>
        <v/>
      </c>
      <c r="AK314" s="11" t="str">
        <f>IFERROR(IF(MARÍTIMOS[[#This Row],[Etapa Ingreso - Atención]]="","",MARÍTIMOS[[#This Row],[Etapa Ingreso - Atención]]),"")</f>
        <v/>
      </c>
      <c r="AL314" s="11" t="str">
        <f>IFERROR(IF(MARÍTIMOS[[#This Row],[Etapa Ingreso - Salida]]="","",MARÍTIMOS[[#This Row],[Etapa Ingreso - Salida]]),"")</f>
        <v/>
      </c>
      <c r="AM314" s="2" t="str">
        <f>IFERROR(IF(MARÍTIMOS[[#This Row],[FCL]]="","",MARÍTIMOS[[#This Row],[FCL]]),"")</f>
        <v/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4" s="5" t="str">
        <f>IFERROR(OLDBD[[#This Row],[Llegada a packing]]-OLDBD[[#This Row],[Inicio de Ruta]],"")</f>
        <v/>
      </c>
      <c r="AQ314" s="6" t="str">
        <f>IFERROR(OLDBD[[#This Row],[Inicio de Ruta]]-OLDBD[[#This Row],[Salida de almacén de retiro]],"")</f>
        <v/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4" s="9" t="str">
        <f>IFERROR(OLDBD[[#This Row],[Ingreso Packing]]-OLDBD[[#This Row],[Registro en Packing]],"")</f>
        <v/>
      </c>
      <c r="AV314" s="9" t="str">
        <f>IFERROR(OLDBD[[#This Row],[Ingreso Packing]]-OLDBD[[#This Row],[Llegada a packing]],"")</f>
        <v/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4" s="5" t="str">
        <f>IFERROR(OLDBD[[#This Row],[Llegada Almacén de Ingreso]]-OLDBD[[#This Row],[Salida Packing]],"")</f>
        <v/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4" s="45" t="s">
        <v>181</v>
      </c>
      <c r="BB314" s="53" t="str">
        <f>IFERROR(IF(MARÍTIMOS[[#This Row],[Estatus]]="","",MARÍTIMOS[[#This Row],[Estatus]]),"")</f>
        <v/>
      </c>
      <c r="BC314" s="45"/>
      <c r="BD314" s="52" t="str">
        <f>IFERROR(OLDBD[[#This Row],[Salida de almacén de retiro]]-OLDBD[[#This Row],[Ingreso Almacén de retiro]],"")</f>
        <v/>
      </c>
      <c r="BE314" s="52" t="str">
        <f>IFERROR(OLDBD[[#This Row],[Fin de Carga]]-OLDBD[[#This Row],[Inicio de Carga]],"")</f>
        <v/>
      </c>
    </row>
    <row r="315" spans="1:57" x14ac:dyDescent="0.35">
      <c r="A315" s="1"/>
      <c r="B315" s="1" t="str">
        <f>IFERROR(IF(MARÍTIMOS[[#This Row],[PP]]="","",MARÍTIMOS[[#This Row],[PP]]),"")</f>
        <v/>
      </c>
      <c r="C315" s="1" t="str">
        <f>IFERROR(IF(MARÍTIMOS[[#This Row],[Sede]]="","",MARÍTIMOS[[#This Row],[Sede]]),"")</f>
        <v/>
      </c>
      <c r="D315" s="1" t="str">
        <f>IFERROR(IF(MARÍTIMOS[[#This Row],[Instruction]]="","",MARÍTIMOS[[#This Row],[Instruction]]),"")</f>
        <v/>
      </c>
      <c r="E315" s="1"/>
      <c r="F315" s="2" t="str">
        <f>IFERROR(IF(MARÍTIMOS[[#This Row],[Transportista]]="","",MARÍTIMOS[[#This Row],[Transportista]]),"")</f>
        <v/>
      </c>
      <c r="G315" s="2" t="str">
        <f>IFERROR(IF(MARÍTIMOS[[#This Row],[Tercero]]="","",MARÍTIMOS[[#This Row],[Tercero]]),"")</f>
        <v/>
      </c>
      <c r="H315" s="2" t="str">
        <f>IFERROR(IF(MARÍTIMOS[[#This Row],[Razón Social]]="","",MARÍTIMOS[[#This Row],[Razón Social]]),"")</f>
        <v/>
      </c>
      <c r="I315" s="2" t="str">
        <f>IFERROR(IF(MARÍTIMOS[[#This Row],[RUC]]="","",MARÍTIMOS[[#This Row],[RUC]]),"")</f>
        <v/>
      </c>
      <c r="J315" s="2" t="str">
        <f>IFERROR(IF(MARÍTIMOS[[#This Row],[Placa Tracto]]="","",MARÍTIMOS[[#This Row],[Placa Tracto]]),"")</f>
        <v/>
      </c>
      <c r="K315" s="2" t="str">
        <f>IFERROR(IF(MARÍTIMOS[[#This Row],[Placa Carreta]]="","",MARÍTIMOS[[#This Row],[Placa Carreta]]),"")</f>
        <v/>
      </c>
      <c r="L315" s="46" t="str">
        <f>IFERROR(IF(MARÍTIMOS[[#This Row],[Conductor]]="","",MARÍTIMOS[[#This Row],[Conductor]]),"")</f>
        <v/>
      </c>
      <c r="M315" s="2" t="str">
        <f>IFERROR(IF(MARÍTIMOS[[#This Row],[Licencia]]="","",MARÍTIMOS[[#This Row],[Licencia]]),"")</f>
        <v/>
      </c>
      <c r="N315" s="2" t="str">
        <f>IFERROR(IF(MARÍTIMOS[[#This Row],[Número de Contacto]]="","",MARÍTIMOS[[#This Row],[Número de Contacto]]),"")</f>
        <v/>
      </c>
      <c r="O315" s="10" t="str">
        <f>IFERROR(IF(MARÍTIMOS[[#This Row],[Booking|AWB|CRT]]="","",MARÍTIMOS[[#This Row],[Booking|AWB|CRT]]),"")</f>
        <v/>
      </c>
      <c r="P315" s="2" t="str">
        <f>IFERROR(IF(MARÍTIMOS[[#This Row],[Contenedor]]="","",MARÍTIMOS[[#This Row],[Contenedor]]),"")</f>
        <v/>
      </c>
      <c r="Q315" s="2" t="str">
        <f>IFERROR(IF(MARÍTIMOS[[#This Row],[Puerto de Retiro]]="","",MARÍTIMOS[[#This Row],[Puerto de Retiro]]),"")</f>
        <v/>
      </c>
      <c r="R315" s="2" t="str">
        <f>IFERROR(IF(MARÍTIMOS[[#This Row],[Almacén de Retiro]]="","",MARÍTIMOS[[#This Row],[Almacén de Retiro]]),"")</f>
        <v/>
      </c>
      <c r="S315" s="11" t="str">
        <f>IFERROR(IF(MARÍTIMOS[[#This Row],[Etapa Retiro - Cita]]="","",MARÍTIMOS[[#This Row],[Etapa Retiro - Cita]]),"")</f>
        <v/>
      </c>
      <c r="T315" s="11" t="str">
        <f>IFERROR(IF(MARÍTIMOS[[#This Row],[Etapa Retiro - Llegada]]="","",MARÍTIMOS[[#This Row],[Etapa Retiro - Llegada]]),"")</f>
        <v/>
      </c>
      <c r="U315" s="11" t="str">
        <f>IFERROR(IF(MARÍTIMOS[[#This Row],[Etapa Retiro - Ingreso]]="","",MARÍTIMOS[[#This Row],[Etapa Retiro - Ingreso]]),"")</f>
        <v/>
      </c>
      <c r="V315" s="11" t="str">
        <f>IFERROR(IF(MARÍTIMOS[[#This Row],[Etapa Retiro - Atención]]="","",MARÍTIMOS[[#This Row],[Etapa Retiro - Atención]]),"")</f>
        <v/>
      </c>
      <c r="W315" s="11" t="str">
        <f>IFERROR(IF(MARÍTIMOS[[#This Row],[Etapa Retiro - Salida]]="","",MARÍTIMOS[[#This Row],[Etapa Retiro - Salida]]),"")</f>
        <v/>
      </c>
      <c r="X315" s="11" t="str">
        <f>IFERROR(IF(MARÍTIMOS[[#This Row],[Etapa Retiro - Inicio de Ruta]]="","",MARÍTIMOS[[#This Row],[Etapa Retiro - Inicio de Ruta]]),"")</f>
        <v/>
      </c>
      <c r="Y315" s="11" t="str">
        <f>IFERROR(IF(MARÍTIMOS[[#This Row],[Hora de Posicionamiento]]="","",MARÍTIMOS[[#This Row],[Hora de Carga]]+MARÍTIMOS[[#This Row],[Hora de Posicionamiento]]),"")</f>
        <v/>
      </c>
      <c r="Z315" s="11" t="str">
        <f>IFERROR(IF(MARÍTIMOS[[#This Row],[Etapa Despacho -  Llegada]]="","",MARÍTIMOS[[#This Row],[Etapa Despacho -  Llegada]]),"")</f>
        <v/>
      </c>
      <c r="AA315" s="11" t="str">
        <f>IFERROR(IF(MARÍTIMOS[[#This Row],[Etapa Despacho -  Registro]]="","",MARÍTIMOS[[#This Row],[Etapa Despacho -  Registro]]),"")</f>
        <v/>
      </c>
      <c r="AB315" s="11" t="str">
        <f>IFERROR(IF(MARÍTIMOS[[#This Row],[Inspección Externa]]="","",MARÍTIMOS[[#This Row],[Inspección Externa]]),"")</f>
        <v/>
      </c>
      <c r="AC315" s="11" t="str">
        <f>IFERROR(IF(MARÍTIMOS[[#This Row],[Etapa Despacho -  Inicio de Carga]]="","",MARÍTIMOS[[#This Row],[Etapa Despacho -  Inicio de Carga]]),"")</f>
        <v/>
      </c>
      <c r="AD315" s="11" t="str">
        <f>IFERROR(IF(MARÍTIMOS[[#This Row],[Etapa Despacho -  Fin de Carga]]="","",MARÍTIMOS[[#This Row],[Etapa Despacho -  Fin de Carga]]),"")</f>
        <v/>
      </c>
      <c r="AE315" s="11" t="str">
        <f>IFERROR(IF(MARÍTIMOS[[#This Row],[Etapa Despacho -  Salida]]="","",MARÍTIMOS[[#This Row],[Etapa Despacho -  Salida]]),"")</f>
        <v/>
      </c>
      <c r="AF315" s="2" t="str">
        <f>IFERROR(IF(MARÍTIMOS[[#This Row],[Puerto de Embarque]]="","",MARÍTIMOS[[#This Row],[Puerto de Embarque]]),"")</f>
        <v/>
      </c>
      <c r="AG315" s="2" t="str">
        <f>IFERROR(IF(MARÍTIMOS[[#This Row],[Almacén de Ingreso]]="","",MARÍTIMOS[[#This Row],[Almacén de Ingreso]]),"")</f>
        <v/>
      </c>
      <c r="AH315" s="11" t="str">
        <f>IFERROR(IF(MARÍTIMOS[[#This Row],[Etapa Ingreso - Cita]]="","",MARÍTIMOS[[#This Row],[Etapa Ingreso - Cita]]),"")</f>
        <v/>
      </c>
      <c r="AI315" s="11" t="str">
        <f>IFERROR(IF(MARÍTIMOS[[#This Row],[Etapa Ingreso - Llegada]]="","",MARÍTIMOS[[#This Row],[Etapa Ingreso - Llegada]]),"")</f>
        <v/>
      </c>
      <c r="AJ315" s="11" t="str">
        <f>IFERROR(IF(MARÍTIMOS[[#This Row],[Etapa Ingreso - Ingeso]]="","",MARÍTIMOS[[#This Row],[Etapa Ingreso - Ingeso]]),"")</f>
        <v/>
      </c>
      <c r="AK315" s="11" t="str">
        <f>IFERROR(IF(MARÍTIMOS[[#This Row],[Etapa Ingreso - Atención]]="","",MARÍTIMOS[[#This Row],[Etapa Ingreso - Atención]]),"")</f>
        <v/>
      </c>
      <c r="AL315" s="11" t="str">
        <f>IFERROR(IF(MARÍTIMOS[[#This Row],[Etapa Ingreso - Salida]]="","",MARÍTIMOS[[#This Row],[Etapa Ingreso - Salida]]),"")</f>
        <v/>
      </c>
      <c r="AM315" s="2" t="str">
        <f>IFERROR(IF(MARÍTIMOS[[#This Row],[FCL]]="","",MARÍTIMOS[[#This Row],[FCL]]),"")</f>
        <v/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5" s="5" t="str">
        <f>IFERROR(OLDBD[[#This Row],[Llegada a packing]]-OLDBD[[#This Row],[Inicio de Ruta]],"")</f>
        <v/>
      </c>
      <c r="AQ315" s="6" t="str">
        <f>IFERROR(OLDBD[[#This Row],[Inicio de Ruta]]-OLDBD[[#This Row],[Salida de almacén de retiro]],"")</f>
        <v/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5" s="9" t="str">
        <f>IFERROR(OLDBD[[#This Row],[Ingreso Packing]]-OLDBD[[#This Row],[Registro en Packing]],"")</f>
        <v/>
      </c>
      <c r="AV315" s="9" t="str">
        <f>IFERROR(OLDBD[[#This Row],[Ingreso Packing]]-OLDBD[[#This Row],[Llegada a packing]],"")</f>
        <v/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5" s="5" t="str">
        <f>IFERROR(OLDBD[[#This Row],[Llegada Almacén de Ingreso]]-OLDBD[[#This Row],[Salida Packing]],"")</f>
        <v/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5" s="45" t="s">
        <v>181</v>
      </c>
      <c r="BB315" s="53" t="str">
        <f>IFERROR(IF(MARÍTIMOS[[#This Row],[Estatus]]="","",MARÍTIMOS[[#This Row],[Estatus]]),"")</f>
        <v/>
      </c>
      <c r="BC315" s="45"/>
      <c r="BD315" s="52" t="str">
        <f>IFERROR(OLDBD[[#This Row],[Salida de almacén de retiro]]-OLDBD[[#This Row],[Ingreso Almacén de retiro]],"")</f>
        <v/>
      </c>
      <c r="BE315" s="52" t="str">
        <f>IFERROR(OLDBD[[#This Row],[Fin de Carga]]-OLDBD[[#This Row],[Inicio de Carga]],"")</f>
        <v/>
      </c>
    </row>
    <row r="316" spans="1:57" x14ac:dyDescent="0.35">
      <c r="A316" s="1"/>
      <c r="B316" s="1" t="str">
        <f>IFERROR(IF(MARÍTIMOS[[#This Row],[PP]]="","",MARÍTIMOS[[#This Row],[PP]]),"")</f>
        <v/>
      </c>
      <c r="C316" s="1" t="str">
        <f>IFERROR(IF(MARÍTIMOS[[#This Row],[Sede]]="","",MARÍTIMOS[[#This Row],[Sede]]),"")</f>
        <v/>
      </c>
      <c r="D316" s="1" t="str">
        <f>IFERROR(IF(MARÍTIMOS[[#This Row],[Instruction]]="","",MARÍTIMOS[[#This Row],[Instruction]]),"")</f>
        <v/>
      </c>
      <c r="E316" s="1"/>
      <c r="F316" s="2" t="str">
        <f>IFERROR(IF(MARÍTIMOS[[#This Row],[Transportista]]="","",MARÍTIMOS[[#This Row],[Transportista]]),"")</f>
        <v/>
      </c>
      <c r="G316" s="2" t="str">
        <f>IFERROR(IF(MARÍTIMOS[[#This Row],[Tercero]]="","",MARÍTIMOS[[#This Row],[Tercero]]),"")</f>
        <v/>
      </c>
      <c r="H316" s="2" t="str">
        <f>IFERROR(IF(MARÍTIMOS[[#This Row],[Razón Social]]="","",MARÍTIMOS[[#This Row],[Razón Social]]),"")</f>
        <v/>
      </c>
      <c r="I316" s="2" t="str">
        <f>IFERROR(IF(MARÍTIMOS[[#This Row],[RUC]]="","",MARÍTIMOS[[#This Row],[RUC]]),"")</f>
        <v/>
      </c>
      <c r="J316" s="2" t="str">
        <f>IFERROR(IF(MARÍTIMOS[[#This Row],[Placa Tracto]]="","",MARÍTIMOS[[#This Row],[Placa Tracto]]),"")</f>
        <v/>
      </c>
      <c r="K316" s="2" t="str">
        <f>IFERROR(IF(MARÍTIMOS[[#This Row],[Placa Carreta]]="","",MARÍTIMOS[[#This Row],[Placa Carreta]]),"")</f>
        <v/>
      </c>
      <c r="L316" s="46" t="str">
        <f>IFERROR(IF(MARÍTIMOS[[#This Row],[Conductor]]="","",MARÍTIMOS[[#This Row],[Conductor]]),"")</f>
        <v/>
      </c>
      <c r="M316" s="2" t="str">
        <f>IFERROR(IF(MARÍTIMOS[[#This Row],[Licencia]]="","",MARÍTIMOS[[#This Row],[Licencia]]),"")</f>
        <v/>
      </c>
      <c r="N316" s="2" t="str">
        <f>IFERROR(IF(MARÍTIMOS[[#This Row],[Número de Contacto]]="","",MARÍTIMOS[[#This Row],[Número de Contacto]]),"")</f>
        <v/>
      </c>
      <c r="O316" s="10" t="str">
        <f>IFERROR(IF(MARÍTIMOS[[#This Row],[Booking|AWB|CRT]]="","",MARÍTIMOS[[#This Row],[Booking|AWB|CRT]]),"")</f>
        <v/>
      </c>
      <c r="P316" s="2" t="str">
        <f>IFERROR(IF(MARÍTIMOS[[#This Row],[Contenedor]]="","",MARÍTIMOS[[#This Row],[Contenedor]]),"")</f>
        <v/>
      </c>
      <c r="Q316" s="2" t="str">
        <f>IFERROR(IF(MARÍTIMOS[[#This Row],[Puerto de Retiro]]="","",MARÍTIMOS[[#This Row],[Puerto de Retiro]]),"")</f>
        <v/>
      </c>
      <c r="R316" s="2" t="str">
        <f>IFERROR(IF(MARÍTIMOS[[#This Row],[Almacén de Retiro]]="","",MARÍTIMOS[[#This Row],[Almacén de Retiro]]),"")</f>
        <v/>
      </c>
      <c r="S316" s="11" t="str">
        <f>IFERROR(IF(MARÍTIMOS[[#This Row],[Etapa Retiro - Cita]]="","",MARÍTIMOS[[#This Row],[Etapa Retiro - Cita]]),"")</f>
        <v/>
      </c>
      <c r="T316" s="11" t="str">
        <f>IFERROR(IF(MARÍTIMOS[[#This Row],[Etapa Retiro - Llegada]]="","",MARÍTIMOS[[#This Row],[Etapa Retiro - Llegada]]),"")</f>
        <v/>
      </c>
      <c r="U316" s="11" t="str">
        <f>IFERROR(IF(MARÍTIMOS[[#This Row],[Etapa Retiro - Ingreso]]="","",MARÍTIMOS[[#This Row],[Etapa Retiro - Ingreso]]),"")</f>
        <v/>
      </c>
      <c r="V316" s="11" t="str">
        <f>IFERROR(IF(MARÍTIMOS[[#This Row],[Etapa Retiro - Atención]]="","",MARÍTIMOS[[#This Row],[Etapa Retiro - Atención]]),"")</f>
        <v/>
      </c>
      <c r="W316" s="11" t="str">
        <f>IFERROR(IF(MARÍTIMOS[[#This Row],[Etapa Retiro - Salida]]="","",MARÍTIMOS[[#This Row],[Etapa Retiro - Salida]]),"")</f>
        <v/>
      </c>
      <c r="X316" s="11" t="str">
        <f>IFERROR(IF(MARÍTIMOS[[#This Row],[Etapa Retiro - Inicio de Ruta]]="","",MARÍTIMOS[[#This Row],[Etapa Retiro - Inicio de Ruta]]),"")</f>
        <v/>
      </c>
      <c r="Y316" s="11" t="str">
        <f>IFERROR(IF(MARÍTIMOS[[#This Row],[Hora de Posicionamiento]]="","",MARÍTIMOS[[#This Row],[Hora de Carga]]+MARÍTIMOS[[#This Row],[Hora de Posicionamiento]]),"")</f>
        <v/>
      </c>
      <c r="Z316" s="11" t="str">
        <f>IFERROR(IF(MARÍTIMOS[[#This Row],[Etapa Despacho -  Llegada]]="","",MARÍTIMOS[[#This Row],[Etapa Despacho -  Llegada]]),"")</f>
        <v/>
      </c>
      <c r="AA316" s="11" t="str">
        <f>IFERROR(IF(MARÍTIMOS[[#This Row],[Etapa Despacho -  Registro]]="","",MARÍTIMOS[[#This Row],[Etapa Despacho -  Registro]]),"")</f>
        <v/>
      </c>
      <c r="AB316" s="11" t="str">
        <f>IFERROR(IF(MARÍTIMOS[[#This Row],[Inspección Externa]]="","",MARÍTIMOS[[#This Row],[Inspección Externa]]),"")</f>
        <v/>
      </c>
      <c r="AC316" s="11" t="str">
        <f>IFERROR(IF(MARÍTIMOS[[#This Row],[Etapa Despacho -  Inicio de Carga]]="","",MARÍTIMOS[[#This Row],[Etapa Despacho -  Inicio de Carga]]),"")</f>
        <v/>
      </c>
      <c r="AD316" s="11" t="str">
        <f>IFERROR(IF(MARÍTIMOS[[#This Row],[Etapa Despacho -  Fin de Carga]]="","",MARÍTIMOS[[#This Row],[Etapa Despacho -  Fin de Carga]]),"")</f>
        <v/>
      </c>
      <c r="AE316" s="11" t="str">
        <f>IFERROR(IF(MARÍTIMOS[[#This Row],[Etapa Despacho -  Salida]]="","",MARÍTIMOS[[#This Row],[Etapa Despacho -  Salida]]),"")</f>
        <v/>
      </c>
      <c r="AF316" s="2" t="str">
        <f>IFERROR(IF(MARÍTIMOS[[#This Row],[Puerto de Embarque]]="","",MARÍTIMOS[[#This Row],[Puerto de Embarque]]),"")</f>
        <v/>
      </c>
      <c r="AG316" s="2" t="str">
        <f>IFERROR(IF(MARÍTIMOS[[#This Row],[Almacén de Ingreso]]="","",MARÍTIMOS[[#This Row],[Almacén de Ingreso]]),"")</f>
        <v/>
      </c>
      <c r="AH316" s="11" t="str">
        <f>IFERROR(IF(MARÍTIMOS[[#This Row],[Etapa Ingreso - Cita]]="","",MARÍTIMOS[[#This Row],[Etapa Ingreso - Cita]]),"")</f>
        <v/>
      </c>
      <c r="AI316" s="11" t="str">
        <f>IFERROR(IF(MARÍTIMOS[[#This Row],[Etapa Ingreso - Llegada]]="","",MARÍTIMOS[[#This Row],[Etapa Ingreso - Llegada]]),"")</f>
        <v/>
      </c>
      <c r="AJ316" s="11" t="str">
        <f>IFERROR(IF(MARÍTIMOS[[#This Row],[Etapa Ingreso - Ingeso]]="","",MARÍTIMOS[[#This Row],[Etapa Ingreso - Ingeso]]),"")</f>
        <v/>
      </c>
      <c r="AK316" s="11" t="str">
        <f>IFERROR(IF(MARÍTIMOS[[#This Row],[Etapa Ingreso - Atención]]="","",MARÍTIMOS[[#This Row],[Etapa Ingreso - Atención]]),"")</f>
        <v/>
      </c>
      <c r="AL316" s="11" t="str">
        <f>IFERROR(IF(MARÍTIMOS[[#This Row],[Etapa Ingreso - Salida]]="","",MARÍTIMOS[[#This Row],[Etapa Ingreso - Salida]]),"")</f>
        <v/>
      </c>
      <c r="AM316" s="2" t="str">
        <f>IFERROR(IF(MARÍTIMOS[[#This Row],[FCL]]="","",MARÍTIMOS[[#This Row],[FCL]]),"")</f>
        <v/>
      </c>
      <c r="AN3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6" s="5" t="str">
        <f>IFERROR(OLDBD[[#This Row],[Llegada a packing]]-OLDBD[[#This Row],[Inicio de Ruta]],"")</f>
        <v/>
      </c>
      <c r="AQ316" s="6" t="str">
        <f>IFERROR(OLDBD[[#This Row],[Inicio de Ruta]]-OLDBD[[#This Row],[Salida de almacén de retiro]],"")</f>
        <v/>
      </c>
      <c r="AR3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6" s="9" t="str">
        <f>IFERROR(OLDBD[[#This Row],[Ingreso Packing]]-OLDBD[[#This Row],[Registro en Packing]],"")</f>
        <v/>
      </c>
      <c r="AV316" s="9" t="str">
        <f>IFERROR(OLDBD[[#This Row],[Ingreso Packing]]-OLDBD[[#This Row],[Llegada a packing]],"")</f>
        <v/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6" s="5" t="str">
        <f>IFERROR(OLDBD[[#This Row],[Llegada Almacén de Ingreso]]-OLDBD[[#This Row],[Salida Packing]],"")</f>
        <v/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6" s="45" t="s">
        <v>181</v>
      </c>
      <c r="BB316" s="53" t="str">
        <f>IFERROR(IF(MARÍTIMOS[[#This Row],[Estatus]]="","",MARÍTIMOS[[#This Row],[Estatus]]),"")</f>
        <v/>
      </c>
      <c r="BC316" s="45"/>
      <c r="BD316" s="52" t="str">
        <f>IFERROR(OLDBD[[#This Row],[Salida de almacén de retiro]]-OLDBD[[#This Row],[Ingreso Almacén de retiro]],"")</f>
        <v/>
      </c>
      <c r="BE316" s="52" t="str">
        <f>IFERROR(OLDBD[[#This Row],[Fin de Carga]]-OLDBD[[#This Row],[Inicio de Carga]],"")</f>
        <v/>
      </c>
    </row>
    <row r="317" spans="1:57" x14ac:dyDescent="0.35">
      <c r="A317" s="1"/>
      <c r="B317" s="1" t="str">
        <f>IFERROR(IF(MARÍTIMOS[[#This Row],[PP]]="","",MARÍTIMOS[[#This Row],[PP]]),"")</f>
        <v/>
      </c>
      <c r="C317" s="1" t="str">
        <f>IFERROR(IF(MARÍTIMOS[[#This Row],[Sede]]="","",MARÍTIMOS[[#This Row],[Sede]]),"")</f>
        <v/>
      </c>
      <c r="D317" s="1" t="str">
        <f>IFERROR(IF(MARÍTIMOS[[#This Row],[Instruction]]="","",MARÍTIMOS[[#This Row],[Instruction]]),"")</f>
        <v/>
      </c>
      <c r="E317" s="1"/>
      <c r="F317" s="2" t="str">
        <f>IFERROR(IF(MARÍTIMOS[[#This Row],[Transportista]]="","",MARÍTIMOS[[#This Row],[Transportista]]),"")</f>
        <v/>
      </c>
      <c r="G317" s="2" t="str">
        <f>IFERROR(IF(MARÍTIMOS[[#This Row],[Tercero]]="","",MARÍTIMOS[[#This Row],[Tercero]]),"")</f>
        <v/>
      </c>
      <c r="H317" s="2" t="str">
        <f>IFERROR(IF(MARÍTIMOS[[#This Row],[Razón Social]]="","",MARÍTIMOS[[#This Row],[Razón Social]]),"")</f>
        <v/>
      </c>
      <c r="I317" s="2" t="str">
        <f>IFERROR(IF(MARÍTIMOS[[#This Row],[RUC]]="","",MARÍTIMOS[[#This Row],[RUC]]),"")</f>
        <v/>
      </c>
      <c r="J317" s="2" t="str">
        <f>IFERROR(IF(MARÍTIMOS[[#This Row],[Placa Tracto]]="","",MARÍTIMOS[[#This Row],[Placa Tracto]]),"")</f>
        <v/>
      </c>
      <c r="K317" s="2" t="str">
        <f>IFERROR(IF(MARÍTIMOS[[#This Row],[Placa Carreta]]="","",MARÍTIMOS[[#This Row],[Placa Carreta]]),"")</f>
        <v/>
      </c>
      <c r="L317" s="46" t="str">
        <f>IFERROR(IF(MARÍTIMOS[[#This Row],[Conductor]]="","",MARÍTIMOS[[#This Row],[Conductor]]),"")</f>
        <v/>
      </c>
      <c r="M317" s="2" t="str">
        <f>IFERROR(IF(MARÍTIMOS[[#This Row],[Licencia]]="","",MARÍTIMOS[[#This Row],[Licencia]]),"")</f>
        <v/>
      </c>
      <c r="N317" s="2" t="str">
        <f>IFERROR(IF(MARÍTIMOS[[#This Row],[Número de Contacto]]="","",MARÍTIMOS[[#This Row],[Número de Contacto]]),"")</f>
        <v/>
      </c>
      <c r="O317" s="10" t="str">
        <f>IFERROR(IF(MARÍTIMOS[[#This Row],[Booking|AWB|CRT]]="","",MARÍTIMOS[[#This Row],[Booking|AWB|CRT]]),"")</f>
        <v/>
      </c>
      <c r="P317" s="2" t="str">
        <f>IFERROR(IF(MARÍTIMOS[[#This Row],[Contenedor]]="","",MARÍTIMOS[[#This Row],[Contenedor]]),"")</f>
        <v/>
      </c>
      <c r="Q317" s="2" t="str">
        <f>IFERROR(IF(MARÍTIMOS[[#This Row],[Puerto de Retiro]]="","",MARÍTIMOS[[#This Row],[Puerto de Retiro]]),"")</f>
        <v/>
      </c>
      <c r="R317" s="2" t="str">
        <f>IFERROR(IF(MARÍTIMOS[[#This Row],[Almacén de Retiro]]="","",MARÍTIMOS[[#This Row],[Almacén de Retiro]]),"")</f>
        <v/>
      </c>
      <c r="S317" s="11" t="str">
        <f>IFERROR(IF(MARÍTIMOS[[#This Row],[Etapa Retiro - Cita]]="","",MARÍTIMOS[[#This Row],[Etapa Retiro - Cita]]),"")</f>
        <v/>
      </c>
      <c r="T317" s="11" t="str">
        <f>IFERROR(IF(MARÍTIMOS[[#This Row],[Etapa Retiro - Llegada]]="","",MARÍTIMOS[[#This Row],[Etapa Retiro - Llegada]]),"")</f>
        <v/>
      </c>
      <c r="U317" s="11" t="str">
        <f>IFERROR(IF(MARÍTIMOS[[#This Row],[Etapa Retiro - Ingreso]]="","",MARÍTIMOS[[#This Row],[Etapa Retiro - Ingreso]]),"")</f>
        <v/>
      </c>
      <c r="V317" s="11" t="str">
        <f>IFERROR(IF(MARÍTIMOS[[#This Row],[Etapa Retiro - Atención]]="","",MARÍTIMOS[[#This Row],[Etapa Retiro - Atención]]),"")</f>
        <v/>
      </c>
      <c r="W317" s="11" t="str">
        <f>IFERROR(IF(MARÍTIMOS[[#This Row],[Etapa Retiro - Salida]]="","",MARÍTIMOS[[#This Row],[Etapa Retiro - Salida]]),"")</f>
        <v/>
      </c>
      <c r="X317" s="11" t="str">
        <f>IFERROR(IF(MARÍTIMOS[[#This Row],[Etapa Retiro - Inicio de Ruta]]="","",MARÍTIMOS[[#This Row],[Etapa Retiro - Inicio de Ruta]]),"")</f>
        <v/>
      </c>
      <c r="Y317" s="11" t="str">
        <f>IFERROR(IF(MARÍTIMOS[[#This Row],[Hora de Posicionamiento]]="","",MARÍTIMOS[[#This Row],[Hora de Carga]]+MARÍTIMOS[[#This Row],[Hora de Posicionamiento]]),"")</f>
        <v/>
      </c>
      <c r="Z317" s="11" t="str">
        <f>IFERROR(IF(MARÍTIMOS[[#This Row],[Etapa Despacho -  Llegada]]="","",MARÍTIMOS[[#This Row],[Etapa Despacho -  Llegada]]),"")</f>
        <v/>
      </c>
      <c r="AA317" s="11" t="str">
        <f>IFERROR(IF(MARÍTIMOS[[#This Row],[Etapa Despacho -  Registro]]="","",MARÍTIMOS[[#This Row],[Etapa Despacho -  Registro]]),"")</f>
        <v/>
      </c>
      <c r="AB317" s="11" t="str">
        <f>IFERROR(IF(MARÍTIMOS[[#This Row],[Inspección Externa]]="","",MARÍTIMOS[[#This Row],[Inspección Externa]]),"")</f>
        <v/>
      </c>
      <c r="AC317" s="11" t="str">
        <f>IFERROR(IF(MARÍTIMOS[[#This Row],[Etapa Despacho -  Inicio de Carga]]="","",MARÍTIMOS[[#This Row],[Etapa Despacho -  Inicio de Carga]]),"")</f>
        <v/>
      </c>
      <c r="AD317" s="11" t="str">
        <f>IFERROR(IF(MARÍTIMOS[[#This Row],[Etapa Despacho -  Fin de Carga]]="","",MARÍTIMOS[[#This Row],[Etapa Despacho -  Fin de Carga]]),"")</f>
        <v/>
      </c>
      <c r="AE317" s="11" t="str">
        <f>IFERROR(IF(MARÍTIMOS[[#This Row],[Etapa Despacho -  Salida]]="","",MARÍTIMOS[[#This Row],[Etapa Despacho -  Salida]]),"")</f>
        <v/>
      </c>
      <c r="AF317" s="2" t="str">
        <f>IFERROR(IF(MARÍTIMOS[[#This Row],[Puerto de Embarque]]="","",MARÍTIMOS[[#This Row],[Puerto de Embarque]]),"")</f>
        <v/>
      </c>
      <c r="AG317" s="2" t="str">
        <f>IFERROR(IF(MARÍTIMOS[[#This Row],[Almacén de Ingreso]]="","",MARÍTIMOS[[#This Row],[Almacén de Ingreso]]),"")</f>
        <v/>
      </c>
      <c r="AH317" s="11" t="str">
        <f>IFERROR(IF(MARÍTIMOS[[#This Row],[Etapa Ingreso - Cita]]="","",MARÍTIMOS[[#This Row],[Etapa Ingreso - Cita]]),"")</f>
        <v/>
      </c>
      <c r="AI317" s="11" t="str">
        <f>IFERROR(IF(MARÍTIMOS[[#This Row],[Etapa Ingreso - Llegada]]="","",MARÍTIMOS[[#This Row],[Etapa Ingreso - Llegada]]),"")</f>
        <v/>
      </c>
      <c r="AJ317" s="11" t="str">
        <f>IFERROR(IF(MARÍTIMOS[[#This Row],[Etapa Ingreso - Ingeso]]="","",MARÍTIMOS[[#This Row],[Etapa Ingreso - Ingeso]]),"")</f>
        <v/>
      </c>
      <c r="AK317" s="11" t="str">
        <f>IFERROR(IF(MARÍTIMOS[[#This Row],[Etapa Ingreso - Atención]]="","",MARÍTIMOS[[#This Row],[Etapa Ingreso - Atención]]),"")</f>
        <v/>
      </c>
      <c r="AL317" s="11" t="str">
        <f>IFERROR(IF(MARÍTIMOS[[#This Row],[Etapa Ingreso - Salida]]="","",MARÍTIMOS[[#This Row],[Etapa Ingreso - Salida]]),"")</f>
        <v/>
      </c>
      <c r="AM317" s="2" t="str">
        <f>IFERROR(IF(MARÍTIMOS[[#This Row],[FCL]]="","",MARÍTIMOS[[#This Row],[FCL]]),"")</f>
        <v/>
      </c>
      <c r="AN3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7" s="5" t="str">
        <f>IFERROR(OLDBD[[#This Row],[Llegada a packing]]-OLDBD[[#This Row],[Inicio de Ruta]],"")</f>
        <v/>
      </c>
      <c r="AQ317" s="6" t="str">
        <f>IFERROR(OLDBD[[#This Row],[Inicio de Ruta]]-OLDBD[[#This Row],[Salida de almacén de retiro]],"")</f>
        <v/>
      </c>
      <c r="AR3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7" s="9" t="str">
        <f>IFERROR(OLDBD[[#This Row],[Ingreso Packing]]-OLDBD[[#This Row],[Registro en Packing]],"")</f>
        <v/>
      </c>
      <c r="AV317" s="9" t="str">
        <f>IFERROR(OLDBD[[#This Row],[Ingreso Packing]]-OLDBD[[#This Row],[Llegada a packing]],"")</f>
        <v/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7" s="5" t="str">
        <f>IFERROR(OLDBD[[#This Row],[Llegada Almacén de Ingreso]]-OLDBD[[#This Row],[Salida Packing]],"")</f>
        <v/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7" s="45" t="s">
        <v>181</v>
      </c>
      <c r="BB317" s="53" t="str">
        <f>IFERROR(IF(MARÍTIMOS[[#This Row],[Estatus]]="","",MARÍTIMOS[[#This Row],[Estatus]]),"")</f>
        <v/>
      </c>
      <c r="BC317" s="45"/>
      <c r="BD317" s="52" t="str">
        <f>IFERROR(OLDBD[[#This Row],[Salida de almacén de retiro]]-OLDBD[[#This Row],[Ingreso Almacén de retiro]],"")</f>
        <v/>
      </c>
      <c r="BE317" s="52" t="str">
        <f>IFERROR(OLDBD[[#This Row],[Fin de Carga]]-OLDBD[[#This Row],[Inicio de Carga]],"")</f>
        <v/>
      </c>
    </row>
    <row r="318" spans="1:57" x14ac:dyDescent="0.35">
      <c r="A318" s="1"/>
      <c r="B318" s="1" t="str">
        <f>IFERROR(IF(MARÍTIMOS[[#This Row],[PP]]="","",MARÍTIMOS[[#This Row],[PP]]),"")</f>
        <v/>
      </c>
      <c r="C318" s="1" t="str">
        <f>IFERROR(IF(MARÍTIMOS[[#This Row],[Sede]]="","",MARÍTIMOS[[#This Row],[Sede]]),"")</f>
        <v/>
      </c>
      <c r="D318" s="1" t="str">
        <f>IFERROR(IF(MARÍTIMOS[[#This Row],[Instruction]]="","",MARÍTIMOS[[#This Row],[Instruction]]),"")</f>
        <v/>
      </c>
      <c r="E318" s="1"/>
      <c r="F318" s="2" t="str">
        <f>IFERROR(IF(MARÍTIMOS[[#This Row],[Transportista]]="","",MARÍTIMOS[[#This Row],[Transportista]]),"")</f>
        <v/>
      </c>
      <c r="G318" s="2" t="str">
        <f>IFERROR(IF(MARÍTIMOS[[#This Row],[Tercero]]="","",MARÍTIMOS[[#This Row],[Tercero]]),"")</f>
        <v/>
      </c>
      <c r="H318" s="2" t="str">
        <f>IFERROR(IF(MARÍTIMOS[[#This Row],[Razón Social]]="","",MARÍTIMOS[[#This Row],[Razón Social]]),"")</f>
        <v/>
      </c>
      <c r="I318" s="2" t="str">
        <f>IFERROR(IF(MARÍTIMOS[[#This Row],[RUC]]="","",MARÍTIMOS[[#This Row],[RUC]]),"")</f>
        <v/>
      </c>
      <c r="J318" s="2" t="str">
        <f>IFERROR(IF(MARÍTIMOS[[#This Row],[Placa Tracto]]="","",MARÍTIMOS[[#This Row],[Placa Tracto]]),"")</f>
        <v/>
      </c>
      <c r="K318" s="2" t="str">
        <f>IFERROR(IF(MARÍTIMOS[[#This Row],[Placa Carreta]]="","",MARÍTIMOS[[#This Row],[Placa Carreta]]),"")</f>
        <v/>
      </c>
      <c r="L318" s="46" t="str">
        <f>IFERROR(IF(MARÍTIMOS[[#This Row],[Conductor]]="","",MARÍTIMOS[[#This Row],[Conductor]]),"")</f>
        <v/>
      </c>
      <c r="M318" s="2" t="str">
        <f>IFERROR(IF(MARÍTIMOS[[#This Row],[Licencia]]="","",MARÍTIMOS[[#This Row],[Licencia]]),"")</f>
        <v/>
      </c>
      <c r="N318" s="2" t="str">
        <f>IFERROR(IF(MARÍTIMOS[[#This Row],[Número de Contacto]]="","",MARÍTIMOS[[#This Row],[Número de Contacto]]),"")</f>
        <v/>
      </c>
      <c r="O318" s="10" t="str">
        <f>IFERROR(IF(MARÍTIMOS[[#This Row],[Booking|AWB|CRT]]="","",MARÍTIMOS[[#This Row],[Booking|AWB|CRT]]),"")</f>
        <v/>
      </c>
      <c r="P318" s="2" t="str">
        <f>IFERROR(IF(MARÍTIMOS[[#This Row],[Contenedor]]="","",MARÍTIMOS[[#This Row],[Contenedor]]),"")</f>
        <v/>
      </c>
      <c r="Q318" s="2" t="str">
        <f>IFERROR(IF(MARÍTIMOS[[#This Row],[Puerto de Retiro]]="","",MARÍTIMOS[[#This Row],[Puerto de Retiro]]),"")</f>
        <v/>
      </c>
      <c r="R318" s="2" t="str">
        <f>IFERROR(IF(MARÍTIMOS[[#This Row],[Almacén de Retiro]]="","",MARÍTIMOS[[#This Row],[Almacén de Retiro]]),"")</f>
        <v/>
      </c>
      <c r="S318" s="11" t="str">
        <f>IFERROR(IF(MARÍTIMOS[[#This Row],[Etapa Retiro - Cita]]="","",MARÍTIMOS[[#This Row],[Etapa Retiro - Cita]]),"")</f>
        <v/>
      </c>
      <c r="T318" s="11" t="str">
        <f>IFERROR(IF(MARÍTIMOS[[#This Row],[Etapa Retiro - Llegada]]="","",MARÍTIMOS[[#This Row],[Etapa Retiro - Llegada]]),"")</f>
        <v/>
      </c>
      <c r="U318" s="11" t="str">
        <f>IFERROR(IF(MARÍTIMOS[[#This Row],[Etapa Retiro - Ingreso]]="","",MARÍTIMOS[[#This Row],[Etapa Retiro - Ingreso]]),"")</f>
        <v/>
      </c>
      <c r="V318" s="11" t="str">
        <f>IFERROR(IF(MARÍTIMOS[[#This Row],[Etapa Retiro - Atención]]="","",MARÍTIMOS[[#This Row],[Etapa Retiro - Atención]]),"")</f>
        <v/>
      </c>
      <c r="W318" s="11" t="str">
        <f>IFERROR(IF(MARÍTIMOS[[#This Row],[Etapa Retiro - Salida]]="","",MARÍTIMOS[[#This Row],[Etapa Retiro - Salida]]),"")</f>
        <v/>
      </c>
      <c r="X318" s="11" t="str">
        <f>IFERROR(IF(MARÍTIMOS[[#This Row],[Etapa Retiro - Inicio de Ruta]]="","",MARÍTIMOS[[#This Row],[Etapa Retiro - Inicio de Ruta]]),"")</f>
        <v/>
      </c>
      <c r="Y318" s="11" t="str">
        <f>IFERROR(IF(MARÍTIMOS[[#This Row],[Hora de Posicionamiento]]="","",MARÍTIMOS[[#This Row],[Hora de Carga]]+MARÍTIMOS[[#This Row],[Hora de Posicionamiento]]),"")</f>
        <v/>
      </c>
      <c r="Z318" s="11" t="str">
        <f>IFERROR(IF(MARÍTIMOS[[#This Row],[Etapa Despacho -  Llegada]]="","",MARÍTIMOS[[#This Row],[Etapa Despacho -  Llegada]]),"")</f>
        <v/>
      </c>
      <c r="AA318" s="11" t="str">
        <f>IFERROR(IF(MARÍTIMOS[[#This Row],[Etapa Despacho -  Registro]]="","",MARÍTIMOS[[#This Row],[Etapa Despacho -  Registro]]),"")</f>
        <v/>
      </c>
      <c r="AB318" s="11" t="str">
        <f>IFERROR(IF(MARÍTIMOS[[#This Row],[Inspección Externa]]="","",MARÍTIMOS[[#This Row],[Inspección Externa]]),"")</f>
        <v/>
      </c>
      <c r="AC318" s="11" t="str">
        <f>IFERROR(IF(MARÍTIMOS[[#This Row],[Etapa Despacho -  Inicio de Carga]]="","",MARÍTIMOS[[#This Row],[Etapa Despacho -  Inicio de Carga]]),"")</f>
        <v/>
      </c>
      <c r="AD318" s="11" t="str">
        <f>IFERROR(IF(MARÍTIMOS[[#This Row],[Etapa Despacho -  Fin de Carga]]="","",MARÍTIMOS[[#This Row],[Etapa Despacho -  Fin de Carga]]),"")</f>
        <v/>
      </c>
      <c r="AE318" s="11" t="str">
        <f>IFERROR(IF(MARÍTIMOS[[#This Row],[Etapa Despacho -  Salida]]="","",MARÍTIMOS[[#This Row],[Etapa Despacho -  Salida]]),"")</f>
        <v/>
      </c>
      <c r="AF318" s="2" t="str">
        <f>IFERROR(IF(MARÍTIMOS[[#This Row],[Puerto de Embarque]]="","",MARÍTIMOS[[#This Row],[Puerto de Embarque]]),"")</f>
        <v/>
      </c>
      <c r="AG318" s="2" t="str">
        <f>IFERROR(IF(MARÍTIMOS[[#This Row],[Almacén de Ingreso]]="","",MARÍTIMOS[[#This Row],[Almacén de Ingreso]]),"")</f>
        <v/>
      </c>
      <c r="AH318" s="11" t="str">
        <f>IFERROR(IF(MARÍTIMOS[[#This Row],[Etapa Ingreso - Cita]]="","",MARÍTIMOS[[#This Row],[Etapa Ingreso - Cita]]),"")</f>
        <v/>
      </c>
      <c r="AI318" s="11" t="str">
        <f>IFERROR(IF(MARÍTIMOS[[#This Row],[Etapa Ingreso - Llegada]]="","",MARÍTIMOS[[#This Row],[Etapa Ingreso - Llegada]]),"")</f>
        <v/>
      </c>
      <c r="AJ318" s="11" t="str">
        <f>IFERROR(IF(MARÍTIMOS[[#This Row],[Etapa Ingreso - Ingeso]]="","",MARÍTIMOS[[#This Row],[Etapa Ingreso - Ingeso]]),"")</f>
        <v/>
      </c>
      <c r="AK318" s="11" t="str">
        <f>IFERROR(IF(MARÍTIMOS[[#This Row],[Etapa Ingreso - Atención]]="","",MARÍTIMOS[[#This Row],[Etapa Ingreso - Atención]]),"")</f>
        <v/>
      </c>
      <c r="AL318" s="11" t="str">
        <f>IFERROR(IF(MARÍTIMOS[[#This Row],[Etapa Ingreso - Salida]]="","",MARÍTIMOS[[#This Row],[Etapa Ingreso - Salida]]),"")</f>
        <v/>
      </c>
      <c r="AM318" s="2" t="str">
        <f>IFERROR(IF(MARÍTIMOS[[#This Row],[FCL]]="","",MARÍTIMOS[[#This Row],[FCL]]),"")</f>
        <v/>
      </c>
      <c r="AN3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8" s="5" t="str">
        <f>IFERROR(OLDBD[[#This Row],[Llegada a packing]]-OLDBD[[#This Row],[Inicio de Ruta]],"")</f>
        <v/>
      </c>
      <c r="AQ318" s="6" t="str">
        <f>IFERROR(OLDBD[[#This Row],[Inicio de Ruta]]-OLDBD[[#This Row],[Salida de almacén de retiro]],"")</f>
        <v/>
      </c>
      <c r="AR3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8" s="9" t="str">
        <f>IFERROR(OLDBD[[#This Row],[Ingreso Packing]]-OLDBD[[#This Row],[Registro en Packing]],"")</f>
        <v/>
      </c>
      <c r="AV318" s="9" t="str">
        <f>IFERROR(OLDBD[[#This Row],[Ingreso Packing]]-OLDBD[[#This Row],[Llegada a packing]],"")</f>
        <v/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8" s="5" t="str">
        <f>IFERROR(OLDBD[[#This Row],[Llegada Almacén de Ingreso]]-OLDBD[[#This Row],[Salida Packing]],"")</f>
        <v/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8" s="45" t="s">
        <v>181</v>
      </c>
      <c r="BB318" s="53" t="str">
        <f>IFERROR(IF(MARÍTIMOS[[#This Row],[Estatus]]="","",MARÍTIMOS[[#This Row],[Estatus]]),"")</f>
        <v/>
      </c>
      <c r="BC318" s="45"/>
      <c r="BD318" s="52" t="str">
        <f>IFERROR(OLDBD[[#This Row],[Salida de almacén de retiro]]-OLDBD[[#This Row],[Ingreso Almacén de retiro]],"")</f>
        <v/>
      </c>
      <c r="BE318" s="52" t="str">
        <f>IFERROR(OLDBD[[#This Row],[Fin de Carga]]-OLDBD[[#This Row],[Inicio de Carga]],"")</f>
        <v/>
      </c>
    </row>
    <row r="319" spans="1:57" x14ac:dyDescent="0.35">
      <c r="A319" s="1"/>
      <c r="B319" s="1" t="str">
        <f>IFERROR(IF(MARÍTIMOS[[#This Row],[PP]]="","",MARÍTIMOS[[#This Row],[PP]]),"")</f>
        <v/>
      </c>
      <c r="C319" s="1" t="str">
        <f>IFERROR(IF(MARÍTIMOS[[#This Row],[Sede]]="","",MARÍTIMOS[[#This Row],[Sede]]),"")</f>
        <v/>
      </c>
      <c r="D319" s="1" t="str">
        <f>IFERROR(IF(MARÍTIMOS[[#This Row],[Instruction]]="","",MARÍTIMOS[[#This Row],[Instruction]]),"")</f>
        <v/>
      </c>
      <c r="E319" s="1"/>
      <c r="F319" s="2" t="str">
        <f>IFERROR(IF(MARÍTIMOS[[#This Row],[Transportista]]="","",MARÍTIMOS[[#This Row],[Transportista]]),"")</f>
        <v/>
      </c>
      <c r="G319" s="2" t="str">
        <f>IFERROR(IF(MARÍTIMOS[[#This Row],[Tercero]]="","",MARÍTIMOS[[#This Row],[Tercero]]),"")</f>
        <v/>
      </c>
      <c r="H319" s="2" t="str">
        <f>IFERROR(IF(MARÍTIMOS[[#This Row],[Razón Social]]="","",MARÍTIMOS[[#This Row],[Razón Social]]),"")</f>
        <v/>
      </c>
      <c r="I319" s="2" t="str">
        <f>IFERROR(IF(MARÍTIMOS[[#This Row],[RUC]]="","",MARÍTIMOS[[#This Row],[RUC]]),"")</f>
        <v/>
      </c>
      <c r="J319" s="2" t="str">
        <f>IFERROR(IF(MARÍTIMOS[[#This Row],[Placa Tracto]]="","",MARÍTIMOS[[#This Row],[Placa Tracto]]),"")</f>
        <v/>
      </c>
      <c r="K319" s="2" t="str">
        <f>IFERROR(IF(MARÍTIMOS[[#This Row],[Placa Carreta]]="","",MARÍTIMOS[[#This Row],[Placa Carreta]]),"")</f>
        <v/>
      </c>
      <c r="L319" s="46" t="str">
        <f>IFERROR(IF(MARÍTIMOS[[#This Row],[Conductor]]="","",MARÍTIMOS[[#This Row],[Conductor]]),"")</f>
        <v/>
      </c>
      <c r="M319" s="2" t="str">
        <f>IFERROR(IF(MARÍTIMOS[[#This Row],[Licencia]]="","",MARÍTIMOS[[#This Row],[Licencia]]),"")</f>
        <v/>
      </c>
      <c r="N319" s="2" t="str">
        <f>IFERROR(IF(MARÍTIMOS[[#This Row],[Número de Contacto]]="","",MARÍTIMOS[[#This Row],[Número de Contacto]]),"")</f>
        <v/>
      </c>
      <c r="O319" s="10" t="str">
        <f>IFERROR(IF(MARÍTIMOS[[#This Row],[Booking|AWB|CRT]]="","",MARÍTIMOS[[#This Row],[Booking|AWB|CRT]]),"")</f>
        <v/>
      </c>
      <c r="P319" s="2" t="str">
        <f>IFERROR(IF(MARÍTIMOS[[#This Row],[Contenedor]]="","",MARÍTIMOS[[#This Row],[Contenedor]]),"")</f>
        <v/>
      </c>
      <c r="Q319" s="2" t="str">
        <f>IFERROR(IF(MARÍTIMOS[[#This Row],[Puerto de Retiro]]="","",MARÍTIMOS[[#This Row],[Puerto de Retiro]]),"")</f>
        <v/>
      </c>
      <c r="R319" s="2" t="str">
        <f>IFERROR(IF(MARÍTIMOS[[#This Row],[Almacén de Retiro]]="","",MARÍTIMOS[[#This Row],[Almacén de Retiro]]),"")</f>
        <v/>
      </c>
      <c r="S319" s="11" t="str">
        <f>IFERROR(IF(MARÍTIMOS[[#This Row],[Etapa Retiro - Cita]]="","",MARÍTIMOS[[#This Row],[Etapa Retiro - Cita]]),"")</f>
        <v/>
      </c>
      <c r="T319" s="11" t="str">
        <f>IFERROR(IF(MARÍTIMOS[[#This Row],[Etapa Retiro - Llegada]]="","",MARÍTIMOS[[#This Row],[Etapa Retiro - Llegada]]),"")</f>
        <v/>
      </c>
      <c r="U319" s="11" t="str">
        <f>IFERROR(IF(MARÍTIMOS[[#This Row],[Etapa Retiro - Ingreso]]="","",MARÍTIMOS[[#This Row],[Etapa Retiro - Ingreso]]),"")</f>
        <v/>
      </c>
      <c r="V319" s="11" t="str">
        <f>IFERROR(IF(MARÍTIMOS[[#This Row],[Etapa Retiro - Atención]]="","",MARÍTIMOS[[#This Row],[Etapa Retiro - Atención]]),"")</f>
        <v/>
      </c>
      <c r="W319" s="11" t="str">
        <f>IFERROR(IF(MARÍTIMOS[[#This Row],[Etapa Retiro - Salida]]="","",MARÍTIMOS[[#This Row],[Etapa Retiro - Salida]]),"")</f>
        <v/>
      </c>
      <c r="X319" s="11" t="str">
        <f>IFERROR(IF(MARÍTIMOS[[#This Row],[Etapa Retiro - Inicio de Ruta]]="","",MARÍTIMOS[[#This Row],[Etapa Retiro - Inicio de Ruta]]),"")</f>
        <v/>
      </c>
      <c r="Y319" s="11" t="str">
        <f>IFERROR(IF(MARÍTIMOS[[#This Row],[Hora de Posicionamiento]]="","",MARÍTIMOS[[#This Row],[Hora de Carga]]+MARÍTIMOS[[#This Row],[Hora de Posicionamiento]]),"")</f>
        <v/>
      </c>
      <c r="Z319" s="11" t="str">
        <f>IFERROR(IF(MARÍTIMOS[[#This Row],[Etapa Despacho -  Llegada]]="","",MARÍTIMOS[[#This Row],[Etapa Despacho -  Llegada]]),"")</f>
        <v/>
      </c>
      <c r="AA319" s="11" t="str">
        <f>IFERROR(IF(MARÍTIMOS[[#This Row],[Etapa Despacho -  Registro]]="","",MARÍTIMOS[[#This Row],[Etapa Despacho -  Registro]]),"")</f>
        <v/>
      </c>
      <c r="AB319" s="11" t="str">
        <f>IFERROR(IF(MARÍTIMOS[[#This Row],[Inspección Externa]]="","",MARÍTIMOS[[#This Row],[Inspección Externa]]),"")</f>
        <v/>
      </c>
      <c r="AC319" s="11" t="str">
        <f>IFERROR(IF(MARÍTIMOS[[#This Row],[Etapa Despacho -  Inicio de Carga]]="","",MARÍTIMOS[[#This Row],[Etapa Despacho -  Inicio de Carga]]),"")</f>
        <v/>
      </c>
      <c r="AD319" s="11" t="str">
        <f>IFERROR(IF(MARÍTIMOS[[#This Row],[Etapa Despacho -  Fin de Carga]]="","",MARÍTIMOS[[#This Row],[Etapa Despacho -  Fin de Carga]]),"")</f>
        <v/>
      </c>
      <c r="AE319" s="11" t="str">
        <f>IFERROR(IF(MARÍTIMOS[[#This Row],[Etapa Despacho -  Salida]]="","",MARÍTIMOS[[#This Row],[Etapa Despacho -  Salida]]),"")</f>
        <v/>
      </c>
      <c r="AF319" s="2" t="str">
        <f>IFERROR(IF(MARÍTIMOS[[#This Row],[Puerto de Embarque]]="","",MARÍTIMOS[[#This Row],[Puerto de Embarque]]),"")</f>
        <v/>
      </c>
      <c r="AG319" s="2" t="str">
        <f>IFERROR(IF(MARÍTIMOS[[#This Row],[Almacén de Ingreso]]="","",MARÍTIMOS[[#This Row],[Almacén de Ingreso]]),"")</f>
        <v/>
      </c>
      <c r="AH319" s="11" t="str">
        <f>IFERROR(IF(MARÍTIMOS[[#This Row],[Etapa Ingreso - Cita]]="","",MARÍTIMOS[[#This Row],[Etapa Ingreso - Cita]]),"")</f>
        <v/>
      </c>
      <c r="AI319" s="11" t="str">
        <f>IFERROR(IF(MARÍTIMOS[[#This Row],[Etapa Ingreso - Llegada]]="","",MARÍTIMOS[[#This Row],[Etapa Ingreso - Llegada]]),"")</f>
        <v/>
      </c>
      <c r="AJ319" s="11" t="str">
        <f>IFERROR(IF(MARÍTIMOS[[#This Row],[Etapa Ingreso - Ingeso]]="","",MARÍTIMOS[[#This Row],[Etapa Ingreso - Ingeso]]),"")</f>
        <v/>
      </c>
      <c r="AK319" s="11" t="str">
        <f>IFERROR(IF(MARÍTIMOS[[#This Row],[Etapa Ingreso - Atención]]="","",MARÍTIMOS[[#This Row],[Etapa Ingreso - Atención]]),"")</f>
        <v/>
      </c>
      <c r="AL319" s="11" t="str">
        <f>IFERROR(IF(MARÍTIMOS[[#This Row],[Etapa Ingreso - Salida]]="","",MARÍTIMOS[[#This Row],[Etapa Ingreso - Salida]]),"")</f>
        <v/>
      </c>
      <c r="AM319" s="2" t="str">
        <f>IFERROR(IF(MARÍTIMOS[[#This Row],[FCL]]="","",MARÍTIMOS[[#This Row],[FCL]]),"")</f>
        <v/>
      </c>
      <c r="AN3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9" s="5" t="str">
        <f>IFERROR(OLDBD[[#This Row],[Llegada a packing]]-OLDBD[[#This Row],[Inicio de Ruta]],"")</f>
        <v/>
      </c>
      <c r="AQ319" s="6" t="str">
        <f>IFERROR(OLDBD[[#This Row],[Inicio de Ruta]]-OLDBD[[#This Row],[Salida de almacén de retiro]],"")</f>
        <v/>
      </c>
      <c r="AR3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9" s="9" t="str">
        <f>IFERROR(OLDBD[[#This Row],[Ingreso Packing]]-OLDBD[[#This Row],[Registro en Packing]],"")</f>
        <v/>
      </c>
      <c r="AV319" s="9" t="str">
        <f>IFERROR(OLDBD[[#This Row],[Ingreso Packing]]-OLDBD[[#This Row],[Llegada a packing]],"")</f>
        <v/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9" s="5" t="str">
        <f>IFERROR(OLDBD[[#This Row],[Llegada Almacén de Ingreso]]-OLDBD[[#This Row],[Salida Packing]],"")</f>
        <v/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9" s="45" t="s">
        <v>181</v>
      </c>
      <c r="BB319" s="53" t="str">
        <f>IFERROR(IF(MARÍTIMOS[[#This Row],[Estatus]]="","",MARÍTIMOS[[#This Row],[Estatus]]),"")</f>
        <v/>
      </c>
      <c r="BC319" s="45"/>
      <c r="BD319" s="52" t="str">
        <f>IFERROR(OLDBD[[#This Row],[Salida de almacén de retiro]]-OLDBD[[#This Row],[Ingreso Almacén de retiro]],"")</f>
        <v/>
      </c>
      <c r="BE319" s="52" t="str">
        <f>IFERROR(OLDBD[[#This Row],[Fin de Carga]]-OLDBD[[#This Row],[Inicio de Carga]],"")</f>
        <v/>
      </c>
    </row>
    <row r="320" spans="1:57" x14ac:dyDescent="0.35">
      <c r="A320" s="1"/>
      <c r="B320" s="1" t="str">
        <f>IFERROR(IF(MARÍTIMOS[[#This Row],[PP]]="","",MARÍTIMOS[[#This Row],[PP]]),"")</f>
        <v/>
      </c>
      <c r="C320" s="1" t="str">
        <f>IFERROR(IF(MARÍTIMOS[[#This Row],[Sede]]="","",MARÍTIMOS[[#This Row],[Sede]]),"")</f>
        <v/>
      </c>
      <c r="D320" s="1" t="str">
        <f>IFERROR(IF(MARÍTIMOS[[#This Row],[Instruction]]="","",MARÍTIMOS[[#This Row],[Instruction]]),"")</f>
        <v/>
      </c>
      <c r="E320" s="1"/>
      <c r="F320" s="2" t="str">
        <f>IFERROR(IF(MARÍTIMOS[[#This Row],[Transportista]]="","",MARÍTIMOS[[#This Row],[Transportista]]),"")</f>
        <v/>
      </c>
      <c r="G320" s="2" t="str">
        <f>IFERROR(IF(MARÍTIMOS[[#This Row],[Tercero]]="","",MARÍTIMOS[[#This Row],[Tercero]]),"")</f>
        <v/>
      </c>
      <c r="H320" s="2" t="str">
        <f>IFERROR(IF(MARÍTIMOS[[#This Row],[Razón Social]]="","",MARÍTIMOS[[#This Row],[Razón Social]]),"")</f>
        <v/>
      </c>
      <c r="I320" s="2" t="str">
        <f>IFERROR(IF(MARÍTIMOS[[#This Row],[RUC]]="","",MARÍTIMOS[[#This Row],[RUC]]),"")</f>
        <v/>
      </c>
      <c r="J320" s="2" t="str">
        <f>IFERROR(IF(MARÍTIMOS[[#This Row],[Placa Tracto]]="","",MARÍTIMOS[[#This Row],[Placa Tracto]]),"")</f>
        <v/>
      </c>
      <c r="K320" s="2" t="str">
        <f>IFERROR(IF(MARÍTIMOS[[#This Row],[Placa Carreta]]="","",MARÍTIMOS[[#This Row],[Placa Carreta]]),"")</f>
        <v/>
      </c>
      <c r="L320" s="46" t="str">
        <f>IFERROR(IF(MARÍTIMOS[[#This Row],[Conductor]]="","",MARÍTIMOS[[#This Row],[Conductor]]),"")</f>
        <v/>
      </c>
      <c r="M320" s="2" t="str">
        <f>IFERROR(IF(MARÍTIMOS[[#This Row],[Licencia]]="","",MARÍTIMOS[[#This Row],[Licencia]]),"")</f>
        <v/>
      </c>
      <c r="N320" s="2" t="str">
        <f>IFERROR(IF(MARÍTIMOS[[#This Row],[Número de Contacto]]="","",MARÍTIMOS[[#This Row],[Número de Contacto]]),"")</f>
        <v/>
      </c>
      <c r="O320" s="10" t="str">
        <f>IFERROR(IF(MARÍTIMOS[[#This Row],[Booking|AWB|CRT]]="","",MARÍTIMOS[[#This Row],[Booking|AWB|CRT]]),"")</f>
        <v/>
      </c>
      <c r="P320" s="2" t="str">
        <f>IFERROR(IF(MARÍTIMOS[[#This Row],[Contenedor]]="","",MARÍTIMOS[[#This Row],[Contenedor]]),"")</f>
        <v/>
      </c>
      <c r="Q320" s="2" t="str">
        <f>IFERROR(IF(MARÍTIMOS[[#This Row],[Puerto de Retiro]]="","",MARÍTIMOS[[#This Row],[Puerto de Retiro]]),"")</f>
        <v/>
      </c>
      <c r="R320" s="2" t="str">
        <f>IFERROR(IF(MARÍTIMOS[[#This Row],[Almacén de Retiro]]="","",MARÍTIMOS[[#This Row],[Almacén de Retiro]]),"")</f>
        <v/>
      </c>
      <c r="S320" s="11" t="str">
        <f>IFERROR(IF(MARÍTIMOS[[#This Row],[Etapa Retiro - Cita]]="","",MARÍTIMOS[[#This Row],[Etapa Retiro - Cita]]),"")</f>
        <v/>
      </c>
      <c r="T320" s="11" t="str">
        <f>IFERROR(IF(MARÍTIMOS[[#This Row],[Etapa Retiro - Llegada]]="","",MARÍTIMOS[[#This Row],[Etapa Retiro - Llegada]]),"")</f>
        <v/>
      </c>
      <c r="U320" s="11" t="str">
        <f>IFERROR(IF(MARÍTIMOS[[#This Row],[Etapa Retiro - Ingreso]]="","",MARÍTIMOS[[#This Row],[Etapa Retiro - Ingreso]]),"")</f>
        <v/>
      </c>
      <c r="V320" s="11" t="str">
        <f>IFERROR(IF(MARÍTIMOS[[#This Row],[Etapa Retiro - Atención]]="","",MARÍTIMOS[[#This Row],[Etapa Retiro - Atención]]),"")</f>
        <v/>
      </c>
      <c r="W320" s="11" t="str">
        <f>IFERROR(IF(MARÍTIMOS[[#This Row],[Etapa Retiro - Salida]]="","",MARÍTIMOS[[#This Row],[Etapa Retiro - Salida]]),"")</f>
        <v/>
      </c>
      <c r="X320" s="11" t="str">
        <f>IFERROR(IF(MARÍTIMOS[[#This Row],[Etapa Retiro - Inicio de Ruta]]="","",MARÍTIMOS[[#This Row],[Etapa Retiro - Inicio de Ruta]]),"")</f>
        <v/>
      </c>
      <c r="Y320" s="11" t="str">
        <f>IFERROR(IF(MARÍTIMOS[[#This Row],[Hora de Posicionamiento]]="","",MARÍTIMOS[[#This Row],[Hora de Carga]]+MARÍTIMOS[[#This Row],[Hora de Posicionamiento]]),"")</f>
        <v/>
      </c>
      <c r="Z320" s="11" t="str">
        <f>IFERROR(IF(MARÍTIMOS[[#This Row],[Etapa Despacho -  Llegada]]="","",MARÍTIMOS[[#This Row],[Etapa Despacho -  Llegada]]),"")</f>
        <v/>
      </c>
      <c r="AA320" s="11" t="str">
        <f>IFERROR(IF(MARÍTIMOS[[#This Row],[Etapa Despacho -  Registro]]="","",MARÍTIMOS[[#This Row],[Etapa Despacho -  Registro]]),"")</f>
        <v/>
      </c>
      <c r="AB320" s="11" t="str">
        <f>IFERROR(IF(MARÍTIMOS[[#This Row],[Inspección Externa]]="","",MARÍTIMOS[[#This Row],[Inspección Externa]]),"")</f>
        <v/>
      </c>
      <c r="AC320" s="11" t="str">
        <f>IFERROR(IF(MARÍTIMOS[[#This Row],[Etapa Despacho -  Inicio de Carga]]="","",MARÍTIMOS[[#This Row],[Etapa Despacho -  Inicio de Carga]]),"")</f>
        <v/>
      </c>
      <c r="AD320" s="11" t="str">
        <f>IFERROR(IF(MARÍTIMOS[[#This Row],[Etapa Despacho -  Fin de Carga]]="","",MARÍTIMOS[[#This Row],[Etapa Despacho -  Fin de Carga]]),"")</f>
        <v/>
      </c>
      <c r="AE320" s="11" t="str">
        <f>IFERROR(IF(MARÍTIMOS[[#This Row],[Etapa Despacho -  Salida]]="","",MARÍTIMOS[[#This Row],[Etapa Despacho -  Salida]]),"")</f>
        <v/>
      </c>
      <c r="AF320" s="2" t="str">
        <f>IFERROR(IF(MARÍTIMOS[[#This Row],[Puerto de Embarque]]="","",MARÍTIMOS[[#This Row],[Puerto de Embarque]]),"")</f>
        <v/>
      </c>
      <c r="AG320" s="2" t="str">
        <f>IFERROR(IF(MARÍTIMOS[[#This Row],[Almacén de Ingreso]]="","",MARÍTIMOS[[#This Row],[Almacén de Ingreso]]),"")</f>
        <v/>
      </c>
      <c r="AH320" s="11" t="str">
        <f>IFERROR(IF(MARÍTIMOS[[#This Row],[Etapa Ingreso - Cita]]="","",MARÍTIMOS[[#This Row],[Etapa Ingreso - Cita]]),"")</f>
        <v/>
      </c>
      <c r="AI320" s="11" t="str">
        <f>IFERROR(IF(MARÍTIMOS[[#This Row],[Etapa Ingreso - Llegada]]="","",MARÍTIMOS[[#This Row],[Etapa Ingreso - Llegada]]),"")</f>
        <v/>
      </c>
      <c r="AJ320" s="11" t="str">
        <f>IFERROR(IF(MARÍTIMOS[[#This Row],[Etapa Ingreso - Ingeso]]="","",MARÍTIMOS[[#This Row],[Etapa Ingreso - Ingeso]]),"")</f>
        <v/>
      </c>
      <c r="AK320" s="11" t="str">
        <f>IFERROR(IF(MARÍTIMOS[[#This Row],[Etapa Ingreso - Atención]]="","",MARÍTIMOS[[#This Row],[Etapa Ingreso - Atención]]),"")</f>
        <v/>
      </c>
      <c r="AL320" s="11" t="str">
        <f>IFERROR(IF(MARÍTIMOS[[#This Row],[Etapa Ingreso - Salida]]="","",MARÍTIMOS[[#This Row],[Etapa Ingreso - Salida]]),"")</f>
        <v/>
      </c>
      <c r="AM320" s="2" t="str">
        <f>IFERROR(IF(MARÍTIMOS[[#This Row],[FCL]]="","",MARÍTIMOS[[#This Row],[FCL]]),"")</f>
        <v/>
      </c>
      <c r="AN3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0" s="5" t="str">
        <f>IFERROR(OLDBD[[#This Row],[Llegada a packing]]-OLDBD[[#This Row],[Inicio de Ruta]],"")</f>
        <v/>
      </c>
      <c r="AQ320" s="6" t="str">
        <f>IFERROR(OLDBD[[#This Row],[Inicio de Ruta]]-OLDBD[[#This Row],[Salida de almacén de retiro]],"")</f>
        <v/>
      </c>
      <c r="AR3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0" s="9" t="str">
        <f>IFERROR(OLDBD[[#This Row],[Ingreso Packing]]-OLDBD[[#This Row],[Registro en Packing]],"")</f>
        <v/>
      </c>
      <c r="AV320" s="9" t="str">
        <f>IFERROR(OLDBD[[#This Row],[Ingreso Packing]]-OLDBD[[#This Row],[Llegada a packing]],"")</f>
        <v/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0" s="5" t="str">
        <f>IFERROR(OLDBD[[#This Row],[Llegada Almacén de Ingreso]]-OLDBD[[#This Row],[Salida Packing]],"")</f>
        <v/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0" s="45" t="s">
        <v>181</v>
      </c>
      <c r="BB320" s="53" t="str">
        <f>IFERROR(IF(MARÍTIMOS[[#This Row],[Estatus]]="","",MARÍTIMOS[[#This Row],[Estatus]]),"")</f>
        <v/>
      </c>
      <c r="BC320" s="45"/>
      <c r="BD320" s="52" t="str">
        <f>IFERROR(OLDBD[[#This Row],[Salida de almacén de retiro]]-OLDBD[[#This Row],[Ingreso Almacén de retiro]],"")</f>
        <v/>
      </c>
      <c r="BE320" s="52" t="str">
        <f>IFERROR(OLDBD[[#This Row],[Fin de Carga]]-OLDBD[[#This Row],[Inicio de Carga]],"")</f>
        <v/>
      </c>
    </row>
    <row r="321" spans="1:57" x14ac:dyDescent="0.35">
      <c r="A321" s="1"/>
      <c r="B321" s="1" t="str">
        <f>IFERROR(IF(MARÍTIMOS[[#This Row],[PP]]="","",MARÍTIMOS[[#This Row],[PP]]),"")</f>
        <v/>
      </c>
      <c r="C321" s="1" t="str">
        <f>IFERROR(IF(MARÍTIMOS[[#This Row],[Sede]]="","",MARÍTIMOS[[#This Row],[Sede]]),"")</f>
        <v/>
      </c>
      <c r="D321" s="1" t="str">
        <f>IFERROR(IF(MARÍTIMOS[[#This Row],[Instruction]]="","",MARÍTIMOS[[#This Row],[Instruction]]),"")</f>
        <v/>
      </c>
      <c r="E321" s="1"/>
      <c r="F321" s="2" t="str">
        <f>IFERROR(IF(MARÍTIMOS[[#This Row],[Transportista]]="","",MARÍTIMOS[[#This Row],[Transportista]]),"")</f>
        <v/>
      </c>
      <c r="G321" s="2" t="str">
        <f>IFERROR(IF(MARÍTIMOS[[#This Row],[Tercero]]="","",MARÍTIMOS[[#This Row],[Tercero]]),"")</f>
        <v/>
      </c>
      <c r="H321" s="2" t="str">
        <f>IFERROR(IF(MARÍTIMOS[[#This Row],[Razón Social]]="","",MARÍTIMOS[[#This Row],[Razón Social]]),"")</f>
        <v/>
      </c>
      <c r="I321" s="2" t="str">
        <f>IFERROR(IF(MARÍTIMOS[[#This Row],[RUC]]="","",MARÍTIMOS[[#This Row],[RUC]]),"")</f>
        <v/>
      </c>
      <c r="J321" s="2" t="str">
        <f>IFERROR(IF(MARÍTIMOS[[#This Row],[Placa Tracto]]="","",MARÍTIMOS[[#This Row],[Placa Tracto]]),"")</f>
        <v/>
      </c>
      <c r="K321" s="2" t="str">
        <f>IFERROR(IF(MARÍTIMOS[[#This Row],[Placa Carreta]]="","",MARÍTIMOS[[#This Row],[Placa Carreta]]),"")</f>
        <v/>
      </c>
      <c r="L321" s="46" t="str">
        <f>IFERROR(IF(MARÍTIMOS[[#This Row],[Conductor]]="","",MARÍTIMOS[[#This Row],[Conductor]]),"")</f>
        <v/>
      </c>
      <c r="M321" s="2" t="str">
        <f>IFERROR(IF(MARÍTIMOS[[#This Row],[Licencia]]="","",MARÍTIMOS[[#This Row],[Licencia]]),"")</f>
        <v/>
      </c>
      <c r="N321" s="2" t="str">
        <f>IFERROR(IF(MARÍTIMOS[[#This Row],[Número de Contacto]]="","",MARÍTIMOS[[#This Row],[Número de Contacto]]),"")</f>
        <v/>
      </c>
      <c r="O321" s="10" t="str">
        <f>IFERROR(IF(MARÍTIMOS[[#This Row],[Booking|AWB|CRT]]="","",MARÍTIMOS[[#This Row],[Booking|AWB|CRT]]),"")</f>
        <v/>
      </c>
      <c r="P321" s="2" t="str">
        <f>IFERROR(IF(MARÍTIMOS[[#This Row],[Contenedor]]="","",MARÍTIMOS[[#This Row],[Contenedor]]),"")</f>
        <v/>
      </c>
      <c r="Q321" s="2" t="str">
        <f>IFERROR(IF(MARÍTIMOS[[#This Row],[Puerto de Retiro]]="","",MARÍTIMOS[[#This Row],[Puerto de Retiro]]),"")</f>
        <v/>
      </c>
      <c r="R321" s="2" t="str">
        <f>IFERROR(IF(MARÍTIMOS[[#This Row],[Almacén de Retiro]]="","",MARÍTIMOS[[#This Row],[Almacén de Retiro]]),"")</f>
        <v/>
      </c>
      <c r="S321" s="11" t="str">
        <f>IFERROR(IF(MARÍTIMOS[[#This Row],[Etapa Retiro - Cita]]="","",MARÍTIMOS[[#This Row],[Etapa Retiro - Cita]]),"")</f>
        <v/>
      </c>
      <c r="T321" s="11" t="str">
        <f>IFERROR(IF(MARÍTIMOS[[#This Row],[Etapa Retiro - Llegada]]="","",MARÍTIMOS[[#This Row],[Etapa Retiro - Llegada]]),"")</f>
        <v/>
      </c>
      <c r="U321" s="11" t="str">
        <f>IFERROR(IF(MARÍTIMOS[[#This Row],[Etapa Retiro - Ingreso]]="","",MARÍTIMOS[[#This Row],[Etapa Retiro - Ingreso]]),"")</f>
        <v/>
      </c>
      <c r="V321" s="11" t="str">
        <f>IFERROR(IF(MARÍTIMOS[[#This Row],[Etapa Retiro - Atención]]="","",MARÍTIMOS[[#This Row],[Etapa Retiro - Atención]]),"")</f>
        <v/>
      </c>
      <c r="W321" s="11" t="str">
        <f>IFERROR(IF(MARÍTIMOS[[#This Row],[Etapa Retiro - Salida]]="","",MARÍTIMOS[[#This Row],[Etapa Retiro - Salida]]),"")</f>
        <v/>
      </c>
      <c r="X321" s="11" t="str">
        <f>IFERROR(IF(MARÍTIMOS[[#This Row],[Etapa Retiro - Inicio de Ruta]]="","",MARÍTIMOS[[#This Row],[Etapa Retiro - Inicio de Ruta]]),"")</f>
        <v/>
      </c>
      <c r="Y321" s="11" t="str">
        <f>IFERROR(IF(MARÍTIMOS[[#This Row],[Hora de Posicionamiento]]="","",MARÍTIMOS[[#This Row],[Hora de Carga]]+MARÍTIMOS[[#This Row],[Hora de Posicionamiento]]),"")</f>
        <v/>
      </c>
      <c r="Z321" s="11" t="str">
        <f>IFERROR(IF(MARÍTIMOS[[#This Row],[Etapa Despacho -  Llegada]]="","",MARÍTIMOS[[#This Row],[Etapa Despacho -  Llegada]]),"")</f>
        <v/>
      </c>
      <c r="AA321" s="11" t="str">
        <f>IFERROR(IF(MARÍTIMOS[[#This Row],[Etapa Despacho -  Registro]]="","",MARÍTIMOS[[#This Row],[Etapa Despacho -  Registro]]),"")</f>
        <v/>
      </c>
      <c r="AB321" s="11" t="str">
        <f>IFERROR(IF(MARÍTIMOS[[#This Row],[Inspección Externa]]="","",MARÍTIMOS[[#This Row],[Inspección Externa]]),"")</f>
        <v/>
      </c>
      <c r="AC321" s="11" t="str">
        <f>IFERROR(IF(MARÍTIMOS[[#This Row],[Etapa Despacho -  Inicio de Carga]]="","",MARÍTIMOS[[#This Row],[Etapa Despacho -  Inicio de Carga]]),"")</f>
        <v/>
      </c>
      <c r="AD321" s="11" t="str">
        <f>IFERROR(IF(MARÍTIMOS[[#This Row],[Etapa Despacho -  Fin de Carga]]="","",MARÍTIMOS[[#This Row],[Etapa Despacho -  Fin de Carga]]),"")</f>
        <v/>
      </c>
      <c r="AE321" s="11" t="str">
        <f>IFERROR(IF(MARÍTIMOS[[#This Row],[Etapa Despacho -  Salida]]="","",MARÍTIMOS[[#This Row],[Etapa Despacho -  Salida]]),"")</f>
        <v/>
      </c>
      <c r="AF321" s="2" t="str">
        <f>IFERROR(IF(MARÍTIMOS[[#This Row],[Puerto de Embarque]]="","",MARÍTIMOS[[#This Row],[Puerto de Embarque]]),"")</f>
        <v/>
      </c>
      <c r="AG321" s="2" t="str">
        <f>IFERROR(IF(MARÍTIMOS[[#This Row],[Almacén de Ingreso]]="","",MARÍTIMOS[[#This Row],[Almacén de Ingreso]]),"")</f>
        <v/>
      </c>
      <c r="AH321" s="11" t="str">
        <f>IFERROR(IF(MARÍTIMOS[[#This Row],[Etapa Ingreso - Cita]]="","",MARÍTIMOS[[#This Row],[Etapa Ingreso - Cita]]),"")</f>
        <v/>
      </c>
      <c r="AI321" s="11" t="str">
        <f>IFERROR(IF(MARÍTIMOS[[#This Row],[Etapa Ingreso - Llegada]]="","",MARÍTIMOS[[#This Row],[Etapa Ingreso - Llegada]]),"")</f>
        <v/>
      </c>
      <c r="AJ321" s="11" t="str">
        <f>IFERROR(IF(MARÍTIMOS[[#This Row],[Etapa Ingreso - Ingeso]]="","",MARÍTIMOS[[#This Row],[Etapa Ingreso - Ingeso]]),"")</f>
        <v/>
      </c>
      <c r="AK321" s="11" t="str">
        <f>IFERROR(IF(MARÍTIMOS[[#This Row],[Etapa Ingreso - Atención]]="","",MARÍTIMOS[[#This Row],[Etapa Ingreso - Atención]]),"")</f>
        <v/>
      </c>
      <c r="AL321" s="11" t="str">
        <f>IFERROR(IF(MARÍTIMOS[[#This Row],[Etapa Ingreso - Salida]]="","",MARÍTIMOS[[#This Row],[Etapa Ingreso - Salida]]),"")</f>
        <v/>
      </c>
      <c r="AM321" s="2" t="str">
        <f>IFERROR(IF(MARÍTIMOS[[#This Row],[FCL]]="","",MARÍTIMOS[[#This Row],[FCL]]),"")</f>
        <v/>
      </c>
      <c r="AN3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1" s="5" t="str">
        <f>IFERROR(OLDBD[[#This Row],[Llegada a packing]]-OLDBD[[#This Row],[Inicio de Ruta]],"")</f>
        <v/>
      </c>
      <c r="AQ321" s="6" t="str">
        <f>IFERROR(OLDBD[[#This Row],[Inicio de Ruta]]-OLDBD[[#This Row],[Salida de almacén de retiro]],"")</f>
        <v/>
      </c>
      <c r="AR3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1" s="9" t="str">
        <f>IFERROR(OLDBD[[#This Row],[Ingreso Packing]]-OLDBD[[#This Row],[Registro en Packing]],"")</f>
        <v/>
      </c>
      <c r="AV321" s="9" t="str">
        <f>IFERROR(OLDBD[[#This Row],[Ingreso Packing]]-OLDBD[[#This Row],[Llegada a packing]],"")</f>
        <v/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1" s="5" t="str">
        <f>IFERROR(OLDBD[[#This Row],[Llegada Almacén de Ingreso]]-OLDBD[[#This Row],[Salida Packing]],"")</f>
        <v/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1" s="45" t="s">
        <v>181</v>
      </c>
      <c r="BB321" s="53" t="str">
        <f>IFERROR(IF(MARÍTIMOS[[#This Row],[Estatus]]="","",MARÍTIMOS[[#This Row],[Estatus]]),"")</f>
        <v/>
      </c>
      <c r="BC321" s="45"/>
      <c r="BD321" s="52" t="str">
        <f>IFERROR(OLDBD[[#This Row],[Salida de almacén de retiro]]-OLDBD[[#This Row],[Ingreso Almacén de retiro]],"")</f>
        <v/>
      </c>
      <c r="BE321" s="52" t="str">
        <f>IFERROR(OLDBD[[#This Row],[Fin de Carga]]-OLDBD[[#This Row],[Inicio de Carga]],"")</f>
        <v/>
      </c>
    </row>
    <row r="322" spans="1:57" x14ac:dyDescent="0.35">
      <c r="A322" s="1"/>
      <c r="B322" s="1" t="str">
        <f>IFERROR(IF(MARÍTIMOS[[#This Row],[PP]]="","",MARÍTIMOS[[#This Row],[PP]]),"")</f>
        <v/>
      </c>
      <c r="C322" s="1" t="str">
        <f>IFERROR(IF(MARÍTIMOS[[#This Row],[Sede]]="","",MARÍTIMOS[[#This Row],[Sede]]),"")</f>
        <v/>
      </c>
      <c r="D322" s="1" t="str">
        <f>IFERROR(IF(MARÍTIMOS[[#This Row],[Instruction]]="","",MARÍTIMOS[[#This Row],[Instruction]]),"")</f>
        <v/>
      </c>
      <c r="E322" s="1"/>
      <c r="F322" s="2" t="str">
        <f>IFERROR(IF(MARÍTIMOS[[#This Row],[Transportista]]="","",MARÍTIMOS[[#This Row],[Transportista]]),"")</f>
        <v/>
      </c>
      <c r="G322" s="2" t="str">
        <f>IFERROR(IF(MARÍTIMOS[[#This Row],[Tercero]]="","",MARÍTIMOS[[#This Row],[Tercero]]),"")</f>
        <v/>
      </c>
      <c r="H322" s="2" t="str">
        <f>IFERROR(IF(MARÍTIMOS[[#This Row],[Razón Social]]="","",MARÍTIMOS[[#This Row],[Razón Social]]),"")</f>
        <v/>
      </c>
      <c r="I322" s="2" t="str">
        <f>IFERROR(IF(MARÍTIMOS[[#This Row],[RUC]]="","",MARÍTIMOS[[#This Row],[RUC]]),"")</f>
        <v/>
      </c>
      <c r="J322" s="2" t="str">
        <f>IFERROR(IF(MARÍTIMOS[[#This Row],[Placa Tracto]]="","",MARÍTIMOS[[#This Row],[Placa Tracto]]),"")</f>
        <v/>
      </c>
      <c r="K322" s="2" t="str">
        <f>IFERROR(IF(MARÍTIMOS[[#This Row],[Placa Carreta]]="","",MARÍTIMOS[[#This Row],[Placa Carreta]]),"")</f>
        <v/>
      </c>
      <c r="L322" s="46" t="str">
        <f>IFERROR(IF(MARÍTIMOS[[#This Row],[Conductor]]="","",MARÍTIMOS[[#This Row],[Conductor]]),"")</f>
        <v/>
      </c>
      <c r="M322" s="2" t="str">
        <f>IFERROR(IF(MARÍTIMOS[[#This Row],[Licencia]]="","",MARÍTIMOS[[#This Row],[Licencia]]),"")</f>
        <v/>
      </c>
      <c r="N322" s="2" t="str">
        <f>IFERROR(IF(MARÍTIMOS[[#This Row],[Número de Contacto]]="","",MARÍTIMOS[[#This Row],[Número de Contacto]]),"")</f>
        <v/>
      </c>
      <c r="O322" s="10" t="str">
        <f>IFERROR(IF(MARÍTIMOS[[#This Row],[Booking|AWB|CRT]]="","",MARÍTIMOS[[#This Row],[Booking|AWB|CRT]]),"")</f>
        <v/>
      </c>
      <c r="P322" s="2" t="str">
        <f>IFERROR(IF(MARÍTIMOS[[#This Row],[Contenedor]]="","",MARÍTIMOS[[#This Row],[Contenedor]]),"")</f>
        <v/>
      </c>
      <c r="Q322" s="2" t="str">
        <f>IFERROR(IF(MARÍTIMOS[[#This Row],[Puerto de Retiro]]="","",MARÍTIMOS[[#This Row],[Puerto de Retiro]]),"")</f>
        <v/>
      </c>
      <c r="R322" s="2" t="str">
        <f>IFERROR(IF(MARÍTIMOS[[#This Row],[Almacén de Retiro]]="","",MARÍTIMOS[[#This Row],[Almacén de Retiro]]),"")</f>
        <v/>
      </c>
      <c r="S322" s="11" t="str">
        <f>IFERROR(IF(MARÍTIMOS[[#This Row],[Etapa Retiro - Cita]]="","",MARÍTIMOS[[#This Row],[Etapa Retiro - Cita]]),"")</f>
        <v/>
      </c>
      <c r="T322" s="11" t="str">
        <f>IFERROR(IF(MARÍTIMOS[[#This Row],[Etapa Retiro - Llegada]]="","",MARÍTIMOS[[#This Row],[Etapa Retiro - Llegada]]),"")</f>
        <v/>
      </c>
      <c r="U322" s="11" t="str">
        <f>IFERROR(IF(MARÍTIMOS[[#This Row],[Etapa Retiro - Ingreso]]="","",MARÍTIMOS[[#This Row],[Etapa Retiro - Ingreso]]),"")</f>
        <v/>
      </c>
      <c r="V322" s="11" t="str">
        <f>IFERROR(IF(MARÍTIMOS[[#This Row],[Etapa Retiro - Atención]]="","",MARÍTIMOS[[#This Row],[Etapa Retiro - Atención]]),"")</f>
        <v/>
      </c>
      <c r="W322" s="11" t="str">
        <f>IFERROR(IF(MARÍTIMOS[[#This Row],[Etapa Retiro - Salida]]="","",MARÍTIMOS[[#This Row],[Etapa Retiro - Salida]]),"")</f>
        <v/>
      </c>
      <c r="X322" s="11" t="str">
        <f>IFERROR(IF(MARÍTIMOS[[#This Row],[Etapa Retiro - Inicio de Ruta]]="","",MARÍTIMOS[[#This Row],[Etapa Retiro - Inicio de Ruta]]),"")</f>
        <v/>
      </c>
      <c r="Y322" s="11" t="str">
        <f>IFERROR(IF(MARÍTIMOS[[#This Row],[Hora de Posicionamiento]]="","",MARÍTIMOS[[#This Row],[Hora de Carga]]+MARÍTIMOS[[#This Row],[Hora de Posicionamiento]]),"")</f>
        <v/>
      </c>
      <c r="Z322" s="11" t="str">
        <f>IFERROR(IF(MARÍTIMOS[[#This Row],[Etapa Despacho -  Llegada]]="","",MARÍTIMOS[[#This Row],[Etapa Despacho -  Llegada]]),"")</f>
        <v/>
      </c>
      <c r="AA322" s="11" t="str">
        <f>IFERROR(IF(MARÍTIMOS[[#This Row],[Etapa Despacho -  Registro]]="","",MARÍTIMOS[[#This Row],[Etapa Despacho -  Registro]]),"")</f>
        <v/>
      </c>
      <c r="AB322" s="11" t="str">
        <f>IFERROR(IF(MARÍTIMOS[[#This Row],[Inspección Externa]]="","",MARÍTIMOS[[#This Row],[Inspección Externa]]),"")</f>
        <v/>
      </c>
      <c r="AC322" s="11" t="str">
        <f>IFERROR(IF(MARÍTIMOS[[#This Row],[Etapa Despacho -  Inicio de Carga]]="","",MARÍTIMOS[[#This Row],[Etapa Despacho -  Inicio de Carga]]),"")</f>
        <v/>
      </c>
      <c r="AD322" s="11" t="str">
        <f>IFERROR(IF(MARÍTIMOS[[#This Row],[Etapa Despacho -  Fin de Carga]]="","",MARÍTIMOS[[#This Row],[Etapa Despacho -  Fin de Carga]]),"")</f>
        <v/>
      </c>
      <c r="AE322" s="11" t="str">
        <f>IFERROR(IF(MARÍTIMOS[[#This Row],[Etapa Despacho -  Salida]]="","",MARÍTIMOS[[#This Row],[Etapa Despacho -  Salida]]),"")</f>
        <v/>
      </c>
      <c r="AF322" s="2" t="str">
        <f>IFERROR(IF(MARÍTIMOS[[#This Row],[Puerto de Embarque]]="","",MARÍTIMOS[[#This Row],[Puerto de Embarque]]),"")</f>
        <v/>
      </c>
      <c r="AG322" s="2" t="str">
        <f>IFERROR(IF(MARÍTIMOS[[#This Row],[Almacén de Ingreso]]="","",MARÍTIMOS[[#This Row],[Almacén de Ingreso]]),"")</f>
        <v/>
      </c>
      <c r="AH322" s="11" t="str">
        <f>IFERROR(IF(MARÍTIMOS[[#This Row],[Etapa Ingreso - Cita]]="","",MARÍTIMOS[[#This Row],[Etapa Ingreso - Cita]]),"")</f>
        <v/>
      </c>
      <c r="AI322" s="11" t="str">
        <f>IFERROR(IF(MARÍTIMOS[[#This Row],[Etapa Ingreso - Llegada]]="","",MARÍTIMOS[[#This Row],[Etapa Ingreso - Llegada]]),"")</f>
        <v/>
      </c>
      <c r="AJ322" s="11" t="str">
        <f>IFERROR(IF(MARÍTIMOS[[#This Row],[Etapa Ingreso - Ingeso]]="","",MARÍTIMOS[[#This Row],[Etapa Ingreso - Ingeso]]),"")</f>
        <v/>
      </c>
      <c r="AK322" s="11" t="str">
        <f>IFERROR(IF(MARÍTIMOS[[#This Row],[Etapa Ingreso - Atención]]="","",MARÍTIMOS[[#This Row],[Etapa Ingreso - Atención]]),"")</f>
        <v/>
      </c>
      <c r="AL322" s="11" t="str">
        <f>IFERROR(IF(MARÍTIMOS[[#This Row],[Etapa Ingreso - Salida]]="","",MARÍTIMOS[[#This Row],[Etapa Ingreso - Salida]]),"")</f>
        <v/>
      </c>
      <c r="AM322" s="2" t="str">
        <f>IFERROR(IF(MARÍTIMOS[[#This Row],[FCL]]="","",MARÍTIMOS[[#This Row],[FCL]]),"")</f>
        <v/>
      </c>
      <c r="AN3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2" s="5" t="str">
        <f>IFERROR(OLDBD[[#This Row],[Llegada a packing]]-OLDBD[[#This Row],[Inicio de Ruta]],"")</f>
        <v/>
      </c>
      <c r="AQ322" s="6" t="str">
        <f>IFERROR(OLDBD[[#This Row],[Inicio de Ruta]]-OLDBD[[#This Row],[Salida de almacén de retiro]],"")</f>
        <v/>
      </c>
      <c r="AR3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2" s="9" t="str">
        <f>IFERROR(OLDBD[[#This Row],[Ingreso Packing]]-OLDBD[[#This Row],[Registro en Packing]],"")</f>
        <v/>
      </c>
      <c r="AV322" s="9" t="str">
        <f>IFERROR(OLDBD[[#This Row],[Ingreso Packing]]-OLDBD[[#This Row],[Llegada a packing]],"")</f>
        <v/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2" s="5" t="str">
        <f>IFERROR(OLDBD[[#This Row],[Llegada Almacén de Ingreso]]-OLDBD[[#This Row],[Salida Packing]],"")</f>
        <v/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2" s="45" t="s">
        <v>181</v>
      </c>
      <c r="BB322" s="53" t="str">
        <f>IFERROR(IF(MARÍTIMOS[[#This Row],[Estatus]]="","",MARÍTIMOS[[#This Row],[Estatus]]),"")</f>
        <v/>
      </c>
      <c r="BC322" s="45"/>
      <c r="BD322" s="52" t="str">
        <f>IFERROR(OLDBD[[#This Row],[Salida de almacén de retiro]]-OLDBD[[#This Row],[Ingreso Almacén de retiro]],"")</f>
        <v/>
      </c>
      <c r="BE322" s="52" t="str">
        <f>IFERROR(OLDBD[[#This Row],[Fin de Carga]]-OLDBD[[#This Row],[Inicio de Carga]],"")</f>
        <v/>
      </c>
    </row>
    <row r="323" spans="1:57" x14ac:dyDescent="0.35">
      <c r="A323" s="1"/>
      <c r="B323" s="1" t="str">
        <f>IFERROR(IF(MARÍTIMOS[[#This Row],[PP]]="","",MARÍTIMOS[[#This Row],[PP]]),"")</f>
        <v/>
      </c>
      <c r="C323" s="1" t="str">
        <f>IFERROR(IF(MARÍTIMOS[[#This Row],[Sede]]="","",MARÍTIMOS[[#This Row],[Sede]]),"")</f>
        <v/>
      </c>
      <c r="D323" s="1" t="str">
        <f>IFERROR(IF(MARÍTIMOS[[#This Row],[Instruction]]="","",MARÍTIMOS[[#This Row],[Instruction]]),"")</f>
        <v/>
      </c>
      <c r="E323" s="1"/>
      <c r="F323" s="2" t="str">
        <f>IFERROR(IF(MARÍTIMOS[[#This Row],[Transportista]]="","",MARÍTIMOS[[#This Row],[Transportista]]),"")</f>
        <v/>
      </c>
      <c r="G323" s="2" t="str">
        <f>IFERROR(IF(MARÍTIMOS[[#This Row],[Tercero]]="","",MARÍTIMOS[[#This Row],[Tercero]]),"")</f>
        <v/>
      </c>
      <c r="H323" s="2" t="str">
        <f>IFERROR(IF(MARÍTIMOS[[#This Row],[Razón Social]]="","",MARÍTIMOS[[#This Row],[Razón Social]]),"")</f>
        <v/>
      </c>
      <c r="I323" s="2" t="str">
        <f>IFERROR(IF(MARÍTIMOS[[#This Row],[RUC]]="","",MARÍTIMOS[[#This Row],[RUC]]),"")</f>
        <v/>
      </c>
      <c r="J323" s="2" t="str">
        <f>IFERROR(IF(MARÍTIMOS[[#This Row],[Placa Tracto]]="","",MARÍTIMOS[[#This Row],[Placa Tracto]]),"")</f>
        <v/>
      </c>
      <c r="K323" s="2" t="str">
        <f>IFERROR(IF(MARÍTIMOS[[#This Row],[Placa Carreta]]="","",MARÍTIMOS[[#This Row],[Placa Carreta]]),"")</f>
        <v/>
      </c>
      <c r="L323" s="46" t="str">
        <f>IFERROR(IF(MARÍTIMOS[[#This Row],[Conductor]]="","",MARÍTIMOS[[#This Row],[Conductor]]),"")</f>
        <v/>
      </c>
      <c r="M323" s="2" t="str">
        <f>IFERROR(IF(MARÍTIMOS[[#This Row],[Licencia]]="","",MARÍTIMOS[[#This Row],[Licencia]]),"")</f>
        <v/>
      </c>
      <c r="N323" s="2" t="str">
        <f>IFERROR(IF(MARÍTIMOS[[#This Row],[Número de Contacto]]="","",MARÍTIMOS[[#This Row],[Número de Contacto]]),"")</f>
        <v/>
      </c>
      <c r="O323" s="10" t="str">
        <f>IFERROR(IF(MARÍTIMOS[[#This Row],[Booking|AWB|CRT]]="","",MARÍTIMOS[[#This Row],[Booking|AWB|CRT]]),"")</f>
        <v/>
      </c>
      <c r="P323" s="2" t="str">
        <f>IFERROR(IF(MARÍTIMOS[[#This Row],[Contenedor]]="","",MARÍTIMOS[[#This Row],[Contenedor]]),"")</f>
        <v/>
      </c>
      <c r="Q323" s="2" t="str">
        <f>IFERROR(IF(MARÍTIMOS[[#This Row],[Puerto de Retiro]]="","",MARÍTIMOS[[#This Row],[Puerto de Retiro]]),"")</f>
        <v/>
      </c>
      <c r="R323" s="2" t="str">
        <f>IFERROR(IF(MARÍTIMOS[[#This Row],[Almacén de Retiro]]="","",MARÍTIMOS[[#This Row],[Almacén de Retiro]]),"")</f>
        <v/>
      </c>
      <c r="S323" s="11" t="str">
        <f>IFERROR(IF(MARÍTIMOS[[#This Row],[Etapa Retiro - Cita]]="","",MARÍTIMOS[[#This Row],[Etapa Retiro - Cita]]),"")</f>
        <v/>
      </c>
      <c r="T323" s="11" t="str">
        <f>IFERROR(IF(MARÍTIMOS[[#This Row],[Etapa Retiro - Llegada]]="","",MARÍTIMOS[[#This Row],[Etapa Retiro - Llegada]]),"")</f>
        <v/>
      </c>
      <c r="U323" s="11" t="str">
        <f>IFERROR(IF(MARÍTIMOS[[#This Row],[Etapa Retiro - Ingreso]]="","",MARÍTIMOS[[#This Row],[Etapa Retiro - Ingreso]]),"")</f>
        <v/>
      </c>
      <c r="V323" s="11" t="str">
        <f>IFERROR(IF(MARÍTIMOS[[#This Row],[Etapa Retiro - Atención]]="","",MARÍTIMOS[[#This Row],[Etapa Retiro - Atención]]),"")</f>
        <v/>
      </c>
      <c r="W323" s="11" t="str">
        <f>IFERROR(IF(MARÍTIMOS[[#This Row],[Etapa Retiro - Salida]]="","",MARÍTIMOS[[#This Row],[Etapa Retiro - Salida]]),"")</f>
        <v/>
      </c>
      <c r="X323" s="11" t="str">
        <f>IFERROR(IF(MARÍTIMOS[[#This Row],[Etapa Retiro - Inicio de Ruta]]="","",MARÍTIMOS[[#This Row],[Etapa Retiro - Inicio de Ruta]]),"")</f>
        <v/>
      </c>
      <c r="Y323" s="11" t="str">
        <f>IFERROR(IF(MARÍTIMOS[[#This Row],[Hora de Posicionamiento]]="","",MARÍTIMOS[[#This Row],[Hora de Carga]]+MARÍTIMOS[[#This Row],[Hora de Posicionamiento]]),"")</f>
        <v/>
      </c>
      <c r="Z323" s="11" t="str">
        <f>IFERROR(IF(MARÍTIMOS[[#This Row],[Etapa Despacho -  Llegada]]="","",MARÍTIMOS[[#This Row],[Etapa Despacho -  Llegada]]),"")</f>
        <v/>
      </c>
      <c r="AA323" s="11" t="str">
        <f>IFERROR(IF(MARÍTIMOS[[#This Row],[Etapa Despacho -  Registro]]="","",MARÍTIMOS[[#This Row],[Etapa Despacho -  Registro]]),"")</f>
        <v/>
      </c>
      <c r="AB323" s="11" t="str">
        <f>IFERROR(IF(MARÍTIMOS[[#This Row],[Inspección Externa]]="","",MARÍTIMOS[[#This Row],[Inspección Externa]]),"")</f>
        <v/>
      </c>
      <c r="AC323" s="11" t="str">
        <f>IFERROR(IF(MARÍTIMOS[[#This Row],[Etapa Despacho -  Inicio de Carga]]="","",MARÍTIMOS[[#This Row],[Etapa Despacho -  Inicio de Carga]]),"")</f>
        <v/>
      </c>
      <c r="AD323" s="11" t="str">
        <f>IFERROR(IF(MARÍTIMOS[[#This Row],[Etapa Despacho -  Fin de Carga]]="","",MARÍTIMOS[[#This Row],[Etapa Despacho -  Fin de Carga]]),"")</f>
        <v/>
      </c>
      <c r="AE323" s="11" t="str">
        <f>IFERROR(IF(MARÍTIMOS[[#This Row],[Etapa Despacho -  Salida]]="","",MARÍTIMOS[[#This Row],[Etapa Despacho -  Salida]]),"")</f>
        <v/>
      </c>
      <c r="AF323" s="2" t="str">
        <f>IFERROR(IF(MARÍTIMOS[[#This Row],[Puerto de Embarque]]="","",MARÍTIMOS[[#This Row],[Puerto de Embarque]]),"")</f>
        <v/>
      </c>
      <c r="AG323" s="2" t="str">
        <f>IFERROR(IF(MARÍTIMOS[[#This Row],[Almacén de Ingreso]]="","",MARÍTIMOS[[#This Row],[Almacén de Ingreso]]),"")</f>
        <v/>
      </c>
      <c r="AH323" s="11" t="str">
        <f>IFERROR(IF(MARÍTIMOS[[#This Row],[Etapa Ingreso - Cita]]="","",MARÍTIMOS[[#This Row],[Etapa Ingreso - Cita]]),"")</f>
        <v/>
      </c>
      <c r="AI323" s="11" t="str">
        <f>IFERROR(IF(MARÍTIMOS[[#This Row],[Etapa Ingreso - Llegada]]="","",MARÍTIMOS[[#This Row],[Etapa Ingreso - Llegada]]),"")</f>
        <v/>
      </c>
      <c r="AJ323" s="11" t="str">
        <f>IFERROR(IF(MARÍTIMOS[[#This Row],[Etapa Ingreso - Ingeso]]="","",MARÍTIMOS[[#This Row],[Etapa Ingreso - Ingeso]]),"")</f>
        <v/>
      </c>
      <c r="AK323" s="11" t="str">
        <f>IFERROR(IF(MARÍTIMOS[[#This Row],[Etapa Ingreso - Atención]]="","",MARÍTIMOS[[#This Row],[Etapa Ingreso - Atención]]),"")</f>
        <v/>
      </c>
      <c r="AL323" s="11" t="str">
        <f>IFERROR(IF(MARÍTIMOS[[#This Row],[Etapa Ingreso - Salida]]="","",MARÍTIMOS[[#This Row],[Etapa Ingreso - Salida]]),"")</f>
        <v/>
      </c>
      <c r="AM323" s="2" t="str">
        <f>IFERROR(IF(MARÍTIMOS[[#This Row],[FCL]]="","",MARÍTIMOS[[#This Row],[FCL]]),"")</f>
        <v/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3" s="5" t="str">
        <f>IFERROR(OLDBD[[#This Row],[Llegada a packing]]-OLDBD[[#This Row],[Inicio de Ruta]],"")</f>
        <v/>
      </c>
      <c r="AQ323" s="6" t="str">
        <f>IFERROR(OLDBD[[#This Row],[Inicio de Ruta]]-OLDBD[[#This Row],[Salida de almacén de retiro]],"")</f>
        <v/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3" s="9" t="str">
        <f>IFERROR(OLDBD[[#This Row],[Ingreso Packing]]-OLDBD[[#This Row],[Registro en Packing]],"")</f>
        <v/>
      </c>
      <c r="AV323" s="9" t="str">
        <f>IFERROR(OLDBD[[#This Row],[Ingreso Packing]]-OLDBD[[#This Row],[Llegada a packing]],"")</f>
        <v/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3" s="5" t="str">
        <f>IFERROR(OLDBD[[#This Row],[Llegada Almacén de Ingreso]]-OLDBD[[#This Row],[Salida Packing]],"")</f>
        <v/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3" s="45" t="s">
        <v>181</v>
      </c>
      <c r="BB323" s="53" t="str">
        <f>IFERROR(IF(MARÍTIMOS[[#This Row],[Estatus]]="","",MARÍTIMOS[[#This Row],[Estatus]]),"")</f>
        <v/>
      </c>
      <c r="BC323" s="45"/>
      <c r="BD323" s="52" t="str">
        <f>IFERROR(OLDBD[[#This Row],[Salida de almacén de retiro]]-OLDBD[[#This Row],[Ingreso Almacén de retiro]],"")</f>
        <v/>
      </c>
      <c r="BE323" s="52" t="str">
        <f>IFERROR(OLDBD[[#This Row],[Fin de Carga]]-OLDBD[[#This Row],[Inicio de Carga]],"")</f>
        <v/>
      </c>
    </row>
    <row r="324" spans="1:57" x14ac:dyDescent="0.35">
      <c r="A324" s="1"/>
      <c r="B324" s="1" t="str">
        <f>IFERROR(IF(MARÍTIMOS[[#This Row],[PP]]="","",MARÍTIMOS[[#This Row],[PP]]),"")</f>
        <v/>
      </c>
      <c r="C324" s="1" t="str">
        <f>IFERROR(IF(MARÍTIMOS[[#This Row],[Sede]]="","",MARÍTIMOS[[#This Row],[Sede]]),"")</f>
        <v/>
      </c>
      <c r="D324" s="1" t="str">
        <f>IFERROR(IF(MARÍTIMOS[[#This Row],[Instruction]]="","",MARÍTIMOS[[#This Row],[Instruction]]),"")</f>
        <v/>
      </c>
      <c r="E324" s="1"/>
      <c r="F324" s="2" t="str">
        <f>IFERROR(IF(MARÍTIMOS[[#This Row],[Transportista]]="","",MARÍTIMOS[[#This Row],[Transportista]]),"")</f>
        <v/>
      </c>
      <c r="G324" s="2" t="str">
        <f>IFERROR(IF(MARÍTIMOS[[#This Row],[Tercero]]="","",MARÍTIMOS[[#This Row],[Tercero]]),"")</f>
        <v/>
      </c>
      <c r="H324" s="2" t="str">
        <f>IFERROR(IF(MARÍTIMOS[[#This Row],[Razón Social]]="","",MARÍTIMOS[[#This Row],[Razón Social]]),"")</f>
        <v/>
      </c>
      <c r="I324" s="2" t="str">
        <f>IFERROR(IF(MARÍTIMOS[[#This Row],[RUC]]="","",MARÍTIMOS[[#This Row],[RUC]]),"")</f>
        <v/>
      </c>
      <c r="J324" s="2" t="str">
        <f>IFERROR(IF(MARÍTIMOS[[#This Row],[Placa Tracto]]="","",MARÍTIMOS[[#This Row],[Placa Tracto]]),"")</f>
        <v/>
      </c>
      <c r="K324" s="2" t="str">
        <f>IFERROR(IF(MARÍTIMOS[[#This Row],[Placa Carreta]]="","",MARÍTIMOS[[#This Row],[Placa Carreta]]),"")</f>
        <v/>
      </c>
      <c r="L324" s="46" t="str">
        <f>IFERROR(IF(MARÍTIMOS[[#This Row],[Conductor]]="","",MARÍTIMOS[[#This Row],[Conductor]]),"")</f>
        <v/>
      </c>
      <c r="M324" s="2" t="str">
        <f>IFERROR(IF(MARÍTIMOS[[#This Row],[Licencia]]="","",MARÍTIMOS[[#This Row],[Licencia]]),"")</f>
        <v/>
      </c>
      <c r="N324" s="2" t="str">
        <f>IFERROR(IF(MARÍTIMOS[[#This Row],[Número de Contacto]]="","",MARÍTIMOS[[#This Row],[Número de Contacto]]),"")</f>
        <v/>
      </c>
      <c r="O324" s="10" t="str">
        <f>IFERROR(IF(MARÍTIMOS[[#This Row],[Booking|AWB|CRT]]="","",MARÍTIMOS[[#This Row],[Booking|AWB|CRT]]),"")</f>
        <v/>
      </c>
      <c r="P324" s="2" t="str">
        <f>IFERROR(IF(MARÍTIMOS[[#This Row],[Contenedor]]="","",MARÍTIMOS[[#This Row],[Contenedor]]),"")</f>
        <v/>
      </c>
      <c r="Q324" s="2" t="str">
        <f>IFERROR(IF(MARÍTIMOS[[#This Row],[Puerto de Retiro]]="","",MARÍTIMOS[[#This Row],[Puerto de Retiro]]),"")</f>
        <v/>
      </c>
      <c r="R324" s="2" t="str">
        <f>IFERROR(IF(MARÍTIMOS[[#This Row],[Almacén de Retiro]]="","",MARÍTIMOS[[#This Row],[Almacén de Retiro]]),"")</f>
        <v/>
      </c>
      <c r="S324" s="11" t="str">
        <f>IFERROR(IF(MARÍTIMOS[[#This Row],[Etapa Retiro - Cita]]="","",MARÍTIMOS[[#This Row],[Etapa Retiro - Cita]]),"")</f>
        <v/>
      </c>
      <c r="T324" s="11" t="str">
        <f>IFERROR(IF(MARÍTIMOS[[#This Row],[Etapa Retiro - Llegada]]="","",MARÍTIMOS[[#This Row],[Etapa Retiro - Llegada]]),"")</f>
        <v/>
      </c>
      <c r="U324" s="11" t="str">
        <f>IFERROR(IF(MARÍTIMOS[[#This Row],[Etapa Retiro - Ingreso]]="","",MARÍTIMOS[[#This Row],[Etapa Retiro - Ingreso]]),"")</f>
        <v/>
      </c>
      <c r="V324" s="11" t="str">
        <f>IFERROR(IF(MARÍTIMOS[[#This Row],[Etapa Retiro - Atención]]="","",MARÍTIMOS[[#This Row],[Etapa Retiro - Atención]]),"")</f>
        <v/>
      </c>
      <c r="W324" s="11" t="str">
        <f>IFERROR(IF(MARÍTIMOS[[#This Row],[Etapa Retiro - Salida]]="","",MARÍTIMOS[[#This Row],[Etapa Retiro - Salida]]),"")</f>
        <v/>
      </c>
      <c r="X324" s="11" t="str">
        <f>IFERROR(IF(MARÍTIMOS[[#This Row],[Etapa Retiro - Inicio de Ruta]]="","",MARÍTIMOS[[#This Row],[Etapa Retiro - Inicio de Ruta]]),"")</f>
        <v/>
      </c>
      <c r="Y324" s="11" t="str">
        <f>IFERROR(IF(MARÍTIMOS[[#This Row],[Hora de Posicionamiento]]="","",MARÍTIMOS[[#This Row],[Hora de Carga]]+MARÍTIMOS[[#This Row],[Hora de Posicionamiento]]),"")</f>
        <v/>
      </c>
      <c r="Z324" s="11" t="str">
        <f>IFERROR(IF(MARÍTIMOS[[#This Row],[Etapa Despacho -  Llegada]]="","",MARÍTIMOS[[#This Row],[Etapa Despacho -  Llegada]]),"")</f>
        <v/>
      </c>
      <c r="AA324" s="11" t="str">
        <f>IFERROR(IF(MARÍTIMOS[[#This Row],[Etapa Despacho -  Registro]]="","",MARÍTIMOS[[#This Row],[Etapa Despacho -  Registro]]),"")</f>
        <v/>
      </c>
      <c r="AB324" s="11" t="str">
        <f>IFERROR(IF(MARÍTIMOS[[#This Row],[Inspección Externa]]="","",MARÍTIMOS[[#This Row],[Inspección Externa]]),"")</f>
        <v/>
      </c>
      <c r="AC324" s="11" t="str">
        <f>IFERROR(IF(MARÍTIMOS[[#This Row],[Etapa Despacho -  Inicio de Carga]]="","",MARÍTIMOS[[#This Row],[Etapa Despacho -  Inicio de Carga]]),"")</f>
        <v/>
      </c>
      <c r="AD324" s="11" t="str">
        <f>IFERROR(IF(MARÍTIMOS[[#This Row],[Etapa Despacho -  Fin de Carga]]="","",MARÍTIMOS[[#This Row],[Etapa Despacho -  Fin de Carga]]),"")</f>
        <v/>
      </c>
      <c r="AE324" s="11" t="str">
        <f>IFERROR(IF(MARÍTIMOS[[#This Row],[Etapa Despacho -  Salida]]="","",MARÍTIMOS[[#This Row],[Etapa Despacho -  Salida]]),"")</f>
        <v/>
      </c>
      <c r="AF324" s="2" t="str">
        <f>IFERROR(IF(MARÍTIMOS[[#This Row],[Puerto de Embarque]]="","",MARÍTIMOS[[#This Row],[Puerto de Embarque]]),"")</f>
        <v/>
      </c>
      <c r="AG324" s="2" t="str">
        <f>IFERROR(IF(MARÍTIMOS[[#This Row],[Almacén de Ingreso]]="","",MARÍTIMOS[[#This Row],[Almacén de Ingreso]]),"")</f>
        <v/>
      </c>
      <c r="AH324" s="11" t="str">
        <f>IFERROR(IF(MARÍTIMOS[[#This Row],[Etapa Ingreso - Cita]]="","",MARÍTIMOS[[#This Row],[Etapa Ingreso - Cita]]),"")</f>
        <v/>
      </c>
      <c r="AI324" s="11" t="str">
        <f>IFERROR(IF(MARÍTIMOS[[#This Row],[Etapa Ingreso - Llegada]]="","",MARÍTIMOS[[#This Row],[Etapa Ingreso - Llegada]]),"")</f>
        <v/>
      </c>
      <c r="AJ324" s="11" t="str">
        <f>IFERROR(IF(MARÍTIMOS[[#This Row],[Etapa Ingreso - Ingeso]]="","",MARÍTIMOS[[#This Row],[Etapa Ingreso - Ingeso]]),"")</f>
        <v/>
      </c>
      <c r="AK324" s="11" t="str">
        <f>IFERROR(IF(MARÍTIMOS[[#This Row],[Etapa Ingreso - Atención]]="","",MARÍTIMOS[[#This Row],[Etapa Ingreso - Atención]]),"")</f>
        <v/>
      </c>
      <c r="AL324" s="11" t="str">
        <f>IFERROR(IF(MARÍTIMOS[[#This Row],[Etapa Ingreso - Salida]]="","",MARÍTIMOS[[#This Row],[Etapa Ingreso - Salida]]),"")</f>
        <v/>
      </c>
      <c r="AM324" s="2" t="str">
        <f>IFERROR(IF(MARÍTIMOS[[#This Row],[FCL]]="","",MARÍTIMOS[[#This Row],[FCL]]),"")</f>
        <v/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4" s="5" t="str">
        <f>IFERROR(OLDBD[[#This Row],[Llegada a packing]]-OLDBD[[#This Row],[Inicio de Ruta]],"")</f>
        <v/>
      </c>
      <c r="AQ324" s="6" t="str">
        <f>IFERROR(OLDBD[[#This Row],[Inicio de Ruta]]-OLDBD[[#This Row],[Salida de almacén de retiro]],"")</f>
        <v/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4" s="9" t="str">
        <f>IFERROR(OLDBD[[#This Row],[Ingreso Packing]]-OLDBD[[#This Row],[Registro en Packing]],"")</f>
        <v/>
      </c>
      <c r="AV324" s="9" t="str">
        <f>IFERROR(OLDBD[[#This Row],[Ingreso Packing]]-OLDBD[[#This Row],[Llegada a packing]],"")</f>
        <v/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4" s="5" t="str">
        <f>IFERROR(OLDBD[[#This Row],[Llegada Almacén de Ingreso]]-OLDBD[[#This Row],[Salida Packing]],"")</f>
        <v/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4" s="45" t="s">
        <v>181</v>
      </c>
      <c r="BB324" s="53" t="str">
        <f>IFERROR(IF(MARÍTIMOS[[#This Row],[Estatus]]="","",MARÍTIMOS[[#This Row],[Estatus]]),"")</f>
        <v/>
      </c>
      <c r="BC324" s="45"/>
      <c r="BD324" s="52" t="str">
        <f>IFERROR(OLDBD[[#This Row],[Salida de almacén de retiro]]-OLDBD[[#This Row],[Ingreso Almacén de retiro]],"")</f>
        <v/>
      </c>
      <c r="BE324" s="52" t="str">
        <f>IFERROR(OLDBD[[#This Row],[Fin de Carga]]-OLDBD[[#This Row],[Inicio de Carga]],"")</f>
        <v/>
      </c>
    </row>
    <row r="325" spans="1:57" x14ac:dyDescent="0.35">
      <c r="A325" s="1"/>
      <c r="B325" s="1" t="str">
        <f>IFERROR(IF(MARÍTIMOS[[#This Row],[PP]]="","",MARÍTIMOS[[#This Row],[PP]]),"")</f>
        <v/>
      </c>
      <c r="C325" s="1" t="str">
        <f>IFERROR(IF(MARÍTIMOS[[#This Row],[Sede]]="","",MARÍTIMOS[[#This Row],[Sede]]),"")</f>
        <v/>
      </c>
      <c r="D325" s="1" t="str">
        <f>IFERROR(IF(MARÍTIMOS[[#This Row],[Instruction]]="","",MARÍTIMOS[[#This Row],[Instruction]]),"")</f>
        <v/>
      </c>
      <c r="E325" s="1"/>
      <c r="F325" s="2" t="str">
        <f>IFERROR(IF(MARÍTIMOS[[#This Row],[Transportista]]="","",MARÍTIMOS[[#This Row],[Transportista]]),"")</f>
        <v/>
      </c>
      <c r="G325" s="2" t="str">
        <f>IFERROR(IF(MARÍTIMOS[[#This Row],[Tercero]]="","",MARÍTIMOS[[#This Row],[Tercero]]),"")</f>
        <v/>
      </c>
      <c r="H325" s="2" t="str">
        <f>IFERROR(IF(MARÍTIMOS[[#This Row],[Razón Social]]="","",MARÍTIMOS[[#This Row],[Razón Social]]),"")</f>
        <v/>
      </c>
      <c r="I325" s="2" t="str">
        <f>IFERROR(IF(MARÍTIMOS[[#This Row],[RUC]]="","",MARÍTIMOS[[#This Row],[RUC]]),"")</f>
        <v/>
      </c>
      <c r="J325" s="2" t="str">
        <f>IFERROR(IF(MARÍTIMOS[[#This Row],[Placa Tracto]]="","",MARÍTIMOS[[#This Row],[Placa Tracto]]),"")</f>
        <v/>
      </c>
      <c r="K325" s="2" t="str">
        <f>IFERROR(IF(MARÍTIMOS[[#This Row],[Placa Carreta]]="","",MARÍTIMOS[[#This Row],[Placa Carreta]]),"")</f>
        <v/>
      </c>
      <c r="L325" s="46" t="str">
        <f>IFERROR(IF(MARÍTIMOS[[#This Row],[Conductor]]="","",MARÍTIMOS[[#This Row],[Conductor]]),"")</f>
        <v/>
      </c>
      <c r="M325" s="2" t="str">
        <f>IFERROR(IF(MARÍTIMOS[[#This Row],[Licencia]]="","",MARÍTIMOS[[#This Row],[Licencia]]),"")</f>
        <v/>
      </c>
      <c r="N325" s="2" t="str">
        <f>IFERROR(IF(MARÍTIMOS[[#This Row],[Número de Contacto]]="","",MARÍTIMOS[[#This Row],[Número de Contacto]]),"")</f>
        <v/>
      </c>
      <c r="O325" s="10" t="str">
        <f>IFERROR(IF(MARÍTIMOS[[#This Row],[Booking|AWB|CRT]]="","",MARÍTIMOS[[#This Row],[Booking|AWB|CRT]]),"")</f>
        <v/>
      </c>
      <c r="P325" s="2" t="str">
        <f>IFERROR(IF(MARÍTIMOS[[#This Row],[Contenedor]]="","",MARÍTIMOS[[#This Row],[Contenedor]]),"")</f>
        <v/>
      </c>
      <c r="Q325" s="2" t="str">
        <f>IFERROR(IF(MARÍTIMOS[[#This Row],[Puerto de Retiro]]="","",MARÍTIMOS[[#This Row],[Puerto de Retiro]]),"")</f>
        <v/>
      </c>
      <c r="R325" s="2" t="str">
        <f>IFERROR(IF(MARÍTIMOS[[#This Row],[Almacén de Retiro]]="","",MARÍTIMOS[[#This Row],[Almacén de Retiro]]),"")</f>
        <v/>
      </c>
      <c r="S325" s="11" t="str">
        <f>IFERROR(IF(MARÍTIMOS[[#This Row],[Etapa Retiro - Cita]]="","",MARÍTIMOS[[#This Row],[Etapa Retiro - Cita]]),"")</f>
        <v/>
      </c>
      <c r="T325" s="11" t="str">
        <f>IFERROR(IF(MARÍTIMOS[[#This Row],[Etapa Retiro - Llegada]]="","",MARÍTIMOS[[#This Row],[Etapa Retiro - Llegada]]),"")</f>
        <v/>
      </c>
      <c r="U325" s="11" t="str">
        <f>IFERROR(IF(MARÍTIMOS[[#This Row],[Etapa Retiro - Ingreso]]="","",MARÍTIMOS[[#This Row],[Etapa Retiro - Ingreso]]),"")</f>
        <v/>
      </c>
      <c r="V325" s="11" t="str">
        <f>IFERROR(IF(MARÍTIMOS[[#This Row],[Etapa Retiro - Atención]]="","",MARÍTIMOS[[#This Row],[Etapa Retiro - Atención]]),"")</f>
        <v/>
      </c>
      <c r="W325" s="11" t="str">
        <f>IFERROR(IF(MARÍTIMOS[[#This Row],[Etapa Retiro - Salida]]="","",MARÍTIMOS[[#This Row],[Etapa Retiro - Salida]]),"")</f>
        <v/>
      </c>
      <c r="X325" s="11" t="str">
        <f>IFERROR(IF(MARÍTIMOS[[#This Row],[Etapa Retiro - Inicio de Ruta]]="","",MARÍTIMOS[[#This Row],[Etapa Retiro - Inicio de Ruta]]),"")</f>
        <v/>
      </c>
      <c r="Y325" s="11" t="str">
        <f>IFERROR(IF(MARÍTIMOS[[#This Row],[Hora de Posicionamiento]]="","",MARÍTIMOS[[#This Row],[Hora de Carga]]+MARÍTIMOS[[#This Row],[Hora de Posicionamiento]]),"")</f>
        <v/>
      </c>
      <c r="Z325" s="11" t="str">
        <f>IFERROR(IF(MARÍTIMOS[[#This Row],[Etapa Despacho -  Llegada]]="","",MARÍTIMOS[[#This Row],[Etapa Despacho -  Llegada]]),"")</f>
        <v/>
      </c>
      <c r="AA325" s="11" t="str">
        <f>IFERROR(IF(MARÍTIMOS[[#This Row],[Etapa Despacho -  Registro]]="","",MARÍTIMOS[[#This Row],[Etapa Despacho -  Registro]]),"")</f>
        <v/>
      </c>
      <c r="AB325" s="11" t="str">
        <f>IFERROR(IF(MARÍTIMOS[[#This Row],[Inspección Externa]]="","",MARÍTIMOS[[#This Row],[Inspección Externa]]),"")</f>
        <v/>
      </c>
      <c r="AC325" s="11" t="str">
        <f>IFERROR(IF(MARÍTIMOS[[#This Row],[Etapa Despacho -  Inicio de Carga]]="","",MARÍTIMOS[[#This Row],[Etapa Despacho -  Inicio de Carga]]),"")</f>
        <v/>
      </c>
      <c r="AD325" s="11" t="str">
        <f>IFERROR(IF(MARÍTIMOS[[#This Row],[Etapa Despacho -  Fin de Carga]]="","",MARÍTIMOS[[#This Row],[Etapa Despacho -  Fin de Carga]]),"")</f>
        <v/>
      </c>
      <c r="AE325" s="11" t="str">
        <f>IFERROR(IF(MARÍTIMOS[[#This Row],[Etapa Despacho -  Salida]]="","",MARÍTIMOS[[#This Row],[Etapa Despacho -  Salida]]),"")</f>
        <v/>
      </c>
      <c r="AF325" s="2" t="str">
        <f>IFERROR(IF(MARÍTIMOS[[#This Row],[Puerto de Embarque]]="","",MARÍTIMOS[[#This Row],[Puerto de Embarque]]),"")</f>
        <v/>
      </c>
      <c r="AG325" s="2" t="str">
        <f>IFERROR(IF(MARÍTIMOS[[#This Row],[Almacén de Ingreso]]="","",MARÍTIMOS[[#This Row],[Almacén de Ingreso]]),"")</f>
        <v/>
      </c>
      <c r="AH325" s="11" t="str">
        <f>IFERROR(IF(MARÍTIMOS[[#This Row],[Etapa Ingreso - Cita]]="","",MARÍTIMOS[[#This Row],[Etapa Ingreso - Cita]]),"")</f>
        <v/>
      </c>
      <c r="AI325" s="11" t="str">
        <f>IFERROR(IF(MARÍTIMOS[[#This Row],[Etapa Ingreso - Llegada]]="","",MARÍTIMOS[[#This Row],[Etapa Ingreso - Llegada]]),"")</f>
        <v/>
      </c>
      <c r="AJ325" s="11" t="str">
        <f>IFERROR(IF(MARÍTIMOS[[#This Row],[Etapa Ingreso - Ingeso]]="","",MARÍTIMOS[[#This Row],[Etapa Ingreso - Ingeso]]),"")</f>
        <v/>
      </c>
      <c r="AK325" s="11" t="str">
        <f>IFERROR(IF(MARÍTIMOS[[#This Row],[Etapa Ingreso - Atención]]="","",MARÍTIMOS[[#This Row],[Etapa Ingreso - Atención]]),"")</f>
        <v/>
      </c>
      <c r="AL325" s="11" t="str">
        <f>IFERROR(IF(MARÍTIMOS[[#This Row],[Etapa Ingreso - Salida]]="","",MARÍTIMOS[[#This Row],[Etapa Ingreso - Salida]]),"")</f>
        <v/>
      </c>
      <c r="AM325" s="2" t="str">
        <f>IFERROR(IF(MARÍTIMOS[[#This Row],[FCL]]="","",MARÍTIMOS[[#This Row],[FCL]]),"")</f>
        <v/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5" s="5" t="str">
        <f>IFERROR(OLDBD[[#This Row],[Llegada a packing]]-OLDBD[[#This Row],[Inicio de Ruta]],"")</f>
        <v/>
      </c>
      <c r="AQ325" s="6" t="str">
        <f>IFERROR(OLDBD[[#This Row],[Inicio de Ruta]]-OLDBD[[#This Row],[Salida de almacén de retiro]],"")</f>
        <v/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5" s="9" t="str">
        <f>IFERROR(OLDBD[[#This Row],[Ingreso Packing]]-OLDBD[[#This Row],[Registro en Packing]],"")</f>
        <v/>
      </c>
      <c r="AV325" s="9" t="str">
        <f>IFERROR(OLDBD[[#This Row],[Ingreso Packing]]-OLDBD[[#This Row],[Llegada a packing]],"")</f>
        <v/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5" s="5" t="str">
        <f>IFERROR(OLDBD[[#This Row],[Llegada Almacén de Ingreso]]-OLDBD[[#This Row],[Salida Packing]],"")</f>
        <v/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5" s="45" t="s">
        <v>181</v>
      </c>
      <c r="BB325" s="53" t="str">
        <f>IFERROR(IF(MARÍTIMOS[[#This Row],[Estatus]]="","",MARÍTIMOS[[#This Row],[Estatus]]),"")</f>
        <v/>
      </c>
      <c r="BC325" s="45"/>
      <c r="BD325" s="52" t="str">
        <f>IFERROR(OLDBD[[#This Row],[Salida de almacén de retiro]]-OLDBD[[#This Row],[Ingreso Almacén de retiro]],"")</f>
        <v/>
      </c>
      <c r="BE325" s="52" t="str">
        <f>IFERROR(OLDBD[[#This Row],[Fin de Carga]]-OLDBD[[#This Row],[Inicio de Carga]],"")</f>
        <v/>
      </c>
    </row>
    <row r="326" spans="1:57" x14ac:dyDescent="0.35">
      <c r="A326" s="1"/>
      <c r="B326" s="1" t="str">
        <f>IFERROR(IF(MARÍTIMOS[[#This Row],[PP]]="","",MARÍTIMOS[[#This Row],[PP]]),"")</f>
        <v/>
      </c>
      <c r="C326" s="1" t="str">
        <f>IFERROR(IF(MARÍTIMOS[[#This Row],[Sede]]="","",MARÍTIMOS[[#This Row],[Sede]]),"")</f>
        <v/>
      </c>
      <c r="D326" s="1" t="str">
        <f>IFERROR(IF(MARÍTIMOS[[#This Row],[Instruction]]="","",MARÍTIMOS[[#This Row],[Instruction]]),"")</f>
        <v/>
      </c>
      <c r="E326" s="1"/>
      <c r="F326" s="2" t="str">
        <f>IFERROR(IF(MARÍTIMOS[[#This Row],[Transportista]]="","",MARÍTIMOS[[#This Row],[Transportista]]),"")</f>
        <v/>
      </c>
      <c r="G326" s="2" t="str">
        <f>IFERROR(IF(MARÍTIMOS[[#This Row],[Tercero]]="","",MARÍTIMOS[[#This Row],[Tercero]]),"")</f>
        <v/>
      </c>
      <c r="H326" s="2" t="str">
        <f>IFERROR(IF(MARÍTIMOS[[#This Row],[Razón Social]]="","",MARÍTIMOS[[#This Row],[Razón Social]]),"")</f>
        <v/>
      </c>
      <c r="I326" s="2" t="str">
        <f>IFERROR(IF(MARÍTIMOS[[#This Row],[RUC]]="","",MARÍTIMOS[[#This Row],[RUC]]),"")</f>
        <v/>
      </c>
      <c r="J326" s="2" t="str">
        <f>IFERROR(IF(MARÍTIMOS[[#This Row],[Placa Tracto]]="","",MARÍTIMOS[[#This Row],[Placa Tracto]]),"")</f>
        <v/>
      </c>
      <c r="K326" s="2" t="str">
        <f>IFERROR(IF(MARÍTIMOS[[#This Row],[Placa Carreta]]="","",MARÍTIMOS[[#This Row],[Placa Carreta]]),"")</f>
        <v/>
      </c>
      <c r="L326" s="46" t="str">
        <f>IFERROR(IF(MARÍTIMOS[[#This Row],[Conductor]]="","",MARÍTIMOS[[#This Row],[Conductor]]),"")</f>
        <v/>
      </c>
      <c r="M326" s="2" t="str">
        <f>IFERROR(IF(MARÍTIMOS[[#This Row],[Licencia]]="","",MARÍTIMOS[[#This Row],[Licencia]]),"")</f>
        <v/>
      </c>
      <c r="N326" s="2" t="str">
        <f>IFERROR(IF(MARÍTIMOS[[#This Row],[Número de Contacto]]="","",MARÍTIMOS[[#This Row],[Número de Contacto]]),"")</f>
        <v/>
      </c>
      <c r="O326" s="10" t="str">
        <f>IFERROR(IF(MARÍTIMOS[[#This Row],[Booking|AWB|CRT]]="","",MARÍTIMOS[[#This Row],[Booking|AWB|CRT]]),"")</f>
        <v/>
      </c>
      <c r="P326" s="2" t="str">
        <f>IFERROR(IF(MARÍTIMOS[[#This Row],[Contenedor]]="","",MARÍTIMOS[[#This Row],[Contenedor]]),"")</f>
        <v/>
      </c>
      <c r="Q326" s="2" t="str">
        <f>IFERROR(IF(MARÍTIMOS[[#This Row],[Puerto de Retiro]]="","",MARÍTIMOS[[#This Row],[Puerto de Retiro]]),"")</f>
        <v/>
      </c>
      <c r="R326" s="2" t="str">
        <f>IFERROR(IF(MARÍTIMOS[[#This Row],[Almacén de Retiro]]="","",MARÍTIMOS[[#This Row],[Almacén de Retiro]]),"")</f>
        <v/>
      </c>
      <c r="S326" s="11" t="str">
        <f>IFERROR(IF(MARÍTIMOS[[#This Row],[Etapa Retiro - Cita]]="","",MARÍTIMOS[[#This Row],[Etapa Retiro - Cita]]),"")</f>
        <v/>
      </c>
      <c r="T326" s="11" t="str">
        <f>IFERROR(IF(MARÍTIMOS[[#This Row],[Etapa Retiro - Llegada]]="","",MARÍTIMOS[[#This Row],[Etapa Retiro - Llegada]]),"")</f>
        <v/>
      </c>
      <c r="U326" s="11" t="str">
        <f>IFERROR(IF(MARÍTIMOS[[#This Row],[Etapa Retiro - Ingreso]]="","",MARÍTIMOS[[#This Row],[Etapa Retiro - Ingreso]]),"")</f>
        <v/>
      </c>
      <c r="V326" s="11" t="str">
        <f>IFERROR(IF(MARÍTIMOS[[#This Row],[Etapa Retiro - Atención]]="","",MARÍTIMOS[[#This Row],[Etapa Retiro - Atención]]),"")</f>
        <v/>
      </c>
      <c r="W326" s="11" t="str">
        <f>IFERROR(IF(MARÍTIMOS[[#This Row],[Etapa Retiro - Salida]]="","",MARÍTIMOS[[#This Row],[Etapa Retiro - Salida]]),"")</f>
        <v/>
      </c>
      <c r="X326" s="11" t="str">
        <f>IFERROR(IF(MARÍTIMOS[[#This Row],[Etapa Retiro - Inicio de Ruta]]="","",MARÍTIMOS[[#This Row],[Etapa Retiro - Inicio de Ruta]]),"")</f>
        <v/>
      </c>
      <c r="Y326" s="11" t="str">
        <f>IFERROR(IF(MARÍTIMOS[[#This Row],[Hora de Posicionamiento]]="","",MARÍTIMOS[[#This Row],[Hora de Carga]]+MARÍTIMOS[[#This Row],[Hora de Posicionamiento]]),"")</f>
        <v/>
      </c>
      <c r="Z326" s="11" t="str">
        <f>IFERROR(IF(MARÍTIMOS[[#This Row],[Etapa Despacho -  Llegada]]="","",MARÍTIMOS[[#This Row],[Etapa Despacho -  Llegada]]),"")</f>
        <v/>
      </c>
      <c r="AA326" s="11" t="str">
        <f>IFERROR(IF(MARÍTIMOS[[#This Row],[Etapa Despacho -  Registro]]="","",MARÍTIMOS[[#This Row],[Etapa Despacho -  Registro]]),"")</f>
        <v/>
      </c>
      <c r="AB326" s="11" t="str">
        <f>IFERROR(IF(MARÍTIMOS[[#This Row],[Inspección Externa]]="","",MARÍTIMOS[[#This Row],[Inspección Externa]]),"")</f>
        <v/>
      </c>
      <c r="AC326" s="11" t="str">
        <f>IFERROR(IF(MARÍTIMOS[[#This Row],[Etapa Despacho -  Inicio de Carga]]="","",MARÍTIMOS[[#This Row],[Etapa Despacho -  Inicio de Carga]]),"")</f>
        <v/>
      </c>
      <c r="AD326" s="11" t="str">
        <f>IFERROR(IF(MARÍTIMOS[[#This Row],[Etapa Despacho -  Fin de Carga]]="","",MARÍTIMOS[[#This Row],[Etapa Despacho -  Fin de Carga]]),"")</f>
        <v/>
      </c>
      <c r="AE326" s="11" t="str">
        <f>IFERROR(IF(MARÍTIMOS[[#This Row],[Etapa Despacho -  Salida]]="","",MARÍTIMOS[[#This Row],[Etapa Despacho -  Salida]]),"")</f>
        <v/>
      </c>
      <c r="AF326" s="2" t="str">
        <f>IFERROR(IF(MARÍTIMOS[[#This Row],[Puerto de Embarque]]="","",MARÍTIMOS[[#This Row],[Puerto de Embarque]]),"")</f>
        <v/>
      </c>
      <c r="AG326" s="2" t="str">
        <f>IFERROR(IF(MARÍTIMOS[[#This Row],[Almacén de Ingreso]]="","",MARÍTIMOS[[#This Row],[Almacén de Ingreso]]),"")</f>
        <v/>
      </c>
      <c r="AH326" s="11" t="str">
        <f>IFERROR(IF(MARÍTIMOS[[#This Row],[Etapa Ingreso - Cita]]="","",MARÍTIMOS[[#This Row],[Etapa Ingreso - Cita]]),"")</f>
        <v/>
      </c>
      <c r="AI326" s="11" t="str">
        <f>IFERROR(IF(MARÍTIMOS[[#This Row],[Etapa Ingreso - Llegada]]="","",MARÍTIMOS[[#This Row],[Etapa Ingreso - Llegada]]),"")</f>
        <v/>
      </c>
      <c r="AJ326" s="11" t="str">
        <f>IFERROR(IF(MARÍTIMOS[[#This Row],[Etapa Ingreso - Ingeso]]="","",MARÍTIMOS[[#This Row],[Etapa Ingreso - Ingeso]]),"")</f>
        <v/>
      </c>
      <c r="AK326" s="11" t="str">
        <f>IFERROR(IF(MARÍTIMOS[[#This Row],[Etapa Ingreso - Atención]]="","",MARÍTIMOS[[#This Row],[Etapa Ingreso - Atención]]),"")</f>
        <v/>
      </c>
      <c r="AL326" s="11" t="str">
        <f>IFERROR(IF(MARÍTIMOS[[#This Row],[Etapa Ingreso - Salida]]="","",MARÍTIMOS[[#This Row],[Etapa Ingreso - Salida]]),"")</f>
        <v/>
      </c>
      <c r="AM326" s="2" t="str">
        <f>IFERROR(IF(MARÍTIMOS[[#This Row],[FCL]]="","",MARÍTIMOS[[#This Row],[FCL]]),"")</f>
        <v/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6" s="5" t="str">
        <f>IFERROR(OLDBD[[#This Row],[Llegada a packing]]-OLDBD[[#This Row],[Inicio de Ruta]],"")</f>
        <v/>
      </c>
      <c r="AQ326" s="6" t="str">
        <f>IFERROR(OLDBD[[#This Row],[Inicio de Ruta]]-OLDBD[[#This Row],[Salida de almacén de retiro]],"")</f>
        <v/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6" s="9" t="str">
        <f>IFERROR(OLDBD[[#This Row],[Ingreso Packing]]-OLDBD[[#This Row],[Registro en Packing]],"")</f>
        <v/>
      </c>
      <c r="AV326" s="9" t="str">
        <f>IFERROR(OLDBD[[#This Row],[Ingreso Packing]]-OLDBD[[#This Row],[Llegada a packing]],"")</f>
        <v/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6" s="5" t="str">
        <f>IFERROR(OLDBD[[#This Row],[Llegada Almacén de Ingreso]]-OLDBD[[#This Row],[Salida Packing]],"")</f>
        <v/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6" s="45" t="s">
        <v>181</v>
      </c>
      <c r="BB326" s="53" t="str">
        <f>IFERROR(IF(MARÍTIMOS[[#This Row],[Estatus]]="","",MARÍTIMOS[[#This Row],[Estatus]]),"")</f>
        <v/>
      </c>
      <c r="BC326" s="45"/>
      <c r="BD326" s="52" t="str">
        <f>IFERROR(OLDBD[[#This Row],[Salida de almacén de retiro]]-OLDBD[[#This Row],[Ingreso Almacén de retiro]],"")</f>
        <v/>
      </c>
      <c r="BE326" s="52" t="str">
        <f>IFERROR(OLDBD[[#This Row],[Fin de Carga]]-OLDBD[[#This Row],[Inicio de Carga]],"")</f>
        <v/>
      </c>
    </row>
    <row r="327" spans="1:57" x14ac:dyDescent="0.35">
      <c r="A327" s="1"/>
      <c r="B327" s="1" t="str">
        <f>IFERROR(IF(MARÍTIMOS[[#This Row],[PP]]="","",MARÍTIMOS[[#This Row],[PP]]),"")</f>
        <v/>
      </c>
      <c r="C327" s="1" t="str">
        <f>IFERROR(IF(MARÍTIMOS[[#This Row],[Sede]]="","",MARÍTIMOS[[#This Row],[Sede]]),"")</f>
        <v/>
      </c>
      <c r="D327" s="1" t="str">
        <f>IFERROR(IF(MARÍTIMOS[[#This Row],[Instruction]]="","",MARÍTIMOS[[#This Row],[Instruction]]),"")</f>
        <v/>
      </c>
      <c r="E327" s="1"/>
      <c r="F327" s="2" t="str">
        <f>IFERROR(IF(MARÍTIMOS[[#This Row],[Transportista]]="","",MARÍTIMOS[[#This Row],[Transportista]]),"")</f>
        <v/>
      </c>
      <c r="G327" s="2" t="str">
        <f>IFERROR(IF(MARÍTIMOS[[#This Row],[Tercero]]="","",MARÍTIMOS[[#This Row],[Tercero]]),"")</f>
        <v/>
      </c>
      <c r="H327" s="2" t="str">
        <f>IFERROR(IF(MARÍTIMOS[[#This Row],[Razón Social]]="","",MARÍTIMOS[[#This Row],[Razón Social]]),"")</f>
        <v/>
      </c>
      <c r="I327" s="2" t="str">
        <f>IFERROR(IF(MARÍTIMOS[[#This Row],[RUC]]="","",MARÍTIMOS[[#This Row],[RUC]]),"")</f>
        <v/>
      </c>
      <c r="J327" s="2" t="str">
        <f>IFERROR(IF(MARÍTIMOS[[#This Row],[Placa Tracto]]="","",MARÍTIMOS[[#This Row],[Placa Tracto]]),"")</f>
        <v/>
      </c>
      <c r="K327" s="2" t="str">
        <f>IFERROR(IF(MARÍTIMOS[[#This Row],[Placa Carreta]]="","",MARÍTIMOS[[#This Row],[Placa Carreta]]),"")</f>
        <v/>
      </c>
      <c r="L327" s="46" t="str">
        <f>IFERROR(IF(MARÍTIMOS[[#This Row],[Conductor]]="","",MARÍTIMOS[[#This Row],[Conductor]]),"")</f>
        <v/>
      </c>
      <c r="M327" s="2" t="str">
        <f>IFERROR(IF(MARÍTIMOS[[#This Row],[Licencia]]="","",MARÍTIMOS[[#This Row],[Licencia]]),"")</f>
        <v/>
      </c>
      <c r="N327" s="2" t="str">
        <f>IFERROR(IF(MARÍTIMOS[[#This Row],[Número de Contacto]]="","",MARÍTIMOS[[#This Row],[Número de Contacto]]),"")</f>
        <v/>
      </c>
      <c r="O327" s="10" t="str">
        <f>IFERROR(IF(MARÍTIMOS[[#This Row],[Booking|AWB|CRT]]="","",MARÍTIMOS[[#This Row],[Booking|AWB|CRT]]),"")</f>
        <v/>
      </c>
      <c r="P327" s="2" t="str">
        <f>IFERROR(IF(MARÍTIMOS[[#This Row],[Contenedor]]="","",MARÍTIMOS[[#This Row],[Contenedor]]),"")</f>
        <v/>
      </c>
      <c r="Q327" s="2" t="str">
        <f>IFERROR(IF(MARÍTIMOS[[#This Row],[Puerto de Retiro]]="","",MARÍTIMOS[[#This Row],[Puerto de Retiro]]),"")</f>
        <v/>
      </c>
      <c r="R327" s="2" t="str">
        <f>IFERROR(IF(MARÍTIMOS[[#This Row],[Almacén de Retiro]]="","",MARÍTIMOS[[#This Row],[Almacén de Retiro]]),"")</f>
        <v/>
      </c>
      <c r="S327" s="11" t="str">
        <f>IFERROR(IF(MARÍTIMOS[[#This Row],[Etapa Retiro - Cita]]="","",MARÍTIMOS[[#This Row],[Etapa Retiro - Cita]]),"")</f>
        <v/>
      </c>
      <c r="T327" s="11" t="str">
        <f>IFERROR(IF(MARÍTIMOS[[#This Row],[Etapa Retiro - Llegada]]="","",MARÍTIMOS[[#This Row],[Etapa Retiro - Llegada]]),"")</f>
        <v/>
      </c>
      <c r="U327" s="11" t="str">
        <f>IFERROR(IF(MARÍTIMOS[[#This Row],[Etapa Retiro - Ingreso]]="","",MARÍTIMOS[[#This Row],[Etapa Retiro - Ingreso]]),"")</f>
        <v/>
      </c>
      <c r="V327" s="11" t="str">
        <f>IFERROR(IF(MARÍTIMOS[[#This Row],[Etapa Retiro - Atención]]="","",MARÍTIMOS[[#This Row],[Etapa Retiro - Atención]]),"")</f>
        <v/>
      </c>
      <c r="W327" s="11" t="str">
        <f>IFERROR(IF(MARÍTIMOS[[#This Row],[Etapa Retiro - Salida]]="","",MARÍTIMOS[[#This Row],[Etapa Retiro - Salida]]),"")</f>
        <v/>
      </c>
      <c r="X327" s="11" t="str">
        <f>IFERROR(IF(MARÍTIMOS[[#This Row],[Etapa Retiro - Inicio de Ruta]]="","",MARÍTIMOS[[#This Row],[Etapa Retiro - Inicio de Ruta]]),"")</f>
        <v/>
      </c>
      <c r="Y327" s="11" t="str">
        <f>IFERROR(IF(MARÍTIMOS[[#This Row],[Hora de Posicionamiento]]="","",MARÍTIMOS[[#This Row],[Hora de Carga]]+MARÍTIMOS[[#This Row],[Hora de Posicionamiento]]),"")</f>
        <v/>
      </c>
      <c r="Z327" s="11" t="str">
        <f>IFERROR(IF(MARÍTIMOS[[#This Row],[Etapa Despacho -  Llegada]]="","",MARÍTIMOS[[#This Row],[Etapa Despacho -  Llegada]]),"")</f>
        <v/>
      </c>
      <c r="AA327" s="11" t="str">
        <f>IFERROR(IF(MARÍTIMOS[[#This Row],[Etapa Despacho -  Registro]]="","",MARÍTIMOS[[#This Row],[Etapa Despacho -  Registro]]),"")</f>
        <v/>
      </c>
      <c r="AB327" s="11" t="str">
        <f>IFERROR(IF(MARÍTIMOS[[#This Row],[Inspección Externa]]="","",MARÍTIMOS[[#This Row],[Inspección Externa]]),"")</f>
        <v/>
      </c>
      <c r="AC327" s="11" t="str">
        <f>IFERROR(IF(MARÍTIMOS[[#This Row],[Etapa Despacho -  Inicio de Carga]]="","",MARÍTIMOS[[#This Row],[Etapa Despacho -  Inicio de Carga]]),"")</f>
        <v/>
      </c>
      <c r="AD327" s="11" t="str">
        <f>IFERROR(IF(MARÍTIMOS[[#This Row],[Etapa Despacho -  Fin de Carga]]="","",MARÍTIMOS[[#This Row],[Etapa Despacho -  Fin de Carga]]),"")</f>
        <v/>
      </c>
      <c r="AE327" s="11" t="str">
        <f>IFERROR(IF(MARÍTIMOS[[#This Row],[Etapa Despacho -  Salida]]="","",MARÍTIMOS[[#This Row],[Etapa Despacho -  Salida]]),"")</f>
        <v/>
      </c>
      <c r="AF327" s="2" t="str">
        <f>IFERROR(IF(MARÍTIMOS[[#This Row],[Puerto de Embarque]]="","",MARÍTIMOS[[#This Row],[Puerto de Embarque]]),"")</f>
        <v/>
      </c>
      <c r="AG327" s="2" t="str">
        <f>IFERROR(IF(MARÍTIMOS[[#This Row],[Almacén de Ingreso]]="","",MARÍTIMOS[[#This Row],[Almacén de Ingreso]]),"")</f>
        <v/>
      </c>
      <c r="AH327" s="11" t="str">
        <f>IFERROR(IF(MARÍTIMOS[[#This Row],[Etapa Ingreso - Cita]]="","",MARÍTIMOS[[#This Row],[Etapa Ingreso - Cita]]),"")</f>
        <v/>
      </c>
      <c r="AI327" s="11" t="str">
        <f>IFERROR(IF(MARÍTIMOS[[#This Row],[Etapa Ingreso - Llegada]]="","",MARÍTIMOS[[#This Row],[Etapa Ingreso - Llegada]]),"")</f>
        <v/>
      </c>
      <c r="AJ327" s="11" t="str">
        <f>IFERROR(IF(MARÍTIMOS[[#This Row],[Etapa Ingreso - Ingeso]]="","",MARÍTIMOS[[#This Row],[Etapa Ingreso - Ingeso]]),"")</f>
        <v/>
      </c>
      <c r="AK327" s="11" t="str">
        <f>IFERROR(IF(MARÍTIMOS[[#This Row],[Etapa Ingreso - Atención]]="","",MARÍTIMOS[[#This Row],[Etapa Ingreso - Atención]]),"")</f>
        <v/>
      </c>
      <c r="AL327" s="11" t="str">
        <f>IFERROR(IF(MARÍTIMOS[[#This Row],[Etapa Ingreso - Salida]]="","",MARÍTIMOS[[#This Row],[Etapa Ingreso - Salida]]),"")</f>
        <v/>
      </c>
      <c r="AM327" s="2" t="str">
        <f>IFERROR(IF(MARÍTIMOS[[#This Row],[FCL]]="","",MARÍTIMOS[[#This Row],[FCL]]),"")</f>
        <v/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7" s="5" t="str">
        <f>IFERROR(OLDBD[[#This Row],[Llegada a packing]]-OLDBD[[#This Row],[Inicio de Ruta]],"")</f>
        <v/>
      </c>
      <c r="AQ327" s="6" t="str">
        <f>IFERROR(OLDBD[[#This Row],[Inicio de Ruta]]-OLDBD[[#This Row],[Salida de almacén de retiro]],"")</f>
        <v/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7" s="9" t="str">
        <f>IFERROR(OLDBD[[#This Row],[Ingreso Packing]]-OLDBD[[#This Row],[Registro en Packing]],"")</f>
        <v/>
      </c>
      <c r="AV327" s="9" t="str">
        <f>IFERROR(OLDBD[[#This Row],[Ingreso Packing]]-OLDBD[[#This Row],[Llegada a packing]],"")</f>
        <v/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7" s="5" t="str">
        <f>IFERROR(OLDBD[[#This Row],[Llegada Almacén de Ingreso]]-OLDBD[[#This Row],[Salida Packing]],"")</f>
        <v/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7" s="45" t="s">
        <v>181</v>
      </c>
      <c r="BB327" s="53" t="str">
        <f>IFERROR(IF(MARÍTIMOS[[#This Row],[Estatus]]="","",MARÍTIMOS[[#This Row],[Estatus]]),"")</f>
        <v/>
      </c>
      <c r="BC327" s="45"/>
      <c r="BD327" s="52" t="str">
        <f>IFERROR(OLDBD[[#This Row],[Salida de almacén de retiro]]-OLDBD[[#This Row],[Ingreso Almacén de retiro]],"")</f>
        <v/>
      </c>
      <c r="BE327" s="52" t="str">
        <f>IFERROR(OLDBD[[#This Row],[Fin de Carga]]-OLDBD[[#This Row],[Inicio de Carga]],"")</f>
        <v/>
      </c>
    </row>
    <row r="328" spans="1:57" x14ac:dyDescent="0.35">
      <c r="A328" s="1"/>
      <c r="B328" s="1" t="str">
        <f>IFERROR(IF(MARÍTIMOS[[#This Row],[PP]]="","",MARÍTIMOS[[#This Row],[PP]]),"")</f>
        <v/>
      </c>
      <c r="C328" s="1" t="str">
        <f>IFERROR(IF(MARÍTIMOS[[#This Row],[Sede]]="","",MARÍTIMOS[[#This Row],[Sede]]),"")</f>
        <v/>
      </c>
      <c r="D328" s="1" t="str">
        <f>IFERROR(IF(MARÍTIMOS[[#This Row],[Instruction]]="","",MARÍTIMOS[[#This Row],[Instruction]]),"")</f>
        <v/>
      </c>
      <c r="E328" s="1"/>
      <c r="F328" s="2" t="str">
        <f>IFERROR(IF(MARÍTIMOS[[#This Row],[Transportista]]="","",MARÍTIMOS[[#This Row],[Transportista]]),"")</f>
        <v/>
      </c>
      <c r="G328" s="2" t="str">
        <f>IFERROR(IF(MARÍTIMOS[[#This Row],[Tercero]]="","",MARÍTIMOS[[#This Row],[Tercero]]),"")</f>
        <v/>
      </c>
      <c r="H328" s="2" t="str">
        <f>IFERROR(IF(MARÍTIMOS[[#This Row],[Razón Social]]="","",MARÍTIMOS[[#This Row],[Razón Social]]),"")</f>
        <v/>
      </c>
      <c r="I328" s="2" t="str">
        <f>IFERROR(IF(MARÍTIMOS[[#This Row],[RUC]]="","",MARÍTIMOS[[#This Row],[RUC]]),"")</f>
        <v/>
      </c>
      <c r="J328" s="2" t="str">
        <f>IFERROR(IF(MARÍTIMOS[[#This Row],[Placa Tracto]]="","",MARÍTIMOS[[#This Row],[Placa Tracto]]),"")</f>
        <v/>
      </c>
      <c r="K328" s="2" t="str">
        <f>IFERROR(IF(MARÍTIMOS[[#This Row],[Placa Carreta]]="","",MARÍTIMOS[[#This Row],[Placa Carreta]]),"")</f>
        <v/>
      </c>
      <c r="L328" s="46" t="str">
        <f>IFERROR(IF(MARÍTIMOS[[#This Row],[Conductor]]="","",MARÍTIMOS[[#This Row],[Conductor]]),"")</f>
        <v/>
      </c>
      <c r="M328" s="2" t="str">
        <f>IFERROR(IF(MARÍTIMOS[[#This Row],[Licencia]]="","",MARÍTIMOS[[#This Row],[Licencia]]),"")</f>
        <v/>
      </c>
      <c r="N328" s="2" t="str">
        <f>IFERROR(IF(MARÍTIMOS[[#This Row],[Número de Contacto]]="","",MARÍTIMOS[[#This Row],[Número de Contacto]]),"")</f>
        <v/>
      </c>
      <c r="O328" s="10" t="str">
        <f>IFERROR(IF(MARÍTIMOS[[#This Row],[Booking|AWB|CRT]]="","",MARÍTIMOS[[#This Row],[Booking|AWB|CRT]]),"")</f>
        <v/>
      </c>
      <c r="P328" s="2" t="str">
        <f>IFERROR(IF(MARÍTIMOS[[#This Row],[Contenedor]]="","",MARÍTIMOS[[#This Row],[Contenedor]]),"")</f>
        <v/>
      </c>
      <c r="Q328" s="2" t="str">
        <f>IFERROR(IF(MARÍTIMOS[[#This Row],[Puerto de Retiro]]="","",MARÍTIMOS[[#This Row],[Puerto de Retiro]]),"")</f>
        <v/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Salida]]="","",MARÍTIMOS[[#This Row],[Etapa Retiro - Salida]]),"")</f>
        <v/>
      </c>
      <c r="X328" s="11" t="str">
        <f>IFERROR(IF(MARÍTIMOS[[#This Row],[Etapa Retiro - Inicio de Ruta]]="","",MARÍTIMOS[[#This Row],[Etapa Retiro - Inicio de Ruta]]),"")</f>
        <v/>
      </c>
      <c r="Y328" s="11" t="str">
        <f>IFERROR(IF(MARÍTIMOS[[#This Row],[Hora de Posicionamiento]]="","",MARÍTIMOS[[#This Row],[Hora de Carga]]+MARÍTIMOS[[#This Row],[Hora de Posicionamiento]]),"")</f>
        <v/>
      </c>
      <c r="Z328" s="11" t="str">
        <f>IFERROR(IF(MARÍTIMOS[[#This Row],[Etapa Despacho -  Llegada]]="","",MARÍTIMOS[[#This Row],[Etapa Despacho -  Llegada]]),"")</f>
        <v/>
      </c>
      <c r="AA328" s="11" t="str">
        <f>IFERROR(IF(MARÍTIMOS[[#This Row],[Etapa Despacho -  Registro]]="","",MARÍTIMOS[[#This Row],[Etapa Despacho - 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 Inicio de Carga]]="","",MARÍTIMOS[[#This Row],[Etapa Despacho -  Inicio de Carga]]),"")</f>
        <v/>
      </c>
      <c r="AD328" s="11" t="str">
        <f>IFERROR(IF(MARÍTIMOS[[#This Row],[Etapa Despacho -  Fin de Carga]]="","",MARÍTIMOS[[#This Row],[Etapa Despacho -  Fin de Carga]]),"")</f>
        <v/>
      </c>
      <c r="AE328" s="11" t="str">
        <f>IFERROR(IF(MARÍTIMOS[[#This Row],[Etapa Despacho -  Salida]]="","",MARÍTIMOS[[#This Row],[Etapa Despacho -  Salida]]),"")</f>
        <v/>
      </c>
      <c r="AF328" s="2" t="str">
        <f>IFERROR(IF(MARÍTIMOS[[#This Row],[Puerto de Embarque]]="","",MARÍTIMOS[[#This Row],[Puerto de Embarque]]),"")</f>
        <v/>
      </c>
      <c r="AG328" s="2" t="str">
        <f>IFERROR(IF(MARÍTIMOS[[#This Row],[Almacén de Ingreso]]="","",MARÍTIMOS[[#This Row],[Almacén de Ingreso]]),"")</f>
        <v/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 t="str">
        <f>IFERROR(IF(MARÍTIMOS[[#This Row],[FCL]]="","",MARÍTIMOS[[#This Row],[FCL]]),"")</f>
        <v/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5" t="s">
        <v>181</v>
      </c>
      <c r="BB328" s="53" t="str">
        <f>IFERROR(IF(MARÍTIMOS[[#This Row],[Estatus]]="","",MARÍTIMOS[[#This Row],[Estatus]]),"")</f>
        <v/>
      </c>
      <c r="BC328" s="45"/>
      <c r="BD328" s="52" t="str">
        <f>IFERROR(OLDBD[[#This Row],[Salida de almacén de retiro]]-OLDBD[[#This Row],[Ingreso Almacén de retiro]],"")</f>
        <v/>
      </c>
      <c r="BE328" s="52" t="str">
        <f>IFERROR(OLDBD[[#This Row],[Fin de Carga]]-OLDBD[[#This Row],[Inicio de Carga]],"")</f>
        <v/>
      </c>
    </row>
    <row r="329" spans="1:57" x14ac:dyDescent="0.35">
      <c r="A329" s="1"/>
      <c r="B329" s="1" t="str">
        <f>IFERROR(IF(MARÍTIMOS[[#This Row],[PP]]="","",MARÍTIMOS[[#This Row],[PP]]),"")</f>
        <v/>
      </c>
      <c r="C329" s="1" t="str">
        <f>IFERROR(IF(MARÍTIMOS[[#This Row],[Sede]]="","",MARÍTIMOS[[#This Row],[Sede]]),"")</f>
        <v/>
      </c>
      <c r="D329" s="1" t="str">
        <f>IFERROR(IF(MARÍTIMOS[[#This Row],[Instruction]]="","",MARÍTIMOS[[#This Row],[Instruction]]),"")</f>
        <v/>
      </c>
      <c r="E329" s="1"/>
      <c r="F329" s="2" t="str">
        <f>IFERROR(IF(MARÍTIMOS[[#This Row],[Transportista]]="","",MARÍTIMOS[[#This Row],[Transportista]]),"")</f>
        <v/>
      </c>
      <c r="G329" s="2" t="str">
        <f>IFERROR(IF(MARÍTIMOS[[#This Row],[Tercero]]="","",MARÍTIMOS[[#This Row],[Tercero]]),"")</f>
        <v/>
      </c>
      <c r="H329" s="2" t="str">
        <f>IFERROR(IF(MARÍTIMOS[[#This Row],[Razón Social]]="","",MARÍTIMOS[[#This Row],[Razón Social]]),"")</f>
        <v/>
      </c>
      <c r="I329" s="2" t="str">
        <f>IFERROR(IF(MARÍTIMOS[[#This Row],[RUC]]="","",MARÍTIMOS[[#This Row],[RUC]]),"")</f>
        <v/>
      </c>
      <c r="J329" s="2" t="str">
        <f>IFERROR(IF(MARÍTIMOS[[#This Row],[Placa Tracto]]="","",MARÍTIMOS[[#This Row],[Placa Tracto]]),"")</f>
        <v/>
      </c>
      <c r="K329" s="2" t="str">
        <f>IFERROR(IF(MARÍTIMOS[[#This Row],[Placa Carreta]]="","",MARÍTIMOS[[#This Row],[Placa Carreta]]),"")</f>
        <v/>
      </c>
      <c r="L329" s="46" t="str">
        <f>IFERROR(IF(MARÍTIMOS[[#This Row],[Conductor]]="","",MARÍTIMOS[[#This Row],[Conductor]]),"")</f>
        <v/>
      </c>
      <c r="M329" s="2" t="str">
        <f>IFERROR(IF(MARÍTIMOS[[#This Row],[Licencia]]="","",MARÍTIMOS[[#This Row],[Licencia]]),"")</f>
        <v/>
      </c>
      <c r="N329" s="2" t="str">
        <f>IFERROR(IF(MARÍTIMOS[[#This Row],[Número de Contacto]]="","",MARÍTIMOS[[#This Row],[Número de Contacto]]),"")</f>
        <v/>
      </c>
      <c r="O329" s="10" t="str">
        <f>IFERROR(IF(MARÍTIMOS[[#This Row],[Booking|AWB|CRT]]="","",MARÍTIMOS[[#This Row],[Booking|AWB|CRT]]),"")</f>
        <v/>
      </c>
      <c r="P329" s="2" t="str">
        <f>IFERROR(IF(MARÍTIMOS[[#This Row],[Contenedor]]="","",MARÍTIMOS[[#This Row],[Contenedor]]),"")</f>
        <v/>
      </c>
      <c r="Q329" s="2" t="str">
        <f>IFERROR(IF(MARÍTIMOS[[#This Row],[Puerto de Retiro]]="","",MARÍTIMOS[[#This Row],[Puerto de Retiro]]),"")</f>
        <v/>
      </c>
      <c r="R329" s="2" t="str">
        <f>IFERROR(IF(MARÍTIMOS[[#This Row],[Almacén de Retiro]]="","",MARÍTIMOS[[#This Row],[Almacén de Retiro]]),"")</f>
        <v/>
      </c>
      <c r="S329" s="11" t="str">
        <f>IFERROR(IF(MARÍTIMOS[[#This Row],[Etapa Retiro - Cita]]="","",MARÍTIMOS[[#This Row],[Etapa Retiro - Cita]]),"")</f>
        <v/>
      </c>
      <c r="T329" s="11" t="str">
        <f>IFERROR(IF(MARÍTIMOS[[#This Row],[Etapa Retiro - Llegada]]="","",MARÍTIMOS[[#This Row],[Etapa Retiro - Llegada]]),"")</f>
        <v/>
      </c>
      <c r="U329" s="11" t="str">
        <f>IFERROR(IF(MARÍTIMOS[[#This Row],[Etapa Retiro - Ingreso]]="","",MARÍTIMOS[[#This Row],[Etapa Retiro - Ingreso]]),"")</f>
        <v/>
      </c>
      <c r="V329" s="11" t="str">
        <f>IFERROR(IF(MARÍTIMOS[[#This Row],[Etapa Retiro - Atención]]="","",MARÍTIMOS[[#This Row],[Etapa Retiro - Atención]]),"")</f>
        <v/>
      </c>
      <c r="W329" s="11" t="str">
        <f>IFERROR(IF(MARÍTIMOS[[#This Row],[Etapa Retiro - Salida]]="","",MARÍTIMOS[[#This Row],[Etapa Retiro - Salida]]),"")</f>
        <v/>
      </c>
      <c r="X329" s="11" t="str">
        <f>IFERROR(IF(MARÍTIMOS[[#This Row],[Etapa Retiro - Inicio de Ruta]]="","",MARÍTIMOS[[#This Row],[Etapa Retiro - Inicio de Ruta]]),"")</f>
        <v/>
      </c>
      <c r="Y329" s="11" t="str">
        <f>IFERROR(IF(MARÍTIMOS[[#This Row],[Hora de Posicionamiento]]="","",MARÍTIMOS[[#This Row],[Hora de Carga]]+MARÍTIMOS[[#This Row],[Hora de Posicionamiento]]),"")</f>
        <v/>
      </c>
      <c r="Z329" s="11" t="str">
        <f>IFERROR(IF(MARÍTIMOS[[#This Row],[Etapa Despacho -  Llegada]]="","",MARÍTIMOS[[#This Row],[Etapa Despacho -  Llegada]]),"")</f>
        <v/>
      </c>
      <c r="AA329" s="11" t="str">
        <f>IFERROR(IF(MARÍTIMOS[[#This Row],[Etapa Despacho -  Registro]]="","",MARÍTIMOS[[#This Row],[Etapa Despacho -  Registro]]),"")</f>
        <v/>
      </c>
      <c r="AB329" s="11" t="str">
        <f>IFERROR(IF(MARÍTIMOS[[#This Row],[Inspección Externa]]="","",MARÍTIMOS[[#This Row],[Inspección Externa]]),"")</f>
        <v/>
      </c>
      <c r="AC329" s="11" t="str">
        <f>IFERROR(IF(MARÍTIMOS[[#This Row],[Etapa Despacho -  Inicio de Carga]]="","",MARÍTIMOS[[#This Row],[Etapa Despacho -  Inicio de Carga]]),"")</f>
        <v/>
      </c>
      <c r="AD329" s="11" t="str">
        <f>IFERROR(IF(MARÍTIMOS[[#This Row],[Etapa Despacho -  Fin de Carga]]="","",MARÍTIMOS[[#This Row],[Etapa Despacho -  Fin de Carga]]),"")</f>
        <v/>
      </c>
      <c r="AE329" s="11" t="str">
        <f>IFERROR(IF(MARÍTIMOS[[#This Row],[Etapa Despacho -  Salida]]="","",MARÍTIMOS[[#This Row],[Etapa Despacho -  Salida]]),"")</f>
        <v/>
      </c>
      <c r="AF329" s="2" t="str">
        <f>IFERROR(IF(MARÍTIMOS[[#This Row],[Puerto de Embarque]]="","",MARÍTIMOS[[#This Row],[Puerto de Embarque]]),"")</f>
        <v/>
      </c>
      <c r="AG329" s="2" t="str">
        <f>IFERROR(IF(MARÍTIMOS[[#This Row],[Almacén de Ingreso]]="","",MARÍTIMOS[[#This Row],[Almacén de Ingreso]]),"")</f>
        <v/>
      </c>
      <c r="AH329" s="11" t="str">
        <f>IFERROR(IF(MARÍTIMOS[[#This Row],[Etapa Ingreso - Cita]]="","",MARÍTIMOS[[#This Row],[Etapa Ingreso - Cita]]),"")</f>
        <v/>
      </c>
      <c r="AI329" s="11" t="str">
        <f>IFERROR(IF(MARÍTIMOS[[#This Row],[Etapa Ingreso - Llegada]]="","",MARÍTIMOS[[#This Row],[Etapa Ingreso - Llegada]]),"")</f>
        <v/>
      </c>
      <c r="AJ329" s="11" t="str">
        <f>IFERROR(IF(MARÍTIMOS[[#This Row],[Etapa Ingreso - Ingeso]]="","",MARÍTIMOS[[#This Row],[Etapa Ingreso - Ingeso]]),"")</f>
        <v/>
      </c>
      <c r="AK329" s="11" t="str">
        <f>IFERROR(IF(MARÍTIMOS[[#This Row],[Etapa Ingreso - Atención]]="","",MARÍTIMOS[[#This Row],[Etapa Ingreso - Atención]]),"")</f>
        <v/>
      </c>
      <c r="AL329" s="11" t="str">
        <f>IFERROR(IF(MARÍTIMOS[[#This Row],[Etapa Ingreso - Salida]]="","",MARÍTIMOS[[#This Row],[Etapa Ingreso - Salida]]),"")</f>
        <v/>
      </c>
      <c r="AM329" s="2" t="str">
        <f>IFERROR(IF(MARÍTIMOS[[#This Row],[FCL]]="","",MARÍTIMOS[[#This Row],[FCL]]),"")</f>
        <v/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9" s="5" t="str">
        <f>IFERROR(OLDBD[[#This Row],[Llegada a packing]]-OLDBD[[#This Row],[Inicio de Ruta]],"")</f>
        <v/>
      </c>
      <c r="AQ329" s="6" t="str">
        <f>IFERROR(OLDBD[[#This Row],[Inicio de Ruta]]-OLDBD[[#This Row],[Salida de almacén de retiro]],"")</f>
        <v/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9" s="9" t="str">
        <f>IFERROR(OLDBD[[#This Row],[Ingreso Packing]]-OLDBD[[#This Row],[Registro en Packing]],"")</f>
        <v/>
      </c>
      <c r="AV329" s="9" t="str">
        <f>IFERROR(OLDBD[[#This Row],[Ingreso Packing]]-OLDBD[[#This Row],[Llegada a packing]],"")</f>
        <v/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 t="str">
        <f>IFERROR(OLDBD[[#This Row],[Llegada Almacén de Ingreso]]-OLDBD[[#This Row],[Salida Packing]],"")</f>
        <v/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9" s="45" t="s">
        <v>181</v>
      </c>
      <c r="BB329" s="53" t="str">
        <f>IFERROR(IF(MARÍTIMOS[[#This Row],[Estatus]]="","",MARÍTIMOS[[#This Row],[Estatus]]),"")</f>
        <v/>
      </c>
      <c r="BC329" s="45"/>
      <c r="BD329" s="52" t="str">
        <f>IFERROR(OLDBD[[#This Row],[Salida de almacén de retiro]]-OLDBD[[#This Row],[Ingreso Almacén de retiro]],"")</f>
        <v/>
      </c>
      <c r="BE329" s="52" t="str">
        <f>IFERROR(OLDBD[[#This Row],[Fin de Carga]]-OLDBD[[#This Row],[Inicio de Carga]],"")</f>
        <v/>
      </c>
    </row>
    <row r="330" spans="1:57" x14ac:dyDescent="0.35">
      <c r="A330" s="1"/>
      <c r="B330" s="1" t="str">
        <f>IFERROR(IF(MARÍTIMOS[[#This Row],[PP]]="","",MARÍTIMOS[[#This Row],[PP]]),"")</f>
        <v/>
      </c>
      <c r="C330" s="1" t="str">
        <f>IFERROR(IF(MARÍTIMOS[[#This Row],[Sede]]="","",MARÍTIMOS[[#This Row],[Sede]]),"")</f>
        <v/>
      </c>
      <c r="D330" s="1" t="str">
        <f>IFERROR(IF(MARÍTIMOS[[#This Row],[Instruction]]="","",MARÍTIMOS[[#This Row],[Instruction]]),"")</f>
        <v/>
      </c>
      <c r="E330" s="1"/>
      <c r="F330" s="2" t="str">
        <f>IFERROR(IF(MARÍTIMOS[[#This Row],[Transportista]]="","",MARÍTIMOS[[#This Row],[Transportista]]),"")</f>
        <v/>
      </c>
      <c r="G330" s="2" t="str">
        <f>IFERROR(IF(MARÍTIMOS[[#This Row],[Tercero]]="","",MARÍTIMOS[[#This Row],[Tercero]]),"")</f>
        <v/>
      </c>
      <c r="H330" s="2" t="str">
        <f>IFERROR(IF(MARÍTIMOS[[#This Row],[Razón Social]]="","",MARÍTIMOS[[#This Row],[Razón Social]]),"")</f>
        <v/>
      </c>
      <c r="I330" s="2" t="str">
        <f>IFERROR(IF(MARÍTIMOS[[#This Row],[RUC]]="","",MARÍTIMOS[[#This Row],[RUC]]),"")</f>
        <v/>
      </c>
      <c r="J330" s="2" t="str">
        <f>IFERROR(IF(MARÍTIMOS[[#This Row],[Placa Tracto]]="","",MARÍTIMOS[[#This Row],[Placa Tracto]]),"")</f>
        <v/>
      </c>
      <c r="K330" s="2" t="str">
        <f>IFERROR(IF(MARÍTIMOS[[#This Row],[Placa Carreta]]="","",MARÍTIMOS[[#This Row],[Placa Carreta]]),"")</f>
        <v/>
      </c>
      <c r="L330" s="46" t="str">
        <f>IFERROR(IF(MARÍTIMOS[[#This Row],[Conductor]]="","",MARÍTIMOS[[#This Row],[Conductor]]),"")</f>
        <v/>
      </c>
      <c r="M330" s="2" t="str">
        <f>IFERROR(IF(MARÍTIMOS[[#This Row],[Licencia]]="","",MARÍTIMOS[[#This Row],[Licencia]]),"")</f>
        <v/>
      </c>
      <c r="N330" s="2" t="str">
        <f>IFERROR(IF(MARÍTIMOS[[#This Row],[Número de Contacto]]="","",MARÍTIMOS[[#This Row],[Número de Contacto]]),"")</f>
        <v/>
      </c>
      <c r="O330" s="10" t="str">
        <f>IFERROR(IF(MARÍTIMOS[[#This Row],[Booking|AWB|CRT]]="","",MARÍTIMOS[[#This Row],[Booking|AWB|CRT]]),"")</f>
        <v/>
      </c>
      <c r="P330" s="2" t="str">
        <f>IFERROR(IF(MARÍTIMOS[[#This Row],[Contenedor]]="","",MARÍTIMOS[[#This Row],[Contenedor]]),"")</f>
        <v/>
      </c>
      <c r="Q330" s="2" t="str">
        <f>IFERROR(IF(MARÍTIMOS[[#This Row],[Puerto de Retiro]]="","",MARÍTIMOS[[#This Row],[Puerto de Retiro]]),"")</f>
        <v/>
      </c>
      <c r="R330" s="2" t="str">
        <f>IFERROR(IF(MARÍTIMOS[[#This Row],[Almacén de Retiro]]="","",MARÍTIMOS[[#This Row],[Almacén de Retiro]]),"")</f>
        <v/>
      </c>
      <c r="S330" s="11" t="str">
        <f>IFERROR(IF(MARÍTIMOS[[#This Row],[Etapa Retiro - Cita]]="","",MARÍTIMOS[[#This Row],[Etapa Retiro - Cita]]),"")</f>
        <v/>
      </c>
      <c r="T330" s="11" t="str">
        <f>IFERROR(IF(MARÍTIMOS[[#This Row],[Etapa Retiro - Llegada]]="","",MARÍTIMOS[[#This Row],[Etapa Retiro - Llegada]]),"")</f>
        <v/>
      </c>
      <c r="U330" s="11" t="str">
        <f>IFERROR(IF(MARÍTIMOS[[#This Row],[Etapa Retiro - Ingreso]]="","",MARÍTIMOS[[#This Row],[Etapa Retiro - Ingreso]]),"")</f>
        <v/>
      </c>
      <c r="V330" s="11" t="str">
        <f>IFERROR(IF(MARÍTIMOS[[#This Row],[Etapa Retiro - Atención]]="","",MARÍTIMOS[[#This Row],[Etapa Retiro - Atención]]),"")</f>
        <v/>
      </c>
      <c r="W330" s="11" t="str">
        <f>IFERROR(IF(MARÍTIMOS[[#This Row],[Etapa Retiro - Salida]]="","",MARÍTIMOS[[#This Row],[Etapa Retiro - Salida]]),"")</f>
        <v/>
      </c>
      <c r="X330" s="11" t="str">
        <f>IFERROR(IF(MARÍTIMOS[[#This Row],[Etapa Retiro - Inicio de Ruta]]="","",MARÍTIMOS[[#This Row],[Etapa Retiro - Inicio de Ruta]]),"")</f>
        <v/>
      </c>
      <c r="Y330" s="11" t="str">
        <f>IFERROR(IF(MARÍTIMOS[[#This Row],[Hora de Posicionamiento]]="","",MARÍTIMOS[[#This Row],[Hora de Carga]]+MARÍTIMOS[[#This Row],[Hora de Posicionamiento]]),"")</f>
        <v/>
      </c>
      <c r="Z330" s="11" t="str">
        <f>IFERROR(IF(MARÍTIMOS[[#This Row],[Etapa Despacho -  Llegada]]="","",MARÍTIMOS[[#This Row],[Etapa Despacho -  Llegada]]),"")</f>
        <v/>
      </c>
      <c r="AA330" s="11" t="str">
        <f>IFERROR(IF(MARÍTIMOS[[#This Row],[Etapa Despacho -  Registro]]="","",MARÍTIMOS[[#This Row],[Etapa Despacho -  Registro]]),"")</f>
        <v/>
      </c>
      <c r="AB330" s="11" t="str">
        <f>IFERROR(IF(MARÍTIMOS[[#This Row],[Inspección Externa]]="","",MARÍTIMOS[[#This Row],[Inspección Externa]]),"")</f>
        <v/>
      </c>
      <c r="AC330" s="11" t="str">
        <f>IFERROR(IF(MARÍTIMOS[[#This Row],[Etapa Despacho -  Inicio de Carga]]="","",MARÍTIMOS[[#This Row],[Etapa Despacho -  Inicio de Carga]]),"")</f>
        <v/>
      </c>
      <c r="AD330" s="11" t="str">
        <f>IFERROR(IF(MARÍTIMOS[[#This Row],[Etapa Despacho -  Fin de Carga]]="","",MARÍTIMOS[[#This Row],[Etapa Despacho -  Fin de Carga]]),"")</f>
        <v/>
      </c>
      <c r="AE330" s="11" t="str">
        <f>IFERROR(IF(MARÍTIMOS[[#This Row],[Etapa Despacho -  Salida]]="","",MARÍTIMOS[[#This Row],[Etapa Despacho -  Salida]]),"")</f>
        <v/>
      </c>
      <c r="AF330" s="2" t="str">
        <f>IFERROR(IF(MARÍTIMOS[[#This Row],[Puerto de Embarque]]="","",MARÍTIMOS[[#This Row],[Puerto de Embarque]]),"")</f>
        <v/>
      </c>
      <c r="AG330" s="2" t="str">
        <f>IFERROR(IF(MARÍTIMOS[[#This Row],[Almacén de Ingreso]]="","",MARÍTIMOS[[#This Row],[Almacén de Ingreso]]),"")</f>
        <v/>
      </c>
      <c r="AH330" s="11" t="str">
        <f>IFERROR(IF(MARÍTIMOS[[#This Row],[Etapa Ingreso - Cita]]="","",MARÍTIMOS[[#This Row],[Etapa Ingreso - Cita]]),"")</f>
        <v/>
      </c>
      <c r="AI330" s="11" t="str">
        <f>IFERROR(IF(MARÍTIMOS[[#This Row],[Etapa Ingreso - Llegada]]="","",MARÍTIMOS[[#This Row],[Etapa Ingreso - Llegada]]),"")</f>
        <v/>
      </c>
      <c r="AJ330" s="11" t="str">
        <f>IFERROR(IF(MARÍTIMOS[[#This Row],[Etapa Ingreso - Ingeso]]="","",MARÍTIMOS[[#This Row],[Etapa Ingreso - Ingeso]]),"")</f>
        <v/>
      </c>
      <c r="AK330" s="11" t="str">
        <f>IFERROR(IF(MARÍTIMOS[[#This Row],[Etapa Ingreso - Atención]]="","",MARÍTIMOS[[#This Row],[Etapa Ingreso - Atención]]),"")</f>
        <v/>
      </c>
      <c r="AL330" s="11" t="str">
        <f>IFERROR(IF(MARÍTIMOS[[#This Row],[Etapa Ingreso - Salida]]="","",MARÍTIMOS[[#This Row],[Etapa Ingreso - Salida]]),"")</f>
        <v/>
      </c>
      <c r="AM330" s="2" t="str">
        <f>IFERROR(IF(MARÍTIMOS[[#This Row],[FCL]]="","",MARÍTIMOS[[#This Row],[FCL]]),"")</f>
        <v/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0" s="5" t="str">
        <f>IFERROR(OLDBD[[#This Row],[Llegada a packing]]-OLDBD[[#This Row],[Inicio de Ruta]],"")</f>
        <v/>
      </c>
      <c r="AQ330" s="6" t="str">
        <f>IFERROR(OLDBD[[#This Row],[Inicio de Ruta]]-OLDBD[[#This Row],[Salida de almacén de retiro]],"")</f>
        <v/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0" s="9" t="str">
        <f>IFERROR(OLDBD[[#This Row],[Ingreso Packing]]-OLDBD[[#This Row],[Registro en Packing]],"")</f>
        <v/>
      </c>
      <c r="AV330" s="9" t="str">
        <f>IFERROR(OLDBD[[#This Row],[Ingreso Packing]]-OLDBD[[#This Row],[Llegada a packing]],"")</f>
        <v/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 t="str">
        <f>IFERROR(OLDBD[[#This Row],[Llegada Almacén de Ingreso]]-OLDBD[[#This Row],[Salida Packing]],"")</f>
        <v/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0" s="45" t="s">
        <v>181</v>
      </c>
      <c r="BB330" s="53" t="str">
        <f>IFERROR(IF(MARÍTIMOS[[#This Row],[Estatus]]="","",MARÍTIMOS[[#This Row],[Estatus]]),"")</f>
        <v/>
      </c>
      <c r="BC330" s="45"/>
      <c r="BD330" s="52" t="str">
        <f>IFERROR(OLDBD[[#This Row],[Salida de almacén de retiro]]-OLDBD[[#This Row],[Ingreso Almacén de retiro]],"")</f>
        <v/>
      </c>
      <c r="BE330" s="52" t="str">
        <f>IFERROR(OLDBD[[#This Row],[Fin de Carga]]-OLDBD[[#This Row],[Inicio de Carga]],"")</f>
        <v/>
      </c>
    </row>
    <row r="331" spans="1:57" x14ac:dyDescent="0.35">
      <c r="A331" s="1"/>
      <c r="B331" s="1" t="str">
        <f>IFERROR(IF(MARÍTIMOS[[#This Row],[PP]]="","",MARÍTIMOS[[#This Row],[PP]]),"")</f>
        <v/>
      </c>
      <c r="C331" s="1" t="str">
        <f>IFERROR(IF(MARÍTIMOS[[#This Row],[Sede]]="","",MARÍTIMOS[[#This Row],[Sede]]),"")</f>
        <v/>
      </c>
      <c r="D331" s="1" t="str">
        <f>IFERROR(IF(MARÍTIMOS[[#This Row],[Instruction]]="","",MARÍTIMOS[[#This Row],[Instruction]]),"")</f>
        <v/>
      </c>
      <c r="E331" s="1"/>
      <c r="F331" s="2" t="str">
        <f>IFERROR(IF(MARÍTIMOS[[#This Row],[Transportista]]="","",MARÍTIMOS[[#This Row],[Transportista]]),"")</f>
        <v/>
      </c>
      <c r="G331" s="2" t="str">
        <f>IFERROR(IF(MARÍTIMOS[[#This Row],[Tercero]]="","",MARÍTIMOS[[#This Row],[Tercero]]),"")</f>
        <v/>
      </c>
      <c r="H331" s="2" t="str">
        <f>IFERROR(IF(MARÍTIMOS[[#This Row],[Razón Social]]="","",MARÍTIMOS[[#This Row],[Razón Social]]),"")</f>
        <v/>
      </c>
      <c r="I331" s="2" t="str">
        <f>IFERROR(IF(MARÍTIMOS[[#This Row],[RUC]]="","",MARÍTIMOS[[#This Row],[RUC]]),"")</f>
        <v/>
      </c>
      <c r="J331" s="2" t="str">
        <f>IFERROR(IF(MARÍTIMOS[[#This Row],[Placa Tracto]]="","",MARÍTIMOS[[#This Row],[Placa Tracto]]),"")</f>
        <v/>
      </c>
      <c r="K331" s="2" t="str">
        <f>IFERROR(IF(MARÍTIMOS[[#This Row],[Placa Carreta]]="","",MARÍTIMOS[[#This Row],[Placa Carreta]]),"")</f>
        <v/>
      </c>
      <c r="L331" s="46" t="str">
        <f>IFERROR(IF(MARÍTIMOS[[#This Row],[Conductor]]="","",MARÍTIMOS[[#This Row],[Conductor]]),"")</f>
        <v/>
      </c>
      <c r="M331" s="2" t="str">
        <f>IFERROR(IF(MARÍTIMOS[[#This Row],[Licencia]]="","",MARÍTIMOS[[#This Row],[Licencia]]),"")</f>
        <v/>
      </c>
      <c r="N331" s="2" t="str">
        <f>IFERROR(IF(MARÍTIMOS[[#This Row],[Número de Contacto]]="","",MARÍTIMOS[[#This Row],[Número de Contacto]]),"")</f>
        <v/>
      </c>
      <c r="O331" s="10" t="str">
        <f>IFERROR(IF(MARÍTIMOS[[#This Row],[Booking|AWB|CRT]]="","",MARÍTIMOS[[#This Row],[Booking|AWB|CRT]]),"")</f>
        <v/>
      </c>
      <c r="P331" s="2" t="str">
        <f>IFERROR(IF(MARÍTIMOS[[#This Row],[Contenedor]]="","",MARÍTIMOS[[#This Row],[Contenedor]]),"")</f>
        <v/>
      </c>
      <c r="Q331" s="2" t="str">
        <f>IFERROR(IF(MARÍTIMOS[[#This Row],[Puerto de Retiro]]="","",MARÍTIMOS[[#This Row],[Puerto de Retiro]]),"")</f>
        <v/>
      </c>
      <c r="R331" s="2" t="str">
        <f>IFERROR(IF(MARÍTIMOS[[#This Row],[Almacén de Retiro]]="","",MARÍTIMOS[[#This Row],[Almacén de Retiro]]),"")</f>
        <v/>
      </c>
      <c r="S331" s="11" t="str">
        <f>IFERROR(IF(MARÍTIMOS[[#This Row],[Etapa Retiro - Cita]]="","",MARÍTIMOS[[#This Row],[Etapa Retiro - Cita]]),"")</f>
        <v/>
      </c>
      <c r="T331" s="11" t="str">
        <f>IFERROR(IF(MARÍTIMOS[[#This Row],[Etapa Retiro - Llegada]]="","",MARÍTIMOS[[#This Row],[Etapa Retiro - Llegada]]),"")</f>
        <v/>
      </c>
      <c r="U331" s="11" t="str">
        <f>IFERROR(IF(MARÍTIMOS[[#This Row],[Etapa Retiro - Ingreso]]="","",MARÍTIMOS[[#This Row],[Etapa Retiro - Ingreso]]),"")</f>
        <v/>
      </c>
      <c r="V331" s="11" t="str">
        <f>IFERROR(IF(MARÍTIMOS[[#This Row],[Etapa Retiro - Atención]]="","",MARÍTIMOS[[#This Row],[Etapa Retiro - Atención]]),"")</f>
        <v/>
      </c>
      <c r="W331" s="11" t="str">
        <f>IFERROR(IF(MARÍTIMOS[[#This Row],[Etapa Retiro - Salida]]="","",MARÍTIMOS[[#This Row],[Etapa Retiro - Salida]]),"")</f>
        <v/>
      </c>
      <c r="X331" s="11" t="str">
        <f>IFERROR(IF(MARÍTIMOS[[#This Row],[Etapa Retiro - Inicio de Ruta]]="","",MARÍTIMOS[[#This Row],[Etapa Retiro - Inicio de Ruta]]),"")</f>
        <v/>
      </c>
      <c r="Y331" s="11" t="str">
        <f>IFERROR(IF(MARÍTIMOS[[#This Row],[Hora de Posicionamiento]]="","",MARÍTIMOS[[#This Row],[Hora de Carga]]+MARÍTIMOS[[#This Row],[Hora de Posicionamiento]]),"")</f>
        <v/>
      </c>
      <c r="Z331" s="11" t="str">
        <f>IFERROR(IF(MARÍTIMOS[[#This Row],[Etapa Despacho -  Llegada]]="","",MARÍTIMOS[[#This Row],[Etapa Despacho -  Llegada]]),"")</f>
        <v/>
      </c>
      <c r="AA331" s="11" t="str">
        <f>IFERROR(IF(MARÍTIMOS[[#This Row],[Etapa Despacho -  Registro]]="","",MARÍTIMOS[[#This Row],[Etapa Despacho -  Registro]]),"")</f>
        <v/>
      </c>
      <c r="AB331" s="11" t="str">
        <f>IFERROR(IF(MARÍTIMOS[[#This Row],[Inspección Externa]]="","",MARÍTIMOS[[#This Row],[Inspección Externa]]),"")</f>
        <v/>
      </c>
      <c r="AC331" s="11" t="str">
        <f>IFERROR(IF(MARÍTIMOS[[#This Row],[Etapa Despacho -  Inicio de Carga]]="","",MARÍTIMOS[[#This Row],[Etapa Despacho -  Inicio de Carga]]),"")</f>
        <v/>
      </c>
      <c r="AD331" s="11" t="str">
        <f>IFERROR(IF(MARÍTIMOS[[#This Row],[Etapa Despacho -  Fin de Carga]]="","",MARÍTIMOS[[#This Row],[Etapa Despacho -  Fin de Carga]]),"")</f>
        <v/>
      </c>
      <c r="AE331" s="11" t="str">
        <f>IFERROR(IF(MARÍTIMOS[[#This Row],[Etapa Despacho -  Salida]]="","",MARÍTIMOS[[#This Row],[Etapa Despacho -  Salida]]),"")</f>
        <v/>
      </c>
      <c r="AF331" s="2" t="str">
        <f>IFERROR(IF(MARÍTIMOS[[#This Row],[Puerto de Embarque]]="","",MARÍTIMOS[[#This Row],[Puerto de Embarque]]),"")</f>
        <v/>
      </c>
      <c r="AG331" s="2" t="str">
        <f>IFERROR(IF(MARÍTIMOS[[#This Row],[Almacén de Ingreso]]="","",MARÍTIMOS[[#This Row],[Almacén de Ingreso]]),"")</f>
        <v/>
      </c>
      <c r="AH331" s="11" t="str">
        <f>IFERROR(IF(MARÍTIMOS[[#This Row],[Etapa Ingreso - Cita]]="","",MARÍTIMOS[[#This Row],[Etapa Ingreso - Cita]]),"")</f>
        <v/>
      </c>
      <c r="AI331" s="11" t="str">
        <f>IFERROR(IF(MARÍTIMOS[[#This Row],[Etapa Ingreso - Llegada]]="","",MARÍTIMOS[[#This Row],[Etapa Ingreso - Llegada]]),"")</f>
        <v/>
      </c>
      <c r="AJ331" s="11" t="str">
        <f>IFERROR(IF(MARÍTIMOS[[#This Row],[Etapa Ingreso - Ingeso]]="","",MARÍTIMOS[[#This Row],[Etapa Ingreso - Ingeso]]),"")</f>
        <v/>
      </c>
      <c r="AK331" s="11" t="str">
        <f>IFERROR(IF(MARÍTIMOS[[#This Row],[Etapa Ingreso - Atención]]="","",MARÍTIMOS[[#This Row],[Etapa Ingreso - Atención]]),"")</f>
        <v/>
      </c>
      <c r="AL331" s="11" t="str">
        <f>IFERROR(IF(MARÍTIMOS[[#This Row],[Etapa Ingreso - Salida]]="","",MARÍTIMOS[[#This Row],[Etapa Ingreso - Salida]]),"")</f>
        <v/>
      </c>
      <c r="AM331" s="2" t="str">
        <f>IFERROR(IF(MARÍTIMOS[[#This Row],[FCL]]="","",MARÍTIMOS[[#This Row],[FCL]]),"")</f>
        <v/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1" s="5" t="str">
        <f>IFERROR(OLDBD[[#This Row],[Llegada a packing]]-OLDBD[[#This Row],[Inicio de Ruta]],"")</f>
        <v/>
      </c>
      <c r="AQ331" s="6" t="str">
        <f>IFERROR(OLDBD[[#This Row],[Inicio de Ruta]]-OLDBD[[#This Row],[Salida de almacén de retiro]],"")</f>
        <v/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1" s="9" t="str">
        <f>IFERROR(OLDBD[[#This Row],[Ingreso Packing]]-OLDBD[[#This Row],[Registro en Packing]],"")</f>
        <v/>
      </c>
      <c r="AV331" s="9" t="str">
        <f>IFERROR(OLDBD[[#This Row],[Ingreso Packing]]-OLDBD[[#This Row],[Llegada a packing]],"")</f>
        <v/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 t="str">
        <f>IFERROR(OLDBD[[#This Row],[Llegada Almacén de Ingreso]]-OLDBD[[#This Row],[Salida Packing]],"")</f>
        <v/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1" s="45" t="s">
        <v>181</v>
      </c>
      <c r="BB331" s="53" t="str">
        <f>IFERROR(IF(MARÍTIMOS[[#This Row],[Estatus]]="","",MARÍTIMOS[[#This Row],[Estatus]]),"")</f>
        <v/>
      </c>
      <c r="BC331" s="45"/>
      <c r="BD331" s="52" t="str">
        <f>IFERROR(OLDBD[[#This Row],[Salida de almacén de retiro]]-OLDBD[[#This Row],[Ingreso Almacén de retiro]],"")</f>
        <v/>
      </c>
      <c r="BE331" s="52" t="str">
        <f>IFERROR(OLDBD[[#This Row],[Fin de Carga]]-OLDBD[[#This Row],[Inicio de Carga]],"")</f>
        <v/>
      </c>
    </row>
    <row r="332" spans="1:57" x14ac:dyDescent="0.35">
      <c r="A332" s="1"/>
      <c r="B332" s="1" t="str">
        <f>IFERROR(IF(MARÍTIMOS[[#This Row],[PP]]="","",MARÍTIMOS[[#This Row],[PP]]),"")</f>
        <v/>
      </c>
      <c r="C332" s="1" t="str">
        <f>IFERROR(IF(MARÍTIMOS[[#This Row],[Sede]]="","",MARÍTIMOS[[#This Row],[Sede]]),"")</f>
        <v/>
      </c>
      <c r="D332" s="1" t="str">
        <f>IFERROR(IF(MARÍTIMOS[[#This Row],[Instruction]]="","",MARÍTIMOS[[#This Row],[Instruction]]),"")</f>
        <v/>
      </c>
      <c r="E332" s="1"/>
      <c r="F332" s="2" t="str">
        <f>IFERROR(IF(MARÍTIMOS[[#This Row],[Transportista]]="","",MARÍTIMOS[[#This Row],[Transportista]]),"")</f>
        <v/>
      </c>
      <c r="G332" s="2" t="str">
        <f>IFERROR(IF(MARÍTIMOS[[#This Row],[Tercero]]="","",MARÍTIMOS[[#This Row],[Tercero]]),"")</f>
        <v/>
      </c>
      <c r="H332" s="2" t="str">
        <f>IFERROR(IF(MARÍTIMOS[[#This Row],[Razón Social]]="","",MARÍTIMOS[[#This Row],[Razón Social]]),"")</f>
        <v/>
      </c>
      <c r="I332" s="2" t="str">
        <f>IFERROR(IF(MARÍTIMOS[[#This Row],[RUC]]="","",MARÍTIMOS[[#This Row],[RUC]]),"")</f>
        <v/>
      </c>
      <c r="J332" s="2" t="str">
        <f>IFERROR(IF(MARÍTIMOS[[#This Row],[Placa Tracto]]="","",MARÍTIMOS[[#This Row],[Placa Tracto]]),"")</f>
        <v/>
      </c>
      <c r="K332" s="2" t="str">
        <f>IFERROR(IF(MARÍTIMOS[[#This Row],[Placa Carreta]]="","",MARÍTIMOS[[#This Row],[Placa Carreta]]),"")</f>
        <v/>
      </c>
      <c r="L332" s="46" t="str">
        <f>IFERROR(IF(MARÍTIMOS[[#This Row],[Conductor]]="","",MARÍTIMOS[[#This Row],[Conductor]]),"")</f>
        <v/>
      </c>
      <c r="M332" s="2" t="str">
        <f>IFERROR(IF(MARÍTIMOS[[#This Row],[Licencia]]="","",MARÍTIMOS[[#This Row],[Licencia]]),"")</f>
        <v/>
      </c>
      <c r="N332" s="2" t="str">
        <f>IFERROR(IF(MARÍTIMOS[[#This Row],[Número de Contacto]]="","",MARÍTIMOS[[#This Row],[Número de Contacto]]),"")</f>
        <v/>
      </c>
      <c r="O332" s="10" t="str">
        <f>IFERROR(IF(MARÍTIMOS[[#This Row],[Booking|AWB|CRT]]="","",MARÍTIMOS[[#This Row],[Booking|AWB|CRT]]),"")</f>
        <v/>
      </c>
      <c r="P332" s="2" t="str">
        <f>IFERROR(IF(MARÍTIMOS[[#This Row],[Contenedor]]="","",MARÍTIMOS[[#This Row],[Contenedor]]),"")</f>
        <v/>
      </c>
      <c r="Q332" s="2" t="str">
        <f>IFERROR(IF(MARÍTIMOS[[#This Row],[Puerto de Retiro]]="","",MARÍTIMOS[[#This Row],[Puerto de Retiro]]),"")</f>
        <v/>
      </c>
      <c r="R332" s="2" t="str">
        <f>IFERROR(IF(MARÍTIMOS[[#This Row],[Almacén de Retiro]]="","",MARÍTIMOS[[#This Row],[Almacén de Retiro]]),"")</f>
        <v/>
      </c>
      <c r="S332" s="11" t="str">
        <f>IFERROR(IF(MARÍTIMOS[[#This Row],[Etapa Retiro - Cita]]="","",MARÍTIMOS[[#This Row],[Etapa Retiro - Cita]]),"")</f>
        <v/>
      </c>
      <c r="T332" s="11" t="str">
        <f>IFERROR(IF(MARÍTIMOS[[#This Row],[Etapa Retiro - Llegada]]="","",MARÍTIMOS[[#This Row],[Etapa Retiro - Llegada]]),"")</f>
        <v/>
      </c>
      <c r="U332" s="11" t="str">
        <f>IFERROR(IF(MARÍTIMOS[[#This Row],[Etapa Retiro - Ingreso]]="","",MARÍTIMOS[[#This Row],[Etapa Retiro - Ingreso]]),"")</f>
        <v/>
      </c>
      <c r="V332" s="11" t="str">
        <f>IFERROR(IF(MARÍTIMOS[[#This Row],[Etapa Retiro - Atención]]="","",MARÍTIMOS[[#This Row],[Etapa Retiro - Atención]]),"")</f>
        <v/>
      </c>
      <c r="W332" s="11" t="str">
        <f>IFERROR(IF(MARÍTIMOS[[#This Row],[Etapa Retiro - Salida]]="","",MARÍTIMOS[[#This Row],[Etapa Retiro - Salida]]),"")</f>
        <v/>
      </c>
      <c r="X332" s="11" t="str">
        <f>IFERROR(IF(MARÍTIMOS[[#This Row],[Etapa Retiro - Inicio de Ruta]]="","",MARÍTIMOS[[#This Row],[Etapa Retiro - Inicio de Ruta]]),"")</f>
        <v/>
      </c>
      <c r="Y332" s="11" t="str">
        <f>IFERROR(IF(MARÍTIMOS[[#This Row],[Hora de Posicionamiento]]="","",MARÍTIMOS[[#This Row],[Hora de Carga]]+MARÍTIMOS[[#This Row],[Hora de Posicionamiento]]),"")</f>
        <v/>
      </c>
      <c r="Z332" s="11" t="str">
        <f>IFERROR(IF(MARÍTIMOS[[#This Row],[Etapa Despacho -  Llegada]]="","",MARÍTIMOS[[#This Row],[Etapa Despacho -  Llegada]]),"")</f>
        <v/>
      </c>
      <c r="AA332" s="11" t="str">
        <f>IFERROR(IF(MARÍTIMOS[[#This Row],[Etapa Despacho -  Registro]]="","",MARÍTIMOS[[#This Row],[Etapa Despacho -  Registro]]),"")</f>
        <v/>
      </c>
      <c r="AB332" s="11" t="str">
        <f>IFERROR(IF(MARÍTIMOS[[#This Row],[Inspección Externa]]="","",MARÍTIMOS[[#This Row],[Inspección Externa]]),"")</f>
        <v/>
      </c>
      <c r="AC332" s="11" t="str">
        <f>IFERROR(IF(MARÍTIMOS[[#This Row],[Etapa Despacho -  Inicio de Carga]]="","",MARÍTIMOS[[#This Row],[Etapa Despacho -  Inicio de Carga]]),"")</f>
        <v/>
      </c>
      <c r="AD332" s="11" t="str">
        <f>IFERROR(IF(MARÍTIMOS[[#This Row],[Etapa Despacho -  Fin de Carga]]="","",MARÍTIMOS[[#This Row],[Etapa Despacho -  Fin de Carga]]),"")</f>
        <v/>
      </c>
      <c r="AE332" s="11" t="str">
        <f>IFERROR(IF(MARÍTIMOS[[#This Row],[Etapa Despacho -  Salida]]="","",MARÍTIMOS[[#This Row],[Etapa Despacho -  Salida]]),"")</f>
        <v/>
      </c>
      <c r="AF332" s="2" t="str">
        <f>IFERROR(IF(MARÍTIMOS[[#This Row],[Puerto de Embarque]]="","",MARÍTIMOS[[#This Row],[Puerto de Embarque]]),"")</f>
        <v/>
      </c>
      <c r="AG332" s="2" t="str">
        <f>IFERROR(IF(MARÍTIMOS[[#This Row],[Almacén de Ingreso]]="","",MARÍTIMOS[[#This Row],[Almacén de Ingreso]]),"")</f>
        <v/>
      </c>
      <c r="AH332" s="11" t="str">
        <f>IFERROR(IF(MARÍTIMOS[[#This Row],[Etapa Ingreso - Cita]]="","",MARÍTIMOS[[#This Row],[Etapa Ingreso - Cita]]),"")</f>
        <v/>
      </c>
      <c r="AI332" s="11" t="str">
        <f>IFERROR(IF(MARÍTIMOS[[#This Row],[Etapa Ingreso - Llegada]]="","",MARÍTIMOS[[#This Row],[Etapa Ingreso - Llegada]]),"")</f>
        <v/>
      </c>
      <c r="AJ332" s="11" t="str">
        <f>IFERROR(IF(MARÍTIMOS[[#This Row],[Etapa Ingreso - Ingeso]]="","",MARÍTIMOS[[#This Row],[Etapa Ingreso - Ingeso]]),"")</f>
        <v/>
      </c>
      <c r="AK332" s="11" t="str">
        <f>IFERROR(IF(MARÍTIMOS[[#This Row],[Etapa Ingreso - Atención]]="","",MARÍTIMOS[[#This Row],[Etapa Ingreso - Atención]]),"")</f>
        <v/>
      </c>
      <c r="AL332" s="11" t="str">
        <f>IFERROR(IF(MARÍTIMOS[[#This Row],[Etapa Ingreso - Salida]]="","",MARÍTIMOS[[#This Row],[Etapa Ingreso - Salida]]),"")</f>
        <v/>
      </c>
      <c r="AM332" s="2" t="str">
        <f>IFERROR(IF(MARÍTIMOS[[#This Row],[FCL]]="","",MARÍTIMOS[[#This Row],[FCL]]),"")</f>
        <v/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2" s="5" t="str">
        <f>IFERROR(OLDBD[[#This Row],[Llegada a packing]]-OLDBD[[#This Row],[Inicio de Ruta]],"")</f>
        <v/>
      </c>
      <c r="AQ332" s="6" t="str">
        <f>IFERROR(OLDBD[[#This Row],[Inicio de Ruta]]-OLDBD[[#This Row],[Salida de almacén de retiro]],"")</f>
        <v/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2" s="9" t="str">
        <f>IFERROR(OLDBD[[#This Row],[Ingreso Packing]]-OLDBD[[#This Row],[Registro en Packing]],"")</f>
        <v/>
      </c>
      <c r="AV332" s="9" t="str">
        <f>IFERROR(OLDBD[[#This Row],[Ingreso Packing]]-OLDBD[[#This Row],[Llegada a packing]],"")</f>
        <v/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 t="str">
        <f>IFERROR(OLDBD[[#This Row],[Llegada Almacén de Ingreso]]-OLDBD[[#This Row],[Salida Packing]],"")</f>
        <v/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2" s="45" t="s">
        <v>181</v>
      </c>
      <c r="BB332" s="53" t="str">
        <f>IFERROR(IF(MARÍTIMOS[[#This Row],[Estatus]]="","",MARÍTIMOS[[#This Row],[Estatus]]),"")</f>
        <v/>
      </c>
      <c r="BC332" s="45"/>
      <c r="BD332" s="52" t="str">
        <f>IFERROR(OLDBD[[#This Row],[Salida de almacén de retiro]]-OLDBD[[#This Row],[Ingreso Almacén de retiro]],"")</f>
        <v/>
      </c>
      <c r="BE332" s="52" t="str">
        <f>IFERROR(OLDBD[[#This Row],[Fin de Carga]]-OLDBD[[#This Row],[Inicio de Carga]],"")</f>
        <v/>
      </c>
    </row>
    <row r="333" spans="1:57" x14ac:dyDescent="0.35">
      <c r="A333" s="1"/>
      <c r="B333" s="1" t="str">
        <f>IFERROR(IF(MARÍTIMOS[[#This Row],[PP]]="","",MARÍTIMOS[[#This Row],[PP]]),"")</f>
        <v/>
      </c>
      <c r="C333" s="1" t="str">
        <f>IFERROR(IF(MARÍTIMOS[[#This Row],[Sede]]="","",MARÍTIMOS[[#This Row],[Sede]]),"")</f>
        <v/>
      </c>
      <c r="D333" s="1" t="str">
        <f>IFERROR(IF(MARÍTIMOS[[#This Row],[Instruction]]="","",MARÍTIMOS[[#This Row],[Instruction]]),"")</f>
        <v/>
      </c>
      <c r="E333" s="1"/>
      <c r="F333" s="2" t="str">
        <f>IFERROR(IF(MARÍTIMOS[[#This Row],[Transportista]]="","",MARÍTIMOS[[#This Row],[Transportista]]),"")</f>
        <v/>
      </c>
      <c r="G333" s="2" t="str">
        <f>IFERROR(IF(MARÍTIMOS[[#This Row],[Tercero]]="","",MARÍTIMOS[[#This Row],[Tercero]]),"")</f>
        <v/>
      </c>
      <c r="H333" s="2" t="str">
        <f>IFERROR(IF(MARÍTIMOS[[#This Row],[Razón Social]]="","",MARÍTIMOS[[#This Row],[Razón Social]]),"")</f>
        <v/>
      </c>
      <c r="I333" s="2" t="str">
        <f>IFERROR(IF(MARÍTIMOS[[#This Row],[RUC]]="","",MARÍTIMOS[[#This Row],[RUC]]),"")</f>
        <v/>
      </c>
      <c r="J333" s="2" t="str">
        <f>IFERROR(IF(MARÍTIMOS[[#This Row],[Placa Tracto]]="","",MARÍTIMOS[[#This Row],[Placa Tracto]]),"")</f>
        <v/>
      </c>
      <c r="K333" s="2" t="str">
        <f>IFERROR(IF(MARÍTIMOS[[#This Row],[Placa Carreta]]="","",MARÍTIMOS[[#This Row],[Placa Carreta]]),"")</f>
        <v/>
      </c>
      <c r="L333" s="46" t="str">
        <f>IFERROR(IF(MARÍTIMOS[[#This Row],[Conductor]]="","",MARÍTIMOS[[#This Row],[Conductor]]),"")</f>
        <v/>
      </c>
      <c r="M333" s="2" t="str">
        <f>IFERROR(IF(MARÍTIMOS[[#This Row],[Licencia]]="","",MARÍTIMOS[[#This Row],[Licencia]]),"")</f>
        <v/>
      </c>
      <c r="N333" s="2" t="str">
        <f>IFERROR(IF(MARÍTIMOS[[#This Row],[Número de Contacto]]="","",MARÍTIMOS[[#This Row],[Número de Contacto]]),"")</f>
        <v/>
      </c>
      <c r="O333" s="10" t="str">
        <f>IFERROR(IF(MARÍTIMOS[[#This Row],[Booking|AWB|CRT]]="","",MARÍTIMOS[[#This Row],[Booking|AWB|CRT]]),"")</f>
        <v/>
      </c>
      <c r="P333" s="2" t="str">
        <f>IFERROR(IF(MARÍTIMOS[[#This Row],[Contenedor]]="","",MARÍTIMOS[[#This Row],[Contenedor]]),"")</f>
        <v/>
      </c>
      <c r="Q333" s="2" t="str">
        <f>IFERROR(IF(MARÍTIMOS[[#This Row],[Puerto de Retiro]]="","",MARÍTIMOS[[#This Row],[Puerto de Retiro]]),"")</f>
        <v/>
      </c>
      <c r="R333" s="2" t="str">
        <f>IFERROR(IF(MARÍTIMOS[[#This Row],[Almacén de Retiro]]="","",MARÍTIMOS[[#This Row],[Almacén de Retiro]]),"")</f>
        <v/>
      </c>
      <c r="S333" s="11" t="str">
        <f>IFERROR(IF(MARÍTIMOS[[#This Row],[Etapa Retiro - Cita]]="","",MARÍTIMOS[[#This Row],[Etapa Retiro - Cita]]),"")</f>
        <v/>
      </c>
      <c r="T333" s="11" t="str">
        <f>IFERROR(IF(MARÍTIMOS[[#This Row],[Etapa Retiro - Llegada]]="","",MARÍTIMOS[[#This Row],[Etapa Retiro - Llegada]]),"")</f>
        <v/>
      </c>
      <c r="U333" s="11" t="str">
        <f>IFERROR(IF(MARÍTIMOS[[#This Row],[Etapa Retiro - Ingreso]]="","",MARÍTIMOS[[#This Row],[Etapa Retiro - Ingreso]]),"")</f>
        <v/>
      </c>
      <c r="V333" s="11" t="str">
        <f>IFERROR(IF(MARÍTIMOS[[#This Row],[Etapa Retiro - Atención]]="","",MARÍTIMOS[[#This Row],[Etapa Retiro - Atención]]),"")</f>
        <v/>
      </c>
      <c r="W333" s="11" t="str">
        <f>IFERROR(IF(MARÍTIMOS[[#This Row],[Etapa Retiro - Salida]]="","",MARÍTIMOS[[#This Row],[Etapa Retiro - Salida]]),"")</f>
        <v/>
      </c>
      <c r="X333" s="11" t="str">
        <f>IFERROR(IF(MARÍTIMOS[[#This Row],[Etapa Retiro - Inicio de Ruta]]="","",MARÍTIMOS[[#This Row],[Etapa Retiro - Inicio de Ruta]]),"")</f>
        <v/>
      </c>
      <c r="Y333" s="11" t="str">
        <f>IFERROR(IF(MARÍTIMOS[[#This Row],[Hora de Posicionamiento]]="","",MARÍTIMOS[[#This Row],[Hora de Carga]]+MARÍTIMOS[[#This Row],[Hora de Posicionamiento]]),"")</f>
        <v/>
      </c>
      <c r="Z333" s="11" t="str">
        <f>IFERROR(IF(MARÍTIMOS[[#This Row],[Etapa Despacho -  Llegada]]="","",MARÍTIMOS[[#This Row],[Etapa Despacho -  Llegada]]),"")</f>
        <v/>
      </c>
      <c r="AA333" s="11" t="str">
        <f>IFERROR(IF(MARÍTIMOS[[#This Row],[Etapa Despacho -  Registro]]="","",MARÍTIMOS[[#This Row],[Etapa Despacho -  Registro]]),"")</f>
        <v/>
      </c>
      <c r="AB333" s="11" t="str">
        <f>IFERROR(IF(MARÍTIMOS[[#This Row],[Inspección Externa]]="","",MARÍTIMOS[[#This Row],[Inspección Externa]]),"")</f>
        <v/>
      </c>
      <c r="AC333" s="11" t="str">
        <f>IFERROR(IF(MARÍTIMOS[[#This Row],[Etapa Despacho -  Inicio de Carga]]="","",MARÍTIMOS[[#This Row],[Etapa Despacho -  Inicio de Carga]]),"")</f>
        <v/>
      </c>
      <c r="AD333" s="11" t="str">
        <f>IFERROR(IF(MARÍTIMOS[[#This Row],[Etapa Despacho -  Fin de Carga]]="","",MARÍTIMOS[[#This Row],[Etapa Despacho -  Fin de Carga]]),"")</f>
        <v/>
      </c>
      <c r="AE333" s="11" t="str">
        <f>IFERROR(IF(MARÍTIMOS[[#This Row],[Etapa Despacho -  Salida]]="","",MARÍTIMOS[[#This Row],[Etapa Despacho -  Salida]]),"")</f>
        <v/>
      </c>
      <c r="AF333" s="2" t="str">
        <f>IFERROR(IF(MARÍTIMOS[[#This Row],[Puerto de Embarque]]="","",MARÍTIMOS[[#This Row],[Puerto de Embarque]]),"")</f>
        <v/>
      </c>
      <c r="AG333" s="2" t="str">
        <f>IFERROR(IF(MARÍTIMOS[[#This Row],[Almacén de Ingreso]]="","",MARÍTIMOS[[#This Row],[Almacén de Ingreso]]),"")</f>
        <v/>
      </c>
      <c r="AH333" s="11" t="str">
        <f>IFERROR(IF(MARÍTIMOS[[#This Row],[Etapa Ingreso - Cita]]="","",MARÍTIMOS[[#This Row],[Etapa Ingreso - Cita]]),"")</f>
        <v/>
      </c>
      <c r="AI333" s="11" t="str">
        <f>IFERROR(IF(MARÍTIMOS[[#This Row],[Etapa Ingreso - Llegada]]="","",MARÍTIMOS[[#This Row],[Etapa Ingreso - Llegada]]),"")</f>
        <v/>
      </c>
      <c r="AJ333" s="11" t="str">
        <f>IFERROR(IF(MARÍTIMOS[[#This Row],[Etapa Ingreso - Ingeso]]="","",MARÍTIMOS[[#This Row],[Etapa Ingreso - Ingeso]]),"")</f>
        <v/>
      </c>
      <c r="AK333" s="11" t="str">
        <f>IFERROR(IF(MARÍTIMOS[[#This Row],[Etapa Ingreso - Atención]]="","",MARÍTIMOS[[#This Row],[Etapa Ingreso - Atención]]),"")</f>
        <v/>
      </c>
      <c r="AL333" s="11" t="str">
        <f>IFERROR(IF(MARÍTIMOS[[#This Row],[Etapa Ingreso - Salida]]="","",MARÍTIMOS[[#This Row],[Etapa Ingreso - Salida]]),"")</f>
        <v/>
      </c>
      <c r="AM333" s="2" t="str">
        <f>IFERROR(IF(MARÍTIMOS[[#This Row],[FCL]]="","",MARÍTIMOS[[#This Row],[FCL]]),"")</f>
        <v/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3" s="5" t="str">
        <f>IFERROR(OLDBD[[#This Row],[Llegada a packing]]-OLDBD[[#This Row],[Inicio de Ruta]],"")</f>
        <v/>
      </c>
      <c r="AQ333" s="6" t="str">
        <f>IFERROR(OLDBD[[#This Row],[Inicio de Ruta]]-OLDBD[[#This Row],[Salida de almacén de retiro]],"")</f>
        <v/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3" s="9" t="str">
        <f>IFERROR(OLDBD[[#This Row],[Ingreso Packing]]-OLDBD[[#This Row],[Registro en Packing]],"")</f>
        <v/>
      </c>
      <c r="AV333" s="9" t="str">
        <f>IFERROR(OLDBD[[#This Row],[Ingreso Packing]]-OLDBD[[#This Row],[Llegada a packing]],"")</f>
        <v/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 t="str">
        <f>IFERROR(OLDBD[[#This Row],[Llegada Almacén de Ingreso]]-OLDBD[[#This Row],[Salida Packing]],"")</f>
        <v/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3" s="45" t="s">
        <v>181</v>
      </c>
      <c r="BB333" s="53" t="str">
        <f>IFERROR(IF(MARÍTIMOS[[#This Row],[Estatus]]="","",MARÍTIMOS[[#This Row],[Estatus]]),"")</f>
        <v/>
      </c>
      <c r="BC333" s="45"/>
      <c r="BD333" s="52" t="str">
        <f>IFERROR(OLDBD[[#This Row],[Salida de almacén de retiro]]-OLDBD[[#This Row],[Ingreso Almacén de retiro]],"")</f>
        <v/>
      </c>
      <c r="BE333" s="52" t="str">
        <f>IFERROR(OLDBD[[#This Row],[Fin de Carga]]-OLDBD[[#This Row],[Inicio de Carga]],"")</f>
        <v/>
      </c>
    </row>
    <row r="334" spans="1:57" x14ac:dyDescent="0.35">
      <c r="A334" s="1"/>
      <c r="B334" s="1" t="str">
        <f>IFERROR(IF(MARÍTIMOS[[#This Row],[PP]]="","",MARÍTIMOS[[#This Row],[PP]]),"")</f>
        <v/>
      </c>
      <c r="C334" s="1" t="str">
        <f>IFERROR(IF(MARÍTIMOS[[#This Row],[Sede]]="","",MARÍTIMOS[[#This Row],[Sede]]),"")</f>
        <v/>
      </c>
      <c r="D334" s="1" t="str">
        <f>IFERROR(IF(MARÍTIMOS[[#This Row],[Instruction]]="","",MARÍTIMOS[[#This Row],[Instruction]]),"")</f>
        <v/>
      </c>
      <c r="E334" s="1"/>
      <c r="F334" s="2" t="str">
        <f>IFERROR(IF(MARÍTIMOS[[#This Row],[Transportista]]="","",MARÍTIMOS[[#This Row],[Transportista]]),"")</f>
        <v/>
      </c>
      <c r="G334" s="2" t="str">
        <f>IFERROR(IF(MARÍTIMOS[[#This Row],[Tercero]]="","",MARÍTIMOS[[#This Row],[Tercero]]),"")</f>
        <v/>
      </c>
      <c r="H334" s="2" t="str">
        <f>IFERROR(IF(MARÍTIMOS[[#This Row],[Razón Social]]="","",MARÍTIMOS[[#This Row],[Razón Social]]),"")</f>
        <v/>
      </c>
      <c r="I334" s="2" t="str">
        <f>IFERROR(IF(MARÍTIMOS[[#This Row],[RUC]]="","",MARÍTIMOS[[#This Row],[RUC]]),"")</f>
        <v/>
      </c>
      <c r="J334" s="2" t="str">
        <f>IFERROR(IF(MARÍTIMOS[[#This Row],[Placa Tracto]]="","",MARÍTIMOS[[#This Row],[Placa Tracto]]),"")</f>
        <v/>
      </c>
      <c r="K334" s="2" t="str">
        <f>IFERROR(IF(MARÍTIMOS[[#This Row],[Placa Carreta]]="","",MARÍTIMOS[[#This Row],[Placa Carreta]]),"")</f>
        <v/>
      </c>
      <c r="L334" s="46" t="str">
        <f>IFERROR(IF(MARÍTIMOS[[#This Row],[Conductor]]="","",MARÍTIMOS[[#This Row],[Conductor]]),"")</f>
        <v/>
      </c>
      <c r="M334" s="2" t="str">
        <f>IFERROR(IF(MARÍTIMOS[[#This Row],[Licencia]]="","",MARÍTIMOS[[#This Row],[Licencia]]),"")</f>
        <v/>
      </c>
      <c r="N334" s="2" t="str">
        <f>IFERROR(IF(MARÍTIMOS[[#This Row],[Número de Contacto]]="","",MARÍTIMOS[[#This Row],[Número de Contacto]]),"")</f>
        <v/>
      </c>
      <c r="O334" s="10" t="str">
        <f>IFERROR(IF(MARÍTIMOS[[#This Row],[Booking|AWB|CRT]]="","",MARÍTIMOS[[#This Row],[Booking|AWB|CRT]]),"")</f>
        <v/>
      </c>
      <c r="P334" s="2" t="str">
        <f>IFERROR(IF(MARÍTIMOS[[#This Row],[Contenedor]]="","",MARÍTIMOS[[#This Row],[Contenedor]]),"")</f>
        <v/>
      </c>
      <c r="Q334" s="2" t="str">
        <f>IFERROR(IF(MARÍTIMOS[[#This Row],[Puerto de Retiro]]="","",MARÍTIMOS[[#This Row],[Puerto de Retiro]]),"")</f>
        <v/>
      </c>
      <c r="R334" s="2" t="str">
        <f>IFERROR(IF(MARÍTIMOS[[#This Row],[Almacén de Retiro]]="","",MARÍTIMOS[[#This Row],[Almacén de Retiro]]),"")</f>
        <v/>
      </c>
      <c r="S334" s="11" t="str">
        <f>IFERROR(IF(MARÍTIMOS[[#This Row],[Etapa Retiro - Cita]]="","",MARÍTIMOS[[#This Row],[Etapa Retiro - Cita]]),"")</f>
        <v/>
      </c>
      <c r="T334" s="11" t="str">
        <f>IFERROR(IF(MARÍTIMOS[[#This Row],[Etapa Retiro - Llegada]]="","",MARÍTIMOS[[#This Row],[Etapa Retiro - Llegada]]),"")</f>
        <v/>
      </c>
      <c r="U334" s="11" t="str">
        <f>IFERROR(IF(MARÍTIMOS[[#This Row],[Etapa Retiro - Ingreso]]="","",MARÍTIMOS[[#This Row],[Etapa Retiro - Ingreso]]),"")</f>
        <v/>
      </c>
      <c r="V334" s="11" t="str">
        <f>IFERROR(IF(MARÍTIMOS[[#This Row],[Etapa Retiro - Atención]]="","",MARÍTIMOS[[#This Row],[Etapa Retiro - Atención]]),"")</f>
        <v/>
      </c>
      <c r="W334" s="11" t="str">
        <f>IFERROR(IF(MARÍTIMOS[[#This Row],[Etapa Retiro - Salida]]="","",MARÍTIMOS[[#This Row],[Etapa Retiro - Salida]]),"")</f>
        <v/>
      </c>
      <c r="X334" s="11" t="str">
        <f>IFERROR(IF(MARÍTIMOS[[#This Row],[Etapa Retiro - Inicio de Ruta]]="","",MARÍTIMOS[[#This Row],[Etapa Retiro - Inicio de Ruta]]),"")</f>
        <v/>
      </c>
      <c r="Y334" s="11" t="str">
        <f>IFERROR(IF(MARÍTIMOS[[#This Row],[Hora de Posicionamiento]]="","",MARÍTIMOS[[#This Row],[Hora de Carga]]+MARÍTIMOS[[#This Row],[Hora de Posicionamiento]]),"")</f>
        <v/>
      </c>
      <c r="Z334" s="11" t="str">
        <f>IFERROR(IF(MARÍTIMOS[[#This Row],[Etapa Despacho -  Llegada]]="","",MARÍTIMOS[[#This Row],[Etapa Despacho -  Llegada]]),"")</f>
        <v/>
      </c>
      <c r="AA334" s="11" t="str">
        <f>IFERROR(IF(MARÍTIMOS[[#This Row],[Etapa Despacho -  Registro]]="","",MARÍTIMOS[[#This Row],[Etapa Despacho -  Registro]]),"")</f>
        <v/>
      </c>
      <c r="AB334" s="11" t="str">
        <f>IFERROR(IF(MARÍTIMOS[[#This Row],[Inspección Externa]]="","",MARÍTIMOS[[#This Row],[Inspección Externa]]),"")</f>
        <v/>
      </c>
      <c r="AC334" s="11" t="str">
        <f>IFERROR(IF(MARÍTIMOS[[#This Row],[Etapa Despacho -  Inicio de Carga]]="","",MARÍTIMOS[[#This Row],[Etapa Despacho -  Inicio de Carga]]),"")</f>
        <v/>
      </c>
      <c r="AD334" s="11" t="str">
        <f>IFERROR(IF(MARÍTIMOS[[#This Row],[Etapa Despacho -  Fin de Carga]]="","",MARÍTIMOS[[#This Row],[Etapa Despacho -  Fin de Carga]]),"")</f>
        <v/>
      </c>
      <c r="AE334" s="11" t="str">
        <f>IFERROR(IF(MARÍTIMOS[[#This Row],[Etapa Despacho -  Salida]]="","",MARÍTIMOS[[#This Row],[Etapa Despacho -  Salida]]),"")</f>
        <v/>
      </c>
      <c r="AF334" s="2" t="str">
        <f>IFERROR(IF(MARÍTIMOS[[#This Row],[Puerto de Embarque]]="","",MARÍTIMOS[[#This Row],[Puerto de Embarque]]),"")</f>
        <v/>
      </c>
      <c r="AG334" s="2" t="str">
        <f>IFERROR(IF(MARÍTIMOS[[#This Row],[Almacén de Ingreso]]="","",MARÍTIMOS[[#This Row],[Almacén de Ingreso]]),"")</f>
        <v/>
      </c>
      <c r="AH334" s="11" t="str">
        <f>IFERROR(IF(MARÍTIMOS[[#This Row],[Etapa Ingreso - Cita]]="","",MARÍTIMOS[[#This Row],[Etapa Ingreso - Cita]]),"")</f>
        <v/>
      </c>
      <c r="AI334" s="11" t="str">
        <f>IFERROR(IF(MARÍTIMOS[[#This Row],[Etapa Ingreso - Llegada]]="","",MARÍTIMOS[[#This Row],[Etapa Ingreso - Llegada]]),"")</f>
        <v/>
      </c>
      <c r="AJ334" s="11" t="str">
        <f>IFERROR(IF(MARÍTIMOS[[#This Row],[Etapa Ingreso - Ingeso]]="","",MARÍTIMOS[[#This Row],[Etapa Ingreso - Ingeso]]),"")</f>
        <v/>
      </c>
      <c r="AK334" s="11" t="str">
        <f>IFERROR(IF(MARÍTIMOS[[#This Row],[Etapa Ingreso - Atención]]="","",MARÍTIMOS[[#This Row],[Etapa Ingreso - Atención]]),"")</f>
        <v/>
      </c>
      <c r="AL334" s="11" t="str">
        <f>IFERROR(IF(MARÍTIMOS[[#This Row],[Etapa Ingreso - Salida]]="","",MARÍTIMOS[[#This Row],[Etapa Ingreso - Salida]]),"")</f>
        <v/>
      </c>
      <c r="AM334" s="2" t="str">
        <f>IFERROR(IF(MARÍTIMOS[[#This Row],[FCL]]="","",MARÍTIMOS[[#This Row],[FCL]]),"")</f>
        <v/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4" s="5" t="str">
        <f>IFERROR(OLDBD[[#This Row],[Llegada a packing]]-OLDBD[[#This Row],[Inicio de Ruta]],"")</f>
        <v/>
      </c>
      <c r="AQ334" s="6" t="str">
        <f>IFERROR(OLDBD[[#This Row],[Inicio de Ruta]]-OLDBD[[#This Row],[Salida de almacén de retiro]],"")</f>
        <v/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4" s="9" t="str">
        <f>IFERROR(OLDBD[[#This Row],[Ingreso Packing]]-OLDBD[[#This Row],[Registro en Packing]],"")</f>
        <v/>
      </c>
      <c r="AV334" s="9" t="str">
        <f>IFERROR(OLDBD[[#This Row],[Ingreso Packing]]-OLDBD[[#This Row],[Llegada a packing]],"")</f>
        <v/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 t="str">
        <f>IFERROR(OLDBD[[#This Row],[Llegada Almacén de Ingreso]]-OLDBD[[#This Row],[Salida Packing]],"")</f>
        <v/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4" s="45" t="s">
        <v>181</v>
      </c>
      <c r="BB334" s="53" t="str">
        <f>IFERROR(IF(MARÍTIMOS[[#This Row],[Estatus]]="","",MARÍTIMOS[[#This Row],[Estatus]]),"")</f>
        <v/>
      </c>
      <c r="BC334" s="45"/>
      <c r="BD334" s="52" t="str">
        <f>IFERROR(OLDBD[[#This Row],[Salida de almacén de retiro]]-OLDBD[[#This Row],[Ingreso Almacén de retiro]],"")</f>
        <v/>
      </c>
      <c r="BE334" s="52" t="str">
        <f>IFERROR(OLDBD[[#This Row],[Fin de Carga]]-OLDBD[[#This Row],[Inicio de Carga]],"")</f>
        <v/>
      </c>
    </row>
    <row r="335" spans="1:57" x14ac:dyDescent="0.35">
      <c r="A335" s="1"/>
      <c r="B335" s="1" t="str">
        <f>IFERROR(IF(MARÍTIMOS[[#This Row],[PP]]="","",MARÍTIMOS[[#This Row],[PP]]),"")</f>
        <v/>
      </c>
      <c r="C335" s="1" t="str">
        <f>IFERROR(IF(MARÍTIMOS[[#This Row],[Sede]]="","",MARÍTIMOS[[#This Row],[Sede]]),"")</f>
        <v/>
      </c>
      <c r="D335" s="1" t="str">
        <f>IFERROR(IF(MARÍTIMOS[[#This Row],[Instruction]]="","",MARÍTIMOS[[#This Row],[Instruction]]),"")</f>
        <v/>
      </c>
      <c r="E335" s="1"/>
      <c r="F335" s="2" t="str">
        <f>IFERROR(IF(MARÍTIMOS[[#This Row],[Transportista]]="","",MARÍTIMOS[[#This Row],[Transportista]]),"")</f>
        <v/>
      </c>
      <c r="G335" s="2" t="str">
        <f>IFERROR(IF(MARÍTIMOS[[#This Row],[Tercero]]="","",MARÍTIMOS[[#This Row],[Tercero]]),"")</f>
        <v/>
      </c>
      <c r="H335" s="2" t="str">
        <f>IFERROR(IF(MARÍTIMOS[[#This Row],[Razón Social]]="","",MARÍTIMOS[[#This Row],[Razón Social]]),"")</f>
        <v/>
      </c>
      <c r="I335" s="2" t="str">
        <f>IFERROR(IF(MARÍTIMOS[[#This Row],[RUC]]="","",MARÍTIMOS[[#This Row],[RUC]]),"")</f>
        <v/>
      </c>
      <c r="J335" s="2" t="str">
        <f>IFERROR(IF(MARÍTIMOS[[#This Row],[Placa Tracto]]="","",MARÍTIMOS[[#This Row],[Placa Tracto]]),"")</f>
        <v/>
      </c>
      <c r="K335" s="2" t="str">
        <f>IFERROR(IF(MARÍTIMOS[[#This Row],[Placa Carreta]]="","",MARÍTIMOS[[#This Row],[Placa Carreta]]),"")</f>
        <v/>
      </c>
      <c r="L335" s="46" t="str">
        <f>IFERROR(IF(MARÍTIMOS[[#This Row],[Conductor]]="","",MARÍTIMOS[[#This Row],[Conductor]]),"")</f>
        <v/>
      </c>
      <c r="M335" s="2" t="str">
        <f>IFERROR(IF(MARÍTIMOS[[#This Row],[Licencia]]="","",MARÍTIMOS[[#This Row],[Licencia]]),"")</f>
        <v/>
      </c>
      <c r="N335" s="2" t="str">
        <f>IFERROR(IF(MARÍTIMOS[[#This Row],[Número de Contacto]]="","",MARÍTIMOS[[#This Row],[Número de Contacto]]),"")</f>
        <v/>
      </c>
      <c r="O335" s="10" t="str">
        <f>IFERROR(IF(MARÍTIMOS[[#This Row],[Booking|AWB|CRT]]="","",MARÍTIMOS[[#This Row],[Booking|AWB|CRT]]),"")</f>
        <v/>
      </c>
      <c r="P335" s="2" t="str">
        <f>IFERROR(IF(MARÍTIMOS[[#This Row],[Contenedor]]="","",MARÍTIMOS[[#This Row],[Contenedor]]),"")</f>
        <v/>
      </c>
      <c r="Q335" s="2" t="str">
        <f>IFERROR(IF(MARÍTIMOS[[#This Row],[Puerto de Retiro]]="","",MARÍTIMOS[[#This Row],[Puerto de Retiro]]),"")</f>
        <v/>
      </c>
      <c r="R335" s="2" t="str">
        <f>IFERROR(IF(MARÍTIMOS[[#This Row],[Almacén de Retiro]]="","",MARÍTIMOS[[#This Row],[Almacén de Retiro]]),"")</f>
        <v/>
      </c>
      <c r="S335" s="11" t="str">
        <f>IFERROR(IF(MARÍTIMOS[[#This Row],[Etapa Retiro - Cita]]="","",MARÍTIMOS[[#This Row],[Etapa Retiro - Cita]]),"")</f>
        <v/>
      </c>
      <c r="T335" s="11" t="str">
        <f>IFERROR(IF(MARÍTIMOS[[#This Row],[Etapa Retiro - Llegada]]="","",MARÍTIMOS[[#This Row],[Etapa Retiro - Llegada]]),"")</f>
        <v/>
      </c>
      <c r="U335" s="11" t="str">
        <f>IFERROR(IF(MARÍTIMOS[[#This Row],[Etapa Retiro - Ingreso]]="","",MARÍTIMOS[[#This Row],[Etapa Retiro - Ingreso]]),"")</f>
        <v/>
      </c>
      <c r="V335" s="11" t="str">
        <f>IFERROR(IF(MARÍTIMOS[[#This Row],[Etapa Retiro - Atención]]="","",MARÍTIMOS[[#This Row],[Etapa Retiro - Atención]]),"")</f>
        <v/>
      </c>
      <c r="W335" s="11" t="str">
        <f>IFERROR(IF(MARÍTIMOS[[#This Row],[Etapa Retiro - Salida]]="","",MARÍTIMOS[[#This Row],[Etapa Retiro - Salida]]),"")</f>
        <v/>
      </c>
      <c r="X335" s="11" t="str">
        <f>IFERROR(IF(MARÍTIMOS[[#This Row],[Etapa Retiro - Inicio de Ruta]]="","",MARÍTIMOS[[#This Row],[Etapa Retiro - Inicio de Ruta]]),"")</f>
        <v/>
      </c>
      <c r="Y335" s="11" t="str">
        <f>IFERROR(IF(MARÍTIMOS[[#This Row],[Hora de Posicionamiento]]="","",MARÍTIMOS[[#This Row],[Hora de Carga]]+MARÍTIMOS[[#This Row],[Hora de Posicionamiento]]),"")</f>
        <v/>
      </c>
      <c r="Z335" s="11" t="str">
        <f>IFERROR(IF(MARÍTIMOS[[#This Row],[Etapa Despacho -  Llegada]]="","",MARÍTIMOS[[#This Row],[Etapa Despacho -  Llegada]]),"")</f>
        <v/>
      </c>
      <c r="AA335" s="11" t="str">
        <f>IFERROR(IF(MARÍTIMOS[[#This Row],[Etapa Despacho -  Registro]]="","",MARÍTIMOS[[#This Row],[Etapa Despacho -  Registro]]),"")</f>
        <v/>
      </c>
      <c r="AB335" s="11" t="str">
        <f>IFERROR(IF(MARÍTIMOS[[#This Row],[Inspección Externa]]="","",MARÍTIMOS[[#This Row],[Inspección Externa]]),"")</f>
        <v/>
      </c>
      <c r="AC335" s="11" t="str">
        <f>IFERROR(IF(MARÍTIMOS[[#This Row],[Etapa Despacho -  Inicio de Carga]]="","",MARÍTIMOS[[#This Row],[Etapa Despacho -  Inicio de Carga]]),"")</f>
        <v/>
      </c>
      <c r="AD335" s="11" t="str">
        <f>IFERROR(IF(MARÍTIMOS[[#This Row],[Etapa Despacho -  Fin de Carga]]="","",MARÍTIMOS[[#This Row],[Etapa Despacho -  Fin de Carga]]),"")</f>
        <v/>
      </c>
      <c r="AE335" s="11" t="str">
        <f>IFERROR(IF(MARÍTIMOS[[#This Row],[Etapa Despacho -  Salida]]="","",MARÍTIMOS[[#This Row],[Etapa Despacho -  Salida]]),"")</f>
        <v/>
      </c>
      <c r="AF335" s="2" t="str">
        <f>IFERROR(IF(MARÍTIMOS[[#This Row],[Puerto de Embarque]]="","",MARÍTIMOS[[#This Row],[Puerto de Embarque]]),"")</f>
        <v/>
      </c>
      <c r="AG335" s="2" t="str">
        <f>IFERROR(IF(MARÍTIMOS[[#This Row],[Almacén de Ingreso]]="","",MARÍTIMOS[[#This Row],[Almacén de Ingreso]]),"")</f>
        <v/>
      </c>
      <c r="AH335" s="11" t="str">
        <f>IFERROR(IF(MARÍTIMOS[[#This Row],[Etapa Ingreso - Cita]]="","",MARÍTIMOS[[#This Row],[Etapa Ingreso - Cita]]),"")</f>
        <v/>
      </c>
      <c r="AI335" s="11" t="str">
        <f>IFERROR(IF(MARÍTIMOS[[#This Row],[Etapa Ingreso - Llegada]]="","",MARÍTIMOS[[#This Row],[Etapa Ingreso - Llegada]]),"")</f>
        <v/>
      </c>
      <c r="AJ335" s="11" t="str">
        <f>IFERROR(IF(MARÍTIMOS[[#This Row],[Etapa Ingreso - Ingeso]]="","",MARÍTIMOS[[#This Row],[Etapa Ingreso - Ingeso]]),"")</f>
        <v/>
      </c>
      <c r="AK335" s="11" t="str">
        <f>IFERROR(IF(MARÍTIMOS[[#This Row],[Etapa Ingreso - Atención]]="","",MARÍTIMOS[[#This Row],[Etapa Ingreso - Atención]]),"")</f>
        <v/>
      </c>
      <c r="AL335" s="11" t="str">
        <f>IFERROR(IF(MARÍTIMOS[[#This Row],[Etapa Ingreso - Salida]]="","",MARÍTIMOS[[#This Row],[Etapa Ingreso - Salida]]),"")</f>
        <v/>
      </c>
      <c r="AM335" s="2" t="str">
        <f>IFERROR(IF(MARÍTIMOS[[#This Row],[FCL]]="","",MARÍTIMOS[[#This Row],[FCL]]),"")</f>
        <v/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5" s="5" t="str">
        <f>IFERROR(OLDBD[[#This Row],[Llegada a packing]]-OLDBD[[#This Row],[Inicio de Ruta]],"")</f>
        <v/>
      </c>
      <c r="AQ335" s="6" t="str">
        <f>IFERROR(OLDBD[[#This Row],[Inicio de Ruta]]-OLDBD[[#This Row],[Salida de almacén de retiro]],"")</f>
        <v/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5" s="9" t="str">
        <f>IFERROR(OLDBD[[#This Row],[Ingreso Packing]]-OLDBD[[#This Row],[Registro en Packing]],"")</f>
        <v/>
      </c>
      <c r="AV335" s="9" t="str">
        <f>IFERROR(OLDBD[[#This Row],[Ingreso Packing]]-OLDBD[[#This Row],[Llegada a packing]],"")</f>
        <v/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 t="str">
        <f>IFERROR(OLDBD[[#This Row],[Llegada Almacén de Ingreso]]-OLDBD[[#This Row],[Salida Packing]],"")</f>
        <v/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5" s="45" t="s">
        <v>181</v>
      </c>
      <c r="BB335" s="53" t="str">
        <f>IFERROR(IF(MARÍTIMOS[[#This Row],[Estatus]]="","",MARÍTIMOS[[#This Row],[Estatus]]),"")</f>
        <v/>
      </c>
      <c r="BC335" s="45"/>
      <c r="BD335" s="52" t="str">
        <f>IFERROR(OLDBD[[#This Row],[Salida de almacén de retiro]]-OLDBD[[#This Row],[Ingreso Almacén de retiro]],"")</f>
        <v/>
      </c>
      <c r="BE335" s="52" t="str">
        <f>IFERROR(OLDBD[[#This Row],[Fin de Carga]]-OLDBD[[#This Row],[Inicio de Carga]],"")</f>
        <v/>
      </c>
    </row>
    <row r="336" spans="1:57" x14ac:dyDescent="0.35">
      <c r="A336" s="1"/>
      <c r="B336" s="1" t="str">
        <f>IFERROR(IF(MARÍTIMOS[[#This Row],[PP]]="","",MARÍTIMOS[[#This Row],[PP]]),"")</f>
        <v/>
      </c>
      <c r="C336" s="1" t="str">
        <f>IFERROR(IF(MARÍTIMOS[[#This Row],[Sede]]="","",MARÍTIMOS[[#This Row],[Sede]]),"")</f>
        <v/>
      </c>
      <c r="D336" s="1" t="str">
        <f>IFERROR(IF(MARÍTIMOS[[#This Row],[Instruction]]="","",MARÍTIMOS[[#This Row],[Instruction]]),"")</f>
        <v/>
      </c>
      <c r="E336" s="1"/>
      <c r="F336" s="2" t="str">
        <f>IFERROR(IF(MARÍTIMOS[[#This Row],[Transportista]]="","",MARÍTIMOS[[#This Row],[Transportista]]),"")</f>
        <v/>
      </c>
      <c r="G336" s="2" t="str">
        <f>IFERROR(IF(MARÍTIMOS[[#This Row],[Tercero]]="","",MARÍTIMOS[[#This Row],[Tercero]]),"")</f>
        <v/>
      </c>
      <c r="H336" s="2" t="str">
        <f>IFERROR(IF(MARÍTIMOS[[#This Row],[Razón Social]]="","",MARÍTIMOS[[#This Row],[Razón Social]]),"")</f>
        <v/>
      </c>
      <c r="I336" s="2" t="str">
        <f>IFERROR(IF(MARÍTIMOS[[#This Row],[RUC]]="","",MARÍTIMOS[[#This Row],[RUC]]),"")</f>
        <v/>
      </c>
      <c r="J336" s="2" t="str">
        <f>IFERROR(IF(MARÍTIMOS[[#This Row],[Placa Tracto]]="","",MARÍTIMOS[[#This Row],[Placa Tracto]]),"")</f>
        <v/>
      </c>
      <c r="K336" s="2" t="str">
        <f>IFERROR(IF(MARÍTIMOS[[#This Row],[Placa Carreta]]="","",MARÍTIMOS[[#This Row],[Placa Carreta]]),"")</f>
        <v/>
      </c>
      <c r="L336" s="46" t="str">
        <f>IFERROR(IF(MARÍTIMOS[[#This Row],[Conductor]]="","",MARÍTIMOS[[#This Row],[Conductor]]),"")</f>
        <v/>
      </c>
      <c r="M336" s="2" t="str">
        <f>IFERROR(IF(MARÍTIMOS[[#This Row],[Licencia]]="","",MARÍTIMOS[[#This Row],[Licencia]]),"")</f>
        <v/>
      </c>
      <c r="N336" s="2" t="str">
        <f>IFERROR(IF(MARÍTIMOS[[#This Row],[Número de Contacto]]="","",MARÍTIMOS[[#This Row],[Número de Contacto]]),"")</f>
        <v/>
      </c>
      <c r="O336" s="10" t="str">
        <f>IFERROR(IF(MARÍTIMOS[[#This Row],[Booking|AWB|CRT]]="","",MARÍTIMOS[[#This Row],[Booking|AWB|CRT]]),"")</f>
        <v/>
      </c>
      <c r="P336" s="2" t="str">
        <f>IFERROR(IF(MARÍTIMOS[[#This Row],[Contenedor]]="","",MARÍTIMOS[[#This Row],[Contenedor]]),"")</f>
        <v/>
      </c>
      <c r="Q336" s="2" t="str">
        <f>IFERROR(IF(MARÍTIMOS[[#This Row],[Puerto de Retiro]]="","",MARÍTIMOS[[#This Row],[Puerto de Retiro]]),"")</f>
        <v/>
      </c>
      <c r="R336" s="2" t="str">
        <f>IFERROR(IF(MARÍTIMOS[[#This Row],[Almacén de Retiro]]="","",MARÍTIMOS[[#This Row],[Almacén de Retiro]]),"")</f>
        <v/>
      </c>
      <c r="S336" s="11" t="str">
        <f>IFERROR(IF(MARÍTIMOS[[#This Row],[Etapa Retiro - Cita]]="","",MARÍTIMOS[[#This Row],[Etapa Retiro - Cita]]),"")</f>
        <v/>
      </c>
      <c r="T336" s="11" t="str">
        <f>IFERROR(IF(MARÍTIMOS[[#This Row],[Etapa Retiro - Llegada]]="","",MARÍTIMOS[[#This Row],[Etapa Retiro - Llegada]]),"")</f>
        <v/>
      </c>
      <c r="U336" s="11" t="str">
        <f>IFERROR(IF(MARÍTIMOS[[#This Row],[Etapa Retiro - Ingreso]]="","",MARÍTIMOS[[#This Row],[Etapa Retiro - Ingreso]]),"")</f>
        <v/>
      </c>
      <c r="V336" s="11" t="str">
        <f>IFERROR(IF(MARÍTIMOS[[#This Row],[Etapa Retiro - Atención]]="","",MARÍTIMOS[[#This Row],[Etapa Retiro - Atención]]),"")</f>
        <v/>
      </c>
      <c r="W336" s="11" t="str">
        <f>IFERROR(IF(MARÍTIMOS[[#This Row],[Etapa Retiro - Salida]]="","",MARÍTIMOS[[#This Row],[Etapa Retiro - Salida]]),"")</f>
        <v/>
      </c>
      <c r="X336" s="11" t="str">
        <f>IFERROR(IF(MARÍTIMOS[[#This Row],[Etapa Retiro - Inicio de Ruta]]="","",MARÍTIMOS[[#This Row],[Etapa Retiro - Inicio de Ruta]]),"")</f>
        <v/>
      </c>
      <c r="Y336" s="11" t="str">
        <f>IFERROR(IF(MARÍTIMOS[[#This Row],[Hora de Posicionamiento]]="","",MARÍTIMOS[[#This Row],[Hora de Carga]]+MARÍTIMOS[[#This Row],[Hora de Posicionamiento]]),"")</f>
        <v/>
      </c>
      <c r="Z336" s="11" t="str">
        <f>IFERROR(IF(MARÍTIMOS[[#This Row],[Etapa Despacho -  Llegada]]="","",MARÍTIMOS[[#This Row],[Etapa Despacho -  Llegada]]),"")</f>
        <v/>
      </c>
      <c r="AA336" s="11" t="str">
        <f>IFERROR(IF(MARÍTIMOS[[#This Row],[Etapa Despacho -  Registro]]="","",MARÍTIMOS[[#This Row],[Etapa Despacho -  Registro]]),"")</f>
        <v/>
      </c>
      <c r="AB336" s="11" t="str">
        <f>IFERROR(IF(MARÍTIMOS[[#This Row],[Inspección Externa]]="","",MARÍTIMOS[[#This Row],[Inspección Externa]]),"")</f>
        <v/>
      </c>
      <c r="AC336" s="11" t="str">
        <f>IFERROR(IF(MARÍTIMOS[[#This Row],[Etapa Despacho -  Inicio de Carga]]="","",MARÍTIMOS[[#This Row],[Etapa Despacho -  Inicio de Carga]]),"")</f>
        <v/>
      </c>
      <c r="AD336" s="11" t="str">
        <f>IFERROR(IF(MARÍTIMOS[[#This Row],[Etapa Despacho -  Fin de Carga]]="","",MARÍTIMOS[[#This Row],[Etapa Despacho -  Fin de Carga]]),"")</f>
        <v/>
      </c>
      <c r="AE336" s="11" t="str">
        <f>IFERROR(IF(MARÍTIMOS[[#This Row],[Etapa Despacho -  Salida]]="","",MARÍTIMOS[[#This Row],[Etapa Despacho -  Salida]]),"")</f>
        <v/>
      </c>
      <c r="AF336" s="2" t="str">
        <f>IFERROR(IF(MARÍTIMOS[[#This Row],[Puerto de Embarque]]="","",MARÍTIMOS[[#This Row],[Puerto de Embarque]]),"")</f>
        <v/>
      </c>
      <c r="AG336" s="2" t="str">
        <f>IFERROR(IF(MARÍTIMOS[[#This Row],[Almacén de Ingreso]]="","",MARÍTIMOS[[#This Row],[Almacén de Ingreso]]),"")</f>
        <v/>
      </c>
      <c r="AH336" s="11" t="str">
        <f>IFERROR(IF(MARÍTIMOS[[#This Row],[Etapa Ingreso - Cita]]="","",MARÍTIMOS[[#This Row],[Etapa Ingreso - Cita]]),"")</f>
        <v/>
      </c>
      <c r="AI336" s="11" t="str">
        <f>IFERROR(IF(MARÍTIMOS[[#This Row],[Etapa Ingreso - Llegada]]="","",MARÍTIMOS[[#This Row],[Etapa Ingreso - Llegada]]),"")</f>
        <v/>
      </c>
      <c r="AJ336" s="11" t="str">
        <f>IFERROR(IF(MARÍTIMOS[[#This Row],[Etapa Ingreso - Ingeso]]="","",MARÍTIMOS[[#This Row],[Etapa Ingreso - Ingeso]]),"")</f>
        <v/>
      </c>
      <c r="AK336" s="11" t="str">
        <f>IFERROR(IF(MARÍTIMOS[[#This Row],[Etapa Ingreso - Atención]]="","",MARÍTIMOS[[#This Row],[Etapa Ingreso - Atención]]),"")</f>
        <v/>
      </c>
      <c r="AL336" s="11" t="str">
        <f>IFERROR(IF(MARÍTIMOS[[#This Row],[Etapa Ingreso - Salida]]="","",MARÍTIMOS[[#This Row],[Etapa Ingreso - Salida]]),"")</f>
        <v/>
      </c>
      <c r="AM336" s="2" t="str">
        <f>IFERROR(IF(MARÍTIMOS[[#This Row],[FCL]]="","",MARÍTIMOS[[#This Row],[FCL]]),"")</f>
        <v/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6" s="5" t="str">
        <f>IFERROR(OLDBD[[#This Row],[Llegada a packing]]-OLDBD[[#This Row],[Inicio de Ruta]],"")</f>
        <v/>
      </c>
      <c r="AQ336" s="6" t="str">
        <f>IFERROR(OLDBD[[#This Row],[Inicio de Ruta]]-OLDBD[[#This Row],[Salida de almacén de retiro]],"")</f>
        <v/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6" s="9" t="str">
        <f>IFERROR(OLDBD[[#This Row],[Ingreso Packing]]-OLDBD[[#This Row],[Registro en Packing]],"")</f>
        <v/>
      </c>
      <c r="AV336" s="9" t="str">
        <f>IFERROR(OLDBD[[#This Row],[Ingreso Packing]]-OLDBD[[#This Row],[Llegada a packing]],"")</f>
        <v/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 t="str">
        <f>IFERROR(OLDBD[[#This Row],[Llegada Almacén de Ingreso]]-OLDBD[[#This Row],[Salida Packing]],"")</f>
        <v/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5" t="s">
        <v>181</v>
      </c>
      <c r="BB336" s="53" t="str">
        <f>IFERROR(IF(MARÍTIMOS[[#This Row],[Estatus]]="","",MARÍTIMOS[[#This Row],[Estatus]]),"")</f>
        <v/>
      </c>
      <c r="BC336" s="45"/>
      <c r="BD336" s="52" t="str">
        <f>IFERROR(OLDBD[[#This Row],[Salida de almacén de retiro]]-OLDBD[[#This Row],[Ingreso Almacén de retiro]],"")</f>
        <v/>
      </c>
      <c r="BE336" s="52" t="str">
        <f>IFERROR(OLDBD[[#This Row],[Fin de Carga]]-OLDBD[[#This Row],[Inicio de Carga]],"")</f>
        <v/>
      </c>
    </row>
    <row r="337" spans="1:57" x14ac:dyDescent="0.35">
      <c r="A337" s="1"/>
      <c r="B337" s="1" t="str">
        <f>IFERROR(IF(MARÍTIMOS[[#This Row],[PP]]="","",MARÍTIMOS[[#This Row],[PP]]),"")</f>
        <v/>
      </c>
      <c r="C337" s="1" t="str">
        <f>IFERROR(IF(MARÍTIMOS[[#This Row],[Sede]]="","",MARÍTIMOS[[#This Row],[Sede]]),"")</f>
        <v/>
      </c>
      <c r="D337" s="1" t="str">
        <f>IFERROR(IF(MARÍTIMOS[[#This Row],[Instruction]]="","",MARÍTIMOS[[#This Row],[Instruction]]),"")</f>
        <v/>
      </c>
      <c r="E337" s="1"/>
      <c r="F337" s="2" t="str">
        <f>IFERROR(IF(MARÍTIMOS[[#This Row],[Transportista]]="","",MARÍTIMOS[[#This Row],[Transportista]]),"")</f>
        <v/>
      </c>
      <c r="G337" s="2" t="str">
        <f>IFERROR(IF(MARÍTIMOS[[#This Row],[Tercero]]="","",MARÍTIMOS[[#This Row],[Tercero]]),"")</f>
        <v/>
      </c>
      <c r="H337" s="2" t="str">
        <f>IFERROR(IF(MARÍTIMOS[[#This Row],[Razón Social]]="","",MARÍTIMOS[[#This Row],[Razón Social]]),"")</f>
        <v/>
      </c>
      <c r="I337" s="2" t="str">
        <f>IFERROR(IF(MARÍTIMOS[[#This Row],[RUC]]="","",MARÍTIMOS[[#This Row],[RUC]]),"")</f>
        <v/>
      </c>
      <c r="J337" s="2" t="str">
        <f>IFERROR(IF(MARÍTIMOS[[#This Row],[Placa Tracto]]="","",MARÍTIMOS[[#This Row],[Placa Tracto]]),"")</f>
        <v/>
      </c>
      <c r="K337" s="2" t="str">
        <f>IFERROR(IF(MARÍTIMOS[[#This Row],[Placa Carreta]]="","",MARÍTIMOS[[#This Row],[Placa Carreta]]),"")</f>
        <v/>
      </c>
      <c r="L337" s="46" t="str">
        <f>IFERROR(IF(MARÍTIMOS[[#This Row],[Conductor]]="","",MARÍTIMOS[[#This Row],[Conductor]]),"")</f>
        <v/>
      </c>
      <c r="M337" s="2" t="str">
        <f>IFERROR(IF(MARÍTIMOS[[#This Row],[Licencia]]="","",MARÍTIMOS[[#This Row],[Licencia]]),"")</f>
        <v/>
      </c>
      <c r="N337" s="2" t="str">
        <f>IFERROR(IF(MARÍTIMOS[[#This Row],[Número de Contacto]]="","",MARÍTIMOS[[#This Row],[Número de Contacto]]),"")</f>
        <v/>
      </c>
      <c r="O337" s="10" t="str">
        <f>IFERROR(IF(MARÍTIMOS[[#This Row],[Booking|AWB|CRT]]="","",MARÍTIMOS[[#This Row],[Booking|AWB|CRT]]),"")</f>
        <v/>
      </c>
      <c r="P337" s="2" t="str">
        <f>IFERROR(IF(MARÍTIMOS[[#This Row],[Contenedor]]="","",MARÍTIMOS[[#This Row],[Contenedor]]),"")</f>
        <v/>
      </c>
      <c r="Q337" s="2" t="str">
        <f>IFERROR(IF(MARÍTIMOS[[#This Row],[Puerto de Retiro]]="","",MARÍTIMOS[[#This Row],[Puerto de Retiro]]),"")</f>
        <v/>
      </c>
      <c r="R337" s="2" t="str">
        <f>IFERROR(IF(MARÍTIMOS[[#This Row],[Almacén de Retiro]]="","",MARÍTIMOS[[#This Row],[Almacén de Retiro]]),"")</f>
        <v/>
      </c>
      <c r="S337" s="11" t="str">
        <f>IFERROR(IF(MARÍTIMOS[[#This Row],[Etapa Retiro - Cita]]="","",MARÍTIMOS[[#This Row],[Etapa Retiro - Cita]]),"")</f>
        <v/>
      </c>
      <c r="T337" s="11" t="str">
        <f>IFERROR(IF(MARÍTIMOS[[#This Row],[Etapa Retiro - Llegada]]="","",MARÍTIMOS[[#This Row],[Etapa Retiro - Llegada]]),"")</f>
        <v/>
      </c>
      <c r="U337" s="11" t="str">
        <f>IFERROR(IF(MARÍTIMOS[[#This Row],[Etapa Retiro - Ingreso]]="","",MARÍTIMOS[[#This Row],[Etapa Retiro - Ingreso]]),"")</f>
        <v/>
      </c>
      <c r="V337" s="11" t="str">
        <f>IFERROR(IF(MARÍTIMOS[[#This Row],[Etapa Retiro - Atención]]="","",MARÍTIMOS[[#This Row],[Etapa Retiro - Atención]]),"")</f>
        <v/>
      </c>
      <c r="W337" s="11" t="str">
        <f>IFERROR(IF(MARÍTIMOS[[#This Row],[Etapa Retiro - Salida]]="","",MARÍTIMOS[[#This Row],[Etapa Retiro - Salida]]),"")</f>
        <v/>
      </c>
      <c r="X337" s="11" t="str">
        <f>IFERROR(IF(MARÍTIMOS[[#This Row],[Etapa Retiro - Inicio de Ruta]]="","",MARÍTIMOS[[#This Row],[Etapa Retiro - Inicio de Ruta]]),"")</f>
        <v/>
      </c>
      <c r="Y337" s="11" t="str">
        <f>IFERROR(IF(MARÍTIMOS[[#This Row],[Hora de Posicionamiento]]="","",MARÍTIMOS[[#This Row],[Hora de Carga]]+MARÍTIMOS[[#This Row],[Hora de Posicionamiento]]),"")</f>
        <v/>
      </c>
      <c r="Z337" s="11" t="str">
        <f>IFERROR(IF(MARÍTIMOS[[#This Row],[Etapa Despacho -  Llegada]]="","",MARÍTIMOS[[#This Row],[Etapa Despacho -  Llegada]]),"")</f>
        <v/>
      </c>
      <c r="AA337" s="11" t="str">
        <f>IFERROR(IF(MARÍTIMOS[[#This Row],[Etapa Despacho -  Registro]]="","",MARÍTIMOS[[#This Row],[Etapa Despacho -  Registro]]),"")</f>
        <v/>
      </c>
      <c r="AB337" s="11" t="str">
        <f>IFERROR(IF(MARÍTIMOS[[#This Row],[Inspección Externa]]="","",MARÍTIMOS[[#This Row],[Inspección Externa]]),"")</f>
        <v/>
      </c>
      <c r="AC337" s="11" t="str">
        <f>IFERROR(IF(MARÍTIMOS[[#This Row],[Etapa Despacho -  Inicio de Carga]]="","",MARÍTIMOS[[#This Row],[Etapa Despacho -  Inicio de Carga]]),"")</f>
        <v/>
      </c>
      <c r="AD337" s="11" t="str">
        <f>IFERROR(IF(MARÍTIMOS[[#This Row],[Etapa Despacho -  Fin de Carga]]="","",MARÍTIMOS[[#This Row],[Etapa Despacho -  Fin de Carga]]),"")</f>
        <v/>
      </c>
      <c r="AE337" s="11" t="str">
        <f>IFERROR(IF(MARÍTIMOS[[#This Row],[Etapa Despacho -  Salida]]="","",MARÍTIMOS[[#This Row],[Etapa Despacho -  Salida]]),"")</f>
        <v/>
      </c>
      <c r="AF337" s="2" t="str">
        <f>IFERROR(IF(MARÍTIMOS[[#This Row],[Puerto de Embarque]]="","",MARÍTIMOS[[#This Row],[Puerto de Embarque]]),"")</f>
        <v/>
      </c>
      <c r="AG337" s="2" t="str">
        <f>IFERROR(IF(MARÍTIMOS[[#This Row],[Almacén de Ingreso]]="","",MARÍTIMOS[[#This Row],[Almacén de Ingreso]]),"")</f>
        <v/>
      </c>
      <c r="AH337" s="11" t="str">
        <f>IFERROR(IF(MARÍTIMOS[[#This Row],[Etapa Ingreso - Cita]]="","",MARÍTIMOS[[#This Row],[Etapa Ingreso - Cita]]),"")</f>
        <v/>
      </c>
      <c r="AI337" s="11" t="str">
        <f>IFERROR(IF(MARÍTIMOS[[#This Row],[Etapa Ingreso - Llegada]]="","",MARÍTIMOS[[#This Row],[Etapa Ingreso - Llegada]]),"")</f>
        <v/>
      </c>
      <c r="AJ337" s="11" t="str">
        <f>IFERROR(IF(MARÍTIMOS[[#This Row],[Etapa Ingreso - Ingeso]]="","",MARÍTIMOS[[#This Row],[Etapa Ingreso - Ingeso]]),"")</f>
        <v/>
      </c>
      <c r="AK337" s="11" t="str">
        <f>IFERROR(IF(MARÍTIMOS[[#This Row],[Etapa Ingreso - Atención]]="","",MARÍTIMOS[[#This Row],[Etapa Ingreso - Atención]]),"")</f>
        <v/>
      </c>
      <c r="AL337" s="11" t="str">
        <f>IFERROR(IF(MARÍTIMOS[[#This Row],[Etapa Ingreso - Salida]]="","",MARÍTIMOS[[#This Row],[Etapa Ingreso - Salida]]),"")</f>
        <v/>
      </c>
      <c r="AM337" s="2" t="str">
        <f>IFERROR(IF(MARÍTIMOS[[#This Row],[FCL]]="","",MARÍTIMOS[[#This Row],[FCL]]),"")</f>
        <v/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7" s="5" t="str">
        <f>IFERROR(OLDBD[[#This Row],[Llegada a packing]]-OLDBD[[#This Row],[Inicio de Ruta]],"")</f>
        <v/>
      </c>
      <c r="AQ337" s="6" t="str">
        <f>IFERROR(OLDBD[[#This Row],[Inicio de Ruta]]-OLDBD[[#This Row],[Salida de almacén de retiro]],"")</f>
        <v/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7" s="9" t="str">
        <f>IFERROR(OLDBD[[#This Row],[Ingreso Packing]]-OLDBD[[#This Row],[Registro en Packing]],"")</f>
        <v/>
      </c>
      <c r="AV337" s="9" t="str">
        <f>IFERROR(OLDBD[[#This Row],[Ingreso Packing]]-OLDBD[[#This Row],[Llegada a packing]],"")</f>
        <v/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 t="str">
        <f>IFERROR(OLDBD[[#This Row],[Llegada Almacén de Ingreso]]-OLDBD[[#This Row],[Salida Packing]],"")</f>
        <v/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5" t="s">
        <v>181</v>
      </c>
      <c r="BB337" s="53" t="str">
        <f>IFERROR(IF(MARÍTIMOS[[#This Row],[Estatus]]="","",MARÍTIMOS[[#This Row],[Estatus]]),"")</f>
        <v/>
      </c>
      <c r="BC337" s="45"/>
      <c r="BD337" s="52" t="str">
        <f>IFERROR(OLDBD[[#This Row],[Salida de almacén de retiro]]-OLDBD[[#This Row],[Ingreso Almacén de retiro]],"")</f>
        <v/>
      </c>
      <c r="BE337" s="52" t="str">
        <f>IFERROR(OLDBD[[#This Row],[Fin de Carga]]-OLDBD[[#This Row],[Inicio de Carga]],"")</f>
        <v/>
      </c>
    </row>
    <row r="338" spans="1:57" x14ac:dyDescent="0.35">
      <c r="A338" s="1"/>
      <c r="B338" s="1" t="str">
        <f>IFERROR(IF(MARÍTIMOS[[#This Row],[PP]]="","",MARÍTIMOS[[#This Row],[PP]]),"")</f>
        <v/>
      </c>
      <c r="C338" s="1" t="str">
        <f>IFERROR(IF(MARÍTIMOS[[#This Row],[Sede]]="","",MARÍTIMOS[[#This Row],[Sede]]),"")</f>
        <v/>
      </c>
      <c r="D338" s="1" t="str">
        <f>IFERROR(IF(MARÍTIMOS[[#This Row],[Instruction]]="","",MARÍTIMOS[[#This Row],[Instruction]]),"")</f>
        <v/>
      </c>
      <c r="E338" s="1"/>
      <c r="F338" s="2" t="str">
        <f>IFERROR(IF(MARÍTIMOS[[#This Row],[Transportista]]="","",MARÍTIMOS[[#This Row],[Transportista]]),"")</f>
        <v/>
      </c>
      <c r="G338" s="2" t="str">
        <f>IFERROR(IF(MARÍTIMOS[[#This Row],[Tercero]]="","",MARÍTIMOS[[#This Row],[Tercero]]),"")</f>
        <v/>
      </c>
      <c r="H338" s="2" t="str">
        <f>IFERROR(IF(MARÍTIMOS[[#This Row],[Razón Social]]="","",MARÍTIMOS[[#This Row],[Razón Social]]),"")</f>
        <v/>
      </c>
      <c r="I338" s="2" t="str">
        <f>IFERROR(IF(MARÍTIMOS[[#This Row],[RUC]]="","",MARÍTIMOS[[#This Row],[RUC]]),"")</f>
        <v/>
      </c>
      <c r="J338" s="2" t="str">
        <f>IFERROR(IF(MARÍTIMOS[[#This Row],[Placa Tracto]]="","",MARÍTIMOS[[#This Row],[Placa Tracto]]),"")</f>
        <v/>
      </c>
      <c r="K338" s="2" t="str">
        <f>IFERROR(IF(MARÍTIMOS[[#This Row],[Placa Carreta]]="","",MARÍTIMOS[[#This Row],[Placa Carreta]]),"")</f>
        <v/>
      </c>
      <c r="L338" s="46" t="str">
        <f>IFERROR(IF(MARÍTIMOS[[#This Row],[Conductor]]="","",MARÍTIMOS[[#This Row],[Conductor]]),"")</f>
        <v/>
      </c>
      <c r="M338" s="2" t="str">
        <f>IFERROR(IF(MARÍTIMOS[[#This Row],[Licencia]]="","",MARÍTIMOS[[#This Row],[Licencia]]),"")</f>
        <v/>
      </c>
      <c r="N338" s="2" t="str">
        <f>IFERROR(IF(MARÍTIMOS[[#This Row],[Número de Contacto]]="","",MARÍTIMOS[[#This Row],[Número de Contacto]]),"")</f>
        <v/>
      </c>
      <c r="O338" s="10" t="str">
        <f>IFERROR(IF(MARÍTIMOS[[#This Row],[Booking|AWB|CRT]]="","",MARÍTIMOS[[#This Row],[Booking|AWB|CRT]]),"")</f>
        <v/>
      </c>
      <c r="P338" s="2" t="str">
        <f>IFERROR(IF(MARÍTIMOS[[#This Row],[Contenedor]]="","",MARÍTIMOS[[#This Row],[Contenedor]]),"")</f>
        <v/>
      </c>
      <c r="Q338" s="2" t="str">
        <f>IFERROR(IF(MARÍTIMOS[[#This Row],[Puerto de Retiro]]="","",MARÍTIMOS[[#This Row],[Puerto de Retiro]]),"")</f>
        <v/>
      </c>
      <c r="R338" s="2" t="str">
        <f>IFERROR(IF(MARÍTIMOS[[#This Row],[Almacén de Retiro]]="","",MARÍTIMOS[[#This Row],[Almacén de Retiro]]),"")</f>
        <v/>
      </c>
      <c r="S338" s="11" t="str">
        <f>IFERROR(IF(MARÍTIMOS[[#This Row],[Etapa Retiro - Cita]]="","",MARÍTIMOS[[#This Row],[Etapa Retiro - Cita]]),"")</f>
        <v/>
      </c>
      <c r="T338" s="11" t="str">
        <f>IFERROR(IF(MARÍTIMOS[[#This Row],[Etapa Retiro - Llegada]]="","",MARÍTIMOS[[#This Row],[Etapa Retiro - Llegada]]),"")</f>
        <v/>
      </c>
      <c r="U338" s="11" t="str">
        <f>IFERROR(IF(MARÍTIMOS[[#This Row],[Etapa Retiro - Ingreso]]="","",MARÍTIMOS[[#This Row],[Etapa Retiro - Ingreso]]),"")</f>
        <v/>
      </c>
      <c r="V338" s="11" t="str">
        <f>IFERROR(IF(MARÍTIMOS[[#This Row],[Etapa Retiro - Atención]]="","",MARÍTIMOS[[#This Row],[Etapa Retiro - Atención]]),"")</f>
        <v/>
      </c>
      <c r="W338" s="11" t="str">
        <f>IFERROR(IF(MARÍTIMOS[[#This Row],[Etapa Retiro - Salida]]="","",MARÍTIMOS[[#This Row],[Etapa Retiro - Salida]]),"")</f>
        <v/>
      </c>
      <c r="X338" s="11" t="str">
        <f>IFERROR(IF(MARÍTIMOS[[#This Row],[Etapa Retiro - Inicio de Ruta]]="","",MARÍTIMOS[[#This Row],[Etapa Retiro - Inicio de Ruta]]),"")</f>
        <v/>
      </c>
      <c r="Y338" s="11" t="str">
        <f>IFERROR(IF(MARÍTIMOS[[#This Row],[Hora de Posicionamiento]]="","",MARÍTIMOS[[#This Row],[Hora de Carga]]+MARÍTIMOS[[#This Row],[Hora de Posicionamiento]]),"")</f>
        <v/>
      </c>
      <c r="Z338" s="11" t="str">
        <f>IFERROR(IF(MARÍTIMOS[[#This Row],[Etapa Despacho -  Llegada]]="","",MARÍTIMOS[[#This Row],[Etapa Despacho -  Llegada]]),"")</f>
        <v/>
      </c>
      <c r="AA338" s="11" t="str">
        <f>IFERROR(IF(MARÍTIMOS[[#This Row],[Etapa Despacho -  Registro]]="","",MARÍTIMOS[[#This Row],[Etapa Despacho -  Registro]]),"")</f>
        <v/>
      </c>
      <c r="AB338" s="11" t="str">
        <f>IFERROR(IF(MARÍTIMOS[[#This Row],[Inspección Externa]]="","",MARÍTIMOS[[#This Row],[Inspección Externa]]),"")</f>
        <v/>
      </c>
      <c r="AC338" s="11" t="str">
        <f>IFERROR(IF(MARÍTIMOS[[#This Row],[Etapa Despacho -  Inicio de Carga]]="","",MARÍTIMOS[[#This Row],[Etapa Despacho -  Inicio de Carga]]),"")</f>
        <v/>
      </c>
      <c r="AD338" s="11" t="str">
        <f>IFERROR(IF(MARÍTIMOS[[#This Row],[Etapa Despacho -  Fin de Carga]]="","",MARÍTIMOS[[#This Row],[Etapa Despacho -  Fin de Carga]]),"")</f>
        <v/>
      </c>
      <c r="AE338" s="11" t="str">
        <f>IFERROR(IF(MARÍTIMOS[[#This Row],[Etapa Despacho -  Salida]]="","",MARÍTIMOS[[#This Row],[Etapa Despacho -  Salida]]),"")</f>
        <v/>
      </c>
      <c r="AF338" s="2" t="str">
        <f>IFERROR(IF(MARÍTIMOS[[#This Row],[Puerto de Embarque]]="","",MARÍTIMOS[[#This Row],[Puerto de Embarque]]),"")</f>
        <v/>
      </c>
      <c r="AG338" s="2" t="str">
        <f>IFERROR(IF(MARÍTIMOS[[#This Row],[Almacén de Ingreso]]="","",MARÍTIMOS[[#This Row],[Almacén de Ingreso]]),"")</f>
        <v/>
      </c>
      <c r="AH338" s="11" t="str">
        <f>IFERROR(IF(MARÍTIMOS[[#This Row],[Etapa Ingreso - Cita]]="","",MARÍTIMOS[[#This Row],[Etapa Ingreso - Cita]]),"")</f>
        <v/>
      </c>
      <c r="AI338" s="11" t="str">
        <f>IFERROR(IF(MARÍTIMOS[[#This Row],[Etapa Ingreso - Llegada]]="","",MARÍTIMOS[[#This Row],[Etapa Ingreso - Llegada]]),"")</f>
        <v/>
      </c>
      <c r="AJ338" s="11" t="str">
        <f>IFERROR(IF(MARÍTIMOS[[#This Row],[Etapa Ingreso - Ingeso]]="","",MARÍTIMOS[[#This Row],[Etapa Ingreso - Ingeso]]),"")</f>
        <v/>
      </c>
      <c r="AK338" s="11" t="str">
        <f>IFERROR(IF(MARÍTIMOS[[#This Row],[Etapa Ingreso - Atención]]="","",MARÍTIMOS[[#This Row],[Etapa Ingreso - Atención]]),"")</f>
        <v/>
      </c>
      <c r="AL338" s="11" t="str">
        <f>IFERROR(IF(MARÍTIMOS[[#This Row],[Etapa Ingreso - Salida]]="","",MARÍTIMOS[[#This Row],[Etapa Ingreso - Salida]]),"")</f>
        <v/>
      </c>
      <c r="AM338" s="2" t="str">
        <f>IFERROR(IF(MARÍTIMOS[[#This Row],[FCL]]="","",MARÍTIMOS[[#This Row],[FCL]]),"")</f>
        <v/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8" s="5" t="str">
        <f>IFERROR(OLDBD[[#This Row],[Llegada a packing]]-OLDBD[[#This Row],[Inicio de Ruta]],"")</f>
        <v/>
      </c>
      <c r="AQ338" s="6" t="str">
        <f>IFERROR(OLDBD[[#This Row],[Inicio de Ruta]]-OLDBD[[#This Row],[Salida de almacén de retiro]],"")</f>
        <v/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8" s="9" t="str">
        <f>IFERROR(OLDBD[[#This Row],[Ingreso Packing]]-OLDBD[[#This Row],[Registro en Packing]],"")</f>
        <v/>
      </c>
      <c r="AV338" s="9" t="str">
        <f>IFERROR(OLDBD[[#This Row],[Ingreso Packing]]-OLDBD[[#This Row],[Llegada a packing]],"")</f>
        <v/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 t="str">
        <f>IFERROR(OLDBD[[#This Row],[Llegada Almacén de Ingreso]]-OLDBD[[#This Row],[Salida Packing]],"")</f>
        <v/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5" t="s">
        <v>181</v>
      </c>
      <c r="BB338" s="53" t="str">
        <f>IFERROR(IF(MARÍTIMOS[[#This Row],[Estatus]]="","",MARÍTIMOS[[#This Row],[Estatus]]),"")</f>
        <v/>
      </c>
      <c r="BC338" s="45"/>
      <c r="BD338" s="52" t="str">
        <f>IFERROR(OLDBD[[#This Row],[Salida de almacén de retiro]]-OLDBD[[#This Row],[Ingreso Almacén de retiro]],"")</f>
        <v/>
      </c>
      <c r="BE338" s="52" t="str">
        <f>IFERROR(OLDBD[[#This Row],[Fin de Carga]]-OLDBD[[#This Row],[Inicio de Carga]],"")</f>
        <v/>
      </c>
    </row>
    <row r="339" spans="1:57" x14ac:dyDescent="0.35">
      <c r="A339" s="1"/>
      <c r="B339" s="1" t="str">
        <f>IFERROR(IF(MARÍTIMOS[[#This Row],[PP]]="","",MARÍTIMOS[[#This Row],[PP]]),"")</f>
        <v/>
      </c>
      <c r="C339" s="1" t="str">
        <f>IFERROR(IF(MARÍTIMOS[[#This Row],[Sede]]="","",MARÍTIMOS[[#This Row],[Sede]]),"")</f>
        <v/>
      </c>
      <c r="D339" s="1" t="str">
        <f>IFERROR(IF(MARÍTIMOS[[#This Row],[Instruction]]="","",MARÍTIMOS[[#This Row],[Instruction]]),"")</f>
        <v/>
      </c>
      <c r="E339" s="1"/>
      <c r="F339" s="2" t="str">
        <f>IFERROR(IF(MARÍTIMOS[[#This Row],[Transportista]]="","",MARÍTIMOS[[#This Row],[Transportista]]),"")</f>
        <v/>
      </c>
      <c r="G339" s="2" t="str">
        <f>IFERROR(IF(MARÍTIMOS[[#This Row],[Tercero]]="","",MARÍTIMOS[[#This Row],[Tercero]]),"")</f>
        <v/>
      </c>
      <c r="H339" s="2" t="str">
        <f>IFERROR(IF(MARÍTIMOS[[#This Row],[Razón Social]]="","",MARÍTIMOS[[#This Row],[Razón Social]]),"")</f>
        <v/>
      </c>
      <c r="I339" s="2" t="str">
        <f>IFERROR(IF(MARÍTIMOS[[#This Row],[RUC]]="","",MARÍTIMOS[[#This Row],[RUC]]),"")</f>
        <v/>
      </c>
      <c r="J339" s="2" t="str">
        <f>IFERROR(IF(MARÍTIMOS[[#This Row],[Placa Tracto]]="","",MARÍTIMOS[[#This Row],[Placa Tracto]]),"")</f>
        <v/>
      </c>
      <c r="K339" s="2" t="str">
        <f>IFERROR(IF(MARÍTIMOS[[#This Row],[Placa Carreta]]="","",MARÍTIMOS[[#This Row],[Placa Carreta]]),"")</f>
        <v/>
      </c>
      <c r="L339" s="46" t="str">
        <f>IFERROR(IF(MARÍTIMOS[[#This Row],[Conductor]]="","",MARÍTIMOS[[#This Row],[Conductor]]),"")</f>
        <v/>
      </c>
      <c r="M339" s="2" t="str">
        <f>IFERROR(IF(MARÍTIMOS[[#This Row],[Licencia]]="","",MARÍTIMOS[[#This Row],[Licencia]]),"")</f>
        <v/>
      </c>
      <c r="N339" s="2" t="str">
        <f>IFERROR(IF(MARÍTIMOS[[#This Row],[Número de Contacto]]="","",MARÍTIMOS[[#This Row],[Número de Contacto]]),"")</f>
        <v/>
      </c>
      <c r="O339" s="10" t="str">
        <f>IFERROR(IF(MARÍTIMOS[[#This Row],[Booking|AWB|CRT]]="","",MARÍTIMOS[[#This Row],[Booking|AWB|CRT]]),"")</f>
        <v/>
      </c>
      <c r="P339" s="2" t="str">
        <f>IFERROR(IF(MARÍTIMOS[[#This Row],[Contenedor]]="","",MARÍTIMOS[[#This Row],[Contenedor]]),"")</f>
        <v/>
      </c>
      <c r="Q339" s="2" t="str">
        <f>IFERROR(IF(MARÍTIMOS[[#This Row],[Puerto de Retiro]]="","",MARÍTIMOS[[#This Row],[Puerto de Retiro]]),"")</f>
        <v/>
      </c>
      <c r="R339" s="2" t="str">
        <f>IFERROR(IF(MARÍTIMOS[[#This Row],[Almacén de Retiro]]="","",MARÍTIMOS[[#This Row],[Almacén de Retiro]]),"")</f>
        <v/>
      </c>
      <c r="S339" s="11" t="str">
        <f>IFERROR(IF(MARÍTIMOS[[#This Row],[Etapa Retiro - Cita]]="","",MARÍTIMOS[[#This Row],[Etapa Retiro - Cita]]),"")</f>
        <v/>
      </c>
      <c r="T339" s="11" t="str">
        <f>IFERROR(IF(MARÍTIMOS[[#This Row],[Etapa Retiro - Llegada]]="","",MARÍTIMOS[[#This Row],[Etapa Retiro - Llegada]]),"")</f>
        <v/>
      </c>
      <c r="U339" s="11" t="str">
        <f>IFERROR(IF(MARÍTIMOS[[#This Row],[Etapa Retiro - Ingreso]]="","",MARÍTIMOS[[#This Row],[Etapa Retiro - Ingreso]]),"")</f>
        <v/>
      </c>
      <c r="V339" s="11" t="str">
        <f>IFERROR(IF(MARÍTIMOS[[#This Row],[Etapa Retiro - Atención]]="","",MARÍTIMOS[[#This Row],[Etapa Retiro - Atención]]),"")</f>
        <v/>
      </c>
      <c r="W339" s="11" t="str">
        <f>IFERROR(IF(MARÍTIMOS[[#This Row],[Etapa Retiro - Salida]]="","",MARÍTIMOS[[#This Row],[Etapa Retiro - Salida]]),"")</f>
        <v/>
      </c>
      <c r="X339" s="11" t="str">
        <f>IFERROR(IF(MARÍTIMOS[[#This Row],[Etapa Retiro - Inicio de Ruta]]="","",MARÍTIMOS[[#This Row],[Etapa Retiro - Inicio de Ruta]]),"")</f>
        <v/>
      </c>
      <c r="Y339" s="11" t="str">
        <f>IFERROR(IF(MARÍTIMOS[[#This Row],[Hora de Posicionamiento]]="","",MARÍTIMOS[[#This Row],[Hora de Carga]]+MARÍTIMOS[[#This Row],[Hora de Posicionamiento]]),"")</f>
        <v/>
      </c>
      <c r="Z339" s="11" t="str">
        <f>IFERROR(IF(MARÍTIMOS[[#This Row],[Etapa Despacho -  Llegada]]="","",MARÍTIMOS[[#This Row],[Etapa Despacho -  Llegada]]),"")</f>
        <v/>
      </c>
      <c r="AA339" s="11" t="str">
        <f>IFERROR(IF(MARÍTIMOS[[#This Row],[Etapa Despacho -  Registro]]="","",MARÍTIMOS[[#This Row],[Etapa Despacho -  Registro]]),"")</f>
        <v/>
      </c>
      <c r="AB339" s="11" t="str">
        <f>IFERROR(IF(MARÍTIMOS[[#This Row],[Inspección Externa]]="","",MARÍTIMOS[[#This Row],[Inspección Externa]]),"")</f>
        <v/>
      </c>
      <c r="AC339" s="11" t="str">
        <f>IFERROR(IF(MARÍTIMOS[[#This Row],[Etapa Despacho -  Inicio de Carga]]="","",MARÍTIMOS[[#This Row],[Etapa Despacho -  Inicio de Carga]]),"")</f>
        <v/>
      </c>
      <c r="AD339" s="11" t="str">
        <f>IFERROR(IF(MARÍTIMOS[[#This Row],[Etapa Despacho -  Fin de Carga]]="","",MARÍTIMOS[[#This Row],[Etapa Despacho -  Fin de Carga]]),"")</f>
        <v/>
      </c>
      <c r="AE339" s="11" t="str">
        <f>IFERROR(IF(MARÍTIMOS[[#This Row],[Etapa Despacho -  Salida]]="","",MARÍTIMOS[[#This Row],[Etapa Despacho -  Salida]]),"")</f>
        <v/>
      </c>
      <c r="AF339" s="2" t="str">
        <f>IFERROR(IF(MARÍTIMOS[[#This Row],[Puerto de Embarque]]="","",MARÍTIMOS[[#This Row],[Puerto de Embarque]]),"")</f>
        <v/>
      </c>
      <c r="AG339" s="2" t="str">
        <f>IFERROR(IF(MARÍTIMOS[[#This Row],[Almacén de Ingreso]]="","",MARÍTIMOS[[#This Row],[Almacén de Ingreso]]),"")</f>
        <v/>
      </c>
      <c r="AH339" s="11" t="str">
        <f>IFERROR(IF(MARÍTIMOS[[#This Row],[Etapa Ingreso - Cita]]="","",MARÍTIMOS[[#This Row],[Etapa Ingreso - Cita]]),"")</f>
        <v/>
      </c>
      <c r="AI339" s="11" t="str">
        <f>IFERROR(IF(MARÍTIMOS[[#This Row],[Etapa Ingreso - Llegada]]="","",MARÍTIMOS[[#This Row],[Etapa Ingreso - Llegada]]),"")</f>
        <v/>
      </c>
      <c r="AJ339" s="11" t="str">
        <f>IFERROR(IF(MARÍTIMOS[[#This Row],[Etapa Ingreso - Ingeso]]="","",MARÍTIMOS[[#This Row],[Etapa Ingreso - Ingeso]]),"")</f>
        <v/>
      </c>
      <c r="AK339" s="11" t="str">
        <f>IFERROR(IF(MARÍTIMOS[[#This Row],[Etapa Ingreso - Atención]]="","",MARÍTIMOS[[#This Row],[Etapa Ingreso - Atención]]),"")</f>
        <v/>
      </c>
      <c r="AL339" s="11" t="str">
        <f>IFERROR(IF(MARÍTIMOS[[#This Row],[Etapa Ingreso - Salida]]="","",MARÍTIMOS[[#This Row],[Etapa Ingreso - Salida]]),"")</f>
        <v/>
      </c>
      <c r="AM339" s="2" t="str">
        <f>IFERROR(IF(MARÍTIMOS[[#This Row],[FCL]]="","",MARÍTIMOS[[#This Row],[FCL]]),"")</f>
        <v/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9" s="5" t="str">
        <f>IFERROR(OLDBD[[#This Row],[Llegada a packing]]-OLDBD[[#This Row],[Inicio de Ruta]],"")</f>
        <v/>
      </c>
      <c r="AQ339" s="6" t="str">
        <f>IFERROR(OLDBD[[#This Row],[Inicio de Ruta]]-OLDBD[[#This Row],[Salida de almacén de retiro]],"")</f>
        <v/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9" s="9" t="str">
        <f>IFERROR(OLDBD[[#This Row],[Ingreso Packing]]-OLDBD[[#This Row],[Registro en Packing]],"")</f>
        <v/>
      </c>
      <c r="AV339" s="9" t="str">
        <f>IFERROR(OLDBD[[#This Row],[Ingreso Packing]]-OLDBD[[#This Row],[Llegada a packing]],"")</f>
        <v/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 t="str">
        <f>IFERROR(OLDBD[[#This Row],[Llegada Almacén de Ingreso]]-OLDBD[[#This Row],[Salida Packing]],"")</f>
        <v/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9" s="45" t="s">
        <v>181</v>
      </c>
      <c r="BB339" s="53" t="str">
        <f>IFERROR(IF(MARÍTIMOS[[#This Row],[Estatus]]="","",MARÍTIMOS[[#This Row],[Estatus]]),"")</f>
        <v/>
      </c>
      <c r="BC339" s="45"/>
      <c r="BD339" s="52" t="str">
        <f>IFERROR(OLDBD[[#This Row],[Salida de almacén de retiro]]-OLDBD[[#This Row],[Ingreso Almacén de retiro]],"")</f>
        <v/>
      </c>
      <c r="BE339" s="52" t="str">
        <f>IFERROR(OLDBD[[#This Row],[Fin de Carga]]-OLDBD[[#This Row],[Inicio de Carga]],"")</f>
        <v/>
      </c>
    </row>
    <row r="340" spans="1:57" x14ac:dyDescent="0.35">
      <c r="A340" s="1"/>
      <c r="B340" s="1" t="str">
        <f>IFERROR(IF(MARÍTIMOS[[#This Row],[PP]]="","",MARÍTIMOS[[#This Row],[PP]]),"")</f>
        <v/>
      </c>
      <c r="C340" s="1" t="str">
        <f>IFERROR(IF(MARÍTIMOS[[#This Row],[Sede]]="","",MARÍTIMOS[[#This Row],[Sede]]),"")</f>
        <v/>
      </c>
      <c r="D340" s="1" t="str">
        <f>IFERROR(IF(MARÍTIMOS[[#This Row],[Instruction]]="","",MARÍTIMOS[[#This Row],[Instruction]]),"")</f>
        <v/>
      </c>
      <c r="E340" s="1"/>
      <c r="F340" s="2" t="str">
        <f>IFERROR(IF(MARÍTIMOS[[#This Row],[Transportista]]="","",MARÍTIMOS[[#This Row],[Transportista]]),"")</f>
        <v/>
      </c>
      <c r="G340" s="2" t="str">
        <f>IFERROR(IF(MARÍTIMOS[[#This Row],[Tercero]]="","",MARÍTIMOS[[#This Row],[Tercero]]),"")</f>
        <v/>
      </c>
      <c r="H340" s="2" t="str">
        <f>IFERROR(IF(MARÍTIMOS[[#This Row],[Razón Social]]="","",MARÍTIMOS[[#This Row],[Razón Social]]),"")</f>
        <v/>
      </c>
      <c r="I340" s="2" t="str">
        <f>IFERROR(IF(MARÍTIMOS[[#This Row],[RUC]]="","",MARÍTIMOS[[#This Row],[RUC]]),"")</f>
        <v/>
      </c>
      <c r="J340" s="2" t="str">
        <f>IFERROR(IF(MARÍTIMOS[[#This Row],[Placa Tracto]]="","",MARÍTIMOS[[#This Row],[Placa Tracto]]),"")</f>
        <v/>
      </c>
      <c r="K340" s="2" t="str">
        <f>IFERROR(IF(MARÍTIMOS[[#This Row],[Placa Carreta]]="","",MARÍTIMOS[[#This Row],[Placa Carreta]]),"")</f>
        <v/>
      </c>
      <c r="L340" s="46" t="str">
        <f>IFERROR(IF(MARÍTIMOS[[#This Row],[Conductor]]="","",MARÍTIMOS[[#This Row],[Conductor]]),"")</f>
        <v/>
      </c>
      <c r="M340" s="2" t="str">
        <f>IFERROR(IF(MARÍTIMOS[[#This Row],[Licencia]]="","",MARÍTIMOS[[#This Row],[Licencia]]),"")</f>
        <v/>
      </c>
      <c r="N340" s="2" t="str">
        <f>IFERROR(IF(MARÍTIMOS[[#This Row],[Número de Contacto]]="","",MARÍTIMOS[[#This Row],[Número de Contacto]]),"")</f>
        <v/>
      </c>
      <c r="O340" s="10" t="str">
        <f>IFERROR(IF(MARÍTIMOS[[#This Row],[Booking|AWB|CRT]]="","",MARÍTIMOS[[#This Row],[Booking|AWB|CRT]]),"")</f>
        <v/>
      </c>
      <c r="P340" s="2" t="str">
        <f>IFERROR(IF(MARÍTIMOS[[#This Row],[Contenedor]]="","",MARÍTIMOS[[#This Row],[Contenedor]]),"")</f>
        <v/>
      </c>
      <c r="Q340" s="2" t="str">
        <f>IFERROR(IF(MARÍTIMOS[[#This Row],[Puerto de Retiro]]="","",MARÍTIMOS[[#This Row],[Puerto de Retiro]]),"")</f>
        <v/>
      </c>
      <c r="R340" s="2" t="str">
        <f>IFERROR(IF(MARÍTIMOS[[#This Row],[Almacén de Retiro]]="","",MARÍTIMOS[[#This Row],[Almacén de Retiro]]),"")</f>
        <v/>
      </c>
      <c r="S340" s="11" t="str">
        <f>IFERROR(IF(MARÍTIMOS[[#This Row],[Etapa Retiro - Cita]]="","",MARÍTIMOS[[#This Row],[Etapa Retiro - Cita]]),"")</f>
        <v/>
      </c>
      <c r="T340" s="11" t="str">
        <f>IFERROR(IF(MARÍTIMOS[[#This Row],[Etapa Retiro - Llegada]]="","",MARÍTIMOS[[#This Row],[Etapa Retiro - Llegada]]),"")</f>
        <v/>
      </c>
      <c r="U340" s="11" t="str">
        <f>IFERROR(IF(MARÍTIMOS[[#This Row],[Etapa Retiro - Ingreso]]="","",MARÍTIMOS[[#This Row],[Etapa Retiro - Ingreso]]),"")</f>
        <v/>
      </c>
      <c r="V340" s="11" t="str">
        <f>IFERROR(IF(MARÍTIMOS[[#This Row],[Etapa Retiro - Atención]]="","",MARÍTIMOS[[#This Row],[Etapa Retiro - Atención]]),"")</f>
        <v/>
      </c>
      <c r="W340" s="11" t="str">
        <f>IFERROR(IF(MARÍTIMOS[[#This Row],[Etapa Retiro - Salida]]="","",MARÍTIMOS[[#This Row],[Etapa Retiro - Salida]]),"")</f>
        <v/>
      </c>
      <c r="X340" s="11" t="str">
        <f>IFERROR(IF(MARÍTIMOS[[#This Row],[Etapa Retiro - Inicio de Ruta]]="","",MARÍTIMOS[[#This Row],[Etapa Retiro - Inicio de Ruta]]),"")</f>
        <v/>
      </c>
      <c r="Y340" s="11" t="str">
        <f>IFERROR(IF(MARÍTIMOS[[#This Row],[Hora de Posicionamiento]]="","",MARÍTIMOS[[#This Row],[Hora de Carga]]+MARÍTIMOS[[#This Row],[Hora de Posicionamiento]]),"")</f>
        <v/>
      </c>
      <c r="Z340" s="11" t="str">
        <f>IFERROR(IF(MARÍTIMOS[[#This Row],[Etapa Despacho -  Llegada]]="","",MARÍTIMOS[[#This Row],[Etapa Despacho -  Llegada]]),"")</f>
        <v/>
      </c>
      <c r="AA340" s="11" t="str">
        <f>IFERROR(IF(MARÍTIMOS[[#This Row],[Etapa Despacho -  Registro]]="","",MARÍTIMOS[[#This Row],[Etapa Despacho -  Registro]]),"")</f>
        <v/>
      </c>
      <c r="AB340" s="11" t="str">
        <f>IFERROR(IF(MARÍTIMOS[[#This Row],[Inspección Externa]]="","",MARÍTIMOS[[#This Row],[Inspección Externa]]),"")</f>
        <v/>
      </c>
      <c r="AC340" s="11" t="str">
        <f>IFERROR(IF(MARÍTIMOS[[#This Row],[Etapa Despacho -  Inicio de Carga]]="","",MARÍTIMOS[[#This Row],[Etapa Despacho -  Inicio de Carga]]),"")</f>
        <v/>
      </c>
      <c r="AD340" s="11" t="str">
        <f>IFERROR(IF(MARÍTIMOS[[#This Row],[Etapa Despacho -  Fin de Carga]]="","",MARÍTIMOS[[#This Row],[Etapa Despacho -  Fin de Carga]]),"")</f>
        <v/>
      </c>
      <c r="AE340" s="11" t="str">
        <f>IFERROR(IF(MARÍTIMOS[[#This Row],[Etapa Despacho -  Salida]]="","",MARÍTIMOS[[#This Row],[Etapa Despacho -  Salida]]),"")</f>
        <v/>
      </c>
      <c r="AF340" s="2" t="str">
        <f>IFERROR(IF(MARÍTIMOS[[#This Row],[Puerto de Embarque]]="","",MARÍTIMOS[[#This Row],[Puerto de Embarque]]),"")</f>
        <v/>
      </c>
      <c r="AG340" s="2" t="str">
        <f>IFERROR(IF(MARÍTIMOS[[#This Row],[Almacén de Ingreso]]="","",MARÍTIMOS[[#This Row],[Almacén de Ingreso]]),"")</f>
        <v/>
      </c>
      <c r="AH340" s="11" t="str">
        <f>IFERROR(IF(MARÍTIMOS[[#This Row],[Etapa Ingreso - Cita]]="","",MARÍTIMOS[[#This Row],[Etapa Ingreso - Cita]]),"")</f>
        <v/>
      </c>
      <c r="AI340" s="11" t="str">
        <f>IFERROR(IF(MARÍTIMOS[[#This Row],[Etapa Ingreso - Llegada]]="","",MARÍTIMOS[[#This Row],[Etapa Ingreso - Llegada]]),"")</f>
        <v/>
      </c>
      <c r="AJ340" s="11" t="str">
        <f>IFERROR(IF(MARÍTIMOS[[#This Row],[Etapa Ingreso - Ingeso]]="","",MARÍTIMOS[[#This Row],[Etapa Ingreso - Ingeso]]),"")</f>
        <v/>
      </c>
      <c r="AK340" s="11" t="str">
        <f>IFERROR(IF(MARÍTIMOS[[#This Row],[Etapa Ingreso - Atención]]="","",MARÍTIMOS[[#This Row],[Etapa Ingreso - Atención]]),"")</f>
        <v/>
      </c>
      <c r="AL340" s="11" t="str">
        <f>IFERROR(IF(MARÍTIMOS[[#This Row],[Etapa Ingreso - Salida]]="","",MARÍTIMOS[[#This Row],[Etapa Ingreso - Salida]]),"")</f>
        <v/>
      </c>
      <c r="AM340" s="2" t="str">
        <f>IFERROR(IF(MARÍTIMOS[[#This Row],[FCL]]="","",MARÍTIMOS[[#This Row],[FCL]]),"")</f>
        <v/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0" s="5" t="str">
        <f>IFERROR(OLDBD[[#This Row],[Llegada a packing]]-OLDBD[[#This Row],[Inicio de Ruta]],"")</f>
        <v/>
      </c>
      <c r="AQ340" s="6" t="str">
        <f>IFERROR(OLDBD[[#This Row],[Inicio de Ruta]]-OLDBD[[#This Row],[Salida de almacén de retiro]],"")</f>
        <v/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0" s="9" t="str">
        <f>IFERROR(OLDBD[[#This Row],[Ingreso Packing]]-OLDBD[[#This Row],[Registro en Packing]],"")</f>
        <v/>
      </c>
      <c r="AV340" s="9" t="str">
        <f>IFERROR(OLDBD[[#This Row],[Ingreso Packing]]-OLDBD[[#This Row],[Llegada a packing]],"")</f>
        <v/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 t="str">
        <f>IFERROR(OLDBD[[#This Row],[Llegada Almacén de Ingreso]]-OLDBD[[#This Row],[Salida Packing]],"")</f>
        <v/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0" s="45" t="s">
        <v>181</v>
      </c>
      <c r="BB340" s="53" t="str">
        <f>IFERROR(IF(MARÍTIMOS[[#This Row],[Estatus]]="","",MARÍTIMOS[[#This Row],[Estatus]]),"")</f>
        <v/>
      </c>
      <c r="BC340" s="45"/>
      <c r="BD340" s="52" t="str">
        <f>IFERROR(OLDBD[[#This Row],[Salida de almacén de retiro]]-OLDBD[[#This Row],[Ingreso Almacén de retiro]],"")</f>
        <v/>
      </c>
      <c r="BE340" s="52" t="str">
        <f>IFERROR(OLDBD[[#This Row],[Fin de Carga]]-OLDBD[[#This Row],[Inicio de Carga]],"")</f>
        <v/>
      </c>
    </row>
    <row r="341" spans="1:57" x14ac:dyDescent="0.35">
      <c r="A341" s="1"/>
      <c r="B341" s="1" t="str">
        <f>IFERROR(IF(MARÍTIMOS[[#This Row],[PP]]="","",MARÍTIMOS[[#This Row],[PP]]),"")</f>
        <v/>
      </c>
      <c r="C341" s="1" t="str">
        <f>IFERROR(IF(MARÍTIMOS[[#This Row],[Sede]]="","",MARÍTIMOS[[#This Row],[Sede]]),"")</f>
        <v/>
      </c>
      <c r="D341" s="1" t="str">
        <f>IFERROR(IF(MARÍTIMOS[[#This Row],[Instruction]]="","",MARÍTIMOS[[#This Row],[Instruction]]),"")</f>
        <v/>
      </c>
      <c r="E341" s="1"/>
      <c r="F341" s="2" t="str">
        <f>IFERROR(IF(MARÍTIMOS[[#This Row],[Transportista]]="","",MARÍTIMOS[[#This Row],[Transportista]]),"")</f>
        <v/>
      </c>
      <c r="G341" s="2" t="str">
        <f>IFERROR(IF(MARÍTIMOS[[#This Row],[Tercero]]="","",MARÍTIMOS[[#This Row],[Tercero]]),"")</f>
        <v/>
      </c>
      <c r="H341" s="2" t="str">
        <f>IFERROR(IF(MARÍTIMOS[[#This Row],[Razón Social]]="","",MARÍTIMOS[[#This Row],[Razón Social]]),"")</f>
        <v/>
      </c>
      <c r="I341" s="2" t="str">
        <f>IFERROR(IF(MARÍTIMOS[[#This Row],[RUC]]="","",MARÍTIMOS[[#This Row],[RUC]]),"")</f>
        <v/>
      </c>
      <c r="J341" s="2" t="str">
        <f>IFERROR(IF(MARÍTIMOS[[#This Row],[Placa Tracto]]="","",MARÍTIMOS[[#This Row],[Placa Tracto]]),"")</f>
        <v/>
      </c>
      <c r="K341" s="2" t="str">
        <f>IFERROR(IF(MARÍTIMOS[[#This Row],[Placa Carreta]]="","",MARÍTIMOS[[#This Row],[Placa Carreta]]),"")</f>
        <v/>
      </c>
      <c r="L341" s="46" t="str">
        <f>IFERROR(IF(MARÍTIMOS[[#This Row],[Conductor]]="","",MARÍTIMOS[[#This Row],[Conductor]]),"")</f>
        <v/>
      </c>
      <c r="M341" s="2" t="str">
        <f>IFERROR(IF(MARÍTIMOS[[#This Row],[Licencia]]="","",MARÍTIMOS[[#This Row],[Licencia]]),"")</f>
        <v/>
      </c>
      <c r="N341" s="2" t="str">
        <f>IFERROR(IF(MARÍTIMOS[[#This Row],[Número de Contacto]]="","",MARÍTIMOS[[#This Row],[Número de Contacto]]),"")</f>
        <v/>
      </c>
      <c r="O341" s="10" t="str">
        <f>IFERROR(IF(MARÍTIMOS[[#This Row],[Booking|AWB|CRT]]="","",MARÍTIMOS[[#This Row],[Booking|AWB|CRT]]),"")</f>
        <v/>
      </c>
      <c r="P341" s="2" t="str">
        <f>IFERROR(IF(MARÍTIMOS[[#This Row],[Contenedor]]="","",MARÍTIMOS[[#This Row],[Contenedor]]),"")</f>
        <v/>
      </c>
      <c r="Q341" s="2" t="str">
        <f>IFERROR(IF(MARÍTIMOS[[#This Row],[Puerto de Retiro]]="","",MARÍTIMOS[[#This Row],[Puerto de Retiro]]),"")</f>
        <v/>
      </c>
      <c r="R341" s="2" t="str">
        <f>IFERROR(IF(MARÍTIMOS[[#This Row],[Almacén de Retiro]]="","",MARÍTIMOS[[#This Row],[Almacén de Retiro]]),"")</f>
        <v/>
      </c>
      <c r="S341" s="11" t="str">
        <f>IFERROR(IF(MARÍTIMOS[[#This Row],[Etapa Retiro - Cita]]="","",MARÍTIMOS[[#This Row],[Etapa Retiro - Cita]]),"")</f>
        <v/>
      </c>
      <c r="T341" s="11" t="str">
        <f>IFERROR(IF(MARÍTIMOS[[#This Row],[Etapa Retiro - Llegada]]="","",MARÍTIMOS[[#This Row],[Etapa Retiro - Llegada]]),"")</f>
        <v/>
      </c>
      <c r="U341" s="11" t="str">
        <f>IFERROR(IF(MARÍTIMOS[[#This Row],[Etapa Retiro - Ingreso]]="","",MARÍTIMOS[[#This Row],[Etapa Retiro - Ingreso]]),"")</f>
        <v/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Salida]]="","",MARÍTIMOS[[#This Row],[Etapa Retiro - Salida]]),"")</f>
        <v/>
      </c>
      <c r="X341" s="11" t="str">
        <f>IFERROR(IF(MARÍTIMOS[[#This Row],[Etapa Retiro - Inicio de Ruta]]="","",MARÍTIMOS[[#This Row],[Etapa Retiro - Inicio de Ruta]]),"")</f>
        <v/>
      </c>
      <c r="Y341" s="11" t="str">
        <f>IFERROR(IF(MARÍTIMOS[[#This Row],[Hora de Posicionamiento]]="","",MARÍTIMOS[[#This Row],[Hora de Carga]]+MARÍTIMOS[[#This Row],[Hora de Posicionamiento]]),"")</f>
        <v/>
      </c>
      <c r="Z341" s="11" t="str">
        <f>IFERROR(IF(MARÍTIMOS[[#This Row],[Etapa Despacho -  Llegada]]="","",MARÍTIMOS[[#This Row],[Etapa Despacho -  Llegada]]),"")</f>
        <v/>
      </c>
      <c r="AA341" s="11" t="str">
        <f>IFERROR(IF(MARÍTIMOS[[#This Row],[Etapa Despacho -  Registro]]="","",MARÍTIMOS[[#This Row],[Etapa Despacho -  Registro]]),"")</f>
        <v/>
      </c>
      <c r="AB341" s="11" t="str">
        <f>IFERROR(IF(MARÍTIMOS[[#This Row],[Inspección Externa]]="","",MARÍTIMOS[[#This Row],[Inspección Externa]]),"")</f>
        <v/>
      </c>
      <c r="AC341" s="11" t="str">
        <f>IFERROR(IF(MARÍTIMOS[[#This Row],[Etapa Despacho -  Inicio de Carga]]="","",MARÍTIMOS[[#This Row],[Etapa Despacho -  Inicio de Carga]]),"")</f>
        <v/>
      </c>
      <c r="AD341" s="11" t="str">
        <f>IFERROR(IF(MARÍTIMOS[[#This Row],[Etapa Despacho -  Fin de Carga]]="","",MARÍTIMOS[[#This Row],[Etapa Despacho -  Fin de Carga]]),"")</f>
        <v/>
      </c>
      <c r="AE341" s="11" t="str">
        <f>IFERROR(IF(MARÍTIMOS[[#This Row],[Etapa Despacho -  Salida]]="","",MARÍTIMOS[[#This Row],[Etapa Despacho -  Salida]]),"")</f>
        <v/>
      </c>
      <c r="AF341" s="2" t="str">
        <f>IFERROR(IF(MARÍTIMOS[[#This Row],[Puerto de Embarque]]="","",MARÍTIMOS[[#This Row],[Puerto de Embarque]]),"")</f>
        <v/>
      </c>
      <c r="AG341" s="2" t="str">
        <f>IFERROR(IF(MARÍTIMOS[[#This Row],[Almacén de Ingreso]]="","",MARÍTIMOS[[#This Row],[Almacén de Ingreso]]),"")</f>
        <v/>
      </c>
      <c r="AH341" s="11" t="str">
        <f>IFERROR(IF(MARÍTIMOS[[#This Row],[Etapa Ingreso - Cita]]="","",MARÍTIMOS[[#This Row],[Etapa Ingreso - Cita]]),"")</f>
        <v/>
      </c>
      <c r="AI341" s="11" t="str">
        <f>IFERROR(IF(MARÍTIMOS[[#This Row],[Etapa Ingreso - Llegada]]="","",MARÍTIMOS[[#This Row],[Etapa Ingreso - Llegada]]),"")</f>
        <v/>
      </c>
      <c r="AJ341" s="11" t="str">
        <f>IFERROR(IF(MARÍTIMOS[[#This Row],[Etapa Ingreso - Ingeso]]="","",MARÍTIMOS[[#This Row],[Etapa Ingreso - Ingeso]]),"")</f>
        <v/>
      </c>
      <c r="AK341" s="11" t="str">
        <f>IFERROR(IF(MARÍTIMOS[[#This Row],[Etapa Ingreso - Atención]]="","",MARÍTIMOS[[#This Row],[Etapa Ingreso - Atención]]),"")</f>
        <v/>
      </c>
      <c r="AL341" s="11" t="str">
        <f>IFERROR(IF(MARÍTIMOS[[#This Row],[Etapa Ingreso - Salida]]="","",MARÍTIMOS[[#This Row],[Etapa Ingreso - Salida]]),"")</f>
        <v/>
      </c>
      <c r="AM341" s="2" t="str">
        <f>IFERROR(IF(MARÍTIMOS[[#This Row],[FCL]]="","",MARÍTIMOS[[#This Row],[FCL]]),"")</f>
        <v/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 t="str">
        <f>IFERROR(OLDBD[[#This Row],[Llegada a packing]]-OLDBD[[#This Row],[Inicio de Ruta]],"")</f>
        <v/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1" s="9" t="str">
        <f>IFERROR(OLDBD[[#This Row],[Ingreso Packing]]-OLDBD[[#This Row],[Registro en Packing]],"")</f>
        <v/>
      </c>
      <c r="AV341" s="9" t="str">
        <f>IFERROR(OLDBD[[#This Row],[Ingreso Packing]]-OLDBD[[#This Row],[Llegada a packing]],"")</f>
        <v/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 t="str">
        <f>IFERROR(OLDBD[[#This Row],[Llegada Almacén de Ingreso]]-OLDBD[[#This Row],[Salida Packing]],"")</f>
        <v/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1" s="45" t="s">
        <v>181</v>
      </c>
      <c r="BB341" s="53" t="str">
        <f>IFERROR(IF(MARÍTIMOS[[#This Row],[Estatus]]="","",MARÍTIMOS[[#This Row],[Estatus]]),"")</f>
        <v/>
      </c>
      <c r="BC341" s="45"/>
      <c r="BD341" s="52" t="str">
        <f>IFERROR(OLDBD[[#This Row],[Salida de almacén de retiro]]-OLDBD[[#This Row],[Ingreso Almacén de retiro]],"")</f>
        <v/>
      </c>
      <c r="BE341" s="52" t="str">
        <f>IFERROR(OLDBD[[#This Row],[Fin de Carga]]-OLDBD[[#This Row],[Inicio de Carga]],"")</f>
        <v/>
      </c>
    </row>
    <row r="342" spans="1:57" x14ac:dyDescent="0.35">
      <c r="A342" s="1"/>
      <c r="B342" s="1" t="str">
        <f>IFERROR(IF(MARÍTIMOS[[#This Row],[PP]]="","",MARÍTIMOS[[#This Row],[PP]]),"")</f>
        <v/>
      </c>
      <c r="C342" s="1" t="str">
        <f>IFERROR(IF(MARÍTIMOS[[#This Row],[Sede]]="","",MARÍTIMOS[[#This Row],[Sede]]),"")</f>
        <v/>
      </c>
      <c r="D342" s="1" t="str">
        <f>IFERROR(IF(MARÍTIMOS[[#This Row],[Instruction]]="","",MARÍTIMOS[[#This Row],[Instruction]]),"")</f>
        <v/>
      </c>
      <c r="E342" s="1"/>
      <c r="F342" s="2" t="str">
        <f>IFERROR(IF(MARÍTIMOS[[#This Row],[Transportista]]="","",MARÍTIMOS[[#This Row],[Transportista]]),"")</f>
        <v/>
      </c>
      <c r="G342" s="2" t="str">
        <f>IFERROR(IF(MARÍTIMOS[[#This Row],[Tercero]]="","",MARÍTIMOS[[#This Row],[Tercero]]),"")</f>
        <v/>
      </c>
      <c r="H342" s="2" t="str">
        <f>IFERROR(IF(MARÍTIMOS[[#This Row],[Razón Social]]="","",MARÍTIMOS[[#This Row],[Razón Social]]),"")</f>
        <v/>
      </c>
      <c r="I342" s="2" t="str">
        <f>IFERROR(IF(MARÍTIMOS[[#This Row],[RUC]]="","",MARÍTIMOS[[#This Row],[RUC]]),"")</f>
        <v/>
      </c>
      <c r="J342" s="2" t="str">
        <f>IFERROR(IF(MARÍTIMOS[[#This Row],[Placa Tracto]]="","",MARÍTIMOS[[#This Row],[Placa Tracto]]),"")</f>
        <v/>
      </c>
      <c r="K342" s="2" t="str">
        <f>IFERROR(IF(MARÍTIMOS[[#This Row],[Placa Carreta]]="","",MARÍTIMOS[[#This Row],[Placa Carreta]]),"")</f>
        <v/>
      </c>
      <c r="L342" s="46" t="str">
        <f>IFERROR(IF(MARÍTIMOS[[#This Row],[Conductor]]="","",MARÍTIMOS[[#This Row],[Conductor]]),"")</f>
        <v/>
      </c>
      <c r="M342" s="2" t="str">
        <f>IFERROR(IF(MARÍTIMOS[[#This Row],[Licencia]]="","",MARÍTIMOS[[#This Row],[Licencia]]),"")</f>
        <v/>
      </c>
      <c r="N342" s="2" t="str">
        <f>IFERROR(IF(MARÍTIMOS[[#This Row],[Número de Contacto]]="","",MARÍTIMOS[[#This Row],[Número de Contacto]]),"")</f>
        <v/>
      </c>
      <c r="O342" s="10" t="str">
        <f>IFERROR(IF(MARÍTIMOS[[#This Row],[Booking|AWB|CRT]]="","",MARÍTIMOS[[#This Row],[Booking|AWB|CRT]]),"")</f>
        <v/>
      </c>
      <c r="P342" s="2" t="str">
        <f>IFERROR(IF(MARÍTIMOS[[#This Row],[Contenedor]]="","",MARÍTIMOS[[#This Row],[Contenedor]]),"")</f>
        <v/>
      </c>
      <c r="Q342" s="2" t="str">
        <f>IFERROR(IF(MARÍTIMOS[[#This Row],[Puerto de Retiro]]="","",MARÍTIMOS[[#This Row],[Puerto de Retiro]]),"")</f>
        <v/>
      </c>
      <c r="R342" s="2" t="str">
        <f>IFERROR(IF(MARÍTIMOS[[#This Row],[Almacén de Retiro]]="","",MARÍTIMOS[[#This Row],[Almacén de Retiro]]),"")</f>
        <v/>
      </c>
      <c r="S342" s="11" t="str">
        <f>IFERROR(IF(MARÍTIMOS[[#This Row],[Etapa Retiro - Cita]]="","",MARÍTIMOS[[#This Row],[Etapa Retiro - Cita]]),"")</f>
        <v/>
      </c>
      <c r="T342" s="11" t="str">
        <f>IFERROR(IF(MARÍTIMOS[[#This Row],[Etapa Retiro - Llegada]]="","",MARÍTIMOS[[#This Row],[Etapa Retiro - Llegada]]),"")</f>
        <v/>
      </c>
      <c r="U342" s="11" t="str">
        <f>IFERROR(IF(MARÍTIMOS[[#This Row],[Etapa Retiro - Ingreso]]="","",MARÍTIMOS[[#This Row],[Etapa Retiro - Ingreso]]),"")</f>
        <v/>
      </c>
      <c r="V342" s="11" t="str">
        <f>IFERROR(IF(MARÍTIMOS[[#This Row],[Etapa Retiro - Atención]]="","",MARÍTIMOS[[#This Row],[Etapa Retiro - Atención]]),"")</f>
        <v/>
      </c>
      <c r="W342" s="11" t="str">
        <f>IFERROR(IF(MARÍTIMOS[[#This Row],[Etapa Retiro - Salida]]="","",MARÍTIMOS[[#This Row],[Etapa Retiro - Salida]]),"")</f>
        <v/>
      </c>
      <c r="X342" s="11" t="str">
        <f>IFERROR(IF(MARÍTIMOS[[#This Row],[Etapa Retiro - Inicio de Ruta]]="","",MARÍTIMOS[[#This Row],[Etapa Retiro - Inicio de Ruta]]),"")</f>
        <v/>
      </c>
      <c r="Y342" s="11" t="str">
        <f>IFERROR(IF(MARÍTIMOS[[#This Row],[Hora de Posicionamiento]]="","",MARÍTIMOS[[#This Row],[Hora de Carga]]+MARÍTIMOS[[#This Row],[Hora de Posicionamiento]]),"")</f>
        <v/>
      </c>
      <c r="Z342" s="11" t="str">
        <f>IFERROR(IF(MARÍTIMOS[[#This Row],[Etapa Despacho -  Llegada]]="","",MARÍTIMOS[[#This Row],[Etapa Despacho -  Llegada]]),"")</f>
        <v/>
      </c>
      <c r="AA342" s="11" t="str">
        <f>IFERROR(IF(MARÍTIMOS[[#This Row],[Etapa Despacho -  Registro]]="","",MARÍTIMOS[[#This Row],[Etapa Despacho -  Registro]]),"")</f>
        <v/>
      </c>
      <c r="AB342" s="11" t="str">
        <f>IFERROR(IF(MARÍTIMOS[[#This Row],[Inspección Externa]]="","",MARÍTIMOS[[#This Row],[Inspección Externa]]),"")</f>
        <v/>
      </c>
      <c r="AC342" s="11" t="str">
        <f>IFERROR(IF(MARÍTIMOS[[#This Row],[Etapa Despacho -  Inicio de Carga]]="","",MARÍTIMOS[[#This Row],[Etapa Despacho -  Inicio de Carga]]),"")</f>
        <v/>
      </c>
      <c r="AD342" s="11" t="str">
        <f>IFERROR(IF(MARÍTIMOS[[#This Row],[Etapa Despacho -  Fin de Carga]]="","",MARÍTIMOS[[#This Row],[Etapa Despacho -  Fin de Carga]]),"")</f>
        <v/>
      </c>
      <c r="AE342" s="11" t="str">
        <f>IFERROR(IF(MARÍTIMOS[[#This Row],[Etapa Despacho -  Salida]]="","",MARÍTIMOS[[#This Row],[Etapa Despacho -  Salida]]),"")</f>
        <v/>
      </c>
      <c r="AF342" s="2" t="str">
        <f>IFERROR(IF(MARÍTIMOS[[#This Row],[Puerto de Embarque]]="","",MARÍTIMOS[[#This Row],[Puerto de Embarque]]),"")</f>
        <v/>
      </c>
      <c r="AG342" s="2" t="str">
        <f>IFERROR(IF(MARÍTIMOS[[#This Row],[Almacén de Ingreso]]="","",MARÍTIMOS[[#This Row],[Almacén de Ingreso]]),"")</f>
        <v/>
      </c>
      <c r="AH342" s="11" t="str">
        <f>IFERROR(IF(MARÍTIMOS[[#This Row],[Etapa Ingreso - Cita]]="","",MARÍTIMOS[[#This Row],[Etapa Ingreso - Cita]]),"")</f>
        <v/>
      </c>
      <c r="AI342" s="11" t="str">
        <f>IFERROR(IF(MARÍTIMOS[[#This Row],[Etapa Ingreso - Llegada]]="","",MARÍTIMOS[[#This Row],[Etapa Ingreso - Llegada]]),"")</f>
        <v/>
      </c>
      <c r="AJ342" s="11" t="str">
        <f>IFERROR(IF(MARÍTIMOS[[#This Row],[Etapa Ingreso - Ingeso]]="","",MARÍTIMOS[[#This Row],[Etapa Ingreso - Ingeso]]),"")</f>
        <v/>
      </c>
      <c r="AK342" s="11" t="str">
        <f>IFERROR(IF(MARÍTIMOS[[#This Row],[Etapa Ingreso - Atención]]="","",MARÍTIMOS[[#This Row],[Etapa Ingreso - Atención]]),"")</f>
        <v/>
      </c>
      <c r="AL342" s="11" t="str">
        <f>IFERROR(IF(MARÍTIMOS[[#This Row],[Etapa Ingreso - Salida]]="","",MARÍTIMOS[[#This Row],[Etapa Ingreso - Salida]]),"")</f>
        <v/>
      </c>
      <c r="AM342" s="2" t="str">
        <f>IFERROR(IF(MARÍTIMOS[[#This Row],[FCL]]="","",MARÍTIMOS[[#This Row],[FCL]]),"")</f>
        <v/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2" s="5" t="str">
        <f>IFERROR(OLDBD[[#This Row],[Llegada a packing]]-OLDBD[[#This Row],[Inicio de Ruta]],"")</f>
        <v/>
      </c>
      <c r="AQ342" s="6" t="str">
        <f>IFERROR(OLDBD[[#This Row],[Inicio de Ruta]]-OLDBD[[#This Row],[Salida de almacén de retiro]],"")</f>
        <v/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2" s="9" t="str">
        <f>IFERROR(OLDBD[[#This Row],[Ingreso Packing]]-OLDBD[[#This Row],[Registro en Packing]],"")</f>
        <v/>
      </c>
      <c r="AV342" s="9" t="str">
        <f>IFERROR(OLDBD[[#This Row],[Ingreso Packing]]-OLDBD[[#This Row],[Llegada a packing]],"")</f>
        <v/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 t="str">
        <f>IFERROR(OLDBD[[#This Row],[Llegada Almacén de Ingreso]]-OLDBD[[#This Row],[Salida Packing]],"")</f>
        <v/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2" s="45" t="s">
        <v>181</v>
      </c>
      <c r="BB342" s="53" t="str">
        <f>IFERROR(IF(MARÍTIMOS[[#This Row],[Estatus]]="","",MARÍTIMOS[[#This Row],[Estatus]]),"")</f>
        <v/>
      </c>
      <c r="BC342" s="45"/>
      <c r="BD342" s="52" t="str">
        <f>IFERROR(OLDBD[[#This Row],[Salida de almacén de retiro]]-OLDBD[[#This Row],[Ingreso Almacén de retiro]],"")</f>
        <v/>
      </c>
      <c r="BE342" s="52" t="str">
        <f>IFERROR(OLDBD[[#This Row],[Fin de Carga]]-OLDBD[[#This Row],[Inicio de Carga]],"")</f>
        <v/>
      </c>
    </row>
    <row r="343" spans="1:57" x14ac:dyDescent="0.35">
      <c r="A343" s="1"/>
      <c r="B343" s="1" t="str">
        <f>IFERROR(IF(MARÍTIMOS[[#This Row],[PP]]="","",MARÍTIMOS[[#This Row],[PP]]),"")</f>
        <v/>
      </c>
      <c r="C343" s="1" t="str">
        <f>IFERROR(IF(MARÍTIMOS[[#This Row],[Sede]]="","",MARÍTIMOS[[#This Row],[Sede]]),"")</f>
        <v/>
      </c>
      <c r="D343" s="1" t="str">
        <f>IFERROR(IF(MARÍTIMOS[[#This Row],[Instruction]]="","",MARÍTIMOS[[#This Row],[Instruction]]),"")</f>
        <v/>
      </c>
      <c r="E343" s="1"/>
      <c r="F343" s="2" t="str">
        <f>IFERROR(IF(MARÍTIMOS[[#This Row],[Transportista]]="","",MARÍTIMOS[[#This Row],[Transportista]]),"")</f>
        <v/>
      </c>
      <c r="G343" s="2" t="str">
        <f>IFERROR(IF(MARÍTIMOS[[#This Row],[Tercero]]="","",MARÍTIMOS[[#This Row],[Tercero]]),"")</f>
        <v/>
      </c>
      <c r="H343" s="2" t="str">
        <f>IFERROR(IF(MARÍTIMOS[[#This Row],[Razón Social]]="","",MARÍTIMOS[[#This Row],[Razón Social]]),"")</f>
        <v/>
      </c>
      <c r="I343" s="2" t="str">
        <f>IFERROR(IF(MARÍTIMOS[[#This Row],[RUC]]="","",MARÍTIMOS[[#This Row],[RUC]]),"")</f>
        <v/>
      </c>
      <c r="J343" s="2" t="str">
        <f>IFERROR(IF(MARÍTIMOS[[#This Row],[Placa Tracto]]="","",MARÍTIMOS[[#This Row],[Placa Tracto]]),"")</f>
        <v/>
      </c>
      <c r="K343" s="2" t="str">
        <f>IFERROR(IF(MARÍTIMOS[[#This Row],[Placa Carreta]]="","",MARÍTIMOS[[#This Row],[Placa Carreta]]),"")</f>
        <v/>
      </c>
      <c r="L343" s="46" t="str">
        <f>IFERROR(IF(MARÍTIMOS[[#This Row],[Conductor]]="","",MARÍTIMOS[[#This Row],[Conductor]]),"")</f>
        <v/>
      </c>
      <c r="M343" s="2" t="str">
        <f>IFERROR(IF(MARÍTIMOS[[#This Row],[Licencia]]="","",MARÍTIMOS[[#This Row],[Licencia]]),"")</f>
        <v/>
      </c>
      <c r="N343" s="2" t="str">
        <f>IFERROR(IF(MARÍTIMOS[[#This Row],[Número de Contacto]]="","",MARÍTIMOS[[#This Row],[Número de Contacto]]),"")</f>
        <v/>
      </c>
      <c r="O343" s="10" t="str">
        <f>IFERROR(IF(MARÍTIMOS[[#This Row],[Booking|AWB|CRT]]="","",MARÍTIMOS[[#This Row],[Booking|AWB|CRT]]),"")</f>
        <v/>
      </c>
      <c r="P343" s="2" t="str">
        <f>IFERROR(IF(MARÍTIMOS[[#This Row],[Contenedor]]="","",MARÍTIMOS[[#This Row],[Contenedor]]),"")</f>
        <v/>
      </c>
      <c r="Q343" s="2" t="str">
        <f>IFERROR(IF(MARÍTIMOS[[#This Row],[Puerto de Retiro]]="","",MARÍTIMOS[[#This Row],[Puerto de Retiro]]),"")</f>
        <v/>
      </c>
      <c r="R343" s="2" t="str">
        <f>IFERROR(IF(MARÍTIMOS[[#This Row],[Almacén de Retiro]]="","",MARÍTIMOS[[#This Row],[Almacén de Retiro]]),"")</f>
        <v/>
      </c>
      <c r="S343" s="11" t="str">
        <f>IFERROR(IF(MARÍTIMOS[[#This Row],[Etapa Retiro - Cita]]="","",MARÍTIMOS[[#This Row],[Etapa Retiro - Cita]]),"")</f>
        <v/>
      </c>
      <c r="T343" s="11" t="str">
        <f>IFERROR(IF(MARÍTIMOS[[#This Row],[Etapa Retiro - Llegada]]="","",MARÍTIMOS[[#This Row],[Etapa Retiro - Llegada]]),"")</f>
        <v/>
      </c>
      <c r="U343" s="11" t="str">
        <f>IFERROR(IF(MARÍTIMOS[[#This Row],[Etapa Retiro - Ingreso]]="","",MARÍTIMOS[[#This Row],[Etapa Retiro - Ingreso]]),"")</f>
        <v/>
      </c>
      <c r="V343" s="11" t="str">
        <f>IFERROR(IF(MARÍTIMOS[[#This Row],[Etapa Retiro - Atención]]="","",MARÍTIMOS[[#This Row],[Etapa Retiro - Atención]]),"")</f>
        <v/>
      </c>
      <c r="W343" s="11" t="str">
        <f>IFERROR(IF(MARÍTIMOS[[#This Row],[Etapa Retiro - Salida]]="","",MARÍTIMOS[[#This Row],[Etapa Retiro - Salida]]),"")</f>
        <v/>
      </c>
      <c r="X343" s="11" t="str">
        <f>IFERROR(IF(MARÍTIMOS[[#This Row],[Etapa Retiro - Inicio de Ruta]]="","",MARÍTIMOS[[#This Row],[Etapa Retiro - Inicio de Ruta]]),"")</f>
        <v/>
      </c>
      <c r="Y343" s="11" t="str">
        <f>IFERROR(IF(MARÍTIMOS[[#This Row],[Hora de Posicionamiento]]="","",MARÍTIMOS[[#This Row],[Hora de Carga]]+MARÍTIMOS[[#This Row],[Hora de Posicionamiento]]),"")</f>
        <v/>
      </c>
      <c r="Z343" s="11" t="str">
        <f>IFERROR(IF(MARÍTIMOS[[#This Row],[Etapa Despacho -  Llegada]]="","",MARÍTIMOS[[#This Row],[Etapa Despacho -  Llegada]]),"")</f>
        <v/>
      </c>
      <c r="AA343" s="11" t="str">
        <f>IFERROR(IF(MARÍTIMOS[[#This Row],[Etapa Despacho -  Registro]]="","",MARÍTIMOS[[#This Row],[Etapa Despacho -  Registro]]),"")</f>
        <v/>
      </c>
      <c r="AB343" s="11" t="str">
        <f>IFERROR(IF(MARÍTIMOS[[#This Row],[Inspección Externa]]="","",MARÍTIMOS[[#This Row],[Inspección Externa]]),"")</f>
        <v/>
      </c>
      <c r="AC343" s="11" t="str">
        <f>IFERROR(IF(MARÍTIMOS[[#This Row],[Etapa Despacho -  Inicio de Carga]]="","",MARÍTIMOS[[#This Row],[Etapa Despacho -  Inicio de Carga]]),"")</f>
        <v/>
      </c>
      <c r="AD343" s="11" t="str">
        <f>IFERROR(IF(MARÍTIMOS[[#This Row],[Etapa Despacho -  Fin de Carga]]="","",MARÍTIMOS[[#This Row],[Etapa Despacho -  Fin de Carga]]),"")</f>
        <v/>
      </c>
      <c r="AE343" s="11" t="str">
        <f>IFERROR(IF(MARÍTIMOS[[#This Row],[Etapa Despacho -  Salida]]="","",MARÍTIMOS[[#This Row],[Etapa Despacho -  Salida]]),"")</f>
        <v/>
      </c>
      <c r="AF343" s="2" t="str">
        <f>IFERROR(IF(MARÍTIMOS[[#This Row],[Puerto de Embarque]]="","",MARÍTIMOS[[#This Row],[Puerto de Embarque]]),"")</f>
        <v/>
      </c>
      <c r="AG343" s="2" t="str">
        <f>IFERROR(IF(MARÍTIMOS[[#This Row],[Almacén de Ingreso]]="","",MARÍTIMOS[[#This Row],[Almacén de Ingreso]]),"")</f>
        <v/>
      </c>
      <c r="AH343" s="11" t="str">
        <f>IFERROR(IF(MARÍTIMOS[[#This Row],[Etapa Ingreso - Cita]]="","",MARÍTIMOS[[#This Row],[Etapa Ingreso - Cita]]),"")</f>
        <v/>
      </c>
      <c r="AI343" s="11" t="str">
        <f>IFERROR(IF(MARÍTIMOS[[#This Row],[Etapa Ingreso - Llegada]]="","",MARÍTIMOS[[#This Row],[Etapa Ingreso - Llegada]]),"")</f>
        <v/>
      </c>
      <c r="AJ343" s="11" t="str">
        <f>IFERROR(IF(MARÍTIMOS[[#This Row],[Etapa Ingreso - Ingeso]]="","",MARÍTIMOS[[#This Row],[Etapa Ingreso - Ingeso]]),"")</f>
        <v/>
      </c>
      <c r="AK343" s="11" t="str">
        <f>IFERROR(IF(MARÍTIMOS[[#This Row],[Etapa Ingreso - Atención]]="","",MARÍTIMOS[[#This Row],[Etapa Ingreso - Atención]]),"")</f>
        <v/>
      </c>
      <c r="AL343" s="11" t="str">
        <f>IFERROR(IF(MARÍTIMOS[[#This Row],[Etapa Ingreso - Salida]]="","",MARÍTIMOS[[#This Row],[Etapa Ingreso - Salida]]),"")</f>
        <v/>
      </c>
      <c r="AM343" s="2" t="str">
        <f>IFERROR(IF(MARÍTIMOS[[#This Row],[FCL]]="","",MARÍTIMOS[[#This Row],[FCL]]),"")</f>
        <v/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3" s="5" t="str">
        <f>IFERROR(OLDBD[[#This Row],[Llegada a packing]]-OLDBD[[#This Row],[Inicio de Ruta]],"")</f>
        <v/>
      </c>
      <c r="AQ343" s="6" t="str">
        <f>IFERROR(OLDBD[[#This Row],[Inicio de Ruta]]-OLDBD[[#This Row],[Salida de almacén de retiro]],"")</f>
        <v/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3" s="9" t="str">
        <f>IFERROR(OLDBD[[#This Row],[Ingreso Packing]]-OLDBD[[#This Row],[Registro en Packing]],"")</f>
        <v/>
      </c>
      <c r="AV343" s="9" t="str">
        <f>IFERROR(OLDBD[[#This Row],[Ingreso Packing]]-OLDBD[[#This Row],[Llegada a packing]],"")</f>
        <v/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3" s="5" t="str">
        <f>IFERROR(OLDBD[[#This Row],[Llegada Almacén de Ingreso]]-OLDBD[[#This Row],[Salida Packing]],"")</f>
        <v/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3" s="45" t="s">
        <v>181</v>
      </c>
      <c r="BB343" s="53" t="str">
        <f>IFERROR(IF(MARÍTIMOS[[#This Row],[Estatus]]="","",MARÍTIMOS[[#This Row],[Estatus]]),"")</f>
        <v/>
      </c>
      <c r="BC343" s="45"/>
      <c r="BD343" s="52" t="str">
        <f>IFERROR(OLDBD[[#This Row],[Salida de almacén de retiro]]-OLDBD[[#This Row],[Ingreso Almacén de retiro]],"")</f>
        <v/>
      </c>
      <c r="BE343" s="52" t="str">
        <f>IFERROR(OLDBD[[#This Row],[Fin de Carga]]-OLDBD[[#This Row],[Inicio de Carga]],"")</f>
        <v/>
      </c>
    </row>
    <row r="344" spans="1:57" x14ac:dyDescent="0.35">
      <c r="A344" s="1"/>
      <c r="B344" s="1" t="str">
        <f>IFERROR(IF(MARÍTIMOS[[#This Row],[PP]]="","",MARÍTIMOS[[#This Row],[PP]]),"")</f>
        <v/>
      </c>
      <c r="C344" s="1" t="str">
        <f>IFERROR(IF(MARÍTIMOS[[#This Row],[Sede]]="","",MARÍTIMOS[[#This Row],[Sede]]),"")</f>
        <v/>
      </c>
      <c r="D344" s="1" t="str">
        <f>IFERROR(IF(MARÍTIMOS[[#This Row],[Instruction]]="","",MARÍTIMOS[[#This Row],[Instruction]]),"")</f>
        <v/>
      </c>
      <c r="E344" s="1"/>
      <c r="F344" s="2" t="str">
        <f>IFERROR(IF(MARÍTIMOS[[#This Row],[Transportista]]="","",MARÍTIMOS[[#This Row],[Transportista]]),"")</f>
        <v/>
      </c>
      <c r="G344" s="2" t="str">
        <f>IFERROR(IF(MARÍTIMOS[[#This Row],[Tercero]]="","",MARÍTIMOS[[#This Row],[Tercero]]),"")</f>
        <v/>
      </c>
      <c r="H344" s="2" t="str">
        <f>IFERROR(IF(MARÍTIMOS[[#This Row],[Razón Social]]="","",MARÍTIMOS[[#This Row],[Razón Social]]),"")</f>
        <v/>
      </c>
      <c r="I344" s="2" t="str">
        <f>IFERROR(IF(MARÍTIMOS[[#This Row],[RUC]]="","",MARÍTIMOS[[#This Row],[RUC]]),"")</f>
        <v/>
      </c>
      <c r="J344" s="2" t="str">
        <f>IFERROR(IF(MARÍTIMOS[[#This Row],[Placa Tracto]]="","",MARÍTIMOS[[#This Row],[Placa Tracto]]),"")</f>
        <v/>
      </c>
      <c r="K344" s="2" t="str">
        <f>IFERROR(IF(MARÍTIMOS[[#This Row],[Placa Carreta]]="","",MARÍTIMOS[[#This Row],[Placa Carreta]]),"")</f>
        <v/>
      </c>
      <c r="L344" s="46" t="str">
        <f>IFERROR(IF(MARÍTIMOS[[#This Row],[Conductor]]="","",MARÍTIMOS[[#This Row],[Conductor]]),"")</f>
        <v/>
      </c>
      <c r="M344" s="2" t="str">
        <f>IFERROR(IF(MARÍTIMOS[[#This Row],[Licencia]]="","",MARÍTIMOS[[#This Row],[Licencia]]),"")</f>
        <v/>
      </c>
      <c r="N344" s="2" t="str">
        <f>IFERROR(IF(MARÍTIMOS[[#This Row],[Número de Contacto]]="","",MARÍTIMOS[[#This Row],[Número de Contacto]]),"")</f>
        <v/>
      </c>
      <c r="O344" s="10" t="str">
        <f>IFERROR(IF(MARÍTIMOS[[#This Row],[Booking|AWB|CRT]]="","",MARÍTIMOS[[#This Row],[Booking|AWB|CRT]]),"")</f>
        <v/>
      </c>
      <c r="P344" s="2" t="str">
        <f>IFERROR(IF(MARÍTIMOS[[#This Row],[Contenedor]]="","",MARÍTIMOS[[#This Row],[Contenedor]]),"")</f>
        <v/>
      </c>
      <c r="Q344" s="2" t="str">
        <f>IFERROR(IF(MARÍTIMOS[[#This Row],[Puerto de Retiro]]="","",MARÍTIMOS[[#This Row],[Puerto de Retiro]]),"")</f>
        <v/>
      </c>
      <c r="R344" s="2" t="str">
        <f>IFERROR(IF(MARÍTIMOS[[#This Row],[Almacén de Retiro]]="","",MARÍTIMOS[[#This Row],[Almacén de Retiro]]),"")</f>
        <v/>
      </c>
      <c r="S344" s="11" t="str">
        <f>IFERROR(IF(MARÍTIMOS[[#This Row],[Etapa Retiro - Cita]]="","",MARÍTIMOS[[#This Row],[Etapa Retiro - Cita]]),"")</f>
        <v/>
      </c>
      <c r="T344" s="11" t="str">
        <f>IFERROR(IF(MARÍTIMOS[[#This Row],[Etapa Retiro - Llegada]]="","",MARÍTIMOS[[#This Row],[Etapa Retiro - Llegada]]),"")</f>
        <v/>
      </c>
      <c r="U344" s="11" t="str">
        <f>IFERROR(IF(MARÍTIMOS[[#This Row],[Etapa Retiro - Ingreso]]="","",MARÍTIMOS[[#This Row],[Etapa Retiro - Ingreso]]),"")</f>
        <v/>
      </c>
      <c r="V344" s="11" t="str">
        <f>IFERROR(IF(MARÍTIMOS[[#This Row],[Etapa Retiro - Atención]]="","",MARÍTIMOS[[#This Row],[Etapa Retiro - Atención]]),"")</f>
        <v/>
      </c>
      <c r="W344" s="11" t="str">
        <f>IFERROR(IF(MARÍTIMOS[[#This Row],[Etapa Retiro - Salida]]="","",MARÍTIMOS[[#This Row],[Etapa Retiro - Salida]]),"")</f>
        <v/>
      </c>
      <c r="X344" s="11" t="str">
        <f>IFERROR(IF(MARÍTIMOS[[#This Row],[Etapa Retiro - Inicio de Ruta]]="","",MARÍTIMOS[[#This Row],[Etapa Retiro - Inicio de Ruta]]),"")</f>
        <v/>
      </c>
      <c r="Y344" s="11" t="str">
        <f>IFERROR(IF(MARÍTIMOS[[#This Row],[Hora de Posicionamiento]]="","",MARÍTIMOS[[#This Row],[Hora de Carga]]+MARÍTIMOS[[#This Row],[Hora de Posicionamiento]]),"")</f>
        <v/>
      </c>
      <c r="Z344" s="11" t="str">
        <f>IFERROR(IF(MARÍTIMOS[[#This Row],[Etapa Despacho -  Llegada]]="","",MARÍTIMOS[[#This Row],[Etapa Despacho -  Llegada]]),"")</f>
        <v/>
      </c>
      <c r="AA344" s="11" t="str">
        <f>IFERROR(IF(MARÍTIMOS[[#This Row],[Etapa Despacho -  Registro]]="","",MARÍTIMOS[[#This Row],[Etapa Despacho -  Registro]]),"")</f>
        <v/>
      </c>
      <c r="AB344" s="11" t="str">
        <f>IFERROR(IF(MARÍTIMOS[[#This Row],[Inspección Externa]]="","",MARÍTIMOS[[#This Row],[Inspección Externa]]),"")</f>
        <v/>
      </c>
      <c r="AC344" s="11" t="str">
        <f>IFERROR(IF(MARÍTIMOS[[#This Row],[Etapa Despacho -  Inicio de Carga]]="","",MARÍTIMOS[[#This Row],[Etapa Despacho -  Inicio de Carga]]),"")</f>
        <v/>
      </c>
      <c r="AD344" s="11" t="str">
        <f>IFERROR(IF(MARÍTIMOS[[#This Row],[Etapa Despacho -  Fin de Carga]]="","",MARÍTIMOS[[#This Row],[Etapa Despacho -  Fin de Carga]]),"")</f>
        <v/>
      </c>
      <c r="AE344" s="11" t="str">
        <f>IFERROR(IF(MARÍTIMOS[[#This Row],[Etapa Despacho -  Salida]]="","",MARÍTIMOS[[#This Row],[Etapa Despacho -  Salida]]),"")</f>
        <v/>
      </c>
      <c r="AF344" s="2" t="str">
        <f>IFERROR(IF(MARÍTIMOS[[#This Row],[Puerto de Embarque]]="","",MARÍTIMOS[[#This Row],[Puerto de Embarque]]),"")</f>
        <v/>
      </c>
      <c r="AG344" s="2" t="str">
        <f>IFERROR(IF(MARÍTIMOS[[#This Row],[Almacén de Ingreso]]="","",MARÍTIMOS[[#This Row],[Almacén de Ingreso]]),"")</f>
        <v/>
      </c>
      <c r="AH344" s="11" t="str">
        <f>IFERROR(IF(MARÍTIMOS[[#This Row],[Etapa Ingreso - Cita]]="","",MARÍTIMOS[[#This Row],[Etapa Ingreso - Cita]]),"")</f>
        <v/>
      </c>
      <c r="AI344" s="11" t="str">
        <f>IFERROR(IF(MARÍTIMOS[[#This Row],[Etapa Ingreso - Llegada]]="","",MARÍTIMOS[[#This Row],[Etapa Ingreso - Llegada]]),"")</f>
        <v/>
      </c>
      <c r="AJ344" s="11" t="str">
        <f>IFERROR(IF(MARÍTIMOS[[#This Row],[Etapa Ingreso - Ingeso]]="","",MARÍTIMOS[[#This Row],[Etapa Ingreso - Ingeso]]),"")</f>
        <v/>
      </c>
      <c r="AK344" s="11" t="str">
        <f>IFERROR(IF(MARÍTIMOS[[#This Row],[Etapa Ingreso - Atención]]="","",MARÍTIMOS[[#This Row],[Etapa Ingreso - Atención]]),"")</f>
        <v/>
      </c>
      <c r="AL344" s="11" t="str">
        <f>IFERROR(IF(MARÍTIMOS[[#This Row],[Etapa Ingreso - Salida]]="","",MARÍTIMOS[[#This Row],[Etapa Ingreso - Salida]]),"")</f>
        <v/>
      </c>
      <c r="AM344" s="2" t="str">
        <f>IFERROR(IF(MARÍTIMOS[[#This Row],[FCL]]="","",MARÍTIMOS[[#This Row],[FCL]]),"")</f>
        <v/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4" s="5" t="str">
        <f>IFERROR(OLDBD[[#This Row],[Llegada a packing]]-OLDBD[[#This Row],[Inicio de Ruta]],"")</f>
        <v/>
      </c>
      <c r="AQ344" s="6" t="str">
        <f>IFERROR(OLDBD[[#This Row],[Inicio de Ruta]]-OLDBD[[#This Row],[Salida de almacén de retiro]],"")</f>
        <v/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4" s="9" t="str">
        <f>IFERROR(OLDBD[[#This Row],[Ingreso Packing]]-OLDBD[[#This Row],[Registro en Packing]],"")</f>
        <v/>
      </c>
      <c r="AV344" s="9" t="str">
        <f>IFERROR(OLDBD[[#This Row],[Ingreso Packing]]-OLDBD[[#This Row],[Llegada a packing]],"")</f>
        <v/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4" s="5" t="str">
        <f>IFERROR(OLDBD[[#This Row],[Llegada Almacén de Ingreso]]-OLDBD[[#This Row],[Salida Packing]],"")</f>
        <v/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5" t="s">
        <v>181</v>
      </c>
      <c r="BB344" s="53" t="str">
        <f>IFERROR(IF(MARÍTIMOS[[#This Row],[Estatus]]="","",MARÍTIMOS[[#This Row],[Estatus]]),"")</f>
        <v/>
      </c>
      <c r="BC344" s="45"/>
      <c r="BD344" s="52" t="str">
        <f>IFERROR(OLDBD[[#This Row],[Salida de almacén de retiro]]-OLDBD[[#This Row],[Ingreso Almacén de retiro]],"")</f>
        <v/>
      </c>
      <c r="BE344" s="52" t="str">
        <f>IFERROR(OLDBD[[#This Row],[Fin de Carga]]-OLDBD[[#This Row],[Inicio de Carga]],"")</f>
        <v/>
      </c>
    </row>
    <row r="345" spans="1:57" x14ac:dyDescent="0.35">
      <c r="A345" s="1"/>
      <c r="B345" s="1" t="str">
        <f>IFERROR(IF(MARÍTIMOS[[#This Row],[PP]]="","",MARÍTIMOS[[#This Row],[PP]]),"")</f>
        <v/>
      </c>
      <c r="C345" s="1" t="str">
        <f>IFERROR(IF(MARÍTIMOS[[#This Row],[Sede]]="","",MARÍTIMOS[[#This Row],[Sede]]),"")</f>
        <v/>
      </c>
      <c r="D345" s="1" t="str">
        <f>IFERROR(IF(MARÍTIMOS[[#This Row],[Instruction]]="","",MARÍTIMOS[[#This Row],[Instruction]]),"")</f>
        <v/>
      </c>
      <c r="E345" s="1"/>
      <c r="F345" s="2" t="str">
        <f>IFERROR(IF(MARÍTIMOS[[#This Row],[Transportista]]="","",MARÍTIMOS[[#This Row],[Transportista]]),"")</f>
        <v/>
      </c>
      <c r="G345" s="2" t="str">
        <f>IFERROR(IF(MARÍTIMOS[[#This Row],[Tercero]]="","",MARÍTIMOS[[#This Row],[Tercero]]),"")</f>
        <v/>
      </c>
      <c r="H345" s="2" t="str">
        <f>IFERROR(IF(MARÍTIMOS[[#This Row],[Razón Social]]="","",MARÍTIMOS[[#This Row],[Razón Social]]),"")</f>
        <v/>
      </c>
      <c r="I345" s="2" t="str">
        <f>IFERROR(IF(MARÍTIMOS[[#This Row],[RUC]]="","",MARÍTIMOS[[#This Row],[RUC]]),"")</f>
        <v/>
      </c>
      <c r="J345" s="2" t="str">
        <f>IFERROR(IF(MARÍTIMOS[[#This Row],[Placa Tracto]]="","",MARÍTIMOS[[#This Row],[Placa Tracto]]),"")</f>
        <v/>
      </c>
      <c r="K345" s="2" t="str">
        <f>IFERROR(IF(MARÍTIMOS[[#This Row],[Placa Carreta]]="","",MARÍTIMOS[[#This Row],[Placa Carreta]]),"")</f>
        <v/>
      </c>
      <c r="L345" s="46" t="str">
        <f>IFERROR(IF(MARÍTIMOS[[#This Row],[Conductor]]="","",MARÍTIMOS[[#This Row],[Conductor]]),"")</f>
        <v/>
      </c>
      <c r="M345" s="2" t="str">
        <f>IFERROR(IF(MARÍTIMOS[[#This Row],[Licencia]]="","",MARÍTIMOS[[#This Row],[Licencia]]),"")</f>
        <v/>
      </c>
      <c r="N345" s="2" t="str">
        <f>IFERROR(IF(MARÍTIMOS[[#This Row],[Número de Contacto]]="","",MARÍTIMOS[[#This Row],[Número de Contacto]]),"")</f>
        <v/>
      </c>
      <c r="O345" s="10" t="str">
        <f>IFERROR(IF(MARÍTIMOS[[#This Row],[Booking|AWB|CRT]]="","",MARÍTIMOS[[#This Row],[Booking|AWB|CRT]]),"")</f>
        <v/>
      </c>
      <c r="P345" s="2" t="str">
        <f>IFERROR(IF(MARÍTIMOS[[#This Row],[Contenedor]]="","",MARÍTIMOS[[#This Row],[Contenedor]]),"")</f>
        <v/>
      </c>
      <c r="Q345" s="2" t="str">
        <f>IFERROR(IF(MARÍTIMOS[[#This Row],[Puerto de Retiro]]="","",MARÍTIMOS[[#This Row],[Puerto de Retiro]]),"")</f>
        <v/>
      </c>
      <c r="R345" s="2" t="str">
        <f>IFERROR(IF(MARÍTIMOS[[#This Row],[Almacén de Retiro]]="","",MARÍTIMOS[[#This Row],[Almacén de Retiro]]),"")</f>
        <v/>
      </c>
      <c r="S345" s="11" t="str">
        <f>IFERROR(IF(MARÍTIMOS[[#This Row],[Etapa Retiro - Cita]]="","",MARÍTIMOS[[#This Row],[Etapa Retiro - Cita]]),"")</f>
        <v/>
      </c>
      <c r="T345" s="11" t="str">
        <f>IFERROR(IF(MARÍTIMOS[[#This Row],[Etapa Retiro - Llegada]]="","",MARÍTIMOS[[#This Row],[Etapa Retiro - Llegada]]),"")</f>
        <v/>
      </c>
      <c r="U345" s="11" t="str">
        <f>IFERROR(IF(MARÍTIMOS[[#This Row],[Etapa Retiro - Ingreso]]="","",MARÍTIMOS[[#This Row],[Etapa Retiro - Ingreso]]),"")</f>
        <v/>
      </c>
      <c r="V345" s="11" t="str">
        <f>IFERROR(IF(MARÍTIMOS[[#This Row],[Etapa Retiro - Atención]]="","",MARÍTIMOS[[#This Row],[Etapa Retiro - Atención]]),"")</f>
        <v/>
      </c>
      <c r="W345" s="11" t="str">
        <f>IFERROR(IF(MARÍTIMOS[[#This Row],[Etapa Retiro - Salida]]="","",MARÍTIMOS[[#This Row],[Etapa Retiro - Salida]]),"")</f>
        <v/>
      </c>
      <c r="X345" s="11" t="str">
        <f>IFERROR(IF(MARÍTIMOS[[#This Row],[Etapa Retiro - Inicio de Ruta]]="","",MARÍTIMOS[[#This Row],[Etapa Retiro - Inicio de Ruta]]),"")</f>
        <v/>
      </c>
      <c r="Y345" s="11" t="str">
        <f>IFERROR(IF(MARÍTIMOS[[#This Row],[Hora de Posicionamiento]]="","",MARÍTIMOS[[#This Row],[Hora de Carga]]+MARÍTIMOS[[#This Row],[Hora de Posicionamiento]]),"")</f>
        <v/>
      </c>
      <c r="Z345" s="11" t="str">
        <f>IFERROR(IF(MARÍTIMOS[[#This Row],[Etapa Despacho -  Llegada]]="","",MARÍTIMOS[[#This Row],[Etapa Despacho -  Llegada]]),"")</f>
        <v/>
      </c>
      <c r="AA345" s="11" t="str">
        <f>IFERROR(IF(MARÍTIMOS[[#This Row],[Etapa Despacho -  Registro]]="","",MARÍTIMOS[[#This Row],[Etapa Despacho -  Registro]]),"")</f>
        <v/>
      </c>
      <c r="AB345" s="11" t="str">
        <f>IFERROR(IF(MARÍTIMOS[[#This Row],[Inspección Externa]]="","",MARÍTIMOS[[#This Row],[Inspección Externa]]),"")</f>
        <v/>
      </c>
      <c r="AC345" s="11" t="str">
        <f>IFERROR(IF(MARÍTIMOS[[#This Row],[Etapa Despacho -  Inicio de Carga]]="","",MARÍTIMOS[[#This Row],[Etapa Despacho -  Inicio de Carga]]),"")</f>
        <v/>
      </c>
      <c r="AD345" s="11" t="str">
        <f>IFERROR(IF(MARÍTIMOS[[#This Row],[Etapa Despacho -  Fin de Carga]]="","",MARÍTIMOS[[#This Row],[Etapa Despacho -  Fin de Carga]]),"")</f>
        <v/>
      </c>
      <c r="AE345" s="11" t="str">
        <f>IFERROR(IF(MARÍTIMOS[[#This Row],[Etapa Despacho -  Salida]]="","",MARÍTIMOS[[#This Row],[Etapa Despacho -  Salida]]),"")</f>
        <v/>
      </c>
      <c r="AF345" s="2" t="str">
        <f>IFERROR(IF(MARÍTIMOS[[#This Row],[Puerto de Embarque]]="","",MARÍTIMOS[[#This Row],[Puerto de Embarque]]),"")</f>
        <v/>
      </c>
      <c r="AG345" s="2" t="str">
        <f>IFERROR(IF(MARÍTIMOS[[#This Row],[Almacén de Ingreso]]="","",MARÍTIMOS[[#This Row],[Almacén de Ingreso]]),"")</f>
        <v/>
      </c>
      <c r="AH345" s="11" t="str">
        <f>IFERROR(IF(MARÍTIMOS[[#This Row],[Etapa Ingreso - Cita]]="","",MARÍTIMOS[[#This Row],[Etapa Ingreso - Cita]]),"")</f>
        <v/>
      </c>
      <c r="AI345" s="11" t="str">
        <f>IFERROR(IF(MARÍTIMOS[[#This Row],[Etapa Ingreso - Llegada]]="","",MARÍTIMOS[[#This Row],[Etapa Ingreso - Llegada]]),"")</f>
        <v/>
      </c>
      <c r="AJ345" s="11" t="str">
        <f>IFERROR(IF(MARÍTIMOS[[#This Row],[Etapa Ingreso - Ingeso]]="","",MARÍTIMOS[[#This Row],[Etapa Ingreso - Ingeso]]),"")</f>
        <v/>
      </c>
      <c r="AK345" s="11" t="str">
        <f>IFERROR(IF(MARÍTIMOS[[#This Row],[Etapa Ingreso - Atención]]="","",MARÍTIMOS[[#This Row],[Etapa Ingreso - Atención]]),"")</f>
        <v/>
      </c>
      <c r="AL345" s="11" t="str">
        <f>IFERROR(IF(MARÍTIMOS[[#This Row],[Etapa Ingreso - Salida]]="","",MARÍTIMOS[[#This Row],[Etapa Ingreso - Salida]]),"")</f>
        <v/>
      </c>
      <c r="AM345" s="2" t="str">
        <f>IFERROR(IF(MARÍTIMOS[[#This Row],[FCL]]="","",MARÍTIMOS[[#This Row],[FCL]]),"")</f>
        <v/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5" s="5" t="str">
        <f>IFERROR(OLDBD[[#This Row],[Llegada a packing]]-OLDBD[[#This Row],[Inicio de Ruta]],"")</f>
        <v/>
      </c>
      <c r="AQ345" s="6" t="str">
        <f>IFERROR(OLDBD[[#This Row],[Inicio de Ruta]]-OLDBD[[#This Row],[Salida de almacén de retiro]],"")</f>
        <v/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5" s="9" t="str">
        <f>IFERROR(OLDBD[[#This Row],[Ingreso Packing]]-OLDBD[[#This Row],[Registro en Packing]],"")</f>
        <v/>
      </c>
      <c r="AV345" s="9" t="str">
        <f>IFERROR(OLDBD[[#This Row],[Ingreso Packing]]-OLDBD[[#This Row],[Llegada a packing]],"")</f>
        <v/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5" s="5" t="str">
        <f>IFERROR(OLDBD[[#This Row],[Llegada Almacén de Ingreso]]-OLDBD[[#This Row],[Salida Packing]],"")</f>
        <v/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5" t="s">
        <v>181</v>
      </c>
      <c r="BB345" s="53" t="str">
        <f>IFERROR(IF(MARÍTIMOS[[#This Row],[Estatus]]="","",MARÍTIMOS[[#This Row],[Estatus]]),"")</f>
        <v/>
      </c>
      <c r="BC345" s="45"/>
      <c r="BD345" s="52" t="str">
        <f>IFERROR(OLDBD[[#This Row],[Salida de almacén de retiro]]-OLDBD[[#This Row],[Ingreso Almacén de retiro]],"")</f>
        <v/>
      </c>
      <c r="BE345" s="52" t="str">
        <f>IFERROR(OLDBD[[#This Row],[Fin de Carga]]-OLDBD[[#This Row],[Inicio de Carga]],"")</f>
        <v/>
      </c>
    </row>
    <row r="346" spans="1:57" x14ac:dyDescent="0.35">
      <c r="A346" s="1"/>
      <c r="B346" s="1" t="str">
        <f>IFERROR(IF(MARÍTIMOS[[#This Row],[PP]]="","",MARÍTIMOS[[#This Row],[PP]]),"")</f>
        <v/>
      </c>
      <c r="C346" s="1" t="str">
        <f>IFERROR(IF(MARÍTIMOS[[#This Row],[Sede]]="","",MARÍTIMOS[[#This Row],[Sede]]),"")</f>
        <v/>
      </c>
      <c r="D346" s="1" t="str">
        <f>IFERROR(IF(MARÍTIMOS[[#This Row],[Instruction]]="","",MARÍTIMOS[[#This Row],[Instruction]]),"")</f>
        <v/>
      </c>
      <c r="E346" s="1"/>
      <c r="F346" s="2" t="str">
        <f>IFERROR(IF(MARÍTIMOS[[#This Row],[Transportista]]="","",MARÍTIMOS[[#This Row],[Transportista]]),"")</f>
        <v/>
      </c>
      <c r="G346" s="2" t="str">
        <f>IFERROR(IF(MARÍTIMOS[[#This Row],[Tercero]]="","",MARÍTIMOS[[#This Row],[Tercero]]),"")</f>
        <v/>
      </c>
      <c r="H346" s="2" t="str">
        <f>IFERROR(IF(MARÍTIMOS[[#This Row],[Razón Social]]="","",MARÍTIMOS[[#This Row],[Razón Social]]),"")</f>
        <v/>
      </c>
      <c r="I346" s="2" t="str">
        <f>IFERROR(IF(MARÍTIMOS[[#This Row],[RUC]]="","",MARÍTIMOS[[#This Row],[RUC]]),"")</f>
        <v/>
      </c>
      <c r="J346" s="2" t="str">
        <f>IFERROR(IF(MARÍTIMOS[[#This Row],[Placa Tracto]]="","",MARÍTIMOS[[#This Row],[Placa Tracto]]),"")</f>
        <v/>
      </c>
      <c r="K346" s="2" t="str">
        <f>IFERROR(IF(MARÍTIMOS[[#This Row],[Placa Carreta]]="","",MARÍTIMOS[[#This Row],[Placa Carreta]]),"")</f>
        <v/>
      </c>
      <c r="L346" s="46" t="str">
        <f>IFERROR(IF(MARÍTIMOS[[#This Row],[Conductor]]="","",MARÍTIMOS[[#This Row],[Conductor]]),"")</f>
        <v/>
      </c>
      <c r="M346" s="2" t="str">
        <f>IFERROR(IF(MARÍTIMOS[[#This Row],[Licencia]]="","",MARÍTIMOS[[#This Row],[Licencia]]),"")</f>
        <v/>
      </c>
      <c r="N346" s="2" t="str">
        <f>IFERROR(IF(MARÍTIMOS[[#This Row],[Número de Contacto]]="","",MARÍTIMOS[[#This Row],[Número de Contacto]]),"")</f>
        <v/>
      </c>
      <c r="O346" s="10" t="str">
        <f>IFERROR(IF(MARÍTIMOS[[#This Row],[Booking|AWB|CRT]]="","",MARÍTIMOS[[#This Row],[Booking|AWB|CRT]]),"")</f>
        <v/>
      </c>
      <c r="P346" s="2" t="str">
        <f>IFERROR(IF(MARÍTIMOS[[#This Row],[Contenedor]]="","",MARÍTIMOS[[#This Row],[Contenedor]]),"")</f>
        <v/>
      </c>
      <c r="Q346" s="2" t="str">
        <f>IFERROR(IF(MARÍTIMOS[[#This Row],[Puerto de Retiro]]="","",MARÍTIMOS[[#This Row],[Puerto de Retiro]]),"")</f>
        <v/>
      </c>
      <c r="R346" s="2" t="str">
        <f>IFERROR(IF(MARÍTIMOS[[#This Row],[Almacén de Retiro]]="","",MARÍTIMOS[[#This Row],[Almacén de Retiro]]),"")</f>
        <v/>
      </c>
      <c r="S346" s="11" t="str">
        <f>IFERROR(IF(MARÍTIMOS[[#This Row],[Etapa Retiro - Cita]]="","",MARÍTIMOS[[#This Row],[Etapa Retiro - Cita]]),"")</f>
        <v/>
      </c>
      <c r="T346" s="11" t="str">
        <f>IFERROR(IF(MARÍTIMOS[[#This Row],[Etapa Retiro - Llegada]]="","",MARÍTIMOS[[#This Row],[Etapa Retiro - Llegada]]),"")</f>
        <v/>
      </c>
      <c r="U346" s="11" t="str">
        <f>IFERROR(IF(MARÍTIMOS[[#This Row],[Etapa Retiro - Ingreso]]="","",MARÍTIMOS[[#This Row],[Etapa Retiro - Ingreso]]),"")</f>
        <v/>
      </c>
      <c r="V346" s="11" t="str">
        <f>IFERROR(IF(MARÍTIMOS[[#This Row],[Etapa Retiro - Atención]]="","",MARÍTIMOS[[#This Row],[Etapa Retiro - Atención]]),"")</f>
        <v/>
      </c>
      <c r="W346" s="11" t="str">
        <f>IFERROR(IF(MARÍTIMOS[[#This Row],[Etapa Retiro - Salida]]="","",MARÍTIMOS[[#This Row],[Etapa Retiro - Salida]]),"")</f>
        <v/>
      </c>
      <c r="X346" s="11" t="str">
        <f>IFERROR(IF(MARÍTIMOS[[#This Row],[Etapa Retiro - Inicio de Ruta]]="","",MARÍTIMOS[[#This Row],[Etapa Retiro - Inicio de Ruta]]),"")</f>
        <v/>
      </c>
      <c r="Y346" s="11" t="str">
        <f>IFERROR(IF(MARÍTIMOS[[#This Row],[Hora de Posicionamiento]]="","",MARÍTIMOS[[#This Row],[Hora de Carga]]+MARÍTIMOS[[#This Row],[Hora de Posicionamiento]]),"")</f>
        <v/>
      </c>
      <c r="Z346" s="11" t="str">
        <f>IFERROR(IF(MARÍTIMOS[[#This Row],[Etapa Despacho -  Llegada]]="","",MARÍTIMOS[[#This Row],[Etapa Despacho -  Llegada]]),"")</f>
        <v/>
      </c>
      <c r="AA346" s="11" t="str">
        <f>IFERROR(IF(MARÍTIMOS[[#This Row],[Etapa Despacho -  Registro]]="","",MARÍTIMOS[[#This Row],[Etapa Despacho -  Registro]]),"")</f>
        <v/>
      </c>
      <c r="AB346" s="11" t="str">
        <f>IFERROR(IF(MARÍTIMOS[[#This Row],[Inspección Externa]]="","",MARÍTIMOS[[#This Row],[Inspección Externa]]),"")</f>
        <v/>
      </c>
      <c r="AC346" s="11" t="str">
        <f>IFERROR(IF(MARÍTIMOS[[#This Row],[Etapa Despacho -  Inicio de Carga]]="","",MARÍTIMOS[[#This Row],[Etapa Despacho -  Inicio de Carga]]),"")</f>
        <v/>
      </c>
      <c r="AD346" s="11" t="str">
        <f>IFERROR(IF(MARÍTIMOS[[#This Row],[Etapa Despacho -  Fin de Carga]]="","",MARÍTIMOS[[#This Row],[Etapa Despacho -  Fin de Carga]]),"")</f>
        <v/>
      </c>
      <c r="AE346" s="11" t="str">
        <f>IFERROR(IF(MARÍTIMOS[[#This Row],[Etapa Despacho -  Salida]]="","",MARÍTIMOS[[#This Row],[Etapa Despacho -  Salida]]),"")</f>
        <v/>
      </c>
      <c r="AF346" s="2" t="str">
        <f>IFERROR(IF(MARÍTIMOS[[#This Row],[Puerto de Embarque]]="","",MARÍTIMOS[[#This Row],[Puerto de Embarque]]),"")</f>
        <v/>
      </c>
      <c r="AG346" s="2" t="str">
        <f>IFERROR(IF(MARÍTIMOS[[#This Row],[Almacén de Ingreso]]="","",MARÍTIMOS[[#This Row],[Almacén de Ingreso]]),"")</f>
        <v/>
      </c>
      <c r="AH346" s="11" t="str">
        <f>IFERROR(IF(MARÍTIMOS[[#This Row],[Etapa Ingreso - Cita]]="","",MARÍTIMOS[[#This Row],[Etapa Ingreso - Cita]]),"")</f>
        <v/>
      </c>
      <c r="AI346" s="11" t="str">
        <f>IFERROR(IF(MARÍTIMOS[[#This Row],[Etapa Ingreso - Llegada]]="","",MARÍTIMOS[[#This Row],[Etapa Ingreso - Llegada]]),"")</f>
        <v/>
      </c>
      <c r="AJ346" s="11" t="str">
        <f>IFERROR(IF(MARÍTIMOS[[#This Row],[Etapa Ingreso - Ingeso]]="","",MARÍTIMOS[[#This Row],[Etapa Ingreso - Ingeso]]),"")</f>
        <v/>
      </c>
      <c r="AK346" s="11" t="str">
        <f>IFERROR(IF(MARÍTIMOS[[#This Row],[Etapa Ingreso - Atención]]="","",MARÍTIMOS[[#This Row],[Etapa Ingreso - Atención]]),"")</f>
        <v/>
      </c>
      <c r="AL346" s="11" t="str">
        <f>IFERROR(IF(MARÍTIMOS[[#This Row],[Etapa Ingreso - Salida]]="","",MARÍTIMOS[[#This Row],[Etapa Ingreso - Salida]]),"")</f>
        <v/>
      </c>
      <c r="AM346" s="2" t="str">
        <f>IFERROR(IF(MARÍTIMOS[[#This Row],[FCL]]="","",MARÍTIMOS[[#This Row],[FCL]]),"")</f>
        <v/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6" s="5" t="str">
        <f>IFERROR(OLDBD[[#This Row],[Llegada a packing]]-OLDBD[[#This Row],[Inicio de Ruta]],"")</f>
        <v/>
      </c>
      <c r="AQ346" s="6" t="str">
        <f>IFERROR(OLDBD[[#This Row],[Inicio de Ruta]]-OLDBD[[#This Row],[Salida de almacén de retiro]],"")</f>
        <v/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6" s="9" t="str">
        <f>IFERROR(OLDBD[[#This Row],[Ingreso Packing]]-OLDBD[[#This Row],[Registro en Packing]],"")</f>
        <v/>
      </c>
      <c r="AV346" s="9" t="str">
        <f>IFERROR(OLDBD[[#This Row],[Ingreso Packing]]-OLDBD[[#This Row],[Llegada a packing]],"")</f>
        <v/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6" s="5" t="str">
        <f>IFERROR(OLDBD[[#This Row],[Llegada Almacén de Ingreso]]-OLDBD[[#This Row],[Salida Packing]],"")</f>
        <v/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6" s="45" t="s">
        <v>181</v>
      </c>
      <c r="BB346" s="53" t="str">
        <f>IFERROR(IF(MARÍTIMOS[[#This Row],[Estatus]]="","",MARÍTIMOS[[#This Row],[Estatus]]),"")</f>
        <v/>
      </c>
      <c r="BC346" s="45"/>
      <c r="BD346" s="52" t="str">
        <f>IFERROR(OLDBD[[#This Row],[Salida de almacén de retiro]]-OLDBD[[#This Row],[Ingreso Almacén de retiro]],"")</f>
        <v/>
      </c>
      <c r="BE346" s="52" t="str">
        <f>IFERROR(OLDBD[[#This Row],[Fin de Carga]]-OLDBD[[#This Row],[Inicio de Carga]],"")</f>
        <v/>
      </c>
    </row>
    <row r="347" spans="1:57" x14ac:dyDescent="0.35">
      <c r="A347" s="1"/>
      <c r="B347" s="1" t="str">
        <f>IFERROR(IF(MARÍTIMOS[[#This Row],[PP]]="","",MARÍTIMOS[[#This Row],[PP]]),"")</f>
        <v/>
      </c>
      <c r="C347" s="1" t="str">
        <f>IFERROR(IF(MARÍTIMOS[[#This Row],[Sede]]="","",MARÍTIMOS[[#This Row],[Sede]]),"")</f>
        <v/>
      </c>
      <c r="D347" s="1" t="str">
        <f>IFERROR(IF(MARÍTIMOS[[#This Row],[Instruction]]="","",MARÍTIMOS[[#This Row],[Instruction]]),"")</f>
        <v/>
      </c>
      <c r="E347" s="1"/>
      <c r="F347" s="2" t="str">
        <f>IFERROR(IF(MARÍTIMOS[[#This Row],[Transportista]]="","",MARÍTIMOS[[#This Row],[Transportista]]),"")</f>
        <v/>
      </c>
      <c r="G347" s="2" t="str">
        <f>IFERROR(IF(MARÍTIMOS[[#This Row],[Tercero]]="","",MARÍTIMOS[[#This Row],[Tercero]]),"")</f>
        <v/>
      </c>
      <c r="H347" s="2" t="str">
        <f>IFERROR(IF(MARÍTIMOS[[#This Row],[Razón Social]]="","",MARÍTIMOS[[#This Row],[Razón Social]]),"")</f>
        <v/>
      </c>
      <c r="I347" s="2" t="str">
        <f>IFERROR(IF(MARÍTIMOS[[#This Row],[RUC]]="","",MARÍTIMOS[[#This Row],[RUC]]),"")</f>
        <v/>
      </c>
      <c r="J347" s="2" t="str">
        <f>IFERROR(IF(MARÍTIMOS[[#This Row],[Placa Tracto]]="","",MARÍTIMOS[[#This Row],[Placa Tracto]]),"")</f>
        <v/>
      </c>
      <c r="K347" s="2" t="str">
        <f>IFERROR(IF(MARÍTIMOS[[#This Row],[Placa Carreta]]="","",MARÍTIMOS[[#This Row],[Placa Carreta]]),"")</f>
        <v/>
      </c>
      <c r="L347" s="46" t="str">
        <f>IFERROR(IF(MARÍTIMOS[[#This Row],[Conductor]]="","",MARÍTIMOS[[#This Row],[Conductor]]),"")</f>
        <v/>
      </c>
      <c r="M347" s="2" t="str">
        <f>IFERROR(IF(MARÍTIMOS[[#This Row],[Licencia]]="","",MARÍTIMOS[[#This Row],[Licencia]]),"")</f>
        <v/>
      </c>
      <c r="N347" s="2" t="str">
        <f>IFERROR(IF(MARÍTIMOS[[#This Row],[Número de Contacto]]="","",MARÍTIMOS[[#This Row],[Número de Contacto]]),"")</f>
        <v/>
      </c>
      <c r="O347" s="10" t="str">
        <f>IFERROR(IF(MARÍTIMOS[[#This Row],[Booking|AWB|CRT]]="","",MARÍTIMOS[[#This Row],[Booking|AWB|CRT]]),"")</f>
        <v/>
      </c>
      <c r="P347" s="2" t="str">
        <f>IFERROR(IF(MARÍTIMOS[[#This Row],[Contenedor]]="","",MARÍTIMOS[[#This Row],[Contenedor]]),"")</f>
        <v/>
      </c>
      <c r="Q347" s="2" t="str">
        <f>IFERROR(IF(MARÍTIMOS[[#This Row],[Puerto de Retiro]]="","",MARÍTIMOS[[#This Row],[Puerto de Retiro]]),"")</f>
        <v/>
      </c>
      <c r="R347" s="2" t="str">
        <f>IFERROR(IF(MARÍTIMOS[[#This Row],[Almacén de Retiro]]="","",MARÍTIMOS[[#This Row],[Almacén de Retiro]]),"")</f>
        <v/>
      </c>
      <c r="S347" s="11" t="str">
        <f>IFERROR(IF(MARÍTIMOS[[#This Row],[Etapa Retiro - Cita]]="","",MARÍTIMOS[[#This Row],[Etapa Retiro - Cita]]),"")</f>
        <v/>
      </c>
      <c r="T347" s="11" t="str">
        <f>IFERROR(IF(MARÍTIMOS[[#This Row],[Etapa Retiro - Llegada]]="","",MARÍTIMOS[[#This Row],[Etapa Retiro - Llegada]]),"")</f>
        <v/>
      </c>
      <c r="U347" s="11" t="str">
        <f>IFERROR(IF(MARÍTIMOS[[#This Row],[Etapa Retiro - Ingreso]]="","",MARÍTIMOS[[#This Row],[Etapa Retiro - Ingreso]]),"")</f>
        <v/>
      </c>
      <c r="V347" s="11" t="str">
        <f>IFERROR(IF(MARÍTIMOS[[#This Row],[Etapa Retiro - Atención]]="","",MARÍTIMOS[[#This Row],[Etapa Retiro - Atención]]),"")</f>
        <v/>
      </c>
      <c r="W347" s="11" t="str">
        <f>IFERROR(IF(MARÍTIMOS[[#This Row],[Etapa Retiro - Salida]]="","",MARÍTIMOS[[#This Row],[Etapa Retiro - Salida]]),"")</f>
        <v/>
      </c>
      <c r="X347" s="11" t="str">
        <f>IFERROR(IF(MARÍTIMOS[[#This Row],[Etapa Retiro - Inicio de Ruta]]="","",MARÍTIMOS[[#This Row],[Etapa Retiro - Inicio de Ruta]]),"")</f>
        <v/>
      </c>
      <c r="Y347" s="11" t="str">
        <f>IFERROR(IF(MARÍTIMOS[[#This Row],[Hora de Posicionamiento]]="","",MARÍTIMOS[[#This Row],[Hora de Carga]]+MARÍTIMOS[[#This Row],[Hora de Posicionamiento]]),"")</f>
        <v/>
      </c>
      <c r="Z347" s="11" t="str">
        <f>IFERROR(IF(MARÍTIMOS[[#This Row],[Etapa Despacho -  Llegada]]="","",MARÍTIMOS[[#This Row],[Etapa Despacho -  Llegada]]),"")</f>
        <v/>
      </c>
      <c r="AA347" s="11" t="str">
        <f>IFERROR(IF(MARÍTIMOS[[#This Row],[Etapa Despacho -  Registro]]="","",MARÍTIMOS[[#This Row],[Etapa Despacho -  Registro]]),"")</f>
        <v/>
      </c>
      <c r="AB347" s="11" t="str">
        <f>IFERROR(IF(MARÍTIMOS[[#This Row],[Inspección Externa]]="","",MARÍTIMOS[[#This Row],[Inspección Externa]]),"")</f>
        <v/>
      </c>
      <c r="AC347" s="11" t="str">
        <f>IFERROR(IF(MARÍTIMOS[[#This Row],[Etapa Despacho -  Inicio de Carga]]="","",MARÍTIMOS[[#This Row],[Etapa Despacho -  Inicio de Carga]]),"")</f>
        <v/>
      </c>
      <c r="AD347" s="11" t="str">
        <f>IFERROR(IF(MARÍTIMOS[[#This Row],[Etapa Despacho -  Fin de Carga]]="","",MARÍTIMOS[[#This Row],[Etapa Despacho -  Fin de Carga]]),"")</f>
        <v/>
      </c>
      <c r="AE347" s="11" t="str">
        <f>IFERROR(IF(MARÍTIMOS[[#This Row],[Etapa Despacho -  Salida]]="","",MARÍTIMOS[[#This Row],[Etapa Despacho -  Salida]]),"")</f>
        <v/>
      </c>
      <c r="AF347" s="2" t="str">
        <f>IFERROR(IF(MARÍTIMOS[[#This Row],[Puerto de Embarque]]="","",MARÍTIMOS[[#This Row],[Puerto de Embarque]]),"")</f>
        <v/>
      </c>
      <c r="AG347" s="2" t="str">
        <f>IFERROR(IF(MARÍTIMOS[[#This Row],[Almacén de Ingreso]]="","",MARÍTIMOS[[#This Row],[Almacén de Ingreso]]),"")</f>
        <v/>
      </c>
      <c r="AH347" s="11" t="str">
        <f>IFERROR(IF(MARÍTIMOS[[#This Row],[Etapa Ingreso - Cita]]="","",MARÍTIMOS[[#This Row],[Etapa Ingreso - Cita]]),"")</f>
        <v/>
      </c>
      <c r="AI347" s="11" t="str">
        <f>IFERROR(IF(MARÍTIMOS[[#This Row],[Etapa Ingreso - Llegada]]="","",MARÍTIMOS[[#This Row],[Etapa Ingreso - Llegada]]),"")</f>
        <v/>
      </c>
      <c r="AJ347" s="11" t="str">
        <f>IFERROR(IF(MARÍTIMOS[[#This Row],[Etapa Ingreso - Ingeso]]="","",MARÍTIMOS[[#This Row],[Etapa Ingreso - Ingeso]]),"")</f>
        <v/>
      </c>
      <c r="AK347" s="11" t="str">
        <f>IFERROR(IF(MARÍTIMOS[[#This Row],[Etapa Ingreso - Atención]]="","",MARÍTIMOS[[#This Row],[Etapa Ingreso - Atención]]),"")</f>
        <v/>
      </c>
      <c r="AL347" s="11" t="str">
        <f>IFERROR(IF(MARÍTIMOS[[#This Row],[Etapa Ingreso - Salida]]="","",MARÍTIMOS[[#This Row],[Etapa Ingreso - Salida]]),"")</f>
        <v/>
      </c>
      <c r="AM347" s="2" t="str">
        <f>IFERROR(IF(MARÍTIMOS[[#This Row],[FCL]]="","",MARÍTIMOS[[#This Row],[FCL]]),"")</f>
        <v/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7" s="5" t="str">
        <f>IFERROR(OLDBD[[#This Row],[Llegada a packing]]-OLDBD[[#This Row],[Inicio de Ruta]],"")</f>
        <v/>
      </c>
      <c r="AQ347" s="6" t="str">
        <f>IFERROR(OLDBD[[#This Row],[Inicio de Ruta]]-OLDBD[[#This Row],[Salida de almacén de retiro]],"")</f>
        <v/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7" s="9" t="str">
        <f>IFERROR(OLDBD[[#This Row],[Ingreso Packing]]-OLDBD[[#This Row],[Registro en Packing]],"")</f>
        <v/>
      </c>
      <c r="AV347" s="9" t="str">
        <f>IFERROR(OLDBD[[#This Row],[Ingreso Packing]]-OLDBD[[#This Row],[Llegada a packing]],"")</f>
        <v/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7" s="5" t="str">
        <f>IFERROR(OLDBD[[#This Row],[Llegada Almacén de Ingreso]]-OLDBD[[#This Row],[Salida Packing]],"")</f>
        <v/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7" s="45" t="s">
        <v>181</v>
      </c>
      <c r="BB347" s="53" t="str">
        <f>IFERROR(IF(MARÍTIMOS[[#This Row],[Estatus]]="","",MARÍTIMOS[[#This Row],[Estatus]]),"")</f>
        <v/>
      </c>
      <c r="BC347" s="45"/>
      <c r="BD347" s="52" t="str">
        <f>IFERROR(OLDBD[[#This Row],[Salida de almacén de retiro]]-OLDBD[[#This Row],[Ingreso Almacén de retiro]],"")</f>
        <v/>
      </c>
      <c r="BE347" s="52" t="str">
        <f>IFERROR(OLDBD[[#This Row],[Fin de Carga]]-OLDBD[[#This Row],[Inicio de Carga]],"")</f>
        <v/>
      </c>
    </row>
    <row r="348" spans="1:57" x14ac:dyDescent="0.35">
      <c r="A348" s="1"/>
      <c r="B348" s="1" t="str">
        <f>IFERROR(IF(MARÍTIMOS[[#This Row],[PP]]="","",MARÍTIMOS[[#This Row],[PP]]),"")</f>
        <v/>
      </c>
      <c r="C348" s="1" t="str">
        <f>IFERROR(IF(MARÍTIMOS[[#This Row],[Sede]]="","",MARÍTIMOS[[#This Row],[Sede]]),"")</f>
        <v/>
      </c>
      <c r="D348" s="1" t="str">
        <f>IFERROR(IF(MARÍTIMOS[[#This Row],[Instruction]]="","",MARÍTIMOS[[#This Row],[Instruction]]),"")</f>
        <v/>
      </c>
      <c r="E348" s="1"/>
      <c r="F348" s="2" t="str">
        <f>IFERROR(IF(MARÍTIMOS[[#This Row],[Transportista]]="","",MARÍTIMOS[[#This Row],[Transportista]]),"")</f>
        <v/>
      </c>
      <c r="G348" s="2" t="str">
        <f>IFERROR(IF(MARÍTIMOS[[#This Row],[Tercero]]="","",MARÍTIMOS[[#This Row],[Tercero]]),"")</f>
        <v/>
      </c>
      <c r="H348" s="2" t="str">
        <f>IFERROR(IF(MARÍTIMOS[[#This Row],[Razón Social]]="","",MARÍTIMOS[[#This Row],[Razón Social]]),"")</f>
        <v/>
      </c>
      <c r="I348" s="2" t="str">
        <f>IFERROR(IF(MARÍTIMOS[[#This Row],[RUC]]="","",MARÍTIMOS[[#This Row],[RUC]]),"")</f>
        <v/>
      </c>
      <c r="J348" s="2" t="str">
        <f>IFERROR(IF(MARÍTIMOS[[#This Row],[Placa Tracto]]="","",MARÍTIMOS[[#This Row],[Placa Tracto]]),"")</f>
        <v/>
      </c>
      <c r="K348" s="2" t="str">
        <f>IFERROR(IF(MARÍTIMOS[[#This Row],[Placa Carreta]]="","",MARÍTIMOS[[#This Row],[Placa Carreta]]),"")</f>
        <v/>
      </c>
      <c r="L348" s="46" t="str">
        <f>IFERROR(IF(MARÍTIMOS[[#This Row],[Conductor]]="","",MARÍTIMOS[[#This Row],[Conductor]]),"")</f>
        <v/>
      </c>
      <c r="M348" s="2" t="str">
        <f>IFERROR(IF(MARÍTIMOS[[#This Row],[Licencia]]="","",MARÍTIMOS[[#This Row],[Licencia]]),"")</f>
        <v/>
      </c>
      <c r="N348" s="2" t="str">
        <f>IFERROR(IF(MARÍTIMOS[[#This Row],[Número de Contacto]]="","",MARÍTIMOS[[#This Row],[Número de Contacto]]),"")</f>
        <v/>
      </c>
      <c r="O348" s="10" t="str">
        <f>IFERROR(IF(MARÍTIMOS[[#This Row],[Booking|AWB|CRT]]="","",MARÍTIMOS[[#This Row],[Booking|AWB|CRT]]),"")</f>
        <v/>
      </c>
      <c r="P348" s="2" t="str">
        <f>IFERROR(IF(MARÍTIMOS[[#This Row],[Contenedor]]="","",MARÍTIMOS[[#This Row],[Contenedor]]),"")</f>
        <v/>
      </c>
      <c r="Q348" s="2" t="str">
        <f>IFERROR(IF(MARÍTIMOS[[#This Row],[Puerto de Retiro]]="","",MARÍTIMOS[[#This Row],[Puerto de Retiro]]),"")</f>
        <v/>
      </c>
      <c r="R348" s="2" t="str">
        <f>IFERROR(IF(MARÍTIMOS[[#This Row],[Almacén de Retiro]]="","",MARÍTIMOS[[#This Row],[Almacén de Retiro]]),"")</f>
        <v/>
      </c>
      <c r="S348" s="11" t="str">
        <f>IFERROR(IF(MARÍTIMOS[[#This Row],[Etapa Retiro - Cita]]="","",MARÍTIMOS[[#This Row],[Etapa Retiro - Cita]]),"")</f>
        <v/>
      </c>
      <c r="T348" s="11" t="str">
        <f>IFERROR(IF(MARÍTIMOS[[#This Row],[Etapa Retiro - Llegada]]="","",MARÍTIMOS[[#This Row],[Etapa Retiro - Llegada]]),"")</f>
        <v/>
      </c>
      <c r="U348" s="11" t="str">
        <f>IFERROR(IF(MARÍTIMOS[[#This Row],[Etapa Retiro - Ingreso]]="","",MARÍTIMOS[[#This Row],[Etapa Retiro - Ingreso]]),"")</f>
        <v/>
      </c>
      <c r="V348" s="11" t="str">
        <f>IFERROR(IF(MARÍTIMOS[[#This Row],[Etapa Retiro - Atención]]="","",MARÍTIMOS[[#This Row],[Etapa Retiro - Atención]]),"")</f>
        <v/>
      </c>
      <c r="W348" s="11" t="str">
        <f>IFERROR(IF(MARÍTIMOS[[#This Row],[Etapa Retiro - Salida]]="","",MARÍTIMOS[[#This Row],[Etapa Retiro - Salida]]),"")</f>
        <v/>
      </c>
      <c r="X348" s="11" t="str">
        <f>IFERROR(IF(MARÍTIMOS[[#This Row],[Etapa Retiro - Inicio de Ruta]]="","",MARÍTIMOS[[#This Row],[Etapa Retiro - Inicio de Ruta]]),"")</f>
        <v/>
      </c>
      <c r="Y348" s="11" t="str">
        <f>IFERROR(IF(MARÍTIMOS[[#This Row],[Hora de Posicionamiento]]="","",MARÍTIMOS[[#This Row],[Hora de Carga]]+MARÍTIMOS[[#This Row],[Hora de Posicionamiento]]),"")</f>
        <v/>
      </c>
      <c r="Z348" s="11" t="str">
        <f>IFERROR(IF(MARÍTIMOS[[#This Row],[Etapa Despacho -  Llegada]]="","",MARÍTIMOS[[#This Row],[Etapa Despacho -  Llegada]]),"")</f>
        <v/>
      </c>
      <c r="AA348" s="11" t="str">
        <f>IFERROR(IF(MARÍTIMOS[[#This Row],[Etapa Despacho -  Registro]]="","",MARÍTIMOS[[#This Row],[Etapa Despacho -  Registro]]),"")</f>
        <v/>
      </c>
      <c r="AB348" s="11" t="str">
        <f>IFERROR(IF(MARÍTIMOS[[#This Row],[Inspección Externa]]="","",MARÍTIMOS[[#This Row],[Inspección Externa]]),"")</f>
        <v/>
      </c>
      <c r="AC348" s="11" t="str">
        <f>IFERROR(IF(MARÍTIMOS[[#This Row],[Etapa Despacho -  Inicio de Carga]]="","",MARÍTIMOS[[#This Row],[Etapa Despacho -  Inicio de Carga]]),"")</f>
        <v/>
      </c>
      <c r="AD348" s="11" t="str">
        <f>IFERROR(IF(MARÍTIMOS[[#This Row],[Etapa Despacho -  Fin de Carga]]="","",MARÍTIMOS[[#This Row],[Etapa Despacho -  Fin de Carga]]),"")</f>
        <v/>
      </c>
      <c r="AE348" s="11" t="str">
        <f>IFERROR(IF(MARÍTIMOS[[#This Row],[Etapa Despacho -  Salida]]="","",MARÍTIMOS[[#This Row],[Etapa Despacho -  Salida]]),"")</f>
        <v/>
      </c>
      <c r="AF348" s="2" t="str">
        <f>IFERROR(IF(MARÍTIMOS[[#This Row],[Puerto de Embarque]]="","",MARÍTIMOS[[#This Row],[Puerto de Embarque]]),"")</f>
        <v/>
      </c>
      <c r="AG348" s="2" t="str">
        <f>IFERROR(IF(MARÍTIMOS[[#This Row],[Almacén de Ingreso]]="","",MARÍTIMOS[[#This Row],[Almacén de Ingreso]]),"")</f>
        <v/>
      </c>
      <c r="AH348" s="11" t="str">
        <f>IFERROR(IF(MARÍTIMOS[[#This Row],[Etapa Ingreso - Cita]]="","",MARÍTIMOS[[#This Row],[Etapa Ingreso - Cita]]),"")</f>
        <v/>
      </c>
      <c r="AI348" s="11" t="str">
        <f>IFERROR(IF(MARÍTIMOS[[#This Row],[Etapa Ingreso - Llegada]]="","",MARÍTIMOS[[#This Row],[Etapa Ingreso - Llegada]]),"")</f>
        <v/>
      </c>
      <c r="AJ348" s="11" t="str">
        <f>IFERROR(IF(MARÍTIMOS[[#This Row],[Etapa Ingreso - Ingeso]]="","",MARÍTIMOS[[#This Row],[Etapa Ingreso - Ingeso]]),"")</f>
        <v/>
      </c>
      <c r="AK348" s="11" t="str">
        <f>IFERROR(IF(MARÍTIMOS[[#This Row],[Etapa Ingreso - Atención]]="","",MARÍTIMOS[[#This Row],[Etapa Ingreso - Atención]]),"")</f>
        <v/>
      </c>
      <c r="AL348" s="11" t="str">
        <f>IFERROR(IF(MARÍTIMOS[[#This Row],[Etapa Ingreso - Salida]]="","",MARÍTIMOS[[#This Row],[Etapa Ingreso - Salida]]),"")</f>
        <v/>
      </c>
      <c r="AM348" s="2" t="str">
        <f>IFERROR(IF(MARÍTIMOS[[#This Row],[FCL]]="","",MARÍTIMOS[[#This Row],[FCL]]),"")</f>
        <v/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8" s="5" t="str">
        <f>IFERROR(OLDBD[[#This Row],[Llegada a packing]]-OLDBD[[#This Row],[Inicio de Ruta]],"")</f>
        <v/>
      </c>
      <c r="AQ348" s="6" t="str">
        <f>IFERROR(OLDBD[[#This Row],[Inicio de Ruta]]-OLDBD[[#This Row],[Salida de almacén de retiro]],"")</f>
        <v/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8" s="9" t="str">
        <f>IFERROR(OLDBD[[#This Row],[Ingreso Packing]]-OLDBD[[#This Row],[Registro en Packing]],"")</f>
        <v/>
      </c>
      <c r="AV348" s="9" t="str">
        <f>IFERROR(OLDBD[[#This Row],[Ingreso Packing]]-OLDBD[[#This Row],[Llegada a packing]],"")</f>
        <v/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8" s="5" t="str">
        <f>IFERROR(OLDBD[[#This Row],[Llegada Almacén de Ingreso]]-OLDBD[[#This Row],[Salida Packing]],"")</f>
        <v/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5" t="s">
        <v>181</v>
      </c>
      <c r="BB348" s="53" t="str">
        <f>IFERROR(IF(MARÍTIMOS[[#This Row],[Estatus]]="","",MARÍTIMOS[[#This Row],[Estatus]]),"")</f>
        <v/>
      </c>
      <c r="BC348" s="45"/>
      <c r="BD348" s="52" t="str">
        <f>IFERROR(OLDBD[[#This Row],[Salida de almacén de retiro]]-OLDBD[[#This Row],[Ingreso Almacén de retiro]],"")</f>
        <v/>
      </c>
      <c r="BE348" s="52" t="str">
        <f>IFERROR(OLDBD[[#This Row],[Fin de Carga]]-OLDBD[[#This Row],[Inicio de Carga]],"")</f>
        <v/>
      </c>
    </row>
    <row r="349" spans="1:57" x14ac:dyDescent="0.35">
      <c r="A349" s="1"/>
      <c r="B349" s="1" t="str">
        <f>IFERROR(IF(MARÍTIMOS[[#This Row],[PP]]="","",MARÍTIMOS[[#This Row],[PP]]),"")</f>
        <v/>
      </c>
      <c r="C349" s="1" t="str">
        <f>IFERROR(IF(MARÍTIMOS[[#This Row],[Sede]]="","",MARÍTIMOS[[#This Row],[Sede]]),"")</f>
        <v/>
      </c>
      <c r="D349" s="1" t="str">
        <f>IFERROR(IF(MARÍTIMOS[[#This Row],[Instruction]]="","",MARÍTIMOS[[#This Row],[Instruction]]),"")</f>
        <v/>
      </c>
      <c r="E349" s="1"/>
      <c r="F349" s="2" t="str">
        <f>IFERROR(IF(MARÍTIMOS[[#This Row],[Transportista]]="","",MARÍTIMOS[[#This Row],[Transportista]]),"")</f>
        <v/>
      </c>
      <c r="G349" s="2" t="str">
        <f>IFERROR(IF(MARÍTIMOS[[#This Row],[Tercero]]="","",MARÍTIMOS[[#This Row],[Tercero]]),"")</f>
        <v/>
      </c>
      <c r="H349" s="2" t="str">
        <f>IFERROR(IF(MARÍTIMOS[[#This Row],[Razón Social]]="","",MARÍTIMOS[[#This Row],[Razón Social]]),"")</f>
        <v/>
      </c>
      <c r="I349" s="2" t="str">
        <f>IFERROR(IF(MARÍTIMOS[[#This Row],[RUC]]="","",MARÍTIMOS[[#This Row],[RUC]]),"")</f>
        <v/>
      </c>
      <c r="J349" s="2" t="str">
        <f>IFERROR(IF(MARÍTIMOS[[#This Row],[Placa Tracto]]="","",MARÍTIMOS[[#This Row],[Placa Tracto]]),"")</f>
        <v/>
      </c>
      <c r="K349" s="2" t="str">
        <f>IFERROR(IF(MARÍTIMOS[[#This Row],[Placa Carreta]]="","",MARÍTIMOS[[#This Row],[Placa Carreta]]),"")</f>
        <v/>
      </c>
      <c r="L349" s="46" t="str">
        <f>IFERROR(IF(MARÍTIMOS[[#This Row],[Conductor]]="","",MARÍTIMOS[[#This Row],[Conductor]]),"")</f>
        <v/>
      </c>
      <c r="M349" s="2" t="str">
        <f>IFERROR(IF(MARÍTIMOS[[#This Row],[Licencia]]="","",MARÍTIMOS[[#This Row],[Licencia]]),"")</f>
        <v/>
      </c>
      <c r="N349" s="2" t="str">
        <f>IFERROR(IF(MARÍTIMOS[[#This Row],[Número de Contacto]]="","",MARÍTIMOS[[#This Row],[Número de Contacto]]),"")</f>
        <v/>
      </c>
      <c r="O349" s="10" t="str">
        <f>IFERROR(IF(MARÍTIMOS[[#This Row],[Booking|AWB|CRT]]="","",MARÍTIMOS[[#This Row],[Booking|AWB|CRT]]),"")</f>
        <v/>
      </c>
      <c r="P349" s="2" t="str">
        <f>IFERROR(IF(MARÍTIMOS[[#This Row],[Contenedor]]="","",MARÍTIMOS[[#This Row],[Contenedor]]),"")</f>
        <v/>
      </c>
      <c r="Q349" s="2" t="str">
        <f>IFERROR(IF(MARÍTIMOS[[#This Row],[Puerto de Retiro]]="","",MARÍTIMOS[[#This Row],[Puerto de Retiro]]),"")</f>
        <v/>
      </c>
      <c r="R349" s="2" t="str">
        <f>IFERROR(IF(MARÍTIMOS[[#This Row],[Almacén de Retiro]]="","",MARÍTIMOS[[#This Row],[Almacén de Retiro]]),"")</f>
        <v/>
      </c>
      <c r="S349" s="11" t="str">
        <f>IFERROR(IF(MARÍTIMOS[[#This Row],[Etapa Retiro - Cita]]="","",MARÍTIMOS[[#This Row],[Etapa Retiro - Cita]]),"")</f>
        <v/>
      </c>
      <c r="T349" s="11" t="str">
        <f>IFERROR(IF(MARÍTIMOS[[#This Row],[Etapa Retiro - Llegada]]="","",MARÍTIMOS[[#This Row],[Etapa Retiro - Llegada]]),"")</f>
        <v/>
      </c>
      <c r="U349" s="11" t="str">
        <f>IFERROR(IF(MARÍTIMOS[[#This Row],[Etapa Retiro - Ingreso]]="","",MARÍTIMOS[[#This Row],[Etapa Retiro - Ingreso]]),"")</f>
        <v/>
      </c>
      <c r="V349" s="11" t="str">
        <f>IFERROR(IF(MARÍTIMOS[[#This Row],[Etapa Retiro - Atención]]="","",MARÍTIMOS[[#This Row],[Etapa Retiro - Atención]]),"")</f>
        <v/>
      </c>
      <c r="W349" s="11" t="str">
        <f>IFERROR(IF(MARÍTIMOS[[#This Row],[Etapa Retiro - Salida]]="","",MARÍTIMOS[[#This Row],[Etapa Retiro - Salida]]),"")</f>
        <v/>
      </c>
      <c r="X349" s="11" t="str">
        <f>IFERROR(IF(MARÍTIMOS[[#This Row],[Etapa Retiro - Inicio de Ruta]]="","",MARÍTIMOS[[#This Row],[Etapa Retiro - Inicio de Ruta]]),"")</f>
        <v/>
      </c>
      <c r="Y349" s="11" t="str">
        <f>IFERROR(IF(MARÍTIMOS[[#This Row],[Hora de Posicionamiento]]="","",MARÍTIMOS[[#This Row],[Hora de Carga]]+MARÍTIMOS[[#This Row],[Hora de Posicionamiento]]),"")</f>
        <v/>
      </c>
      <c r="Z349" s="11" t="str">
        <f>IFERROR(IF(MARÍTIMOS[[#This Row],[Etapa Despacho -  Llegada]]="","",MARÍTIMOS[[#This Row],[Etapa Despacho -  Llegada]]),"")</f>
        <v/>
      </c>
      <c r="AA349" s="11" t="str">
        <f>IFERROR(IF(MARÍTIMOS[[#This Row],[Etapa Despacho -  Registro]]="","",MARÍTIMOS[[#This Row],[Etapa Despacho -  Registro]]),"")</f>
        <v/>
      </c>
      <c r="AB349" s="11" t="str">
        <f>IFERROR(IF(MARÍTIMOS[[#This Row],[Inspección Externa]]="","",MARÍTIMOS[[#This Row],[Inspección Externa]]),"")</f>
        <v/>
      </c>
      <c r="AC349" s="11" t="str">
        <f>IFERROR(IF(MARÍTIMOS[[#This Row],[Etapa Despacho -  Inicio de Carga]]="","",MARÍTIMOS[[#This Row],[Etapa Despacho -  Inicio de Carga]]),"")</f>
        <v/>
      </c>
      <c r="AD349" s="11" t="str">
        <f>IFERROR(IF(MARÍTIMOS[[#This Row],[Etapa Despacho -  Fin de Carga]]="","",MARÍTIMOS[[#This Row],[Etapa Despacho -  Fin de Carga]]),"")</f>
        <v/>
      </c>
      <c r="AE349" s="11" t="str">
        <f>IFERROR(IF(MARÍTIMOS[[#This Row],[Etapa Despacho -  Salida]]="","",MARÍTIMOS[[#This Row],[Etapa Despacho -  Salida]]),"")</f>
        <v/>
      </c>
      <c r="AF349" s="2" t="str">
        <f>IFERROR(IF(MARÍTIMOS[[#This Row],[Puerto de Embarque]]="","",MARÍTIMOS[[#This Row],[Puerto de Embarque]]),"")</f>
        <v/>
      </c>
      <c r="AG349" s="2" t="str">
        <f>IFERROR(IF(MARÍTIMOS[[#This Row],[Almacén de Ingreso]]="","",MARÍTIMOS[[#This Row],[Almacén de Ingreso]]),"")</f>
        <v/>
      </c>
      <c r="AH349" s="11" t="str">
        <f>IFERROR(IF(MARÍTIMOS[[#This Row],[Etapa Ingreso - Cita]]="","",MARÍTIMOS[[#This Row],[Etapa Ingreso - Cita]]),"")</f>
        <v/>
      </c>
      <c r="AI349" s="11" t="str">
        <f>IFERROR(IF(MARÍTIMOS[[#This Row],[Etapa Ingreso - Llegada]]="","",MARÍTIMOS[[#This Row],[Etapa Ingreso - Llegada]]),"")</f>
        <v/>
      </c>
      <c r="AJ349" s="11" t="str">
        <f>IFERROR(IF(MARÍTIMOS[[#This Row],[Etapa Ingreso - Ingeso]]="","",MARÍTIMOS[[#This Row],[Etapa Ingreso - Ingeso]]),"")</f>
        <v/>
      </c>
      <c r="AK349" s="11" t="str">
        <f>IFERROR(IF(MARÍTIMOS[[#This Row],[Etapa Ingreso - Atención]]="","",MARÍTIMOS[[#This Row],[Etapa Ingreso - Atención]]),"")</f>
        <v/>
      </c>
      <c r="AL349" s="11" t="str">
        <f>IFERROR(IF(MARÍTIMOS[[#This Row],[Etapa Ingreso - Salida]]="","",MARÍTIMOS[[#This Row],[Etapa Ingreso - Salida]]),"")</f>
        <v/>
      </c>
      <c r="AM349" s="2" t="str">
        <f>IFERROR(IF(MARÍTIMOS[[#This Row],[FCL]]="","",MARÍTIMOS[[#This Row],[FCL]]),"")</f>
        <v/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9" s="5" t="str">
        <f>IFERROR(OLDBD[[#This Row],[Llegada a packing]]-OLDBD[[#This Row],[Inicio de Ruta]],"")</f>
        <v/>
      </c>
      <c r="AQ349" s="6" t="str">
        <f>IFERROR(OLDBD[[#This Row],[Inicio de Ruta]]-OLDBD[[#This Row],[Salida de almacén de retiro]],"")</f>
        <v/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9" s="9" t="str">
        <f>IFERROR(OLDBD[[#This Row],[Ingreso Packing]]-OLDBD[[#This Row],[Registro en Packing]],"")</f>
        <v/>
      </c>
      <c r="AV349" s="9" t="str">
        <f>IFERROR(OLDBD[[#This Row],[Ingreso Packing]]-OLDBD[[#This Row],[Llegada a packing]],"")</f>
        <v/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9" s="5" t="str">
        <f>IFERROR(OLDBD[[#This Row],[Llegada Almacén de Ingreso]]-OLDBD[[#This Row],[Salida Packing]],"")</f>
        <v/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5" t="s">
        <v>181</v>
      </c>
      <c r="BB349" s="53" t="str">
        <f>IFERROR(IF(MARÍTIMOS[[#This Row],[Estatus]]="","",MARÍTIMOS[[#This Row],[Estatus]]),"")</f>
        <v/>
      </c>
      <c r="BC349" s="45"/>
      <c r="BD349" s="52" t="str">
        <f>IFERROR(OLDBD[[#This Row],[Salida de almacén de retiro]]-OLDBD[[#This Row],[Ingreso Almacén de retiro]],"")</f>
        <v/>
      </c>
      <c r="BE349" s="52" t="str">
        <f>IFERROR(OLDBD[[#This Row],[Fin de Carga]]-OLDBD[[#This Row],[Inicio de Carga]],"")</f>
        <v/>
      </c>
    </row>
    <row r="350" spans="1:57" x14ac:dyDescent="0.35">
      <c r="A350" s="1"/>
      <c r="B350" s="1" t="str">
        <f>IFERROR(IF(MARÍTIMOS[[#This Row],[PP]]="","",MARÍTIMOS[[#This Row],[PP]]),"")</f>
        <v/>
      </c>
      <c r="C350" s="1" t="str">
        <f>IFERROR(IF(MARÍTIMOS[[#This Row],[Sede]]="","",MARÍTIMOS[[#This Row],[Sede]]),"")</f>
        <v/>
      </c>
      <c r="D350" s="1" t="str">
        <f>IFERROR(IF(MARÍTIMOS[[#This Row],[Instruction]]="","",MARÍTIMOS[[#This Row],[Instruction]]),"")</f>
        <v/>
      </c>
      <c r="E350" s="1"/>
      <c r="F350" s="2" t="str">
        <f>IFERROR(IF(MARÍTIMOS[[#This Row],[Transportista]]="","",MARÍTIMOS[[#This Row],[Transportista]]),"")</f>
        <v/>
      </c>
      <c r="G350" s="2" t="str">
        <f>IFERROR(IF(MARÍTIMOS[[#This Row],[Tercero]]="","",MARÍTIMOS[[#This Row],[Tercero]]),"")</f>
        <v/>
      </c>
      <c r="H350" s="2" t="str">
        <f>IFERROR(IF(MARÍTIMOS[[#This Row],[Razón Social]]="","",MARÍTIMOS[[#This Row],[Razón Social]]),"")</f>
        <v/>
      </c>
      <c r="I350" s="2" t="str">
        <f>IFERROR(IF(MARÍTIMOS[[#This Row],[RUC]]="","",MARÍTIMOS[[#This Row],[RUC]]),"")</f>
        <v/>
      </c>
      <c r="J350" s="2" t="str">
        <f>IFERROR(IF(MARÍTIMOS[[#This Row],[Placa Tracto]]="","",MARÍTIMOS[[#This Row],[Placa Tracto]]),"")</f>
        <v/>
      </c>
      <c r="K350" s="2" t="str">
        <f>IFERROR(IF(MARÍTIMOS[[#This Row],[Placa Carreta]]="","",MARÍTIMOS[[#This Row],[Placa Carreta]]),"")</f>
        <v/>
      </c>
      <c r="L350" s="46" t="str">
        <f>IFERROR(IF(MARÍTIMOS[[#This Row],[Conductor]]="","",MARÍTIMOS[[#This Row],[Conductor]]),"")</f>
        <v/>
      </c>
      <c r="M350" s="2" t="str">
        <f>IFERROR(IF(MARÍTIMOS[[#This Row],[Licencia]]="","",MARÍTIMOS[[#This Row],[Licencia]]),"")</f>
        <v/>
      </c>
      <c r="N350" s="2" t="str">
        <f>IFERROR(IF(MARÍTIMOS[[#This Row],[Número de Contacto]]="","",MARÍTIMOS[[#This Row],[Número de Contacto]]),"")</f>
        <v/>
      </c>
      <c r="O350" s="10" t="str">
        <f>IFERROR(IF(MARÍTIMOS[[#This Row],[Booking|AWB|CRT]]="","",MARÍTIMOS[[#This Row],[Booking|AWB|CRT]]),"")</f>
        <v/>
      </c>
      <c r="P350" s="2" t="str">
        <f>IFERROR(IF(MARÍTIMOS[[#This Row],[Contenedor]]="","",MARÍTIMOS[[#This Row],[Contenedor]]),"")</f>
        <v/>
      </c>
      <c r="Q350" s="2" t="str">
        <f>IFERROR(IF(MARÍTIMOS[[#This Row],[Puerto de Retiro]]="","",MARÍTIMOS[[#This Row],[Puerto de Retiro]]),"")</f>
        <v/>
      </c>
      <c r="R350" s="2" t="str">
        <f>IFERROR(IF(MARÍTIMOS[[#This Row],[Almacén de Retiro]]="","",MARÍTIMOS[[#This Row],[Almacén de Retiro]]),"")</f>
        <v/>
      </c>
      <c r="S350" s="11" t="str">
        <f>IFERROR(IF(MARÍTIMOS[[#This Row],[Etapa Retiro - Cita]]="","",MARÍTIMOS[[#This Row],[Etapa Retiro - Cita]]),"")</f>
        <v/>
      </c>
      <c r="T350" s="11" t="str">
        <f>IFERROR(IF(MARÍTIMOS[[#This Row],[Etapa Retiro - Llegada]]="","",MARÍTIMOS[[#This Row],[Etapa Retiro - Llegada]]),"")</f>
        <v/>
      </c>
      <c r="U350" s="11" t="str">
        <f>IFERROR(IF(MARÍTIMOS[[#This Row],[Etapa Retiro - Ingreso]]="","",MARÍTIMOS[[#This Row],[Etapa Retiro - Ingreso]]),"")</f>
        <v/>
      </c>
      <c r="V350" s="11" t="str">
        <f>IFERROR(IF(MARÍTIMOS[[#This Row],[Etapa Retiro - Atención]]="","",MARÍTIMOS[[#This Row],[Etapa Retiro - Atención]]),"")</f>
        <v/>
      </c>
      <c r="W350" s="11" t="str">
        <f>IFERROR(IF(MARÍTIMOS[[#This Row],[Etapa Retiro - Salida]]="","",MARÍTIMOS[[#This Row],[Etapa Retiro - Salida]]),"")</f>
        <v/>
      </c>
      <c r="X350" s="11" t="str">
        <f>IFERROR(IF(MARÍTIMOS[[#This Row],[Etapa Retiro - Inicio de Ruta]]="","",MARÍTIMOS[[#This Row],[Etapa Retiro - Inicio de Ruta]]),"")</f>
        <v/>
      </c>
      <c r="Y350" s="11" t="str">
        <f>IFERROR(IF(MARÍTIMOS[[#This Row],[Hora de Posicionamiento]]="","",MARÍTIMOS[[#This Row],[Hora de Carga]]+MARÍTIMOS[[#This Row],[Hora de Posicionamiento]]),"")</f>
        <v/>
      </c>
      <c r="Z350" s="11" t="str">
        <f>IFERROR(IF(MARÍTIMOS[[#This Row],[Etapa Despacho -  Llegada]]="","",MARÍTIMOS[[#This Row],[Etapa Despacho -  Llegada]]),"")</f>
        <v/>
      </c>
      <c r="AA350" s="11" t="str">
        <f>IFERROR(IF(MARÍTIMOS[[#This Row],[Etapa Despacho -  Registro]]="","",MARÍTIMOS[[#This Row],[Etapa Despacho -  Registro]]),"")</f>
        <v/>
      </c>
      <c r="AB350" s="11" t="str">
        <f>IFERROR(IF(MARÍTIMOS[[#This Row],[Inspección Externa]]="","",MARÍTIMOS[[#This Row],[Inspección Externa]]),"")</f>
        <v/>
      </c>
      <c r="AC350" s="11" t="str">
        <f>IFERROR(IF(MARÍTIMOS[[#This Row],[Etapa Despacho -  Inicio de Carga]]="","",MARÍTIMOS[[#This Row],[Etapa Despacho -  Inicio de Carga]]),"")</f>
        <v/>
      </c>
      <c r="AD350" s="11" t="str">
        <f>IFERROR(IF(MARÍTIMOS[[#This Row],[Etapa Despacho -  Fin de Carga]]="","",MARÍTIMOS[[#This Row],[Etapa Despacho -  Fin de Carga]]),"")</f>
        <v/>
      </c>
      <c r="AE350" s="11" t="str">
        <f>IFERROR(IF(MARÍTIMOS[[#This Row],[Etapa Despacho -  Salida]]="","",MARÍTIMOS[[#This Row],[Etapa Despacho -  Salida]]),"")</f>
        <v/>
      </c>
      <c r="AF350" s="2" t="str">
        <f>IFERROR(IF(MARÍTIMOS[[#This Row],[Puerto de Embarque]]="","",MARÍTIMOS[[#This Row],[Puerto de Embarque]]),"")</f>
        <v/>
      </c>
      <c r="AG350" s="2" t="str">
        <f>IFERROR(IF(MARÍTIMOS[[#This Row],[Almacén de Ingreso]]="","",MARÍTIMOS[[#This Row],[Almacén de Ingreso]]),"")</f>
        <v/>
      </c>
      <c r="AH350" s="11" t="str">
        <f>IFERROR(IF(MARÍTIMOS[[#This Row],[Etapa Ingreso - Cita]]="","",MARÍTIMOS[[#This Row],[Etapa Ingreso - Cita]]),"")</f>
        <v/>
      </c>
      <c r="AI350" s="11" t="str">
        <f>IFERROR(IF(MARÍTIMOS[[#This Row],[Etapa Ingreso - Llegada]]="","",MARÍTIMOS[[#This Row],[Etapa Ingreso - Llegada]]),"")</f>
        <v/>
      </c>
      <c r="AJ350" s="11" t="str">
        <f>IFERROR(IF(MARÍTIMOS[[#This Row],[Etapa Ingreso - Ingeso]]="","",MARÍTIMOS[[#This Row],[Etapa Ingreso - Ingeso]]),"")</f>
        <v/>
      </c>
      <c r="AK350" s="11" t="str">
        <f>IFERROR(IF(MARÍTIMOS[[#This Row],[Etapa Ingreso - Atención]]="","",MARÍTIMOS[[#This Row],[Etapa Ingreso - Atención]]),"")</f>
        <v/>
      </c>
      <c r="AL350" s="11" t="str">
        <f>IFERROR(IF(MARÍTIMOS[[#This Row],[Etapa Ingreso - Salida]]="","",MARÍTIMOS[[#This Row],[Etapa Ingreso - Salida]]),"")</f>
        <v/>
      </c>
      <c r="AM350" s="2" t="str">
        <f>IFERROR(IF(MARÍTIMOS[[#This Row],[FCL]]="","",MARÍTIMOS[[#This Row],[FCL]]),"")</f>
        <v/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0" s="5" t="str">
        <f>IFERROR(OLDBD[[#This Row],[Llegada a packing]]-OLDBD[[#This Row],[Inicio de Ruta]],"")</f>
        <v/>
      </c>
      <c r="AQ350" s="6" t="str">
        <f>IFERROR(OLDBD[[#This Row],[Inicio de Ruta]]-OLDBD[[#This Row],[Salida de almacén de retiro]],"")</f>
        <v/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0" s="9" t="str">
        <f>IFERROR(OLDBD[[#This Row],[Ingreso Packing]]-OLDBD[[#This Row],[Registro en Packing]],"")</f>
        <v/>
      </c>
      <c r="AV350" s="9" t="str">
        <f>IFERROR(OLDBD[[#This Row],[Ingreso Packing]]-OLDBD[[#This Row],[Llegada a packing]],"")</f>
        <v/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0" s="5" t="str">
        <f>IFERROR(OLDBD[[#This Row],[Llegada Almacén de Ingreso]]-OLDBD[[#This Row],[Salida Packing]],"")</f>
        <v/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5" t="s">
        <v>181</v>
      </c>
      <c r="BB350" s="53" t="str">
        <f>IFERROR(IF(MARÍTIMOS[[#This Row],[Estatus]]="","",MARÍTIMOS[[#This Row],[Estatus]]),"")</f>
        <v/>
      </c>
      <c r="BC350" s="45"/>
      <c r="BD350" s="52" t="str">
        <f>IFERROR(OLDBD[[#This Row],[Salida de almacén de retiro]]-OLDBD[[#This Row],[Ingreso Almacén de retiro]],"")</f>
        <v/>
      </c>
      <c r="BE350" s="52" t="str">
        <f>IFERROR(OLDBD[[#This Row],[Fin de Carga]]-OLDBD[[#This Row],[Inicio de Carga]],"")</f>
        <v/>
      </c>
    </row>
    <row r="351" spans="1:57" x14ac:dyDescent="0.35">
      <c r="A351" s="1"/>
      <c r="B351" s="1" t="str">
        <f>IFERROR(IF(MARÍTIMOS[[#This Row],[PP]]="","",MARÍTIMOS[[#This Row],[PP]]),"")</f>
        <v/>
      </c>
      <c r="C351" s="1" t="str">
        <f>IFERROR(IF(MARÍTIMOS[[#This Row],[Sede]]="","",MARÍTIMOS[[#This Row],[Sede]]),"")</f>
        <v/>
      </c>
      <c r="D351" s="1" t="str">
        <f>IFERROR(IF(MARÍTIMOS[[#This Row],[Instruction]]="","",MARÍTIMOS[[#This Row],[Instruction]]),"")</f>
        <v/>
      </c>
      <c r="E351" s="1"/>
      <c r="F351" s="2" t="str">
        <f>IFERROR(IF(MARÍTIMOS[[#This Row],[Transportista]]="","",MARÍTIMOS[[#This Row],[Transportista]]),"")</f>
        <v/>
      </c>
      <c r="G351" s="2" t="str">
        <f>IFERROR(IF(MARÍTIMOS[[#This Row],[Tercero]]="","",MARÍTIMOS[[#This Row],[Tercero]]),"")</f>
        <v/>
      </c>
      <c r="H351" s="2" t="str">
        <f>IFERROR(IF(MARÍTIMOS[[#This Row],[Razón Social]]="","",MARÍTIMOS[[#This Row],[Razón Social]]),"")</f>
        <v/>
      </c>
      <c r="I351" s="2" t="str">
        <f>IFERROR(IF(MARÍTIMOS[[#This Row],[RUC]]="","",MARÍTIMOS[[#This Row],[RUC]]),"")</f>
        <v/>
      </c>
      <c r="J351" s="2" t="str">
        <f>IFERROR(IF(MARÍTIMOS[[#This Row],[Placa Tracto]]="","",MARÍTIMOS[[#This Row],[Placa Tracto]]),"")</f>
        <v/>
      </c>
      <c r="K351" s="2" t="str">
        <f>IFERROR(IF(MARÍTIMOS[[#This Row],[Placa Carreta]]="","",MARÍTIMOS[[#This Row],[Placa Carreta]]),"")</f>
        <v/>
      </c>
      <c r="L351" s="46" t="str">
        <f>IFERROR(IF(MARÍTIMOS[[#This Row],[Conductor]]="","",MARÍTIMOS[[#This Row],[Conductor]]),"")</f>
        <v/>
      </c>
      <c r="M351" s="2" t="str">
        <f>IFERROR(IF(MARÍTIMOS[[#This Row],[Licencia]]="","",MARÍTIMOS[[#This Row],[Licencia]]),"")</f>
        <v/>
      </c>
      <c r="N351" s="2" t="str">
        <f>IFERROR(IF(MARÍTIMOS[[#This Row],[Número de Contacto]]="","",MARÍTIMOS[[#This Row],[Número de Contacto]]),"")</f>
        <v/>
      </c>
      <c r="O351" s="10" t="str">
        <f>IFERROR(IF(MARÍTIMOS[[#This Row],[Booking|AWB|CRT]]="","",MARÍTIMOS[[#This Row],[Booking|AWB|CRT]]),"")</f>
        <v/>
      </c>
      <c r="P351" s="2" t="str">
        <f>IFERROR(IF(MARÍTIMOS[[#This Row],[Contenedor]]="","",MARÍTIMOS[[#This Row],[Contenedor]]),"")</f>
        <v/>
      </c>
      <c r="Q351" s="2" t="str">
        <f>IFERROR(IF(MARÍTIMOS[[#This Row],[Puerto de Retiro]]="","",MARÍTIMOS[[#This Row],[Puerto de Retiro]]),"")</f>
        <v/>
      </c>
      <c r="R351" s="2" t="str">
        <f>IFERROR(IF(MARÍTIMOS[[#This Row],[Almacén de Retiro]]="","",MARÍTIMOS[[#This Row],[Almacén de Retiro]]),"")</f>
        <v/>
      </c>
      <c r="S351" s="11" t="str">
        <f>IFERROR(IF(MARÍTIMOS[[#This Row],[Etapa Retiro - Cita]]="","",MARÍTIMOS[[#This Row],[Etapa Retiro - Cita]]),"")</f>
        <v/>
      </c>
      <c r="T351" s="11" t="str">
        <f>IFERROR(IF(MARÍTIMOS[[#This Row],[Etapa Retiro - Llegada]]="","",MARÍTIMOS[[#This Row],[Etapa Retiro - Llegada]]),"")</f>
        <v/>
      </c>
      <c r="U351" s="11" t="str">
        <f>IFERROR(IF(MARÍTIMOS[[#This Row],[Etapa Retiro - Ingreso]]="","",MARÍTIMOS[[#This Row],[Etapa Retiro - Ingreso]]),"")</f>
        <v/>
      </c>
      <c r="V351" s="11" t="str">
        <f>IFERROR(IF(MARÍTIMOS[[#This Row],[Etapa Retiro - Atención]]="","",MARÍTIMOS[[#This Row],[Etapa Retiro - Atención]]),"")</f>
        <v/>
      </c>
      <c r="W351" s="11" t="str">
        <f>IFERROR(IF(MARÍTIMOS[[#This Row],[Etapa Retiro - Salida]]="","",MARÍTIMOS[[#This Row],[Etapa Retiro - Salida]]),"")</f>
        <v/>
      </c>
      <c r="X351" s="11" t="str">
        <f>IFERROR(IF(MARÍTIMOS[[#This Row],[Etapa Retiro - Inicio de Ruta]]="","",MARÍTIMOS[[#This Row],[Etapa Retiro - Inicio de Ruta]]),"")</f>
        <v/>
      </c>
      <c r="Y351" s="11" t="str">
        <f>IFERROR(IF(MARÍTIMOS[[#This Row],[Hora de Posicionamiento]]="","",MARÍTIMOS[[#This Row],[Hora de Carga]]+MARÍTIMOS[[#This Row],[Hora de Posicionamiento]]),"")</f>
        <v/>
      </c>
      <c r="Z351" s="11" t="str">
        <f>IFERROR(IF(MARÍTIMOS[[#This Row],[Etapa Despacho -  Llegada]]="","",MARÍTIMOS[[#This Row],[Etapa Despacho -  Llegada]]),"")</f>
        <v/>
      </c>
      <c r="AA351" s="11" t="str">
        <f>IFERROR(IF(MARÍTIMOS[[#This Row],[Etapa Despacho -  Registro]]="","",MARÍTIMOS[[#This Row],[Etapa Despacho -  Registro]]),"")</f>
        <v/>
      </c>
      <c r="AB351" s="11" t="str">
        <f>IFERROR(IF(MARÍTIMOS[[#This Row],[Inspección Externa]]="","",MARÍTIMOS[[#This Row],[Inspección Externa]]),"")</f>
        <v/>
      </c>
      <c r="AC351" s="11" t="str">
        <f>IFERROR(IF(MARÍTIMOS[[#This Row],[Etapa Despacho -  Inicio de Carga]]="","",MARÍTIMOS[[#This Row],[Etapa Despacho -  Inicio de Carga]]),"")</f>
        <v/>
      </c>
      <c r="AD351" s="11" t="str">
        <f>IFERROR(IF(MARÍTIMOS[[#This Row],[Etapa Despacho -  Fin de Carga]]="","",MARÍTIMOS[[#This Row],[Etapa Despacho -  Fin de Carga]]),"")</f>
        <v/>
      </c>
      <c r="AE351" s="11" t="str">
        <f>IFERROR(IF(MARÍTIMOS[[#This Row],[Etapa Despacho -  Salida]]="","",MARÍTIMOS[[#This Row],[Etapa Despacho -  Salida]]),"")</f>
        <v/>
      </c>
      <c r="AF351" s="2" t="str">
        <f>IFERROR(IF(MARÍTIMOS[[#This Row],[Puerto de Embarque]]="","",MARÍTIMOS[[#This Row],[Puerto de Embarque]]),"")</f>
        <v/>
      </c>
      <c r="AG351" s="2" t="str">
        <f>IFERROR(IF(MARÍTIMOS[[#This Row],[Almacén de Ingreso]]="","",MARÍTIMOS[[#This Row],[Almacén de Ingreso]]),"")</f>
        <v/>
      </c>
      <c r="AH351" s="11" t="str">
        <f>IFERROR(IF(MARÍTIMOS[[#This Row],[Etapa Ingreso - Cita]]="","",MARÍTIMOS[[#This Row],[Etapa Ingreso - Cita]]),"")</f>
        <v/>
      </c>
      <c r="AI351" s="11" t="str">
        <f>IFERROR(IF(MARÍTIMOS[[#This Row],[Etapa Ingreso - Llegada]]="","",MARÍTIMOS[[#This Row],[Etapa Ingreso - Llegada]]),"")</f>
        <v/>
      </c>
      <c r="AJ351" s="11" t="str">
        <f>IFERROR(IF(MARÍTIMOS[[#This Row],[Etapa Ingreso - Ingeso]]="","",MARÍTIMOS[[#This Row],[Etapa Ingreso - Ingeso]]),"")</f>
        <v/>
      </c>
      <c r="AK351" s="11" t="str">
        <f>IFERROR(IF(MARÍTIMOS[[#This Row],[Etapa Ingreso - Atención]]="","",MARÍTIMOS[[#This Row],[Etapa Ingreso - Atención]]),"")</f>
        <v/>
      </c>
      <c r="AL351" s="11" t="str">
        <f>IFERROR(IF(MARÍTIMOS[[#This Row],[Etapa Ingreso - Salida]]="","",MARÍTIMOS[[#This Row],[Etapa Ingreso - Salida]]),"")</f>
        <v/>
      </c>
      <c r="AM351" s="2" t="str">
        <f>IFERROR(IF(MARÍTIMOS[[#This Row],[FCL]]="","",MARÍTIMOS[[#This Row],[FCL]]),"")</f>
        <v/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1" s="5" t="str">
        <f>IFERROR(OLDBD[[#This Row],[Llegada a packing]]-OLDBD[[#This Row],[Inicio de Ruta]],"")</f>
        <v/>
      </c>
      <c r="AQ351" s="6" t="str">
        <f>IFERROR(OLDBD[[#This Row],[Inicio de Ruta]]-OLDBD[[#This Row],[Salida de almacén de retiro]],"")</f>
        <v/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1" s="9" t="str">
        <f>IFERROR(OLDBD[[#This Row],[Ingreso Packing]]-OLDBD[[#This Row],[Registro en Packing]],"")</f>
        <v/>
      </c>
      <c r="AV351" s="9" t="str">
        <f>IFERROR(OLDBD[[#This Row],[Ingreso Packing]]-OLDBD[[#This Row],[Llegada a packing]],"")</f>
        <v/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1" s="5" t="str">
        <f>IFERROR(OLDBD[[#This Row],[Llegada Almacén de Ingreso]]-OLDBD[[#This Row],[Salida Packing]],"")</f>
        <v/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5" t="s">
        <v>181</v>
      </c>
      <c r="BB351" s="53" t="str">
        <f>IFERROR(IF(MARÍTIMOS[[#This Row],[Estatus]]="","",MARÍTIMOS[[#This Row],[Estatus]]),"")</f>
        <v/>
      </c>
      <c r="BC351" s="45"/>
      <c r="BD351" s="52" t="str">
        <f>IFERROR(OLDBD[[#This Row],[Salida de almacén de retiro]]-OLDBD[[#This Row],[Ingreso Almacén de retiro]],"")</f>
        <v/>
      </c>
      <c r="BE351" s="52" t="str">
        <f>IFERROR(OLDBD[[#This Row],[Fin de Carga]]-OLDBD[[#This Row],[Inicio de Carga]],"")</f>
        <v/>
      </c>
    </row>
    <row r="352" spans="1:57" x14ac:dyDescent="0.35">
      <c r="A352" s="1"/>
      <c r="B352" s="1" t="str">
        <f>IFERROR(IF(MARÍTIMOS[[#This Row],[PP]]="","",MARÍTIMOS[[#This Row],[PP]]),"")</f>
        <v/>
      </c>
      <c r="C352" s="1" t="str">
        <f>IFERROR(IF(MARÍTIMOS[[#This Row],[Sede]]="","",MARÍTIMOS[[#This Row],[Sede]]),"")</f>
        <v/>
      </c>
      <c r="D352" s="1" t="str">
        <f>IFERROR(IF(MARÍTIMOS[[#This Row],[Instruction]]="","",MARÍTIMOS[[#This Row],[Instruction]]),"")</f>
        <v/>
      </c>
      <c r="E352" s="1"/>
      <c r="F352" s="2" t="str">
        <f>IFERROR(IF(MARÍTIMOS[[#This Row],[Transportista]]="","",MARÍTIMOS[[#This Row],[Transportista]]),"")</f>
        <v/>
      </c>
      <c r="G352" s="2" t="str">
        <f>IFERROR(IF(MARÍTIMOS[[#This Row],[Tercero]]="","",MARÍTIMOS[[#This Row],[Tercero]]),"")</f>
        <v/>
      </c>
      <c r="H352" s="2" t="str">
        <f>IFERROR(IF(MARÍTIMOS[[#This Row],[Razón Social]]="","",MARÍTIMOS[[#This Row],[Razón Social]]),"")</f>
        <v/>
      </c>
      <c r="I352" s="2" t="str">
        <f>IFERROR(IF(MARÍTIMOS[[#This Row],[RUC]]="","",MARÍTIMOS[[#This Row],[RUC]]),"")</f>
        <v/>
      </c>
      <c r="J352" s="2" t="str">
        <f>IFERROR(IF(MARÍTIMOS[[#This Row],[Placa Tracto]]="","",MARÍTIMOS[[#This Row],[Placa Tracto]]),"")</f>
        <v/>
      </c>
      <c r="K352" s="2" t="str">
        <f>IFERROR(IF(MARÍTIMOS[[#This Row],[Placa Carreta]]="","",MARÍTIMOS[[#This Row],[Placa Carreta]]),"")</f>
        <v/>
      </c>
      <c r="L352" s="46" t="str">
        <f>IFERROR(IF(MARÍTIMOS[[#This Row],[Conductor]]="","",MARÍTIMOS[[#This Row],[Conductor]]),"")</f>
        <v/>
      </c>
      <c r="M352" s="2" t="str">
        <f>IFERROR(IF(MARÍTIMOS[[#This Row],[Licencia]]="","",MARÍTIMOS[[#This Row],[Licencia]]),"")</f>
        <v/>
      </c>
      <c r="N352" s="2" t="str">
        <f>IFERROR(IF(MARÍTIMOS[[#This Row],[Número de Contacto]]="","",MARÍTIMOS[[#This Row],[Número de Contacto]]),"")</f>
        <v/>
      </c>
      <c r="O352" s="10" t="str">
        <f>IFERROR(IF(MARÍTIMOS[[#This Row],[Booking|AWB|CRT]]="","",MARÍTIMOS[[#This Row],[Booking|AWB|CRT]]),"")</f>
        <v/>
      </c>
      <c r="P352" s="2" t="str">
        <f>IFERROR(IF(MARÍTIMOS[[#This Row],[Contenedor]]="","",MARÍTIMOS[[#This Row],[Contenedor]]),"")</f>
        <v/>
      </c>
      <c r="Q352" s="2" t="str">
        <f>IFERROR(IF(MARÍTIMOS[[#This Row],[Puerto de Retiro]]="","",MARÍTIMOS[[#This Row],[Puerto de Retiro]]),"")</f>
        <v/>
      </c>
      <c r="R352" s="2" t="str">
        <f>IFERROR(IF(MARÍTIMOS[[#This Row],[Almacén de Retiro]]="","",MARÍTIMOS[[#This Row],[Almacén de Retiro]]),"")</f>
        <v/>
      </c>
      <c r="S352" s="11" t="str">
        <f>IFERROR(IF(MARÍTIMOS[[#This Row],[Etapa Retiro - Cita]]="","",MARÍTIMOS[[#This Row],[Etapa Retiro - Cita]]),"")</f>
        <v/>
      </c>
      <c r="T352" s="11" t="str">
        <f>IFERROR(IF(MARÍTIMOS[[#This Row],[Etapa Retiro - Llegada]]="","",MARÍTIMOS[[#This Row],[Etapa Retiro - Llegada]]),"")</f>
        <v/>
      </c>
      <c r="U352" s="11" t="str">
        <f>IFERROR(IF(MARÍTIMOS[[#This Row],[Etapa Retiro - Ingreso]]="","",MARÍTIMOS[[#This Row],[Etapa Retiro - Ingreso]]),"")</f>
        <v/>
      </c>
      <c r="V352" s="11" t="str">
        <f>IFERROR(IF(MARÍTIMOS[[#This Row],[Etapa Retiro - Atención]]="","",MARÍTIMOS[[#This Row],[Etapa Retiro - Atención]]),"")</f>
        <v/>
      </c>
      <c r="W352" s="11" t="str">
        <f>IFERROR(IF(MARÍTIMOS[[#This Row],[Etapa Retiro - Salida]]="","",MARÍTIMOS[[#This Row],[Etapa Retiro - Salida]]),"")</f>
        <v/>
      </c>
      <c r="X352" s="11" t="str">
        <f>IFERROR(IF(MARÍTIMOS[[#This Row],[Etapa Retiro - Inicio de Ruta]]="","",MARÍTIMOS[[#This Row],[Etapa Retiro - Inicio de Ruta]]),"")</f>
        <v/>
      </c>
      <c r="Y352" s="11" t="str">
        <f>IFERROR(IF(MARÍTIMOS[[#This Row],[Hora de Posicionamiento]]="","",MARÍTIMOS[[#This Row],[Hora de Carga]]+MARÍTIMOS[[#This Row],[Hora de Posicionamiento]]),"")</f>
        <v/>
      </c>
      <c r="Z352" s="11" t="str">
        <f>IFERROR(IF(MARÍTIMOS[[#This Row],[Etapa Despacho -  Llegada]]="","",MARÍTIMOS[[#This Row],[Etapa Despacho -  Llegada]]),"")</f>
        <v/>
      </c>
      <c r="AA352" s="11" t="str">
        <f>IFERROR(IF(MARÍTIMOS[[#This Row],[Etapa Despacho -  Registro]]="","",MARÍTIMOS[[#This Row],[Etapa Despacho -  Registro]]),"")</f>
        <v/>
      </c>
      <c r="AB352" s="11" t="str">
        <f>IFERROR(IF(MARÍTIMOS[[#This Row],[Inspección Externa]]="","",MARÍTIMOS[[#This Row],[Inspección Externa]]),"")</f>
        <v/>
      </c>
      <c r="AC352" s="11" t="str">
        <f>IFERROR(IF(MARÍTIMOS[[#This Row],[Etapa Despacho -  Inicio de Carga]]="","",MARÍTIMOS[[#This Row],[Etapa Despacho -  Inicio de Carga]]),"")</f>
        <v/>
      </c>
      <c r="AD352" s="11" t="str">
        <f>IFERROR(IF(MARÍTIMOS[[#This Row],[Etapa Despacho -  Fin de Carga]]="","",MARÍTIMOS[[#This Row],[Etapa Despacho -  Fin de Carga]]),"")</f>
        <v/>
      </c>
      <c r="AE352" s="11" t="str">
        <f>IFERROR(IF(MARÍTIMOS[[#This Row],[Etapa Despacho -  Salida]]="","",MARÍTIMOS[[#This Row],[Etapa Despacho -  Salida]]),"")</f>
        <v/>
      </c>
      <c r="AF352" s="2" t="str">
        <f>IFERROR(IF(MARÍTIMOS[[#This Row],[Puerto de Embarque]]="","",MARÍTIMOS[[#This Row],[Puerto de Embarque]]),"")</f>
        <v/>
      </c>
      <c r="AG352" s="2" t="str">
        <f>IFERROR(IF(MARÍTIMOS[[#This Row],[Almacén de Ingreso]]="","",MARÍTIMOS[[#This Row],[Almacén de Ingreso]]),"")</f>
        <v/>
      </c>
      <c r="AH352" s="11" t="str">
        <f>IFERROR(IF(MARÍTIMOS[[#This Row],[Etapa Ingreso - Cita]]="","",MARÍTIMOS[[#This Row],[Etapa Ingreso - Cita]]),"")</f>
        <v/>
      </c>
      <c r="AI352" s="11" t="str">
        <f>IFERROR(IF(MARÍTIMOS[[#This Row],[Etapa Ingreso - Llegada]]="","",MARÍTIMOS[[#This Row],[Etapa Ingreso - Llegada]]),"")</f>
        <v/>
      </c>
      <c r="AJ352" s="11" t="str">
        <f>IFERROR(IF(MARÍTIMOS[[#This Row],[Etapa Ingreso - Ingeso]]="","",MARÍTIMOS[[#This Row],[Etapa Ingreso - Ingeso]]),"")</f>
        <v/>
      </c>
      <c r="AK352" s="11" t="str">
        <f>IFERROR(IF(MARÍTIMOS[[#This Row],[Etapa Ingreso - Atención]]="","",MARÍTIMOS[[#This Row],[Etapa Ingreso - Atención]]),"")</f>
        <v/>
      </c>
      <c r="AL352" s="11" t="str">
        <f>IFERROR(IF(MARÍTIMOS[[#This Row],[Etapa Ingreso - Salida]]="","",MARÍTIMOS[[#This Row],[Etapa Ingreso - Salida]]),"")</f>
        <v/>
      </c>
      <c r="AM352" s="2" t="str">
        <f>IFERROR(IF(MARÍTIMOS[[#This Row],[FCL]]="","",MARÍTIMOS[[#This Row],[FCL]]),"")</f>
        <v/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2" s="5" t="str">
        <f>IFERROR(OLDBD[[#This Row],[Llegada a packing]]-OLDBD[[#This Row],[Inicio de Ruta]],"")</f>
        <v/>
      </c>
      <c r="AQ352" s="6" t="str">
        <f>IFERROR(OLDBD[[#This Row],[Inicio de Ruta]]-OLDBD[[#This Row],[Salida de almacén de retiro]],"")</f>
        <v/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2" s="9" t="str">
        <f>IFERROR(OLDBD[[#This Row],[Ingreso Packing]]-OLDBD[[#This Row],[Registro en Packing]],"")</f>
        <v/>
      </c>
      <c r="AV352" s="9" t="str">
        <f>IFERROR(OLDBD[[#This Row],[Ingreso Packing]]-OLDBD[[#This Row],[Llegada a packing]],"")</f>
        <v/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2" s="5" t="str">
        <f>IFERROR(OLDBD[[#This Row],[Llegada Almacén de Ingreso]]-OLDBD[[#This Row],[Salida Packing]],"")</f>
        <v/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2" s="45" t="s">
        <v>181</v>
      </c>
      <c r="BB352" s="53" t="str">
        <f>IFERROR(IF(MARÍTIMOS[[#This Row],[Estatus]]="","",MARÍTIMOS[[#This Row],[Estatus]]),"")</f>
        <v/>
      </c>
      <c r="BC352" s="45"/>
      <c r="BD352" s="52" t="str">
        <f>IFERROR(OLDBD[[#This Row],[Salida de almacén de retiro]]-OLDBD[[#This Row],[Ingreso Almacén de retiro]],"")</f>
        <v/>
      </c>
      <c r="BE352" s="52" t="str">
        <f>IFERROR(OLDBD[[#This Row],[Fin de Carga]]-OLDBD[[#This Row],[Inicio de Carga]],"")</f>
        <v/>
      </c>
    </row>
    <row r="353" spans="1:57" x14ac:dyDescent="0.35">
      <c r="A353" s="1"/>
      <c r="B353" s="1" t="str">
        <f>IFERROR(IF(MARÍTIMOS[[#This Row],[PP]]="","",MARÍTIMOS[[#This Row],[PP]]),"")</f>
        <v/>
      </c>
      <c r="C353" s="1" t="str">
        <f>IFERROR(IF(MARÍTIMOS[[#This Row],[Sede]]="","",MARÍTIMOS[[#This Row],[Sede]]),"")</f>
        <v/>
      </c>
      <c r="D353" s="1" t="str">
        <f>IFERROR(IF(MARÍTIMOS[[#This Row],[Instruction]]="","",MARÍTIMOS[[#This Row],[Instruction]]),"")</f>
        <v/>
      </c>
      <c r="E353" s="1"/>
      <c r="F353" s="2" t="str">
        <f>IFERROR(IF(MARÍTIMOS[[#This Row],[Transportista]]="","",MARÍTIMOS[[#This Row],[Transportista]]),"")</f>
        <v/>
      </c>
      <c r="G353" s="2" t="str">
        <f>IFERROR(IF(MARÍTIMOS[[#This Row],[Tercero]]="","",MARÍTIMOS[[#This Row],[Tercero]]),"")</f>
        <v/>
      </c>
      <c r="H353" s="2" t="str">
        <f>IFERROR(IF(MARÍTIMOS[[#This Row],[Razón Social]]="","",MARÍTIMOS[[#This Row],[Razón Social]]),"")</f>
        <v/>
      </c>
      <c r="I353" s="2" t="str">
        <f>IFERROR(IF(MARÍTIMOS[[#This Row],[RUC]]="","",MARÍTIMOS[[#This Row],[RUC]]),"")</f>
        <v/>
      </c>
      <c r="J353" s="2" t="str">
        <f>IFERROR(IF(MARÍTIMOS[[#This Row],[Placa Tracto]]="","",MARÍTIMOS[[#This Row],[Placa Tracto]]),"")</f>
        <v/>
      </c>
      <c r="K353" s="2" t="str">
        <f>IFERROR(IF(MARÍTIMOS[[#This Row],[Placa Carreta]]="","",MARÍTIMOS[[#This Row],[Placa Carreta]]),"")</f>
        <v/>
      </c>
      <c r="L353" s="46" t="str">
        <f>IFERROR(IF(MARÍTIMOS[[#This Row],[Conductor]]="","",MARÍTIMOS[[#This Row],[Conductor]]),"")</f>
        <v/>
      </c>
      <c r="M353" s="2" t="str">
        <f>IFERROR(IF(MARÍTIMOS[[#This Row],[Licencia]]="","",MARÍTIMOS[[#This Row],[Licencia]]),"")</f>
        <v/>
      </c>
      <c r="N353" s="2" t="str">
        <f>IFERROR(IF(MARÍTIMOS[[#This Row],[Número de Contacto]]="","",MARÍTIMOS[[#This Row],[Número de Contacto]]),"")</f>
        <v/>
      </c>
      <c r="O353" s="10" t="str">
        <f>IFERROR(IF(MARÍTIMOS[[#This Row],[Booking|AWB|CRT]]="","",MARÍTIMOS[[#This Row],[Booking|AWB|CRT]]),"")</f>
        <v/>
      </c>
      <c r="P353" s="2" t="str">
        <f>IFERROR(IF(MARÍTIMOS[[#This Row],[Contenedor]]="","",MARÍTIMOS[[#This Row],[Contenedor]]),"")</f>
        <v/>
      </c>
      <c r="Q353" s="2" t="str">
        <f>IFERROR(IF(MARÍTIMOS[[#This Row],[Puerto de Retiro]]="","",MARÍTIMOS[[#This Row],[Puerto de Retiro]]),"")</f>
        <v/>
      </c>
      <c r="R353" s="2" t="str">
        <f>IFERROR(IF(MARÍTIMOS[[#This Row],[Almacén de Retiro]]="","",MARÍTIMOS[[#This Row],[Almacén de Retiro]]),"")</f>
        <v/>
      </c>
      <c r="S353" s="11" t="str">
        <f>IFERROR(IF(MARÍTIMOS[[#This Row],[Etapa Retiro - Cita]]="","",MARÍTIMOS[[#This Row],[Etapa Retiro - Cita]]),"")</f>
        <v/>
      </c>
      <c r="T353" s="11" t="str">
        <f>IFERROR(IF(MARÍTIMOS[[#This Row],[Etapa Retiro - Llegada]]="","",MARÍTIMOS[[#This Row],[Etapa Retiro - Llegada]]),"")</f>
        <v/>
      </c>
      <c r="U353" s="11" t="str">
        <f>IFERROR(IF(MARÍTIMOS[[#This Row],[Etapa Retiro - Ingreso]]="","",MARÍTIMOS[[#This Row],[Etapa Retiro - Ingreso]]),"")</f>
        <v/>
      </c>
      <c r="V353" s="11" t="str">
        <f>IFERROR(IF(MARÍTIMOS[[#This Row],[Etapa Retiro - Atención]]="","",MARÍTIMOS[[#This Row],[Etapa Retiro - Atención]]),"")</f>
        <v/>
      </c>
      <c r="W353" s="11" t="str">
        <f>IFERROR(IF(MARÍTIMOS[[#This Row],[Etapa Retiro - Salida]]="","",MARÍTIMOS[[#This Row],[Etapa Retiro - Salida]]),"")</f>
        <v/>
      </c>
      <c r="X353" s="11" t="str">
        <f>IFERROR(IF(MARÍTIMOS[[#This Row],[Etapa Retiro - Inicio de Ruta]]="","",MARÍTIMOS[[#This Row],[Etapa Retiro - Inicio de Ruta]]),"")</f>
        <v/>
      </c>
      <c r="Y353" s="11" t="str">
        <f>IFERROR(IF(MARÍTIMOS[[#This Row],[Hora de Posicionamiento]]="","",MARÍTIMOS[[#This Row],[Hora de Carga]]+MARÍTIMOS[[#This Row],[Hora de Posicionamiento]]),"")</f>
        <v/>
      </c>
      <c r="Z353" s="11" t="str">
        <f>IFERROR(IF(MARÍTIMOS[[#This Row],[Etapa Despacho -  Llegada]]="","",MARÍTIMOS[[#This Row],[Etapa Despacho -  Llegada]]),"")</f>
        <v/>
      </c>
      <c r="AA353" s="11" t="str">
        <f>IFERROR(IF(MARÍTIMOS[[#This Row],[Etapa Despacho -  Registro]]="","",MARÍTIMOS[[#This Row],[Etapa Despacho -  Registro]]),"")</f>
        <v/>
      </c>
      <c r="AB353" s="11" t="str">
        <f>IFERROR(IF(MARÍTIMOS[[#This Row],[Inspección Externa]]="","",MARÍTIMOS[[#This Row],[Inspección Externa]]),"")</f>
        <v/>
      </c>
      <c r="AC353" s="11" t="str">
        <f>IFERROR(IF(MARÍTIMOS[[#This Row],[Etapa Despacho -  Inicio de Carga]]="","",MARÍTIMOS[[#This Row],[Etapa Despacho -  Inicio de Carga]]),"")</f>
        <v/>
      </c>
      <c r="AD353" s="11" t="str">
        <f>IFERROR(IF(MARÍTIMOS[[#This Row],[Etapa Despacho -  Fin de Carga]]="","",MARÍTIMOS[[#This Row],[Etapa Despacho -  Fin de Carga]]),"")</f>
        <v/>
      </c>
      <c r="AE353" s="11" t="str">
        <f>IFERROR(IF(MARÍTIMOS[[#This Row],[Etapa Despacho -  Salida]]="","",MARÍTIMOS[[#This Row],[Etapa Despacho -  Salida]]),"")</f>
        <v/>
      </c>
      <c r="AF353" s="2" t="str">
        <f>IFERROR(IF(MARÍTIMOS[[#This Row],[Puerto de Embarque]]="","",MARÍTIMOS[[#This Row],[Puerto de Embarque]]),"")</f>
        <v/>
      </c>
      <c r="AG353" s="2" t="str">
        <f>IFERROR(IF(MARÍTIMOS[[#This Row],[Almacén de Ingreso]]="","",MARÍTIMOS[[#This Row],[Almacén de Ingreso]]),"")</f>
        <v/>
      </c>
      <c r="AH353" s="11" t="str">
        <f>IFERROR(IF(MARÍTIMOS[[#This Row],[Etapa Ingreso - Cita]]="","",MARÍTIMOS[[#This Row],[Etapa Ingreso - Cita]]),"")</f>
        <v/>
      </c>
      <c r="AI353" s="11" t="str">
        <f>IFERROR(IF(MARÍTIMOS[[#This Row],[Etapa Ingreso - Llegada]]="","",MARÍTIMOS[[#This Row],[Etapa Ingreso - Llegada]]),"")</f>
        <v/>
      </c>
      <c r="AJ353" s="11" t="str">
        <f>IFERROR(IF(MARÍTIMOS[[#This Row],[Etapa Ingreso - Ingeso]]="","",MARÍTIMOS[[#This Row],[Etapa Ingreso - Ingeso]]),"")</f>
        <v/>
      </c>
      <c r="AK353" s="11" t="str">
        <f>IFERROR(IF(MARÍTIMOS[[#This Row],[Etapa Ingreso - Atención]]="","",MARÍTIMOS[[#This Row],[Etapa Ingreso - Atención]]),"")</f>
        <v/>
      </c>
      <c r="AL353" s="11" t="str">
        <f>IFERROR(IF(MARÍTIMOS[[#This Row],[Etapa Ingreso - Salida]]="","",MARÍTIMOS[[#This Row],[Etapa Ingreso - Salida]]),"")</f>
        <v/>
      </c>
      <c r="AM353" s="2" t="str">
        <f>IFERROR(IF(MARÍTIMOS[[#This Row],[FCL]]="","",MARÍTIMOS[[#This Row],[FCL]]),"")</f>
        <v/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3" s="5" t="str">
        <f>IFERROR(OLDBD[[#This Row],[Llegada a packing]]-OLDBD[[#This Row],[Inicio de Ruta]],"")</f>
        <v/>
      </c>
      <c r="AQ353" s="6" t="str">
        <f>IFERROR(OLDBD[[#This Row],[Inicio de Ruta]]-OLDBD[[#This Row],[Salida de almacén de retiro]],"")</f>
        <v/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3" s="9" t="str">
        <f>IFERROR(OLDBD[[#This Row],[Ingreso Packing]]-OLDBD[[#This Row],[Registro en Packing]],"")</f>
        <v/>
      </c>
      <c r="AV353" s="9" t="str">
        <f>IFERROR(OLDBD[[#This Row],[Ingreso Packing]]-OLDBD[[#This Row],[Llegada a packing]],"")</f>
        <v/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3" s="5" t="str">
        <f>IFERROR(OLDBD[[#This Row],[Llegada Almacén de Ingreso]]-OLDBD[[#This Row],[Salida Packing]],"")</f>
        <v/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3" s="45" t="s">
        <v>181</v>
      </c>
      <c r="BB353" s="53" t="str">
        <f>IFERROR(IF(MARÍTIMOS[[#This Row],[Estatus]]="","",MARÍTIMOS[[#This Row],[Estatus]]),"")</f>
        <v/>
      </c>
      <c r="BC353" s="45"/>
      <c r="BD353" s="52" t="str">
        <f>IFERROR(OLDBD[[#This Row],[Salida de almacén de retiro]]-OLDBD[[#This Row],[Ingreso Almacén de retiro]],"")</f>
        <v/>
      </c>
      <c r="BE353" s="52" t="str">
        <f>IFERROR(OLDBD[[#This Row],[Fin de Carga]]-OLDBD[[#This Row],[Inicio de Carga]],"")</f>
        <v/>
      </c>
    </row>
    <row r="354" spans="1:57" x14ac:dyDescent="0.35">
      <c r="A354" s="1"/>
      <c r="B354" s="1" t="str">
        <f>IFERROR(IF(MARÍTIMOS[[#This Row],[PP]]="","",MARÍTIMOS[[#This Row],[PP]]),"")</f>
        <v/>
      </c>
      <c r="C354" s="1" t="str">
        <f>IFERROR(IF(MARÍTIMOS[[#This Row],[Sede]]="","",MARÍTIMOS[[#This Row],[Sede]]),"")</f>
        <v/>
      </c>
      <c r="D354" s="1" t="str">
        <f>IFERROR(IF(MARÍTIMOS[[#This Row],[Instruction]]="","",MARÍTIMOS[[#This Row],[Instruction]]),"")</f>
        <v/>
      </c>
      <c r="E354" s="1"/>
      <c r="F354" s="2" t="str">
        <f>IFERROR(IF(MARÍTIMOS[[#This Row],[Transportista]]="","",MARÍTIMOS[[#This Row],[Transportista]]),"")</f>
        <v/>
      </c>
      <c r="G354" s="2" t="str">
        <f>IFERROR(IF(MARÍTIMOS[[#This Row],[Tercero]]="","",MARÍTIMOS[[#This Row],[Tercero]]),"")</f>
        <v/>
      </c>
      <c r="H354" s="2" t="str">
        <f>IFERROR(IF(MARÍTIMOS[[#This Row],[Razón Social]]="","",MARÍTIMOS[[#This Row],[Razón Social]]),"")</f>
        <v/>
      </c>
      <c r="I354" s="2" t="str">
        <f>IFERROR(IF(MARÍTIMOS[[#This Row],[RUC]]="","",MARÍTIMOS[[#This Row],[RUC]]),"")</f>
        <v/>
      </c>
      <c r="J354" s="2" t="str">
        <f>IFERROR(IF(MARÍTIMOS[[#This Row],[Placa Tracto]]="","",MARÍTIMOS[[#This Row],[Placa Tracto]]),"")</f>
        <v/>
      </c>
      <c r="K354" s="2" t="str">
        <f>IFERROR(IF(MARÍTIMOS[[#This Row],[Placa Carreta]]="","",MARÍTIMOS[[#This Row],[Placa Carreta]]),"")</f>
        <v/>
      </c>
      <c r="L354" s="46" t="str">
        <f>IFERROR(IF(MARÍTIMOS[[#This Row],[Conductor]]="","",MARÍTIMOS[[#This Row],[Conductor]]),"")</f>
        <v/>
      </c>
      <c r="M354" s="2" t="str">
        <f>IFERROR(IF(MARÍTIMOS[[#This Row],[Licencia]]="","",MARÍTIMOS[[#This Row],[Licencia]]),"")</f>
        <v/>
      </c>
      <c r="N354" s="2" t="str">
        <f>IFERROR(IF(MARÍTIMOS[[#This Row],[Número de Contacto]]="","",MARÍTIMOS[[#This Row],[Número de Contacto]]),"")</f>
        <v/>
      </c>
      <c r="O354" s="10" t="str">
        <f>IFERROR(IF(MARÍTIMOS[[#This Row],[Booking|AWB|CRT]]="","",MARÍTIMOS[[#This Row],[Booking|AWB|CRT]]),"")</f>
        <v/>
      </c>
      <c r="P354" s="2" t="str">
        <f>IFERROR(IF(MARÍTIMOS[[#This Row],[Contenedor]]="","",MARÍTIMOS[[#This Row],[Contenedor]]),"")</f>
        <v/>
      </c>
      <c r="Q354" s="2" t="str">
        <f>IFERROR(IF(MARÍTIMOS[[#This Row],[Puerto de Retiro]]="","",MARÍTIMOS[[#This Row],[Puerto de Retiro]]),"")</f>
        <v/>
      </c>
      <c r="R354" s="2" t="str">
        <f>IFERROR(IF(MARÍTIMOS[[#This Row],[Almacén de Retiro]]="","",MARÍTIMOS[[#This Row],[Almacén de Retiro]]),"")</f>
        <v/>
      </c>
      <c r="S354" s="11" t="str">
        <f>IFERROR(IF(MARÍTIMOS[[#This Row],[Etapa Retiro - Cita]]="","",MARÍTIMOS[[#This Row],[Etapa Retiro - Cita]]),"")</f>
        <v/>
      </c>
      <c r="T354" s="11" t="str">
        <f>IFERROR(IF(MARÍTIMOS[[#This Row],[Etapa Retiro - Llegada]]="","",MARÍTIMOS[[#This Row],[Etapa Retiro - Llegada]]),"")</f>
        <v/>
      </c>
      <c r="U354" s="11" t="str">
        <f>IFERROR(IF(MARÍTIMOS[[#This Row],[Etapa Retiro - Ingreso]]="","",MARÍTIMOS[[#This Row],[Etapa Retiro - Ingreso]]),"")</f>
        <v/>
      </c>
      <c r="V354" s="11" t="str">
        <f>IFERROR(IF(MARÍTIMOS[[#This Row],[Etapa Retiro - Atención]]="","",MARÍTIMOS[[#This Row],[Etapa Retiro - Atención]]),"")</f>
        <v/>
      </c>
      <c r="W354" s="11" t="str">
        <f>IFERROR(IF(MARÍTIMOS[[#This Row],[Etapa Retiro - Salida]]="","",MARÍTIMOS[[#This Row],[Etapa Retiro - Salida]]),"")</f>
        <v/>
      </c>
      <c r="X354" s="11" t="str">
        <f>IFERROR(IF(MARÍTIMOS[[#This Row],[Etapa Retiro - Inicio de Ruta]]="","",MARÍTIMOS[[#This Row],[Etapa Retiro - Inicio de Ruta]]),"")</f>
        <v/>
      </c>
      <c r="Y354" s="11" t="str">
        <f>IFERROR(IF(MARÍTIMOS[[#This Row],[Hora de Posicionamiento]]="","",MARÍTIMOS[[#This Row],[Hora de Carga]]+MARÍTIMOS[[#This Row],[Hora de Posicionamiento]]),"")</f>
        <v/>
      </c>
      <c r="Z354" s="11" t="str">
        <f>IFERROR(IF(MARÍTIMOS[[#This Row],[Etapa Despacho -  Llegada]]="","",MARÍTIMOS[[#This Row],[Etapa Despacho -  Llegada]]),"")</f>
        <v/>
      </c>
      <c r="AA354" s="11" t="str">
        <f>IFERROR(IF(MARÍTIMOS[[#This Row],[Etapa Despacho -  Registro]]="","",MARÍTIMOS[[#This Row],[Etapa Despacho -  Registro]]),"")</f>
        <v/>
      </c>
      <c r="AB354" s="11" t="str">
        <f>IFERROR(IF(MARÍTIMOS[[#This Row],[Inspección Externa]]="","",MARÍTIMOS[[#This Row],[Inspección Externa]]),"")</f>
        <v/>
      </c>
      <c r="AC354" s="11" t="str">
        <f>IFERROR(IF(MARÍTIMOS[[#This Row],[Etapa Despacho -  Inicio de Carga]]="","",MARÍTIMOS[[#This Row],[Etapa Despacho -  Inicio de Carga]]),"")</f>
        <v/>
      </c>
      <c r="AD354" s="11" t="str">
        <f>IFERROR(IF(MARÍTIMOS[[#This Row],[Etapa Despacho -  Fin de Carga]]="","",MARÍTIMOS[[#This Row],[Etapa Despacho -  Fin de Carga]]),"")</f>
        <v/>
      </c>
      <c r="AE354" s="11" t="str">
        <f>IFERROR(IF(MARÍTIMOS[[#This Row],[Etapa Despacho -  Salida]]="","",MARÍTIMOS[[#This Row],[Etapa Despacho -  Salida]]),"")</f>
        <v/>
      </c>
      <c r="AF354" s="2" t="str">
        <f>IFERROR(IF(MARÍTIMOS[[#This Row],[Puerto de Embarque]]="","",MARÍTIMOS[[#This Row],[Puerto de Embarque]]),"")</f>
        <v/>
      </c>
      <c r="AG354" s="2" t="str">
        <f>IFERROR(IF(MARÍTIMOS[[#This Row],[Almacén de Ingreso]]="","",MARÍTIMOS[[#This Row],[Almacén de Ingreso]]),"")</f>
        <v/>
      </c>
      <c r="AH354" s="11" t="str">
        <f>IFERROR(IF(MARÍTIMOS[[#This Row],[Etapa Ingreso - Cita]]="","",MARÍTIMOS[[#This Row],[Etapa Ingreso - Cita]]),"")</f>
        <v/>
      </c>
      <c r="AI354" s="11" t="str">
        <f>IFERROR(IF(MARÍTIMOS[[#This Row],[Etapa Ingreso - Llegada]]="","",MARÍTIMOS[[#This Row],[Etapa Ingreso - Llegada]]),"")</f>
        <v/>
      </c>
      <c r="AJ354" s="11" t="str">
        <f>IFERROR(IF(MARÍTIMOS[[#This Row],[Etapa Ingreso - Ingeso]]="","",MARÍTIMOS[[#This Row],[Etapa Ingreso - Ingeso]]),"")</f>
        <v/>
      </c>
      <c r="AK354" s="11" t="str">
        <f>IFERROR(IF(MARÍTIMOS[[#This Row],[Etapa Ingreso - Atención]]="","",MARÍTIMOS[[#This Row],[Etapa Ingreso - Atención]]),"")</f>
        <v/>
      </c>
      <c r="AL354" s="11" t="str">
        <f>IFERROR(IF(MARÍTIMOS[[#This Row],[Etapa Ingreso - Salida]]="","",MARÍTIMOS[[#This Row],[Etapa Ingreso - Salida]]),"")</f>
        <v/>
      </c>
      <c r="AM354" s="2" t="str">
        <f>IFERROR(IF(MARÍTIMOS[[#This Row],[FCL]]="","",MARÍTIMOS[[#This Row],[FCL]]),"")</f>
        <v/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4" s="5" t="str">
        <f>IFERROR(OLDBD[[#This Row],[Llegada a packing]]-OLDBD[[#This Row],[Inicio de Ruta]],"")</f>
        <v/>
      </c>
      <c r="AQ354" s="6" t="str">
        <f>IFERROR(OLDBD[[#This Row],[Inicio de Ruta]]-OLDBD[[#This Row],[Salida de almacén de retiro]],"")</f>
        <v/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4" s="9" t="str">
        <f>IFERROR(OLDBD[[#This Row],[Ingreso Packing]]-OLDBD[[#This Row],[Registro en Packing]],"")</f>
        <v/>
      </c>
      <c r="AV354" s="9" t="str">
        <f>IFERROR(OLDBD[[#This Row],[Ingreso Packing]]-OLDBD[[#This Row],[Llegada a packing]],"")</f>
        <v/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4" s="5" t="str">
        <f>IFERROR(OLDBD[[#This Row],[Llegada Almacén de Ingreso]]-OLDBD[[#This Row],[Salida Packing]],"")</f>
        <v/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4" s="45" t="s">
        <v>181</v>
      </c>
      <c r="BB354" s="53" t="str">
        <f>IFERROR(IF(MARÍTIMOS[[#This Row],[Estatus]]="","",MARÍTIMOS[[#This Row],[Estatus]]),"")</f>
        <v/>
      </c>
      <c r="BC354" s="45"/>
      <c r="BD354" s="52" t="str">
        <f>IFERROR(OLDBD[[#This Row],[Salida de almacén de retiro]]-OLDBD[[#This Row],[Ingreso Almacén de retiro]],"")</f>
        <v/>
      </c>
      <c r="BE354" s="52" t="str">
        <f>IFERROR(OLDBD[[#This Row],[Fin de Carga]]-OLDBD[[#This Row],[Inicio de Carga]],"")</f>
        <v/>
      </c>
    </row>
    <row r="355" spans="1:57" x14ac:dyDescent="0.35">
      <c r="A355" s="1"/>
      <c r="B355" s="1" t="str">
        <f>IFERROR(IF(MARÍTIMOS[[#This Row],[PP]]="","",MARÍTIMOS[[#This Row],[PP]]),"")</f>
        <v/>
      </c>
      <c r="C355" s="1" t="str">
        <f>IFERROR(IF(MARÍTIMOS[[#This Row],[Sede]]="","",MARÍTIMOS[[#This Row],[Sede]]),"")</f>
        <v/>
      </c>
      <c r="D355" s="1" t="str">
        <f>IFERROR(IF(MARÍTIMOS[[#This Row],[Instruction]]="","",MARÍTIMOS[[#This Row],[Instruction]]),"")</f>
        <v/>
      </c>
      <c r="E355" s="1"/>
      <c r="F355" s="2" t="str">
        <f>IFERROR(IF(MARÍTIMOS[[#This Row],[Transportista]]="","",MARÍTIMOS[[#This Row],[Transportista]]),"")</f>
        <v/>
      </c>
      <c r="G355" s="2" t="str">
        <f>IFERROR(IF(MARÍTIMOS[[#This Row],[Tercero]]="","",MARÍTIMOS[[#This Row],[Tercero]]),"")</f>
        <v/>
      </c>
      <c r="H355" s="2" t="str">
        <f>IFERROR(IF(MARÍTIMOS[[#This Row],[Razón Social]]="","",MARÍTIMOS[[#This Row],[Razón Social]]),"")</f>
        <v/>
      </c>
      <c r="I355" s="2" t="str">
        <f>IFERROR(IF(MARÍTIMOS[[#This Row],[RUC]]="","",MARÍTIMOS[[#This Row],[RUC]]),"")</f>
        <v/>
      </c>
      <c r="J355" s="2" t="str">
        <f>IFERROR(IF(MARÍTIMOS[[#This Row],[Placa Tracto]]="","",MARÍTIMOS[[#This Row],[Placa Tracto]]),"")</f>
        <v/>
      </c>
      <c r="K355" s="2" t="str">
        <f>IFERROR(IF(MARÍTIMOS[[#This Row],[Placa Carreta]]="","",MARÍTIMOS[[#This Row],[Placa Carreta]]),"")</f>
        <v/>
      </c>
      <c r="L355" s="46" t="str">
        <f>IFERROR(IF(MARÍTIMOS[[#This Row],[Conductor]]="","",MARÍTIMOS[[#This Row],[Conductor]]),"")</f>
        <v/>
      </c>
      <c r="M355" s="2" t="str">
        <f>IFERROR(IF(MARÍTIMOS[[#This Row],[Licencia]]="","",MARÍTIMOS[[#This Row],[Licencia]]),"")</f>
        <v/>
      </c>
      <c r="N355" s="2" t="str">
        <f>IFERROR(IF(MARÍTIMOS[[#This Row],[Número de Contacto]]="","",MARÍTIMOS[[#This Row],[Número de Contacto]]),"")</f>
        <v/>
      </c>
      <c r="O355" s="10" t="str">
        <f>IFERROR(IF(MARÍTIMOS[[#This Row],[Booking|AWB|CRT]]="","",MARÍTIMOS[[#This Row],[Booking|AWB|CRT]]),"")</f>
        <v/>
      </c>
      <c r="P355" s="2" t="str">
        <f>IFERROR(IF(MARÍTIMOS[[#This Row],[Contenedor]]="","",MARÍTIMOS[[#This Row],[Contenedor]]),"")</f>
        <v/>
      </c>
      <c r="Q355" s="2" t="str">
        <f>IFERROR(IF(MARÍTIMOS[[#This Row],[Puerto de Retiro]]="","",MARÍTIMOS[[#This Row],[Puerto de Retiro]]),"")</f>
        <v/>
      </c>
      <c r="R355" s="2" t="str">
        <f>IFERROR(IF(MARÍTIMOS[[#This Row],[Almacén de Retiro]]="","",MARÍTIMOS[[#This Row],[Almacén de Retiro]]),"")</f>
        <v/>
      </c>
      <c r="S355" s="11" t="str">
        <f>IFERROR(IF(MARÍTIMOS[[#This Row],[Etapa Retiro - Cita]]="","",MARÍTIMOS[[#This Row],[Etapa Retiro - Cita]]),"")</f>
        <v/>
      </c>
      <c r="T355" s="11" t="str">
        <f>IFERROR(IF(MARÍTIMOS[[#This Row],[Etapa Retiro - Llegada]]="","",MARÍTIMOS[[#This Row],[Etapa Retiro - Llegada]]),"")</f>
        <v/>
      </c>
      <c r="U355" s="11" t="str">
        <f>IFERROR(IF(MARÍTIMOS[[#This Row],[Etapa Retiro - Ingreso]]="","",MARÍTIMOS[[#This Row],[Etapa Retiro - Ingreso]]),"")</f>
        <v/>
      </c>
      <c r="V355" s="11" t="str">
        <f>IFERROR(IF(MARÍTIMOS[[#This Row],[Etapa Retiro - Atención]]="","",MARÍTIMOS[[#This Row],[Etapa Retiro - Atención]]),"")</f>
        <v/>
      </c>
      <c r="W355" s="11" t="str">
        <f>IFERROR(IF(MARÍTIMOS[[#This Row],[Etapa Retiro - Salida]]="","",MARÍTIMOS[[#This Row],[Etapa Retiro - Salida]]),"")</f>
        <v/>
      </c>
      <c r="X355" s="11" t="str">
        <f>IFERROR(IF(MARÍTIMOS[[#This Row],[Etapa Retiro - Inicio de Ruta]]="","",MARÍTIMOS[[#This Row],[Etapa Retiro - Inicio de Ruta]]),"")</f>
        <v/>
      </c>
      <c r="Y355" s="11" t="str">
        <f>IFERROR(IF(MARÍTIMOS[[#This Row],[Hora de Posicionamiento]]="","",MARÍTIMOS[[#This Row],[Hora de Carga]]+MARÍTIMOS[[#This Row],[Hora de Posicionamiento]]),"")</f>
        <v/>
      </c>
      <c r="Z355" s="11" t="str">
        <f>IFERROR(IF(MARÍTIMOS[[#This Row],[Etapa Despacho -  Llegada]]="","",MARÍTIMOS[[#This Row],[Etapa Despacho -  Llegada]]),"")</f>
        <v/>
      </c>
      <c r="AA355" s="11" t="str">
        <f>IFERROR(IF(MARÍTIMOS[[#This Row],[Etapa Despacho -  Registro]]="","",MARÍTIMOS[[#This Row],[Etapa Despacho -  Registro]]),"")</f>
        <v/>
      </c>
      <c r="AB355" s="11" t="str">
        <f>IFERROR(IF(MARÍTIMOS[[#This Row],[Inspección Externa]]="","",MARÍTIMOS[[#This Row],[Inspección Externa]]),"")</f>
        <v/>
      </c>
      <c r="AC355" s="11" t="str">
        <f>IFERROR(IF(MARÍTIMOS[[#This Row],[Etapa Despacho -  Inicio de Carga]]="","",MARÍTIMOS[[#This Row],[Etapa Despacho -  Inicio de Carga]]),"")</f>
        <v/>
      </c>
      <c r="AD355" s="11" t="str">
        <f>IFERROR(IF(MARÍTIMOS[[#This Row],[Etapa Despacho -  Fin de Carga]]="","",MARÍTIMOS[[#This Row],[Etapa Despacho -  Fin de Carga]]),"")</f>
        <v/>
      </c>
      <c r="AE355" s="11" t="str">
        <f>IFERROR(IF(MARÍTIMOS[[#This Row],[Etapa Despacho -  Salida]]="","",MARÍTIMOS[[#This Row],[Etapa Despacho -  Salida]]),"")</f>
        <v/>
      </c>
      <c r="AF355" s="2" t="str">
        <f>IFERROR(IF(MARÍTIMOS[[#This Row],[Puerto de Embarque]]="","",MARÍTIMOS[[#This Row],[Puerto de Embarque]]),"")</f>
        <v/>
      </c>
      <c r="AG355" s="2" t="str">
        <f>IFERROR(IF(MARÍTIMOS[[#This Row],[Almacén de Ingreso]]="","",MARÍTIMOS[[#This Row],[Almacén de Ingreso]]),"")</f>
        <v/>
      </c>
      <c r="AH355" s="11" t="str">
        <f>IFERROR(IF(MARÍTIMOS[[#This Row],[Etapa Ingreso - Cita]]="","",MARÍTIMOS[[#This Row],[Etapa Ingreso - Cita]]),"")</f>
        <v/>
      </c>
      <c r="AI355" s="11" t="str">
        <f>IFERROR(IF(MARÍTIMOS[[#This Row],[Etapa Ingreso - Llegada]]="","",MARÍTIMOS[[#This Row],[Etapa Ingreso - Llegada]]),"")</f>
        <v/>
      </c>
      <c r="AJ355" s="11" t="str">
        <f>IFERROR(IF(MARÍTIMOS[[#This Row],[Etapa Ingreso - Ingeso]]="","",MARÍTIMOS[[#This Row],[Etapa Ingreso - Ingeso]]),"")</f>
        <v/>
      </c>
      <c r="AK355" s="11" t="str">
        <f>IFERROR(IF(MARÍTIMOS[[#This Row],[Etapa Ingreso - Atención]]="","",MARÍTIMOS[[#This Row],[Etapa Ingreso - Atención]]),"")</f>
        <v/>
      </c>
      <c r="AL355" s="11" t="str">
        <f>IFERROR(IF(MARÍTIMOS[[#This Row],[Etapa Ingreso - Salida]]="","",MARÍTIMOS[[#This Row],[Etapa Ingreso - Salida]]),"")</f>
        <v/>
      </c>
      <c r="AM355" s="2" t="str">
        <f>IFERROR(IF(MARÍTIMOS[[#This Row],[FCL]]="","",MARÍTIMOS[[#This Row],[FCL]]),"")</f>
        <v/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5" s="5" t="str">
        <f>IFERROR(OLDBD[[#This Row],[Llegada a packing]]-OLDBD[[#This Row],[Inicio de Ruta]],"")</f>
        <v/>
      </c>
      <c r="AQ355" s="6" t="str">
        <f>IFERROR(OLDBD[[#This Row],[Inicio de Ruta]]-OLDBD[[#This Row],[Salida de almacén de retiro]],"")</f>
        <v/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5" s="9" t="str">
        <f>IFERROR(OLDBD[[#This Row],[Ingreso Packing]]-OLDBD[[#This Row],[Registro en Packing]],"")</f>
        <v/>
      </c>
      <c r="AV355" s="9" t="str">
        <f>IFERROR(OLDBD[[#This Row],[Ingreso Packing]]-OLDBD[[#This Row],[Llegada a packing]],"")</f>
        <v/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5" s="5" t="str">
        <f>IFERROR(OLDBD[[#This Row],[Llegada Almacén de Ingreso]]-OLDBD[[#This Row],[Salida Packing]],"")</f>
        <v/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5" s="45" t="s">
        <v>181</v>
      </c>
      <c r="BB355" s="53" t="str">
        <f>IFERROR(IF(MARÍTIMOS[[#This Row],[Estatus]]="","",MARÍTIMOS[[#This Row],[Estatus]]),"")</f>
        <v/>
      </c>
      <c r="BC355" s="45"/>
      <c r="BD355" s="52" t="str">
        <f>IFERROR(OLDBD[[#This Row],[Salida de almacén de retiro]]-OLDBD[[#This Row],[Ingreso Almacén de retiro]],"")</f>
        <v/>
      </c>
      <c r="BE355" s="52" t="str">
        <f>IFERROR(OLDBD[[#This Row],[Fin de Carga]]-OLDBD[[#This Row],[Inicio de Carga]],"")</f>
        <v/>
      </c>
    </row>
    <row r="356" spans="1:57" x14ac:dyDescent="0.35">
      <c r="A356" s="1"/>
      <c r="B356" s="1" t="str">
        <f>IFERROR(IF(MARÍTIMOS[[#This Row],[PP]]="","",MARÍTIMOS[[#This Row],[PP]]),"")</f>
        <v/>
      </c>
      <c r="C356" s="1" t="str">
        <f>IFERROR(IF(MARÍTIMOS[[#This Row],[Sede]]="","",MARÍTIMOS[[#This Row],[Sede]]),"")</f>
        <v/>
      </c>
      <c r="D356" s="1" t="str">
        <f>IFERROR(IF(MARÍTIMOS[[#This Row],[Instruction]]="","",MARÍTIMOS[[#This Row],[Instruction]]),"")</f>
        <v/>
      </c>
      <c r="E356" s="1"/>
      <c r="F356" s="2" t="str">
        <f>IFERROR(IF(MARÍTIMOS[[#This Row],[Transportista]]="","",MARÍTIMOS[[#This Row],[Transportista]]),"")</f>
        <v/>
      </c>
      <c r="G356" s="2" t="str">
        <f>IFERROR(IF(MARÍTIMOS[[#This Row],[Tercero]]="","",MARÍTIMOS[[#This Row],[Tercero]]),"")</f>
        <v/>
      </c>
      <c r="H356" s="2" t="str">
        <f>IFERROR(IF(MARÍTIMOS[[#This Row],[Razón Social]]="","",MARÍTIMOS[[#This Row],[Razón Social]]),"")</f>
        <v/>
      </c>
      <c r="I356" s="2" t="str">
        <f>IFERROR(IF(MARÍTIMOS[[#This Row],[RUC]]="","",MARÍTIMOS[[#This Row],[RUC]]),"")</f>
        <v/>
      </c>
      <c r="J356" s="2" t="str">
        <f>IFERROR(IF(MARÍTIMOS[[#This Row],[Placa Tracto]]="","",MARÍTIMOS[[#This Row],[Placa Tracto]]),"")</f>
        <v/>
      </c>
      <c r="K356" s="2" t="str">
        <f>IFERROR(IF(MARÍTIMOS[[#This Row],[Placa Carreta]]="","",MARÍTIMOS[[#This Row],[Placa Carreta]]),"")</f>
        <v/>
      </c>
      <c r="L356" s="46" t="str">
        <f>IFERROR(IF(MARÍTIMOS[[#This Row],[Conductor]]="","",MARÍTIMOS[[#This Row],[Conductor]]),"")</f>
        <v/>
      </c>
      <c r="M356" s="2" t="str">
        <f>IFERROR(IF(MARÍTIMOS[[#This Row],[Licencia]]="","",MARÍTIMOS[[#This Row],[Licencia]]),"")</f>
        <v/>
      </c>
      <c r="N356" s="2" t="str">
        <f>IFERROR(IF(MARÍTIMOS[[#This Row],[Número de Contacto]]="","",MARÍTIMOS[[#This Row],[Número de Contacto]]),"")</f>
        <v/>
      </c>
      <c r="O356" s="10" t="str">
        <f>IFERROR(IF(MARÍTIMOS[[#This Row],[Booking|AWB|CRT]]="","",MARÍTIMOS[[#This Row],[Booking|AWB|CRT]]),"")</f>
        <v/>
      </c>
      <c r="P356" s="2" t="str">
        <f>IFERROR(IF(MARÍTIMOS[[#This Row],[Contenedor]]="","",MARÍTIMOS[[#This Row],[Contenedor]]),"")</f>
        <v/>
      </c>
      <c r="Q356" s="2" t="str">
        <f>IFERROR(IF(MARÍTIMOS[[#This Row],[Puerto de Retiro]]="","",MARÍTIMOS[[#This Row],[Puerto de Retiro]]),"")</f>
        <v/>
      </c>
      <c r="R356" s="2" t="str">
        <f>IFERROR(IF(MARÍTIMOS[[#This Row],[Almacén de Retiro]]="","",MARÍTIMOS[[#This Row],[Almacén de Retiro]]),"")</f>
        <v/>
      </c>
      <c r="S356" s="11" t="str">
        <f>IFERROR(IF(MARÍTIMOS[[#This Row],[Etapa Retiro - Cita]]="","",MARÍTIMOS[[#This Row],[Etapa Retiro - Cita]]),"")</f>
        <v/>
      </c>
      <c r="T356" s="11" t="str">
        <f>IFERROR(IF(MARÍTIMOS[[#This Row],[Etapa Retiro - Llegada]]="","",MARÍTIMOS[[#This Row],[Etapa Retiro - Llegada]]),"")</f>
        <v/>
      </c>
      <c r="U356" s="11" t="str">
        <f>IFERROR(IF(MARÍTIMOS[[#This Row],[Etapa Retiro - Ingreso]]="","",MARÍTIMOS[[#This Row],[Etapa Retiro - Ingreso]]),"")</f>
        <v/>
      </c>
      <c r="V356" s="11" t="str">
        <f>IFERROR(IF(MARÍTIMOS[[#This Row],[Etapa Retiro - Atención]]="","",MARÍTIMOS[[#This Row],[Etapa Retiro - Atención]]),"")</f>
        <v/>
      </c>
      <c r="W356" s="11" t="str">
        <f>IFERROR(IF(MARÍTIMOS[[#This Row],[Etapa Retiro - Salida]]="","",MARÍTIMOS[[#This Row],[Etapa Retiro - Salida]]),"")</f>
        <v/>
      </c>
      <c r="X356" s="11" t="str">
        <f>IFERROR(IF(MARÍTIMOS[[#This Row],[Etapa Retiro - Inicio de Ruta]]="","",MARÍTIMOS[[#This Row],[Etapa Retiro - Inicio de Ruta]]),"")</f>
        <v/>
      </c>
      <c r="Y356" s="11" t="str">
        <f>IFERROR(IF(MARÍTIMOS[[#This Row],[Hora de Posicionamiento]]="","",MARÍTIMOS[[#This Row],[Hora de Carga]]+MARÍTIMOS[[#This Row],[Hora de Posicionamiento]]),"")</f>
        <v/>
      </c>
      <c r="Z356" s="11" t="str">
        <f>IFERROR(IF(MARÍTIMOS[[#This Row],[Etapa Despacho -  Llegada]]="","",MARÍTIMOS[[#This Row],[Etapa Despacho -  Llegada]]),"")</f>
        <v/>
      </c>
      <c r="AA356" s="11" t="str">
        <f>IFERROR(IF(MARÍTIMOS[[#This Row],[Etapa Despacho -  Registro]]="","",MARÍTIMOS[[#This Row],[Etapa Despacho -  Registro]]),"")</f>
        <v/>
      </c>
      <c r="AB356" s="11" t="str">
        <f>IFERROR(IF(MARÍTIMOS[[#This Row],[Inspección Externa]]="","",MARÍTIMOS[[#This Row],[Inspección Externa]]),"")</f>
        <v/>
      </c>
      <c r="AC356" s="11" t="str">
        <f>IFERROR(IF(MARÍTIMOS[[#This Row],[Etapa Despacho -  Inicio de Carga]]="","",MARÍTIMOS[[#This Row],[Etapa Despacho -  Inicio de Carga]]),"")</f>
        <v/>
      </c>
      <c r="AD356" s="11" t="str">
        <f>IFERROR(IF(MARÍTIMOS[[#This Row],[Etapa Despacho -  Fin de Carga]]="","",MARÍTIMOS[[#This Row],[Etapa Despacho -  Fin de Carga]]),"")</f>
        <v/>
      </c>
      <c r="AE356" s="11" t="str">
        <f>IFERROR(IF(MARÍTIMOS[[#This Row],[Etapa Despacho -  Salida]]="","",MARÍTIMOS[[#This Row],[Etapa Despacho -  Salida]]),"")</f>
        <v/>
      </c>
      <c r="AF356" s="2" t="str">
        <f>IFERROR(IF(MARÍTIMOS[[#This Row],[Puerto de Embarque]]="","",MARÍTIMOS[[#This Row],[Puerto de Embarque]]),"")</f>
        <v/>
      </c>
      <c r="AG356" s="2" t="str">
        <f>IFERROR(IF(MARÍTIMOS[[#This Row],[Almacén de Ingreso]]="","",MARÍTIMOS[[#This Row],[Almacén de Ingreso]]),"")</f>
        <v/>
      </c>
      <c r="AH356" s="11" t="str">
        <f>IFERROR(IF(MARÍTIMOS[[#This Row],[Etapa Ingreso - Cita]]="","",MARÍTIMOS[[#This Row],[Etapa Ingreso - Cita]]),"")</f>
        <v/>
      </c>
      <c r="AI356" s="11" t="str">
        <f>IFERROR(IF(MARÍTIMOS[[#This Row],[Etapa Ingreso - Llegada]]="","",MARÍTIMOS[[#This Row],[Etapa Ingreso - Llegada]]),"")</f>
        <v/>
      </c>
      <c r="AJ356" s="11" t="str">
        <f>IFERROR(IF(MARÍTIMOS[[#This Row],[Etapa Ingreso - Ingeso]]="","",MARÍTIMOS[[#This Row],[Etapa Ingreso - Ingeso]]),"")</f>
        <v/>
      </c>
      <c r="AK356" s="11" t="str">
        <f>IFERROR(IF(MARÍTIMOS[[#This Row],[Etapa Ingreso - Atención]]="","",MARÍTIMOS[[#This Row],[Etapa Ingreso - Atención]]),"")</f>
        <v/>
      </c>
      <c r="AL356" s="11" t="str">
        <f>IFERROR(IF(MARÍTIMOS[[#This Row],[Etapa Ingreso - Salida]]="","",MARÍTIMOS[[#This Row],[Etapa Ingreso - Salida]]),"")</f>
        <v/>
      </c>
      <c r="AM356" s="2" t="str">
        <f>IFERROR(IF(MARÍTIMOS[[#This Row],[FCL]]="","",MARÍTIMOS[[#This Row],[FCL]]),"")</f>
        <v/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6" s="5" t="str">
        <f>IFERROR(OLDBD[[#This Row],[Llegada a packing]]-OLDBD[[#This Row],[Inicio de Ruta]],"")</f>
        <v/>
      </c>
      <c r="AQ356" s="6" t="str">
        <f>IFERROR(OLDBD[[#This Row],[Inicio de Ruta]]-OLDBD[[#This Row],[Salida de almacén de retiro]],"")</f>
        <v/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6" s="9" t="str">
        <f>IFERROR(OLDBD[[#This Row],[Ingreso Packing]]-OLDBD[[#This Row],[Registro en Packing]],"")</f>
        <v/>
      </c>
      <c r="AV356" s="9" t="str">
        <f>IFERROR(OLDBD[[#This Row],[Ingreso Packing]]-OLDBD[[#This Row],[Llegada a packing]],"")</f>
        <v/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6" s="5" t="str">
        <f>IFERROR(OLDBD[[#This Row],[Llegada Almacén de Ingreso]]-OLDBD[[#This Row],[Salida Packing]],"")</f>
        <v/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6" s="45" t="s">
        <v>181</v>
      </c>
      <c r="BB356" s="53" t="str">
        <f>IFERROR(IF(MARÍTIMOS[[#This Row],[Estatus]]="","",MARÍTIMOS[[#This Row],[Estatus]]),"")</f>
        <v/>
      </c>
      <c r="BC356" s="45"/>
      <c r="BD356" s="52" t="str">
        <f>IFERROR(OLDBD[[#This Row],[Salida de almacén de retiro]]-OLDBD[[#This Row],[Ingreso Almacén de retiro]],"")</f>
        <v/>
      </c>
      <c r="BE356" s="52" t="str">
        <f>IFERROR(OLDBD[[#This Row],[Fin de Carga]]-OLDBD[[#This Row],[Inicio de Carga]],"")</f>
        <v/>
      </c>
    </row>
    <row r="357" spans="1:57" x14ac:dyDescent="0.35">
      <c r="A357" s="1"/>
      <c r="B357" s="1" t="str">
        <f>IFERROR(IF(MARÍTIMOS[[#This Row],[PP]]="","",MARÍTIMOS[[#This Row],[PP]]),"")</f>
        <v/>
      </c>
      <c r="C357" s="1" t="str">
        <f>IFERROR(IF(MARÍTIMOS[[#This Row],[Sede]]="","",MARÍTIMOS[[#This Row],[Sede]]),"")</f>
        <v/>
      </c>
      <c r="D357" s="1" t="str">
        <f>IFERROR(IF(MARÍTIMOS[[#This Row],[Instruction]]="","",MARÍTIMOS[[#This Row],[Instruction]]),"")</f>
        <v/>
      </c>
      <c r="E357" s="1"/>
      <c r="F357" s="2" t="str">
        <f>IFERROR(IF(MARÍTIMOS[[#This Row],[Transportista]]="","",MARÍTIMOS[[#This Row],[Transportista]]),"")</f>
        <v/>
      </c>
      <c r="G357" s="2" t="str">
        <f>IFERROR(IF(MARÍTIMOS[[#This Row],[Tercero]]="","",MARÍTIMOS[[#This Row],[Tercero]]),"")</f>
        <v/>
      </c>
      <c r="H357" s="2" t="str">
        <f>IFERROR(IF(MARÍTIMOS[[#This Row],[Razón Social]]="","",MARÍTIMOS[[#This Row],[Razón Social]]),"")</f>
        <v/>
      </c>
      <c r="I357" s="2" t="str">
        <f>IFERROR(IF(MARÍTIMOS[[#This Row],[RUC]]="","",MARÍTIMOS[[#This Row],[RUC]]),"")</f>
        <v/>
      </c>
      <c r="J357" s="2" t="str">
        <f>IFERROR(IF(MARÍTIMOS[[#This Row],[Placa Tracto]]="","",MARÍTIMOS[[#This Row],[Placa Tracto]]),"")</f>
        <v/>
      </c>
      <c r="K357" s="2" t="str">
        <f>IFERROR(IF(MARÍTIMOS[[#This Row],[Placa Carreta]]="","",MARÍTIMOS[[#This Row],[Placa Carreta]]),"")</f>
        <v/>
      </c>
      <c r="L357" s="46" t="str">
        <f>IFERROR(IF(MARÍTIMOS[[#This Row],[Conductor]]="","",MARÍTIMOS[[#This Row],[Conductor]]),"")</f>
        <v/>
      </c>
      <c r="M357" s="2" t="str">
        <f>IFERROR(IF(MARÍTIMOS[[#This Row],[Licencia]]="","",MARÍTIMOS[[#This Row],[Licencia]]),"")</f>
        <v/>
      </c>
      <c r="N357" s="2" t="str">
        <f>IFERROR(IF(MARÍTIMOS[[#This Row],[Número de Contacto]]="","",MARÍTIMOS[[#This Row],[Número de Contacto]]),"")</f>
        <v/>
      </c>
      <c r="O357" s="10" t="str">
        <f>IFERROR(IF(MARÍTIMOS[[#This Row],[Booking|AWB|CRT]]="","",MARÍTIMOS[[#This Row],[Booking|AWB|CRT]]),"")</f>
        <v/>
      </c>
      <c r="P357" s="2" t="str">
        <f>IFERROR(IF(MARÍTIMOS[[#This Row],[Contenedor]]="","",MARÍTIMOS[[#This Row],[Contenedor]]),"")</f>
        <v/>
      </c>
      <c r="Q357" s="2" t="str">
        <f>IFERROR(IF(MARÍTIMOS[[#This Row],[Puerto de Retiro]]="","",MARÍTIMOS[[#This Row],[Puerto de Retiro]]),"")</f>
        <v/>
      </c>
      <c r="R357" s="2" t="str">
        <f>IFERROR(IF(MARÍTIMOS[[#This Row],[Almacén de Retiro]]="","",MARÍTIMOS[[#This Row],[Almacén de Retiro]]),"")</f>
        <v/>
      </c>
      <c r="S357" s="11" t="str">
        <f>IFERROR(IF(MARÍTIMOS[[#This Row],[Etapa Retiro - Cita]]="","",MARÍTIMOS[[#This Row],[Etapa Retiro - Cita]]),"")</f>
        <v/>
      </c>
      <c r="T357" s="11" t="str">
        <f>IFERROR(IF(MARÍTIMOS[[#This Row],[Etapa Retiro - Llegada]]="","",MARÍTIMOS[[#This Row],[Etapa Retiro - Llegada]]),"")</f>
        <v/>
      </c>
      <c r="U357" s="11" t="str">
        <f>IFERROR(IF(MARÍTIMOS[[#This Row],[Etapa Retiro - Ingreso]]="","",MARÍTIMOS[[#This Row],[Etapa Retiro - Ingreso]]),"")</f>
        <v/>
      </c>
      <c r="V357" s="11" t="str">
        <f>IFERROR(IF(MARÍTIMOS[[#This Row],[Etapa Retiro - Atención]]="","",MARÍTIMOS[[#This Row],[Etapa Retiro - Atención]]),"")</f>
        <v/>
      </c>
      <c r="W357" s="11" t="str">
        <f>IFERROR(IF(MARÍTIMOS[[#This Row],[Etapa Retiro - Salida]]="","",MARÍTIMOS[[#This Row],[Etapa Retiro - Salida]]),"")</f>
        <v/>
      </c>
      <c r="X357" s="11" t="str">
        <f>IFERROR(IF(MARÍTIMOS[[#This Row],[Etapa Retiro - Inicio de Ruta]]="","",MARÍTIMOS[[#This Row],[Etapa Retiro - Inicio de Ruta]]),"")</f>
        <v/>
      </c>
      <c r="Y357" s="11" t="str">
        <f>IFERROR(IF(MARÍTIMOS[[#This Row],[Hora de Posicionamiento]]="","",MARÍTIMOS[[#This Row],[Hora de Carga]]+MARÍTIMOS[[#This Row],[Hora de Posicionamiento]]),"")</f>
        <v/>
      </c>
      <c r="Z357" s="11" t="str">
        <f>IFERROR(IF(MARÍTIMOS[[#This Row],[Etapa Despacho -  Llegada]]="","",MARÍTIMOS[[#This Row],[Etapa Despacho -  Llegada]]),"")</f>
        <v/>
      </c>
      <c r="AA357" s="11" t="str">
        <f>IFERROR(IF(MARÍTIMOS[[#This Row],[Etapa Despacho -  Registro]]="","",MARÍTIMOS[[#This Row],[Etapa Despacho -  Registro]]),"")</f>
        <v/>
      </c>
      <c r="AB357" s="11" t="str">
        <f>IFERROR(IF(MARÍTIMOS[[#This Row],[Inspección Externa]]="","",MARÍTIMOS[[#This Row],[Inspección Externa]]),"")</f>
        <v/>
      </c>
      <c r="AC357" s="11" t="str">
        <f>IFERROR(IF(MARÍTIMOS[[#This Row],[Etapa Despacho -  Inicio de Carga]]="","",MARÍTIMOS[[#This Row],[Etapa Despacho -  Inicio de Carga]]),"")</f>
        <v/>
      </c>
      <c r="AD357" s="11" t="str">
        <f>IFERROR(IF(MARÍTIMOS[[#This Row],[Etapa Despacho -  Fin de Carga]]="","",MARÍTIMOS[[#This Row],[Etapa Despacho -  Fin de Carga]]),"")</f>
        <v/>
      </c>
      <c r="AE357" s="11" t="str">
        <f>IFERROR(IF(MARÍTIMOS[[#This Row],[Etapa Despacho -  Salida]]="","",MARÍTIMOS[[#This Row],[Etapa Despacho -  Salida]]),"")</f>
        <v/>
      </c>
      <c r="AF357" s="2" t="str">
        <f>IFERROR(IF(MARÍTIMOS[[#This Row],[Puerto de Embarque]]="","",MARÍTIMOS[[#This Row],[Puerto de Embarque]]),"")</f>
        <v/>
      </c>
      <c r="AG357" s="2" t="str">
        <f>IFERROR(IF(MARÍTIMOS[[#This Row],[Almacén de Ingreso]]="","",MARÍTIMOS[[#This Row],[Almacén de Ingreso]]),"")</f>
        <v/>
      </c>
      <c r="AH357" s="11" t="str">
        <f>IFERROR(IF(MARÍTIMOS[[#This Row],[Etapa Ingreso - Cita]]="","",MARÍTIMOS[[#This Row],[Etapa Ingreso - Cita]]),"")</f>
        <v/>
      </c>
      <c r="AI357" s="11" t="str">
        <f>IFERROR(IF(MARÍTIMOS[[#This Row],[Etapa Ingreso - Llegada]]="","",MARÍTIMOS[[#This Row],[Etapa Ingreso - Llegada]]),"")</f>
        <v/>
      </c>
      <c r="AJ357" s="11" t="str">
        <f>IFERROR(IF(MARÍTIMOS[[#This Row],[Etapa Ingreso - Ingeso]]="","",MARÍTIMOS[[#This Row],[Etapa Ingreso - Ingeso]]),"")</f>
        <v/>
      </c>
      <c r="AK357" s="11" t="str">
        <f>IFERROR(IF(MARÍTIMOS[[#This Row],[Etapa Ingreso - Atención]]="","",MARÍTIMOS[[#This Row],[Etapa Ingreso - Atención]]),"")</f>
        <v/>
      </c>
      <c r="AL357" s="11" t="str">
        <f>IFERROR(IF(MARÍTIMOS[[#This Row],[Etapa Ingreso - Salida]]="","",MARÍTIMOS[[#This Row],[Etapa Ingreso - Salida]]),"")</f>
        <v/>
      </c>
      <c r="AM357" s="2" t="str">
        <f>IFERROR(IF(MARÍTIMOS[[#This Row],[FCL]]="","",MARÍTIMOS[[#This Row],[FCL]]),"")</f>
        <v/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7" s="5" t="str">
        <f>IFERROR(OLDBD[[#This Row],[Llegada a packing]]-OLDBD[[#This Row],[Inicio de Ruta]],"")</f>
        <v/>
      </c>
      <c r="AQ357" s="6" t="str">
        <f>IFERROR(OLDBD[[#This Row],[Inicio de Ruta]]-OLDBD[[#This Row],[Salida de almacén de retiro]],"")</f>
        <v/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7" s="9" t="str">
        <f>IFERROR(OLDBD[[#This Row],[Ingreso Packing]]-OLDBD[[#This Row],[Registro en Packing]],"")</f>
        <v/>
      </c>
      <c r="AV357" s="9" t="str">
        <f>IFERROR(OLDBD[[#This Row],[Ingreso Packing]]-OLDBD[[#This Row],[Llegada a packing]],"")</f>
        <v/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7" s="5" t="str">
        <f>IFERROR(OLDBD[[#This Row],[Llegada Almacén de Ingreso]]-OLDBD[[#This Row],[Salida Packing]],"")</f>
        <v/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7" s="45" t="s">
        <v>181</v>
      </c>
      <c r="BB357" s="53" t="str">
        <f>IFERROR(IF(MARÍTIMOS[[#This Row],[Estatus]]="","",MARÍTIMOS[[#This Row],[Estatus]]),"")</f>
        <v/>
      </c>
      <c r="BC357" s="45"/>
      <c r="BD357" s="52" t="str">
        <f>IFERROR(OLDBD[[#This Row],[Salida de almacén de retiro]]-OLDBD[[#This Row],[Ingreso Almacén de retiro]],"")</f>
        <v/>
      </c>
      <c r="BE357" s="52" t="str">
        <f>IFERROR(OLDBD[[#This Row],[Fin de Carga]]-OLDBD[[#This Row],[Inicio de Carga]],"")</f>
        <v/>
      </c>
    </row>
    <row r="358" spans="1:57" x14ac:dyDescent="0.35">
      <c r="A358" s="1"/>
      <c r="B358" s="1" t="str">
        <f>IFERROR(IF(MARÍTIMOS[[#This Row],[PP]]="","",MARÍTIMOS[[#This Row],[PP]]),"")</f>
        <v/>
      </c>
      <c r="C358" s="1" t="str">
        <f>IFERROR(IF(MARÍTIMOS[[#This Row],[Sede]]="","",MARÍTIMOS[[#This Row],[Sede]]),"")</f>
        <v/>
      </c>
      <c r="D358" s="1" t="str">
        <f>IFERROR(IF(MARÍTIMOS[[#This Row],[Instruction]]="","",MARÍTIMOS[[#This Row],[Instruction]]),"")</f>
        <v/>
      </c>
      <c r="E358" s="1"/>
      <c r="F358" s="2" t="str">
        <f>IFERROR(IF(MARÍTIMOS[[#This Row],[Transportista]]="","",MARÍTIMOS[[#This Row],[Transportista]]),"")</f>
        <v/>
      </c>
      <c r="G358" s="2" t="str">
        <f>IFERROR(IF(MARÍTIMOS[[#This Row],[Tercero]]="","",MARÍTIMOS[[#This Row],[Tercero]]),"")</f>
        <v/>
      </c>
      <c r="H358" s="2" t="str">
        <f>IFERROR(IF(MARÍTIMOS[[#This Row],[Razón Social]]="","",MARÍTIMOS[[#This Row],[Razón Social]]),"")</f>
        <v/>
      </c>
      <c r="I358" s="2" t="str">
        <f>IFERROR(IF(MARÍTIMOS[[#This Row],[RUC]]="","",MARÍTIMOS[[#This Row],[RUC]]),"")</f>
        <v/>
      </c>
      <c r="J358" s="2" t="str">
        <f>IFERROR(IF(MARÍTIMOS[[#This Row],[Placa Tracto]]="","",MARÍTIMOS[[#This Row],[Placa Tracto]]),"")</f>
        <v/>
      </c>
      <c r="K358" s="2" t="str">
        <f>IFERROR(IF(MARÍTIMOS[[#This Row],[Placa Carreta]]="","",MARÍTIMOS[[#This Row],[Placa Carreta]]),"")</f>
        <v/>
      </c>
      <c r="L358" s="46" t="str">
        <f>IFERROR(IF(MARÍTIMOS[[#This Row],[Conductor]]="","",MARÍTIMOS[[#This Row],[Conductor]]),"")</f>
        <v/>
      </c>
      <c r="M358" s="2" t="str">
        <f>IFERROR(IF(MARÍTIMOS[[#This Row],[Licencia]]="","",MARÍTIMOS[[#This Row],[Licencia]]),"")</f>
        <v/>
      </c>
      <c r="N358" s="2" t="str">
        <f>IFERROR(IF(MARÍTIMOS[[#This Row],[Número de Contacto]]="","",MARÍTIMOS[[#This Row],[Número de Contacto]]),"")</f>
        <v/>
      </c>
      <c r="O358" s="10" t="str">
        <f>IFERROR(IF(MARÍTIMOS[[#This Row],[Booking|AWB|CRT]]="","",MARÍTIMOS[[#This Row],[Booking|AWB|CRT]]),"")</f>
        <v/>
      </c>
      <c r="P358" s="2" t="str">
        <f>IFERROR(IF(MARÍTIMOS[[#This Row],[Contenedor]]="","",MARÍTIMOS[[#This Row],[Contenedor]]),"")</f>
        <v/>
      </c>
      <c r="Q358" s="2" t="str">
        <f>IFERROR(IF(MARÍTIMOS[[#This Row],[Puerto de Retiro]]="","",MARÍTIMOS[[#This Row],[Puerto de Retiro]]),"")</f>
        <v/>
      </c>
      <c r="R358" s="2" t="str">
        <f>IFERROR(IF(MARÍTIMOS[[#This Row],[Almacén de Retiro]]="","",MARÍTIMOS[[#This Row],[Almacén de Retiro]]),"")</f>
        <v/>
      </c>
      <c r="S358" s="11" t="str">
        <f>IFERROR(IF(MARÍTIMOS[[#This Row],[Etapa Retiro - Cita]]="","",MARÍTIMOS[[#This Row],[Etapa Retiro - Cita]]),"")</f>
        <v/>
      </c>
      <c r="T358" s="11" t="str">
        <f>IFERROR(IF(MARÍTIMOS[[#This Row],[Etapa Retiro - Llegada]]="","",MARÍTIMOS[[#This Row],[Etapa Retiro - Llegada]]),"")</f>
        <v/>
      </c>
      <c r="U358" s="11" t="str">
        <f>IFERROR(IF(MARÍTIMOS[[#This Row],[Etapa Retiro - Ingreso]]="","",MARÍTIMOS[[#This Row],[Etapa Retiro - Ingreso]]),"")</f>
        <v/>
      </c>
      <c r="V358" s="11" t="str">
        <f>IFERROR(IF(MARÍTIMOS[[#This Row],[Etapa Retiro - Atención]]="","",MARÍTIMOS[[#This Row],[Etapa Retiro - Atención]]),"")</f>
        <v/>
      </c>
      <c r="W358" s="11" t="str">
        <f>IFERROR(IF(MARÍTIMOS[[#This Row],[Etapa Retiro - Salida]]="","",MARÍTIMOS[[#This Row],[Etapa Retiro - Salida]]),"")</f>
        <v/>
      </c>
      <c r="X358" s="11" t="str">
        <f>IFERROR(IF(MARÍTIMOS[[#This Row],[Etapa Retiro - Inicio de Ruta]]="","",MARÍTIMOS[[#This Row],[Etapa Retiro - Inicio de Ruta]]),"")</f>
        <v/>
      </c>
      <c r="Y358" s="11" t="str">
        <f>IFERROR(IF(MARÍTIMOS[[#This Row],[Hora de Posicionamiento]]="","",MARÍTIMOS[[#This Row],[Hora de Carga]]+MARÍTIMOS[[#This Row],[Hora de Posicionamiento]]),"")</f>
        <v/>
      </c>
      <c r="Z358" s="11" t="str">
        <f>IFERROR(IF(MARÍTIMOS[[#This Row],[Etapa Despacho -  Llegada]]="","",MARÍTIMOS[[#This Row],[Etapa Despacho -  Llegada]]),"")</f>
        <v/>
      </c>
      <c r="AA358" s="11" t="str">
        <f>IFERROR(IF(MARÍTIMOS[[#This Row],[Etapa Despacho -  Registro]]="","",MARÍTIMOS[[#This Row],[Etapa Despacho -  Registro]]),"")</f>
        <v/>
      </c>
      <c r="AB358" s="11" t="str">
        <f>IFERROR(IF(MARÍTIMOS[[#This Row],[Inspección Externa]]="","",MARÍTIMOS[[#This Row],[Inspección Externa]]),"")</f>
        <v/>
      </c>
      <c r="AC358" s="11" t="str">
        <f>IFERROR(IF(MARÍTIMOS[[#This Row],[Etapa Despacho -  Inicio de Carga]]="","",MARÍTIMOS[[#This Row],[Etapa Despacho -  Inicio de Carga]]),"")</f>
        <v/>
      </c>
      <c r="AD358" s="11" t="str">
        <f>IFERROR(IF(MARÍTIMOS[[#This Row],[Etapa Despacho -  Fin de Carga]]="","",MARÍTIMOS[[#This Row],[Etapa Despacho -  Fin de Carga]]),"")</f>
        <v/>
      </c>
      <c r="AE358" s="11" t="str">
        <f>IFERROR(IF(MARÍTIMOS[[#This Row],[Etapa Despacho -  Salida]]="","",MARÍTIMOS[[#This Row],[Etapa Despacho -  Salida]]),"")</f>
        <v/>
      </c>
      <c r="AF358" s="2" t="str">
        <f>IFERROR(IF(MARÍTIMOS[[#This Row],[Puerto de Embarque]]="","",MARÍTIMOS[[#This Row],[Puerto de Embarque]]),"")</f>
        <v/>
      </c>
      <c r="AG358" s="2" t="str">
        <f>IFERROR(IF(MARÍTIMOS[[#This Row],[Almacén de Ingreso]]="","",MARÍTIMOS[[#This Row],[Almacén de Ingreso]]),"")</f>
        <v/>
      </c>
      <c r="AH358" s="11" t="str">
        <f>IFERROR(IF(MARÍTIMOS[[#This Row],[Etapa Ingreso - Cita]]="","",MARÍTIMOS[[#This Row],[Etapa Ingreso - Cita]]),"")</f>
        <v/>
      </c>
      <c r="AI358" s="11" t="str">
        <f>IFERROR(IF(MARÍTIMOS[[#This Row],[Etapa Ingreso - Llegada]]="","",MARÍTIMOS[[#This Row],[Etapa Ingreso - Llegada]]),"")</f>
        <v/>
      </c>
      <c r="AJ358" s="11" t="str">
        <f>IFERROR(IF(MARÍTIMOS[[#This Row],[Etapa Ingreso - Ingeso]]="","",MARÍTIMOS[[#This Row],[Etapa Ingreso - Ingeso]]),"")</f>
        <v/>
      </c>
      <c r="AK358" s="11" t="str">
        <f>IFERROR(IF(MARÍTIMOS[[#This Row],[Etapa Ingreso - Atención]]="","",MARÍTIMOS[[#This Row],[Etapa Ingreso - Atención]]),"")</f>
        <v/>
      </c>
      <c r="AL358" s="11" t="str">
        <f>IFERROR(IF(MARÍTIMOS[[#This Row],[Etapa Ingreso - Salida]]="","",MARÍTIMOS[[#This Row],[Etapa Ingreso - Salida]]),"")</f>
        <v/>
      </c>
      <c r="AM358" s="2" t="str">
        <f>IFERROR(IF(MARÍTIMOS[[#This Row],[FCL]]="","",MARÍTIMOS[[#This Row],[FCL]]),"")</f>
        <v/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8" s="5" t="str">
        <f>IFERROR(OLDBD[[#This Row],[Llegada a packing]]-OLDBD[[#This Row],[Inicio de Ruta]],"")</f>
        <v/>
      </c>
      <c r="AQ358" s="6" t="str">
        <f>IFERROR(OLDBD[[#This Row],[Inicio de Ruta]]-OLDBD[[#This Row],[Salida de almacén de retiro]],"")</f>
        <v/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8" s="9" t="str">
        <f>IFERROR(OLDBD[[#This Row],[Ingreso Packing]]-OLDBD[[#This Row],[Registro en Packing]],"")</f>
        <v/>
      </c>
      <c r="AV358" s="9" t="str">
        <f>IFERROR(OLDBD[[#This Row],[Ingreso Packing]]-OLDBD[[#This Row],[Llegada a packing]],"")</f>
        <v/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8" s="5" t="str">
        <f>IFERROR(OLDBD[[#This Row],[Llegada Almacén de Ingreso]]-OLDBD[[#This Row],[Salida Packing]],"")</f>
        <v/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8" s="45" t="s">
        <v>181</v>
      </c>
      <c r="BB358" s="53" t="str">
        <f>IFERROR(IF(MARÍTIMOS[[#This Row],[Estatus]]="","",MARÍTIMOS[[#This Row],[Estatus]]),"")</f>
        <v/>
      </c>
      <c r="BC358" s="45"/>
      <c r="BD358" s="52" t="str">
        <f>IFERROR(OLDBD[[#This Row],[Salida de almacén de retiro]]-OLDBD[[#This Row],[Ingreso Almacén de retiro]],"")</f>
        <v/>
      </c>
      <c r="BE358" s="52" t="str">
        <f>IFERROR(OLDBD[[#This Row],[Fin de Carga]]-OLDBD[[#This Row],[Inicio de Carga]],"")</f>
        <v/>
      </c>
    </row>
    <row r="359" spans="1:57" x14ac:dyDescent="0.35">
      <c r="A359" s="1"/>
      <c r="B359" s="1" t="str">
        <f>IFERROR(IF(MARÍTIMOS[[#This Row],[PP]]="","",MARÍTIMOS[[#This Row],[PP]]),"")</f>
        <v/>
      </c>
      <c r="C359" s="1" t="str">
        <f>IFERROR(IF(MARÍTIMOS[[#This Row],[Sede]]="","",MARÍTIMOS[[#This Row],[Sede]]),"")</f>
        <v/>
      </c>
      <c r="D359" s="1" t="str">
        <f>IFERROR(IF(MARÍTIMOS[[#This Row],[Instruction]]="","",MARÍTIMOS[[#This Row],[Instruction]]),"")</f>
        <v/>
      </c>
      <c r="E359" s="1"/>
      <c r="F359" s="2" t="str">
        <f>IFERROR(IF(MARÍTIMOS[[#This Row],[Transportista]]="","",MARÍTIMOS[[#This Row],[Transportista]]),"")</f>
        <v/>
      </c>
      <c r="G359" s="2" t="str">
        <f>IFERROR(IF(MARÍTIMOS[[#This Row],[Tercero]]="","",MARÍTIMOS[[#This Row],[Tercero]]),"")</f>
        <v/>
      </c>
      <c r="H359" s="2" t="str">
        <f>IFERROR(IF(MARÍTIMOS[[#This Row],[Razón Social]]="","",MARÍTIMOS[[#This Row],[Razón Social]]),"")</f>
        <v/>
      </c>
      <c r="I359" s="2" t="str">
        <f>IFERROR(IF(MARÍTIMOS[[#This Row],[RUC]]="","",MARÍTIMOS[[#This Row],[RUC]]),"")</f>
        <v/>
      </c>
      <c r="J359" s="2" t="str">
        <f>IFERROR(IF(MARÍTIMOS[[#This Row],[Placa Tracto]]="","",MARÍTIMOS[[#This Row],[Placa Tracto]]),"")</f>
        <v/>
      </c>
      <c r="K359" s="2" t="str">
        <f>IFERROR(IF(MARÍTIMOS[[#This Row],[Placa Carreta]]="","",MARÍTIMOS[[#This Row],[Placa Carreta]]),"")</f>
        <v/>
      </c>
      <c r="L359" s="46" t="str">
        <f>IFERROR(IF(MARÍTIMOS[[#This Row],[Conductor]]="","",MARÍTIMOS[[#This Row],[Conductor]]),"")</f>
        <v/>
      </c>
      <c r="M359" s="2" t="str">
        <f>IFERROR(IF(MARÍTIMOS[[#This Row],[Licencia]]="","",MARÍTIMOS[[#This Row],[Licencia]]),"")</f>
        <v/>
      </c>
      <c r="N359" s="2" t="str">
        <f>IFERROR(IF(MARÍTIMOS[[#This Row],[Número de Contacto]]="","",MARÍTIMOS[[#This Row],[Número de Contacto]]),"")</f>
        <v/>
      </c>
      <c r="O359" s="10" t="str">
        <f>IFERROR(IF(MARÍTIMOS[[#This Row],[Booking|AWB|CRT]]="","",MARÍTIMOS[[#This Row],[Booking|AWB|CRT]]),"")</f>
        <v/>
      </c>
      <c r="P359" s="2" t="str">
        <f>IFERROR(IF(MARÍTIMOS[[#This Row],[Contenedor]]="","",MARÍTIMOS[[#This Row],[Contenedor]]),"")</f>
        <v/>
      </c>
      <c r="Q359" s="2" t="str">
        <f>IFERROR(IF(MARÍTIMOS[[#This Row],[Puerto de Retiro]]="","",MARÍTIMOS[[#This Row],[Puerto de Retiro]]),"")</f>
        <v/>
      </c>
      <c r="R359" s="2" t="str">
        <f>IFERROR(IF(MARÍTIMOS[[#This Row],[Almacén de Retiro]]="","",MARÍTIMOS[[#This Row],[Almacén de Retiro]]),"")</f>
        <v/>
      </c>
      <c r="S359" s="11" t="str">
        <f>IFERROR(IF(MARÍTIMOS[[#This Row],[Etapa Retiro - Cita]]="","",MARÍTIMOS[[#This Row],[Etapa Retiro - Cita]]),"")</f>
        <v/>
      </c>
      <c r="T359" s="11" t="str">
        <f>IFERROR(IF(MARÍTIMOS[[#This Row],[Etapa Retiro - Llegada]]="","",MARÍTIMOS[[#This Row],[Etapa Retiro - Llegada]]),"")</f>
        <v/>
      </c>
      <c r="U359" s="11" t="str">
        <f>IFERROR(IF(MARÍTIMOS[[#This Row],[Etapa Retiro - Ingreso]]="","",MARÍTIMOS[[#This Row],[Etapa Retiro - Ingreso]]),"")</f>
        <v/>
      </c>
      <c r="V359" s="11" t="str">
        <f>IFERROR(IF(MARÍTIMOS[[#This Row],[Etapa Retiro - Atención]]="","",MARÍTIMOS[[#This Row],[Etapa Retiro - Atención]]),"")</f>
        <v/>
      </c>
      <c r="W359" s="11" t="str">
        <f>IFERROR(IF(MARÍTIMOS[[#This Row],[Etapa Retiro - Salida]]="","",MARÍTIMOS[[#This Row],[Etapa Retiro - Salida]]),"")</f>
        <v/>
      </c>
      <c r="X359" s="11" t="str">
        <f>IFERROR(IF(MARÍTIMOS[[#This Row],[Etapa Retiro - Inicio de Ruta]]="","",MARÍTIMOS[[#This Row],[Etapa Retiro - Inicio de Ruta]]),"")</f>
        <v/>
      </c>
      <c r="Y359" s="11" t="str">
        <f>IFERROR(IF(MARÍTIMOS[[#This Row],[Hora de Posicionamiento]]="","",MARÍTIMOS[[#This Row],[Hora de Carga]]+MARÍTIMOS[[#This Row],[Hora de Posicionamiento]]),"")</f>
        <v/>
      </c>
      <c r="Z359" s="11" t="str">
        <f>IFERROR(IF(MARÍTIMOS[[#This Row],[Etapa Despacho -  Llegada]]="","",MARÍTIMOS[[#This Row],[Etapa Despacho -  Llegada]]),"")</f>
        <v/>
      </c>
      <c r="AA359" s="11" t="str">
        <f>IFERROR(IF(MARÍTIMOS[[#This Row],[Etapa Despacho -  Registro]]="","",MARÍTIMOS[[#This Row],[Etapa Despacho -  Registro]]),"")</f>
        <v/>
      </c>
      <c r="AB359" s="11" t="str">
        <f>IFERROR(IF(MARÍTIMOS[[#This Row],[Inspección Externa]]="","",MARÍTIMOS[[#This Row],[Inspección Externa]]),"")</f>
        <v/>
      </c>
      <c r="AC359" s="11" t="str">
        <f>IFERROR(IF(MARÍTIMOS[[#This Row],[Etapa Despacho -  Inicio de Carga]]="","",MARÍTIMOS[[#This Row],[Etapa Despacho -  Inicio de Carga]]),"")</f>
        <v/>
      </c>
      <c r="AD359" s="11" t="str">
        <f>IFERROR(IF(MARÍTIMOS[[#This Row],[Etapa Despacho -  Fin de Carga]]="","",MARÍTIMOS[[#This Row],[Etapa Despacho -  Fin de Carga]]),"")</f>
        <v/>
      </c>
      <c r="AE359" s="11" t="str">
        <f>IFERROR(IF(MARÍTIMOS[[#This Row],[Etapa Despacho -  Salida]]="","",MARÍTIMOS[[#This Row],[Etapa Despacho -  Salida]]),"")</f>
        <v/>
      </c>
      <c r="AF359" s="2" t="str">
        <f>IFERROR(IF(MARÍTIMOS[[#This Row],[Puerto de Embarque]]="","",MARÍTIMOS[[#This Row],[Puerto de Embarque]]),"")</f>
        <v/>
      </c>
      <c r="AG359" s="2" t="str">
        <f>IFERROR(IF(MARÍTIMOS[[#This Row],[Almacén de Ingreso]]="","",MARÍTIMOS[[#This Row],[Almacén de Ingreso]]),"")</f>
        <v/>
      </c>
      <c r="AH359" s="11" t="str">
        <f>IFERROR(IF(MARÍTIMOS[[#This Row],[Etapa Ingreso - Cita]]="","",MARÍTIMOS[[#This Row],[Etapa Ingreso - Cita]]),"")</f>
        <v/>
      </c>
      <c r="AI359" s="11" t="str">
        <f>IFERROR(IF(MARÍTIMOS[[#This Row],[Etapa Ingreso - Llegada]]="","",MARÍTIMOS[[#This Row],[Etapa Ingreso - Llegada]]),"")</f>
        <v/>
      </c>
      <c r="AJ359" s="11" t="str">
        <f>IFERROR(IF(MARÍTIMOS[[#This Row],[Etapa Ingreso - Ingeso]]="","",MARÍTIMOS[[#This Row],[Etapa Ingreso - Ingeso]]),"")</f>
        <v/>
      </c>
      <c r="AK359" s="11" t="str">
        <f>IFERROR(IF(MARÍTIMOS[[#This Row],[Etapa Ingreso - Atención]]="","",MARÍTIMOS[[#This Row],[Etapa Ingreso - Atención]]),"")</f>
        <v/>
      </c>
      <c r="AL359" s="11" t="str">
        <f>IFERROR(IF(MARÍTIMOS[[#This Row],[Etapa Ingreso - Salida]]="","",MARÍTIMOS[[#This Row],[Etapa Ingreso - Salida]]),"")</f>
        <v/>
      </c>
      <c r="AM359" s="2" t="str">
        <f>IFERROR(IF(MARÍTIMOS[[#This Row],[FCL]]="","",MARÍTIMOS[[#This Row],[FCL]]),"")</f>
        <v/>
      </c>
      <c r="AN3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9" s="5" t="str">
        <f>IFERROR(OLDBD[[#This Row],[Llegada a packing]]-OLDBD[[#This Row],[Inicio de Ruta]],"")</f>
        <v/>
      </c>
      <c r="AQ359" s="6" t="str">
        <f>IFERROR(OLDBD[[#This Row],[Inicio de Ruta]]-OLDBD[[#This Row],[Salida de almacén de retiro]],"")</f>
        <v/>
      </c>
      <c r="AR3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9" s="9" t="str">
        <f>IFERROR(OLDBD[[#This Row],[Ingreso Packing]]-OLDBD[[#This Row],[Registro en Packing]],"")</f>
        <v/>
      </c>
      <c r="AV359" s="9" t="str">
        <f>IFERROR(OLDBD[[#This Row],[Ingreso Packing]]-OLDBD[[#This Row],[Llegada a packing]],"")</f>
        <v/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9" s="5" t="str">
        <f>IFERROR(OLDBD[[#This Row],[Llegada Almacén de Ingreso]]-OLDBD[[#This Row],[Salida Packing]],"")</f>
        <v/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9" s="45" t="s">
        <v>181</v>
      </c>
      <c r="BB359" s="53" t="str">
        <f>IFERROR(IF(MARÍTIMOS[[#This Row],[Estatus]]="","",MARÍTIMOS[[#This Row],[Estatus]]),"")</f>
        <v/>
      </c>
      <c r="BC359" s="45"/>
      <c r="BD359" s="52" t="str">
        <f>IFERROR(OLDBD[[#This Row],[Salida de almacén de retiro]]-OLDBD[[#This Row],[Ingreso Almacén de retiro]],"")</f>
        <v/>
      </c>
      <c r="BE359" s="52" t="str">
        <f>IFERROR(OLDBD[[#This Row],[Fin de Carga]]-OLDBD[[#This Row],[Inicio de Carga]],"")</f>
        <v/>
      </c>
    </row>
    <row r="360" spans="1:57" x14ac:dyDescent="0.35">
      <c r="A360" s="1"/>
      <c r="B360" s="1" t="str">
        <f>IFERROR(IF(MARÍTIMOS[[#This Row],[PP]]="","",MARÍTIMOS[[#This Row],[PP]]),"")</f>
        <v/>
      </c>
      <c r="C360" s="1" t="str">
        <f>IFERROR(IF(MARÍTIMOS[[#This Row],[Sede]]="","",MARÍTIMOS[[#This Row],[Sede]]),"")</f>
        <v/>
      </c>
      <c r="D360" s="1" t="str">
        <f>IFERROR(IF(MARÍTIMOS[[#This Row],[Instruction]]="","",MARÍTIMOS[[#This Row],[Instruction]]),"")</f>
        <v/>
      </c>
      <c r="E360" s="1"/>
      <c r="F360" s="2" t="str">
        <f>IFERROR(IF(MARÍTIMOS[[#This Row],[Transportista]]="","",MARÍTIMOS[[#This Row],[Transportista]]),"")</f>
        <v/>
      </c>
      <c r="G360" s="2" t="str">
        <f>IFERROR(IF(MARÍTIMOS[[#This Row],[Tercero]]="","",MARÍTIMOS[[#This Row],[Tercero]]),"")</f>
        <v/>
      </c>
      <c r="H360" s="2" t="str">
        <f>IFERROR(IF(MARÍTIMOS[[#This Row],[Razón Social]]="","",MARÍTIMOS[[#This Row],[Razón Social]]),"")</f>
        <v/>
      </c>
      <c r="I360" s="2" t="str">
        <f>IFERROR(IF(MARÍTIMOS[[#This Row],[RUC]]="","",MARÍTIMOS[[#This Row],[RUC]]),"")</f>
        <v/>
      </c>
      <c r="J360" s="2" t="str">
        <f>IFERROR(IF(MARÍTIMOS[[#This Row],[Placa Tracto]]="","",MARÍTIMOS[[#This Row],[Placa Tracto]]),"")</f>
        <v/>
      </c>
      <c r="K360" s="2" t="str">
        <f>IFERROR(IF(MARÍTIMOS[[#This Row],[Placa Carreta]]="","",MARÍTIMOS[[#This Row],[Placa Carreta]]),"")</f>
        <v/>
      </c>
      <c r="L360" s="46" t="str">
        <f>IFERROR(IF(MARÍTIMOS[[#This Row],[Conductor]]="","",MARÍTIMOS[[#This Row],[Conductor]]),"")</f>
        <v/>
      </c>
      <c r="M360" s="2" t="str">
        <f>IFERROR(IF(MARÍTIMOS[[#This Row],[Licencia]]="","",MARÍTIMOS[[#This Row],[Licencia]]),"")</f>
        <v/>
      </c>
      <c r="N360" s="2" t="str">
        <f>IFERROR(IF(MARÍTIMOS[[#This Row],[Número de Contacto]]="","",MARÍTIMOS[[#This Row],[Número de Contacto]]),"")</f>
        <v/>
      </c>
      <c r="O360" s="10" t="str">
        <f>IFERROR(IF(MARÍTIMOS[[#This Row],[Booking|AWB|CRT]]="","",MARÍTIMOS[[#This Row],[Booking|AWB|CRT]]),"")</f>
        <v/>
      </c>
      <c r="P360" s="2" t="str">
        <f>IFERROR(IF(MARÍTIMOS[[#This Row],[Contenedor]]="","",MARÍTIMOS[[#This Row],[Contenedor]]),"")</f>
        <v/>
      </c>
      <c r="Q360" s="2" t="str">
        <f>IFERROR(IF(MARÍTIMOS[[#This Row],[Puerto de Retiro]]="","",MARÍTIMOS[[#This Row],[Puerto de Retiro]]),"")</f>
        <v/>
      </c>
      <c r="R360" s="2" t="str">
        <f>IFERROR(IF(MARÍTIMOS[[#This Row],[Almacén de Retiro]]="","",MARÍTIMOS[[#This Row],[Almacén de Retiro]]),"")</f>
        <v/>
      </c>
      <c r="S360" s="11" t="str">
        <f>IFERROR(IF(MARÍTIMOS[[#This Row],[Etapa Retiro - Cita]]="","",MARÍTIMOS[[#This Row],[Etapa Retiro - Cita]]),"")</f>
        <v/>
      </c>
      <c r="T360" s="11" t="str">
        <f>IFERROR(IF(MARÍTIMOS[[#This Row],[Etapa Retiro - Llegada]]="","",MARÍTIMOS[[#This Row],[Etapa Retiro - Llegada]]),"")</f>
        <v/>
      </c>
      <c r="U360" s="11" t="str">
        <f>IFERROR(IF(MARÍTIMOS[[#This Row],[Etapa Retiro - Ingreso]]="","",MARÍTIMOS[[#This Row],[Etapa Retiro - Ingreso]]),"")</f>
        <v/>
      </c>
      <c r="V360" s="11" t="str">
        <f>IFERROR(IF(MARÍTIMOS[[#This Row],[Etapa Retiro - Atención]]="","",MARÍTIMOS[[#This Row],[Etapa Retiro - Atención]]),"")</f>
        <v/>
      </c>
      <c r="W360" s="11" t="str">
        <f>IFERROR(IF(MARÍTIMOS[[#This Row],[Etapa Retiro - Salida]]="","",MARÍTIMOS[[#This Row],[Etapa Retiro - Salida]]),"")</f>
        <v/>
      </c>
      <c r="X360" s="11" t="str">
        <f>IFERROR(IF(MARÍTIMOS[[#This Row],[Etapa Retiro - Inicio de Ruta]]="","",MARÍTIMOS[[#This Row],[Etapa Retiro - Inicio de Ruta]]),"")</f>
        <v/>
      </c>
      <c r="Y360" s="11" t="str">
        <f>IFERROR(IF(MARÍTIMOS[[#This Row],[Hora de Posicionamiento]]="","",MARÍTIMOS[[#This Row],[Hora de Carga]]+MARÍTIMOS[[#This Row],[Hora de Posicionamiento]]),"")</f>
        <v/>
      </c>
      <c r="Z360" s="11" t="str">
        <f>IFERROR(IF(MARÍTIMOS[[#This Row],[Etapa Despacho -  Llegada]]="","",MARÍTIMOS[[#This Row],[Etapa Despacho -  Llegada]]),"")</f>
        <v/>
      </c>
      <c r="AA360" s="11" t="str">
        <f>IFERROR(IF(MARÍTIMOS[[#This Row],[Etapa Despacho -  Registro]]="","",MARÍTIMOS[[#This Row],[Etapa Despacho -  Registro]]),"")</f>
        <v/>
      </c>
      <c r="AB360" s="11" t="str">
        <f>IFERROR(IF(MARÍTIMOS[[#This Row],[Inspección Externa]]="","",MARÍTIMOS[[#This Row],[Inspección Externa]]),"")</f>
        <v/>
      </c>
      <c r="AC360" s="11" t="str">
        <f>IFERROR(IF(MARÍTIMOS[[#This Row],[Etapa Despacho -  Inicio de Carga]]="","",MARÍTIMOS[[#This Row],[Etapa Despacho -  Inicio de Carga]]),"")</f>
        <v/>
      </c>
      <c r="AD360" s="11" t="str">
        <f>IFERROR(IF(MARÍTIMOS[[#This Row],[Etapa Despacho -  Fin de Carga]]="","",MARÍTIMOS[[#This Row],[Etapa Despacho -  Fin de Carga]]),"")</f>
        <v/>
      </c>
      <c r="AE360" s="11" t="str">
        <f>IFERROR(IF(MARÍTIMOS[[#This Row],[Etapa Despacho -  Salida]]="","",MARÍTIMOS[[#This Row],[Etapa Despacho -  Salida]]),"")</f>
        <v/>
      </c>
      <c r="AF360" s="2" t="str">
        <f>IFERROR(IF(MARÍTIMOS[[#This Row],[Puerto de Embarque]]="","",MARÍTIMOS[[#This Row],[Puerto de Embarque]]),"")</f>
        <v/>
      </c>
      <c r="AG360" s="2" t="str">
        <f>IFERROR(IF(MARÍTIMOS[[#This Row],[Almacén de Ingreso]]="","",MARÍTIMOS[[#This Row],[Almacén de Ingreso]]),"")</f>
        <v/>
      </c>
      <c r="AH360" s="11" t="str">
        <f>IFERROR(IF(MARÍTIMOS[[#This Row],[Etapa Ingreso - Cita]]="","",MARÍTIMOS[[#This Row],[Etapa Ingreso - Cita]]),"")</f>
        <v/>
      </c>
      <c r="AI360" s="11" t="str">
        <f>IFERROR(IF(MARÍTIMOS[[#This Row],[Etapa Ingreso - Llegada]]="","",MARÍTIMOS[[#This Row],[Etapa Ingreso - Llegada]]),"")</f>
        <v/>
      </c>
      <c r="AJ360" s="11" t="str">
        <f>IFERROR(IF(MARÍTIMOS[[#This Row],[Etapa Ingreso - Ingeso]]="","",MARÍTIMOS[[#This Row],[Etapa Ingreso - Ingeso]]),"")</f>
        <v/>
      </c>
      <c r="AK360" s="11" t="str">
        <f>IFERROR(IF(MARÍTIMOS[[#This Row],[Etapa Ingreso - Atención]]="","",MARÍTIMOS[[#This Row],[Etapa Ingreso - Atención]]),"")</f>
        <v/>
      </c>
      <c r="AL360" s="11" t="str">
        <f>IFERROR(IF(MARÍTIMOS[[#This Row],[Etapa Ingreso - Salida]]="","",MARÍTIMOS[[#This Row],[Etapa Ingreso - Salida]]),"")</f>
        <v/>
      </c>
      <c r="AM360" s="2" t="str">
        <f>IFERROR(IF(MARÍTIMOS[[#This Row],[FCL]]="","",MARÍTIMOS[[#This Row],[FCL]]),"")</f>
        <v/>
      </c>
      <c r="AN3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0" s="5" t="str">
        <f>IFERROR(OLDBD[[#This Row],[Llegada a packing]]-OLDBD[[#This Row],[Inicio de Ruta]],"")</f>
        <v/>
      </c>
      <c r="AQ360" s="6" t="str">
        <f>IFERROR(OLDBD[[#This Row],[Inicio de Ruta]]-OLDBD[[#This Row],[Salida de almacén de retiro]],"")</f>
        <v/>
      </c>
      <c r="AR3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0" s="9" t="str">
        <f>IFERROR(OLDBD[[#This Row],[Ingreso Packing]]-OLDBD[[#This Row],[Registro en Packing]],"")</f>
        <v/>
      </c>
      <c r="AV360" s="9" t="str">
        <f>IFERROR(OLDBD[[#This Row],[Ingreso Packing]]-OLDBD[[#This Row],[Llegada a packing]],"")</f>
        <v/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0" s="5" t="str">
        <f>IFERROR(OLDBD[[#This Row],[Llegada Almacén de Ingreso]]-OLDBD[[#This Row],[Salida Packing]],"")</f>
        <v/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0" s="45" t="s">
        <v>181</v>
      </c>
      <c r="BB360" s="53" t="str">
        <f>IFERROR(IF(MARÍTIMOS[[#This Row],[Estatus]]="","",MARÍTIMOS[[#This Row],[Estatus]]),"")</f>
        <v/>
      </c>
      <c r="BC360" s="45"/>
      <c r="BD360" s="52" t="str">
        <f>IFERROR(OLDBD[[#This Row],[Salida de almacén de retiro]]-OLDBD[[#This Row],[Ingreso Almacén de retiro]],"")</f>
        <v/>
      </c>
      <c r="BE360" s="52" t="str">
        <f>IFERROR(OLDBD[[#This Row],[Fin de Carga]]-OLDBD[[#This Row],[Inicio de Carga]],"")</f>
        <v/>
      </c>
    </row>
    <row r="361" spans="1:57" x14ac:dyDescent="0.35">
      <c r="A361" s="1"/>
      <c r="B361" s="1" t="str">
        <f>IFERROR(IF(MARÍTIMOS[[#This Row],[PP]]="","",MARÍTIMOS[[#This Row],[PP]]),"")</f>
        <v/>
      </c>
      <c r="C361" s="1" t="str">
        <f>IFERROR(IF(MARÍTIMOS[[#This Row],[Sede]]="","",MARÍTIMOS[[#This Row],[Sede]]),"")</f>
        <v/>
      </c>
      <c r="D361" s="1" t="str">
        <f>IFERROR(IF(MARÍTIMOS[[#This Row],[Instruction]]="","",MARÍTIMOS[[#This Row],[Instruction]]),"")</f>
        <v/>
      </c>
      <c r="E361" s="1"/>
      <c r="F361" s="2" t="str">
        <f>IFERROR(IF(MARÍTIMOS[[#This Row],[Transportista]]="","",MARÍTIMOS[[#This Row],[Transportista]]),"")</f>
        <v/>
      </c>
      <c r="G361" s="2" t="str">
        <f>IFERROR(IF(MARÍTIMOS[[#This Row],[Tercero]]="","",MARÍTIMOS[[#This Row],[Tercero]]),"")</f>
        <v/>
      </c>
      <c r="H361" s="2" t="str">
        <f>IFERROR(IF(MARÍTIMOS[[#This Row],[Razón Social]]="","",MARÍTIMOS[[#This Row],[Razón Social]]),"")</f>
        <v/>
      </c>
      <c r="I361" s="2" t="str">
        <f>IFERROR(IF(MARÍTIMOS[[#This Row],[RUC]]="","",MARÍTIMOS[[#This Row],[RUC]]),"")</f>
        <v/>
      </c>
      <c r="J361" s="2" t="str">
        <f>IFERROR(IF(MARÍTIMOS[[#This Row],[Placa Tracto]]="","",MARÍTIMOS[[#This Row],[Placa Tracto]]),"")</f>
        <v/>
      </c>
      <c r="K361" s="2" t="str">
        <f>IFERROR(IF(MARÍTIMOS[[#This Row],[Placa Carreta]]="","",MARÍTIMOS[[#This Row],[Placa Carreta]]),"")</f>
        <v/>
      </c>
      <c r="L361" s="46" t="str">
        <f>IFERROR(IF(MARÍTIMOS[[#This Row],[Conductor]]="","",MARÍTIMOS[[#This Row],[Conductor]]),"")</f>
        <v/>
      </c>
      <c r="M361" s="2" t="str">
        <f>IFERROR(IF(MARÍTIMOS[[#This Row],[Licencia]]="","",MARÍTIMOS[[#This Row],[Licencia]]),"")</f>
        <v/>
      </c>
      <c r="N361" s="2" t="str">
        <f>IFERROR(IF(MARÍTIMOS[[#This Row],[Número de Contacto]]="","",MARÍTIMOS[[#This Row],[Número de Contacto]]),"")</f>
        <v/>
      </c>
      <c r="O361" s="10" t="str">
        <f>IFERROR(IF(MARÍTIMOS[[#This Row],[Booking|AWB|CRT]]="","",MARÍTIMOS[[#This Row],[Booking|AWB|CRT]]),"")</f>
        <v/>
      </c>
      <c r="P361" s="2" t="str">
        <f>IFERROR(IF(MARÍTIMOS[[#This Row],[Contenedor]]="","",MARÍTIMOS[[#This Row],[Contenedor]]),"")</f>
        <v/>
      </c>
      <c r="Q361" s="2" t="str">
        <f>IFERROR(IF(MARÍTIMOS[[#This Row],[Puerto de Retiro]]="","",MARÍTIMOS[[#This Row],[Puerto de Retiro]]),"")</f>
        <v/>
      </c>
      <c r="R361" s="2" t="str">
        <f>IFERROR(IF(MARÍTIMOS[[#This Row],[Almacén de Retiro]]="","",MARÍTIMOS[[#This Row],[Almacén de Retiro]]),"")</f>
        <v/>
      </c>
      <c r="S361" s="11" t="str">
        <f>IFERROR(IF(MARÍTIMOS[[#This Row],[Etapa Retiro - Cita]]="","",MARÍTIMOS[[#This Row],[Etapa Retiro - Cita]]),"")</f>
        <v/>
      </c>
      <c r="T361" s="11" t="str">
        <f>IFERROR(IF(MARÍTIMOS[[#This Row],[Etapa Retiro - Llegada]]="","",MARÍTIMOS[[#This Row],[Etapa Retiro - Llegada]]),"")</f>
        <v/>
      </c>
      <c r="U361" s="11" t="str">
        <f>IFERROR(IF(MARÍTIMOS[[#This Row],[Etapa Retiro - Ingreso]]="","",MARÍTIMOS[[#This Row],[Etapa Retiro - Ingreso]]),"")</f>
        <v/>
      </c>
      <c r="V361" s="11" t="str">
        <f>IFERROR(IF(MARÍTIMOS[[#This Row],[Etapa Retiro - Atención]]="","",MARÍTIMOS[[#This Row],[Etapa Retiro - Atención]]),"")</f>
        <v/>
      </c>
      <c r="W361" s="11" t="str">
        <f>IFERROR(IF(MARÍTIMOS[[#This Row],[Etapa Retiro - Salida]]="","",MARÍTIMOS[[#This Row],[Etapa Retiro - Salida]]),"")</f>
        <v/>
      </c>
      <c r="X361" s="11" t="str">
        <f>IFERROR(IF(MARÍTIMOS[[#This Row],[Etapa Retiro - Inicio de Ruta]]="","",MARÍTIMOS[[#This Row],[Etapa Retiro - Inicio de Ruta]]),"")</f>
        <v/>
      </c>
      <c r="Y361" s="11" t="str">
        <f>IFERROR(IF(MARÍTIMOS[[#This Row],[Hora de Posicionamiento]]="","",MARÍTIMOS[[#This Row],[Hora de Carga]]+MARÍTIMOS[[#This Row],[Hora de Posicionamiento]]),"")</f>
        <v/>
      </c>
      <c r="Z361" s="11" t="str">
        <f>IFERROR(IF(MARÍTIMOS[[#This Row],[Etapa Despacho -  Llegada]]="","",MARÍTIMOS[[#This Row],[Etapa Despacho -  Llegada]]),"")</f>
        <v/>
      </c>
      <c r="AA361" s="11" t="str">
        <f>IFERROR(IF(MARÍTIMOS[[#This Row],[Etapa Despacho -  Registro]]="","",MARÍTIMOS[[#This Row],[Etapa Despacho -  Registro]]),"")</f>
        <v/>
      </c>
      <c r="AB361" s="11" t="str">
        <f>IFERROR(IF(MARÍTIMOS[[#This Row],[Inspección Externa]]="","",MARÍTIMOS[[#This Row],[Inspección Externa]]),"")</f>
        <v/>
      </c>
      <c r="AC361" s="11" t="str">
        <f>IFERROR(IF(MARÍTIMOS[[#This Row],[Etapa Despacho -  Inicio de Carga]]="","",MARÍTIMOS[[#This Row],[Etapa Despacho -  Inicio de Carga]]),"")</f>
        <v/>
      </c>
      <c r="AD361" s="11" t="str">
        <f>IFERROR(IF(MARÍTIMOS[[#This Row],[Etapa Despacho -  Fin de Carga]]="","",MARÍTIMOS[[#This Row],[Etapa Despacho -  Fin de Carga]]),"")</f>
        <v/>
      </c>
      <c r="AE361" s="11" t="str">
        <f>IFERROR(IF(MARÍTIMOS[[#This Row],[Etapa Despacho -  Salida]]="","",MARÍTIMOS[[#This Row],[Etapa Despacho -  Salida]]),"")</f>
        <v/>
      </c>
      <c r="AF361" s="2" t="str">
        <f>IFERROR(IF(MARÍTIMOS[[#This Row],[Puerto de Embarque]]="","",MARÍTIMOS[[#This Row],[Puerto de Embarque]]),"")</f>
        <v/>
      </c>
      <c r="AG361" s="2" t="str">
        <f>IFERROR(IF(MARÍTIMOS[[#This Row],[Almacén de Ingreso]]="","",MARÍTIMOS[[#This Row],[Almacén de Ingreso]]),"")</f>
        <v/>
      </c>
      <c r="AH361" s="11" t="str">
        <f>IFERROR(IF(MARÍTIMOS[[#This Row],[Etapa Ingreso - Cita]]="","",MARÍTIMOS[[#This Row],[Etapa Ingreso - Cita]]),"")</f>
        <v/>
      </c>
      <c r="AI361" s="11" t="str">
        <f>IFERROR(IF(MARÍTIMOS[[#This Row],[Etapa Ingreso - Llegada]]="","",MARÍTIMOS[[#This Row],[Etapa Ingreso - Llegada]]),"")</f>
        <v/>
      </c>
      <c r="AJ361" s="11" t="str">
        <f>IFERROR(IF(MARÍTIMOS[[#This Row],[Etapa Ingreso - Ingeso]]="","",MARÍTIMOS[[#This Row],[Etapa Ingreso - Ingeso]]),"")</f>
        <v/>
      </c>
      <c r="AK361" s="11" t="str">
        <f>IFERROR(IF(MARÍTIMOS[[#This Row],[Etapa Ingreso - Atención]]="","",MARÍTIMOS[[#This Row],[Etapa Ingreso - Atención]]),"")</f>
        <v/>
      </c>
      <c r="AL361" s="11" t="str">
        <f>IFERROR(IF(MARÍTIMOS[[#This Row],[Etapa Ingreso - Salida]]="","",MARÍTIMOS[[#This Row],[Etapa Ingreso - Salida]]),"")</f>
        <v/>
      </c>
      <c r="AM361" s="2" t="str">
        <f>IFERROR(IF(MARÍTIMOS[[#This Row],[FCL]]="","",MARÍTIMOS[[#This Row],[FCL]]),"")</f>
        <v/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1" s="5" t="str">
        <f>IFERROR(OLDBD[[#This Row],[Llegada a packing]]-OLDBD[[#This Row],[Inicio de Ruta]],"")</f>
        <v/>
      </c>
      <c r="AQ361" s="6" t="str">
        <f>IFERROR(OLDBD[[#This Row],[Inicio de Ruta]]-OLDBD[[#This Row],[Salida de almacén de retiro]],"")</f>
        <v/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1" s="9" t="str">
        <f>IFERROR(OLDBD[[#This Row],[Ingreso Packing]]-OLDBD[[#This Row],[Registro en Packing]],"")</f>
        <v/>
      </c>
      <c r="AV361" s="9" t="str">
        <f>IFERROR(OLDBD[[#This Row],[Ingreso Packing]]-OLDBD[[#This Row],[Llegada a packing]],"")</f>
        <v/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1" s="5" t="str">
        <f>IFERROR(OLDBD[[#This Row],[Llegada Almacén de Ingreso]]-OLDBD[[#This Row],[Salida Packing]],"")</f>
        <v/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1" s="45" t="s">
        <v>181</v>
      </c>
      <c r="BB361" s="53" t="str">
        <f>IFERROR(IF(MARÍTIMOS[[#This Row],[Estatus]]="","",MARÍTIMOS[[#This Row],[Estatus]]),"")</f>
        <v/>
      </c>
      <c r="BC361" s="45"/>
      <c r="BD361" s="52" t="str">
        <f>IFERROR(OLDBD[[#This Row],[Salida de almacén de retiro]]-OLDBD[[#This Row],[Ingreso Almacén de retiro]],"")</f>
        <v/>
      </c>
      <c r="BE361" s="52" t="str">
        <f>IFERROR(OLDBD[[#This Row],[Fin de Carga]]-OLDBD[[#This Row],[Inicio de Carga]],"")</f>
        <v/>
      </c>
    </row>
    <row r="362" spans="1:57" x14ac:dyDescent="0.35">
      <c r="A362" s="1"/>
      <c r="B362" s="1" t="str">
        <f>IFERROR(IF(MARÍTIMOS[[#This Row],[PP]]="","",MARÍTIMOS[[#This Row],[PP]]),"")</f>
        <v/>
      </c>
      <c r="C362" s="1" t="str">
        <f>IFERROR(IF(MARÍTIMOS[[#This Row],[Sede]]="","",MARÍTIMOS[[#This Row],[Sede]]),"")</f>
        <v/>
      </c>
      <c r="D362" s="1" t="str">
        <f>IFERROR(IF(MARÍTIMOS[[#This Row],[Instruction]]="","",MARÍTIMOS[[#This Row],[Instruction]]),"")</f>
        <v/>
      </c>
      <c r="E362" s="1"/>
      <c r="F362" s="2" t="str">
        <f>IFERROR(IF(MARÍTIMOS[[#This Row],[Transportista]]="","",MARÍTIMOS[[#This Row],[Transportista]]),"")</f>
        <v/>
      </c>
      <c r="G362" s="2" t="str">
        <f>IFERROR(IF(MARÍTIMOS[[#This Row],[Tercero]]="","",MARÍTIMOS[[#This Row],[Tercero]]),"")</f>
        <v/>
      </c>
      <c r="H362" s="2" t="str">
        <f>IFERROR(IF(MARÍTIMOS[[#This Row],[Razón Social]]="","",MARÍTIMOS[[#This Row],[Razón Social]]),"")</f>
        <v/>
      </c>
      <c r="I362" s="2" t="str">
        <f>IFERROR(IF(MARÍTIMOS[[#This Row],[RUC]]="","",MARÍTIMOS[[#This Row],[RUC]]),"")</f>
        <v/>
      </c>
      <c r="J362" s="2" t="str">
        <f>IFERROR(IF(MARÍTIMOS[[#This Row],[Placa Tracto]]="","",MARÍTIMOS[[#This Row],[Placa Tracto]]),"")</f>
        <v/>
      </c>
      <c r="K362" s="2" t="str">
        <f>IFERROR(IF(MARÍTIMOS[[#This Row],[Placa Carreta]]="","",MARÍTIMOS[[#This Row],[Placa Carreta]]),"")</f>
        <v/>
      </c>
      <c r="L362" s="46" t="str">
        <f>IFERROR(IF(MARÍTIMOS[[#This Row],[Conductor]]="","",MARÍTIMOS[[#This Row],[Conductor]]),"")</f>
        <v/>
      </c>
      <c r="M362" s="2" t="str">
        <f>IFERROR(IF(MARÍTIMOS[[#This Row],[Licencia]]="","",MARÍTIMOS[[#This Row],[Licencia]]),"")</f>
        <v/>
      </c>
      <c r="N362" s="2" t="str">
        <f>IFERROR(IF(MARÍTIMOS[[#This Row],[Número de Contacto]]="","",MARÍTIMOS[[#This Row],[Número de Contacto]]),"")</f>
        <v/>
      </c>
      <c r="O362" s="10" t="str">
        <f>IFERROR(IF(MARÍTIMOS[[#This Row],[Booking|AWB|CRT]]="","",MARÍTIMOS[[#This Row],[Booking|AWB|CRT]]),"")</f>
        <v/>
      </c>
      <c r="P362" s="2" t="str">
        <f>IFERROR(IF(MARÍTIMOS[[#This Row],[Contenedor]]="","",MARÍTIMOS[[#This Row],[Contenedor]]),"")</f>
        <v/>
      </c>
      <c r="Q362" s="2" t="str">
        <f>IFERROR(IF(MARÍTIMOS[[#This Row],[Puerto de Retiro]]="","",MARÍTIMOS[[#This Row],[Puerto de Retiro]]),"")</f>
        <v/>
      </c>
      <c r="R362" s="2" t="str">
        <f>IFERROR(IF(MARÍTIMOS[[#This Row],[Almacén de Retiro]]="","",MARÍTIMOS[[#This Row],[Almacén de Retiro]]),"")</f>
        <v/>
      </c>
      <c r="S362" s="11" t="str">
        <f>IFERROR(IF(MARÍTIMOS[[#This Row],[Etapa Retiro - Cita]]="","",MARÍTIMOS[[#This Row],[Etapa Retiro - Cita]]),"")</f>
        <v/>
      </c>
      <c r="T362" s="11" t="str">
        <f>IFERROR(IF(MARÍTIMOS[[#This Row],[Etapa Retiro - Llegada]]="","",MARÍTIMOS[[#This Row],[Etapa Retiro - Llegada]]),"")</f>
        <v/>
      </c>
      <c r="U362" s="11" t="str">
        <f>IFERROR(IF(MARÍTIMOS[[#This Row],[Etapa Retiro - Ingreso]]="","",MARÍTIMOS[[#This Row],[Etapa Retiro - Ingreso]]),"")</f>
        <v/>
      </c>
      <c r="V362" s="11" t="str">
        <f>IFERROR(IF(MARÍTIMOS[[#This Row],[Etapa Retiro - Atención]]="","",MARÍTIMOS[[#This Row],[Etapa Retiro - Atención]]),"")</f>
        <v/>
      </c>
      <c r="W362" s="11" t="str">
        <f>IFERROR(IF(MARÍTIMOS[[#This Row],[Etapa Retiro - Salida]]="","",MARÍTIMOS[[#This Row],[Etapa Retiro - Salida]]),"")</f>
        <v/>
      </c>
      <c r="X362" s="11" t="str">
        <f>IFERROR(IF(MARÍTIMOS[[#This Row],[Etapa Retiro - Inicio de Ruta]]="","",MARÍTIMOS[[#This Row],[Etapa Retiro - Inicio de Ruta]]),"")</f>
        <v/>
      </c>
      <c r="Y362" s="11" t="str">
        <f>IFERROR(IF(MARÍTIMOS[[#This Row],[Hora de Posicionamiento]]="","",MARÍTIMOS[[#This Row],[Hora de Carga]]+MARÍTIMOS[[#This Row],[Hora de Posicionamiento]]),"")</f>
        <v/>
      </c>
      <c r="Z362" s="11" t="str">
        <f>IFERROR(IF(MARÍTIMOS[[#This Row],[Etapa Despacho -  Llegada]]="","",MARÍTIMOS[[#This Row],[Etapa Despacho -  Llegada]]),"")</f>
        <v/>
      </c>
      <c r="AA362" s="11" t="str">
        <f>IFERROR(IF(MARÍTIMOS[[#This Row],[Etapa Despacho -  Registro]]="","",MARÍTIMOS[[#This Row],[Etapa Despacho -  Registro]]),"")</f>
        <v/>
      </c>
      <c r="AB362" s="11" t="str">
        <f>IFERROR(IF(MARÍTIMOS[[#This Row],[Inspección Externa]]="","",MARÍTIMOS[[#This Row],[Inspección Externa]]),"")</f>
        <v/>
      </c>
      <c r="AC362" s="11" t="str">
        <f>IFERROR(IF(MARÍTIMOS[[#This Row],[Etapa Despacho -  Inicio de Carga]]="","",MARÍTIMOS[[#This Row],[Etapa Despacho -  Inicio de Carga]]),"")</f>
        <v/>
      </c>
      <c r="AD362" s="11" t="str">
        <f>IFERROR(IF(MARÍTIMOS[[#This Row],[Etapa Despacho -  Fin de Carga]]="","",MARÍTIMOS[[#This Row],[Etapa Despacho -  Fin de Carga]]),"")</f>
        <v/>
      </c>
      <c r="AE362" s="11" t="str">
        <f>IFERROR(IF(MARÍTIMOS[[#This Row],[Etapa Despacho -  Salida]]="","",MARÍTIMOS[[#This Row],[Etapa Despacho -  Salida]]),"")</f>
        <v/>
      </c>
      <c r="AF362" s="2" t="str">
        <f>IFERROR(IF(MARÍTIMOS[[#This Row],[Puerto de Embarque]]="","",MARÍTIMOS[[#This Row],[Puerto de Embarque]]),"")</f>
        <v/>
      </c>
      <c r="AG362" s="2" t="str">
        <f>IFERROR(IF(MARÍTIMOS[[#This Row],[Almacén de Ingreso]]="","",MARÍTIMOS[[#This Row],[Almacén de Ingreso]]),"")</f>
        <v/>
      </c>
      <c r="AH362" s="11" t="str">
        <f>IFERROR(IF(MARÍTIMOS[[#This Row],[Etapa Ingreso - Cita]]="","",MARÍTIMOS[[#This Row],[Etapa Ingreso - Cita]]),"")</f>
        <v/>
      </c>
      <c r="AI362" s="11" t="str">
        <f>IFERROR(IF(MARÍTIMOS[[#This Row],[Etapa Ingreso - Llegada]]="","",MARÍTIMOS[[#This Row],[Etapa Ingreso - Llegada]]),"")</f>
        <v/>
      </c>
      <c r="AJ362" s="11" t="str">
        <f>IFERROR(IF(MARÍTIMOS[[#This Row],[Etapa Ingreso - Ingeso]]="","",MARÍTIMOS[[#This Row],[Etapa Ingreso - Ingeso]]),"")</f>
        <v/>
      </c>
      <c r="AK362" s="11" t="str">
        <f>IFERROR(IF(MARÍTIMOS[[#This Row],[Etapa Ingreso - Atención]]="","",MARÍTIMOS[[#This Row],[Etapa Ingreso - Atención]]),"")</f>
        <v/>
      </c>
      <c r="AL362" s="11" t="str">
        <f>IFERROR(IF(MARÍTIMOS[[#This Row],[Etapa Ingreso - Salida]]="","",MARÍTIMOS[[#This Row],[Etapa Ingreso - Salida]]),"")</f>
        <v/>
      </c>
      <c r="AM362" s="2" t="str">
        <f>IFERROR(IF(MARÍTIMOS[[#This Row],[FCL]]="","",MARÍTIMOS[[#This Row],[FCL]]),"")</f>
        <v/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2" s="5" t="str">
        <f>IFERROR(OLDBD[[#This Row],[Llegada a packing]]-OLDBD[[#This Row],[Inicio de Ruta]],"")</f>
        <v/>
      </c>
      <c r="AQ362" s="6" t="str">
        <f>IFERROR(OLDBD[[#This Row],[Inicio de Ruta]]-OLDBD[[#This Row],[Salida de almacén de retiro]],"")</f>
        <v/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2" s="9" t="str">
        <f>IFERROR(OLDBD[[#This Row],[Ingreso Packing]]-OLDBD[[#This Row],[Registro en Packing]],"")</f>
        <v/>
      </c>
      <c r="AV362" s="9" t="str">
        <f>IFERROR(OLDBD[[#This Row],[Ingreso Packing]]-OLDBD[[#This Row],[Llegada a packing]],"")</f>
        <v/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 t="str">
        <f>IFERROR(OLDBD[[#This Row],[Llegada Almacén de Ingreso]]-OLDBD[[#This Row],[Salida Packing]],"")</f>
        <v/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2" s="45" t="s">
        <v>181</v>
      </c>
      <c r="BB362" s="53" t="str">
        <f>IFERROR(IF(MARÍTIMOS[[#This Row],[Estatus]]="","",MARÍTIMOS[[#This Row],[Estatus]]),"")</f>
        <v/>
      </c>
      <c r="BC362" s="45"/>
      <c r="BD362" s="52" t="str">
        <f>IFERROR(OLDBD[[#This Row],[Salida de almacén de retiro]]-OLDBD[[#This Row],[Ingreso Almacén de retiro]],"")</f>
        <v/>
      </c>
      <c r="BE362" s="52" t="str">
        <f>IFERROR(OLDBD[[#This Row],[Fin de Carga]]-OLDBD[[#This Row],[Inicio de Carga]],"")</f>
        <v/>
      </c>
    </row>
    <row r="363" spans="1:57" x14ac:dyDescent="0.35">
      <c r="A363" s="1"/>
      <c r="B363" s="1" t="str">
        <f>IFERROR(IF(MARÍTIMOS[[#This Row],[PP]]="","",MARÍTIMOS[[#This Row],[PP]]),"")</f>
        <v/>
      </c>
      <c r="C363" s="1" t="str">
        <f>IFERROR(IF(MARÍTIMOS[[#This Row],[Sede]]="","",MARÍTIMOS[[#This Row],[Sede]]),"")</f>
        <v/>
      </c>
      <c r="D363" s="1" t="str">
        <f>IFERROR(IF(MARÍTIMOS[[#This Row],[Instruction]]="","",MARÍTIMOS[[#This Row],[Instruction]]),"")</f>
        <v/>
      </c>
      <c r="E363" s="1"/>
      <c r="F363" s="2" t="str">
        <f>IFERROR(IF(MARÍTIMOS[[#This Row],[Transportista]]="","",MARÍTIMOS[[#This Row],[Transportista]]),"")</f>
        <v/>
      </c>
      <c r="G363" s="2" t="str">
        <f>IFERROR(IF(MARÍTIMOS[[#This Row],[Tercero]]="","",MARÍTIMOS[[#This Row],[Tercero]]),"")</f>
        <v/>
      </c>
      <c r="H363" s="2" t="str">
        <f>IFERROR(IF(MARÍTIMOS[[#This Row],[Razón Social]]="","",MARÍTIMOS[[#This Row],[Razón Social]]),"")</f>
        <v/>
      </c>
      <c r="I363" s="2" t="str">
        <f>IFERROR(IF(MARÍTIMOS[[#This Row],[RUC]]="","",MARÍTIMOS[[#This Row],[RUC]]),"")</f>
        <v/>
      </c>
      <c r="J363" s="2" t="str">
        <f>IFERROR(IF(MARÍTIMOS[[#This Row],[Placa Tracto]]="","",MARÍTIMOS[[#This Row],[Placa Tracto]]),"")</f>
        <v/>
      </c>
      <c r="K363" s="2" t="str">
        <f>IFERROR(IF(MARÍTIMOS[[#This Row],[Placa Carreta]]="","",MARÍTIMOS[[#This Row],[Placa Carreta]]),"")</f>
        <v/>
      </c>
      <c r="L363" s="46" t="str">
        <f>IFERROR(IF(MARÍTIMOS[[#This Row],[Conductor]]="","",MARÍTIMOS[[#This Row],[Conductor]]),"")</f>
        <v/>
      </c>
      <c r="M363" s="2" t="str">
        <f>IFERROR(IF(MARÍTIMOS[[#This Row],[Licencia]]="","",MARÍTIMOS[[#This Row],[Licencia]]),"")</f>
        <v/>
      </c>
      <c r="N363" s="2" t="str">
        <f>IFERROR(IF(MARÍTIMOS[[#This Row],[Número de Contacto]]="","",MARÍTIMOS[[#This Row],[Número de Contacto]]),"")</f>
        <v/>
      </c>
      <c r="O363" s="10" t="str">
        <f>IFERROR(IF(MARÍTIMOS[[#This Row],[Booking|AWB|CRT]]="","",MARÍTIMOS[[#This Row],[Booking|AWB|CRT]]),"")</f>
        <v/>
      </c>
      <c r="P363" s="2" t="str">
        <f>IFERROR(IF(MARÍTIMOS[[#This Row],[Contenedor]]="","",MARÍTIMOS[[#This Row],[Contenedor]]),"")</f>
        <v/>
      </c>
      <c r="Q363" s="2" t="str">
        <f>IFERROR(IF(MARÍTIMOS[[#This Row],[Puerto de Retiro]]="","",MARÍTIMOS[[#This Row],[Puerto de Retiro]]),"")</f>
        <v/>
      </c>
      <c r="R363" s="2" t="str">
        <f>IFERROR(IF(MARÍTIMOS[[#This Row],[Almacén de Retiro]]="","",MARÍTIMOS[[#This Row],[Almacén de Retiro]]),"")</f>
        <v/>
      </c>
      <c r="S363" s="11" t="str">
        <f>IFERROR(IF(MARÍTIMOS[[#This Row],[Etapa Retiro - Cita]]="","",MARÍTIMOS[[#This Row],[Etapa Retiro - Cita]]),"")</f>
        <v/>
      </c>
      <c r="T363" s="11" t="str">
        <f>IFERROR(IF(MARÍTIMOS[[#This Row],[Etapa Retiro - Llegada]]="","",MARÍTIMOS[[#This Row],[Etapa Retiro - Llegada]]),"")</f>
        <v/>
      </c>
      <c r="U363" s="11" t="str">
        <f>IFERROR(IF(MARÍTIMOS[[#This Row],[Etapa Retiro - Ingreso]]="","",MARÍTIMOS[[#This Row],[Etapa Retiro - Ingreso]]),"")</f>
        <v/>
      </c>
      <c r="V363" s="11" t="str">
        <f>IFERROR(IF(MARÍTIMOS[[#This Row],[Etapa Retiro - Atención]]="","",MARÍTIMOS[[#This Row],[Etapa Retiro - Atención]]),"")</f>
        <v/>
      </c>
      <c r="W363" s="11" t="str">
        <f>IFERROR(IF(MARÍTIMOS[[#This Row],[Etapa Retiro - Salida]]="","",MARÍTIMOS[[#This Row],[Etapa Retiro - Salida]]),"")</f>
        <v/>
      </c>
      <c r="X363" s="11" t="str">
        <f>IFERROR(IF(MARÍTIMOS[[#This Row],[Etapa Retiro - Inicio de Ruta]]="","",MARÍTIMOS[[#This Row],[Etapa Retiro - Inicio de Ruta]]),"")</f>
        <v/>
      </c>
      <c r="Y363" s="11" t="str">
        <f>IFERROR(IF(MARÍTIMOS[[#This Row],[Hora de Posicionamiento]]="","",MARÍTIMOS[[#This Row],[Hora de Carga]]+MARÍTIMOS[[#This Row],[Hora de Posicionamiento]]),"")</f>
        <v/>
      </c>
      <c r="Z363" s="11" t="str">
        <f>IFERROR(IF(MARÍTIMOS[[#This Row],[Etapa Despacho -  Llegada]]="","",MARÍTIMOS[[#This Row],[Etapa Despacho -  Llegada]]),"")</f>
        <v/>
      </c>
      <c r="AA363" s="11" t="str">
        <f>IFERROR(IF(MARÍTIMOS[[#This Row],[Etapa Despacho -  Registro]]="","",MARÍTIMOS[[#This Row],[Etapa Despacho -  Registro]]),"")</f>
        <v/>
      </c>
      <c r="AB363" s="11" t="str">
        <f>IFERROR(IF(MARÍTIMOS[[#This Row],[Inspección Externa]]="","",MARÍTIMOS[[#This Row],[Inspección Externa]]),"")</f>
        <v/>
      </c>
      <c r="AC363" s="11" t="str">
        <f>IFERROR(IF(MARÍTIMOS[[#This Row],[Etapa Despacho -  Inicio de Carga]]="","",MARÍTIMOS[[#This Row],[Etapa Despacho -  Inicio de Carga]]),"")</f>
        <v/>
      </c>
      <c r="AD363" s="11" t="str">
        <f>IFERROR(IF(MARÍTIMOS[[#This Row],[Etapa Despacho -  Fin de Carga]]="","",MARÍTIMOS[[#This Row],[Etapa Despacho -  Fin de Carga]]),"")</f>
        <v/>
      </c>
      <c r="AE363" s="11" t="str">
        <f>IFERROR(IF(MARÍTIMOS[[#This Row],[Etapa Despacho -  Salida]]="","",MARÍTIMOS[[#This Row],[Etapa Despacho -  Salida]]),"")</f>
        <v/>
      </c>
      <c r="AF363" s="2" t="str">
        <f>IFERROR(IF(MARÍTIMOS[[#This Row],[Puerto de Embarque]]="","",MARÍTIMOS[[#This Row],[Puerto de Embarque]]),"")</f>
        <v/>
      </c>
      <c r="AG363" s="2" t="str">
        <f>IFERROR(IF(MARÍTIMOS[[#This Row],[Almacén de Ingreso]]="","",MARÍTIMOS[[#This Row],[Almacén de Ingreso]]),"")</f>
        <v/>
      </c>
      <c r="AH363" s="11" t="str">
        <f>IFERROR(IF(MARÍTIMOS[[#This Row],[Etapa Ingreso - Cita]]="","",MARÍTIMOS[[#This Row],[Etapa Ingreso - Cita]]),"")</f>
        <v/>
      </c>
      <c r="AI363" s="11" t="str">
        <f>IFERROR(IF(MARÍTIMOS[[#This Row],[Etapa Ingreso - Llegada]]="","",MARÍTIMOS[[#This Row],[Etapa Ingreso - Llegada]]),"")</f>
        <v/>
      </c>
      <c r="AJ363" s="11" t="str">
        <f>IFERROR(IF(MARÍTIMOS[[#This Row],[Etapa Ingreso - Ingeso]]="","",MARÍTIMOS[[#This Row],[Etapa Ingreso - Ingeso]]),"")</f>
        <v/>
      </c>
      <c r="AK363" s="11" t="str">
        <f>IFERROR(IF(MARÍTIMOS[[#This Row],[Etapa Ingreso - Atención]]="","",MARÍTIMOS[[#This Row],[Etapa Ingreso - Atención]]),"")</f>
        <v/>
      </c>
      <c r="AL363" s="11" t="str">
        <f>IFERROR(IF(MARÍTIMOS[[#This Row],[Etapa Ingreso - Salida]]="","",MARÍTIMOS[[#This Row],[Etapa Ingreso - Salida]]),"")</f>
        <v/>
      </c>
      <c r="AM363" s="2" t="str">
        <f>IFERROR(IF(MARÍTIMOS[[#This Row],[FCL]]="","",MARÍTIMOS[[#This Row],[FCL]]),"")</f>
        <v/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3" s="5" t="str">
        <f>IFERROR(OLDBD[[#This Row],[Llegada a packing]]-OLDBD[[#This Row],[Inicio de Ruta]],"")</f>
        <v/>
      </c>
      <c r="AQ363" s="6" t="str">
        <f>IFERROR(OLDBD[[#This Row],[Inicio de Ruta]]-OLDBD[[#This Row],[Salida de almacén de retiro]],"")</f>
        <v/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3" s="9" t="str">
        <f>IFERROR(OLDBD[[#This Row],[Ingreso Packing]]-OLDBD[[#This Row],[Registro en Packing]],"")</f>
        <v/>
      </c>
      <c r="AV363" s="9" t="str">
        <f>IFERROR(OLDBD[[#This Row],[Ingreso Packing]]-OLDBD[[#This Row],[Llegada a packing]],"")</f>
        <v/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 t="str">
        <f>IFERROR(OLDBD[[#This Row],[Llegada Almacén de Ingreso]]-OLDBD[[#This Row],[Salida Packing]],"")</f>
        <v/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3" s="45" t="s">
        <v>181</v>
      </c>
      <c r="BB363" s="53" t="str">
        <f>IFERROR(IF(MARÍTIMOS[[#This Row],[Estatus]]="","",MARÍTIMOS[[#This Row],[Estatus]]),"")</f>
        <v/>
      </c>
      <c r="BC363" s="45"/>
      <c r="BD363" s="52" t="str">
        <f>IFERROR(OLDBD[[#This Row],[Salida de almacén de retiro]]-OLDBD[[#This Row],[Ingreso Almacén de retiro]],"")</f>
        <v/>
      </c>
      <c r="BE363" s="52" t="str">
        <f>IFERROR(OLDBD[[#This Row],[Fin de Carga]]-OLDBD[[#This Row],[Inicio de Carga]],"")</f>
        <v/>
      </c>
    </row>
    <row r="364" spans="1:57" x14ac:dyDescent="0.35">
      <c r="A364" s="1"/>
      <c r="B364" s="1" t="str">
        <f>IFERROR(IF(MARÍTIMOS[[#This Row],[PP]]="","",MARÍTIMOS[[#This Row],[PP]]),"")</f>
        <v/>
      </c>
      <c r="C364" s="1" t="str">
        <f>IFERROR(IF(MARÍTIMOS[[#This Row],[Sede]]="","",MARÍTIMOS[[#This Row],[Sede]]),"")</f>
        <v/>
      </c>
      <c r="D364" s="1" t="str">
        <f>IFERROR(IF(MARÍTIMOS[[#This Row],[Instruction]]="","",MARÍTIMOS[[#This Row],[Instruction]]),"")</f>
        <v/>
      </c>
      <c r="E364" s="1"/>
      <c r="F364" s="2" t="str">
        <f>IFERROR(IF(MARÍTIMOS[[#This Row],[Transportista]]="","",MARÍTIMOS[[#This Row],[Transportista]]),"")</f>
        <v/>
      </c>
      <c r="G364" s="2" t="str">
        <f>IFERROR(IF(MARÍTIMOS[[#This Row],[Tercero]]="","",MARÍTIMOS[[#This Row],[Tercero]]),"")</f>
        <v/>
      </c>
      <c r="H364" s="2" t="str">
        <f>IFERROR(IF(MARÍTIMOS[[#This Row],[Razón Social]]="","",MARÍTIMOS[[#This Row],[Razón Social]]),"")</f>
        <v/>
      </c>
      <c r="I364" s="2" t="str">
        <f>IFERROR(IF(MARÍTIMOS[[#This Row],[RUC]]="","",MARÍTIMOS[[#This Row],[RUC]]),"")</f>
        <v/>
      </c>
      <c r="J364" s="2" t="str">
        <f>IFERROR(IF(MARÍTIMOS[[#This Row],[Placa Tracto]]="","",MARÍTIMOS[[#This Row],[Placa Tracto]]),"")</f>
        <v/>
      </c>
      <c r="K364" s="2" t="str">
        <f>IFERROR(IF(MARÍTIMOS[[#This Row],[Placa Carreta]]="","",MARÍTIMOS[[#This Row],[Placa Carreta]]),"")</f>
        <v/>
      </c>
      <c r="L364" s="46" t="str">
        <f>IFERROR(IF(MARÍTIMOS[[#This Row],[Conductor]]="","",MARÍTIMOS[[#This Row],[Conductor]]),"")</f>
        <v/>
      </c>
      <c r="M364" s="2" t="str">
        <f>IFERROR(IF(MARÍTIMOS[[#This Row],[Licencia]]="","",MARÍTIMOS[[#This Row],[Licencia]]),"")</f>
        <v/>
      </c>
      <c r="N364" s="2" t="str">
        <f>IFERROR(IF(MARÍTIMOS[[#This Row],[Número de Contacto]]="","",MARÍTIMOS[[#This Row],[Número de Contacto]]),"")</f>
        <v/>
      </c>
      <c r="O364" s="10" t="str">
        <f>IFERROR(IF(MARÍTIMOS[[#This Row],[Booking|AWB|CRT]]="","",MARÍTIMOS[[#This Row],[Booking|AWB|CRT]]),"")</f>
        <v/>
      </c>
      <c r="P364" s="2" t="str">
        <f>IFERROR(IF(MARÍTIMOS[[#This Row],[Contenedor]]="","",MARÍTIMOS[[#This Row],[Contenedor]]),"")</f>
        <v/>
      </c>
      <c r="Q364" s="2" t="str">
        <f>IFERROR(IF(MARÍTIMOS[[#This Row],[Puerto de Retiro]]="","",MARÍTIMOS[[#This Row],[Puerto de Retiro]]),"")</f>
        <v/>
      </c>
      <c r="R364" s="2" t="str">
        <f>IFERROR(IF(MARÍTIMOS[[#This Row],[Almacén de Retiro]]="","",MARÍTIMOS[[#This Row],[Almacén de Retiro]]),"")</f>
        <v/>
      </c>
      <c r="S364" s="11" t="str">
        <f>IFERROR(IF(MARÍTIMOS[[#This Row],[Etapa Retiro - Cita]]="","",MARÍTIMOS[[#This Row],[Etapa Retiro - Cita]]),"")</f>
        <v/>
      </c>
      <c r="T364" s="11" t="str">
        <f>IFERROR(IF(MARÍTIMOS[[#This Row],[Etapa Retiro - Llegada]]="","",MARÍTIMOS[[#This Row],[Etapa Retiro - Llegada]]),"")</f>
        <v/>
      </c>
      <c r="U364" s="11" t="str">
        <f>IFERROR(IF(MARÍTIMOS[[#This Row],[Etapa Retiro - Ingreso]]="","",MARÍTIMOS[[#This Row],[Etapa Retiro - Ingreso]]),"")</f>
        <v/>
      </c>
      <c r="V364" s="11" t="str">
        <f>IFERROR(IF(MARÍTIMOS[[#This Row],[Etapa Retiro - Atención]]="","",MARÍTIMOS[[#This Row],[Etapa Retiro - Atención]]),"")</f>
        <v/>
      </c>
      <c r="W364" s="11" t="str">
        <f>IFERROR(IF(MARÍTIMOS[[#This Row],[Etapa Retiro - Salida]]="","",MARÍTIMOS[[#This Row],[Etapa Retiro - Salida]]),"")</f>
        <v/>
      </c>
      <c r="X364" s="11" t="str">
        <f>IFERROR(IF(MARÍTIMOS[[#This Row],[Etapa Retiro - Inicio de Ruta]]="","",MARÍTIMOS[[#This Row],[Etapa Retiro - Inicio de Ruta]]),"")</f>
        <v/>
      </c>
      <c r="Y364" s="11" t="str">
        <f>IFERROR(IF(MARÍTIMOS[[#This Row],[Hora de Posicionamiento]]="","",MARÍTIMOS[[#This Row],[Hora de Carga]]+MARÍTIMOS[[#This Row],[Hora de Posicionamiento]]),"")</f>
        <v/>
      </c>
      <c r="Z364" s="11" t="str">
        <f>IFERROR(IF(MARÍTIMOS[[#This Row],[Etapa Despacho -  Llegada]]="","",MARÍTIMOS[[#This Row],[Etapa Despacho -  Llegada]]),"")</f>
        <v/>
      </c>
      <c r="AA364" s="11" t="str">
        <f>IFERROR(IF(MARÍTIMOS[[#This Row],[Etapa Despacho -  Registro]]="","",MARÍTIMOS[[#This Row],[Etapa Despacho -  Registro]]),"")</f>
        <v/>
      </c>
      <c r="AB364" s="11" t="str">
        <f>IFERROR(IF(MARÍTIMOS[[#This Row],[Inspección Externa]]="","",MARÍTIMOS[[#This Row],[Inspección Externa]]),"")</f>
        <v/>
      </c>
      <c r="AC364" s="11" t="str">
        <f>IFERROR(IF(MARÍTIMOS[[#This Row],[Etapa Despacho -  Inicio de Carga]]="","",MARÍTIMOS[[#This Row],[Etapa Despacho -  Inicio de Carga]]),"")</f>
        <v/>
      </c>
      <c r="AD364" s="11" t="str">
        <f>IFERROR(IF(MARÍTIMOS[[#This Row],[Etapa Despacho -  Fin de Carga]]="","",MARÍTIMOS[[#This Row],[Etapa Despacho -  Fin de Carga]]),"")</f>
        <v/>
      </c>
      <c r="AE364" s="11" t="str">
        <f>IFERROR(IF(MARÍTIMOS[[#This Row],[Etapa Despacho -  Salida]]="","",MARÍTIMOS[[#This Row],[Etapa Despacho -  Salida]]),"")</f>
        <v/>
      </c>
      <c r="AF364" s="2" t="str">
        <f>IFERROR(IF(MARÍTIMOS[[#This Row],[Puerto de Embarque]]="","",MARÍTIMOS[[#This Row],[Puerto de Embarque]]),"")</f>
        <v/>
      </c>
      <c r="AG364" s="2" t="str">
        <f>IFERROR(IF(MARÍTIMOS[[#This Row],[Almacén de Ingreso]]="","",MARÍTIMOS[[#This Row],[Almacén de Ingreso]]),"")</f>
        <v/>
      </c>
      <c r="AH364" s="11" t="str">
        <f>IFERROR(IF(MARÍTIMOS[[#This Row],[Etapa Ingreso - Cita]]="","",MARÍTIMOS[[#This Row],[Etapa Ingreso - Cita]]),"")</f>
        <v/>
      </c>
      <c r="AI364" s="11" t="str">
        <f>IFERROR(IF(MARÍTIMOS[[#This Row],[Etapa Ingreso - Llegada]]="","",MARÍTIMOS[[#This Row],[Etapa Ingreso - Llegada]]),"")</f>
        <v/>
      </c>
      <c r="AJ364" s="11" t="str">
        <f>IFERROR(IF(MARÍTIMOS[[#This Row],[Etapa Ingreso - Ingeso]]="","",MARÍTIMOS[[#This Row],[Etapa Ingreso - Ingeso]]),"")</f>
        <v/>
      </c>
      <c r="AK364" s="11" t="str">
        <f>IFERROR(IF(MARÍTIMOS[[#This Row],[Etapa Ingreso - Atención]]="","",MARÍTIMOS[[#This Row],[Etapa Ingreso - Atención]]),"")</f>
        <v/>
      </c>
      <c r="AL364" s="11" t="str">
        <f>IFERROR(IF(MARÍTIMOS[[#This Row],[Etapa Ingreso - Salida]]="","",MARÍTIMOS[[#This Row],[Etapa Ingreso - Salida]]),"")</f>
        <v/>
      </c>
      <c r="AM364" s="2" t="str">
        <f>IFERROR(IF(MARÍTIMOS[[#This Row],[FCL]]="","",MARÍTIMOS[[#This Row],[FCL]]),"")</f>
        <v/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4" s="5" t="str">
        <f>IFERROR(OLDBD[[#This Row],[Llegada a packing]]-OLDBD[[#This Row],[Inicio de Ruta]],"")</f>
        <v/>
      </c>
      <c r="AQ364" s="6" t="str">
        <f>IFERROR(OLDBD[[#This Row],[Inicio de Ruta]]-OLDBD[[#This Row],[Salida de almacén de retiro]],"")</f>
        <v/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4" s="9" t="str">
        <f>IFERROR(OLDBD[[#This Row],[Ingreso Packing]]-OLDBD[[#This Row],[Registro en Packing]],"")</f>
        <v/>
      </c>
      <c r="AV364" s="9" t="str">
        <f>IFERROR(OLDBD[[#This Row],[Ingreso Packing]]-OLDBD[[#This Row],[Llegada a packing]],"")</f>
        <v/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 t="str">
        <f>IFERROR(OLDBD[[#This Row],[Llegada Almacén de Ingreso]]-OLDBD[[#This Row],[Salida Packing]],"")</f>
        <v/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4" s="45" t="s">
        <v>181</v>
      </c>
      <c r="BB364" s="53" t="str">
        <f>IFERROR(IF(MARÍTIMOS[[#This Row],[Estatus]]="","",MARÍTIMOS[[#This Row],[Estatus]]),"")</f>
        <v/>
      </c>
      <c r="BC364" s="45"/>
      <c r="BD364" s="52" t="str">
        <f>IFERROR(OLDBD[[#This Row],[Salida de almacén de retiro]]-OLDBD[[#This Row],[Ingreso Almacén de retiro]],"")</f>
        <v/>
      </c>
      <c r="BE364" s="52" t="str">
        <f>IFERROR(OLDBD[[#This Row],[Fin de Carga]]-OLDBD[[#This Row],[Inicio de Carga]],"")</f>
        <v/>
      </c>
    </row>
    <row r="365" spans="1:57" x14ac:dyDescent="0.35">
      <c r="A365" s="1"/>
      <c r="B365" s="1" t="str">
        <f>IFERROR(IF(MARÍTIMOS[[#This Row],[PP]]="","",MARÍTIMOS[[#This Row],[PP]]),"")</f>
        <v/>
      </c>
      <c r="C365" s="1" t="str">
        <f>IFERROR(IF(MARÍTIMOS[[#This Row],[Sede]]="","",MARÍTIMOS[[#This Row],[Sede]]),"")</f>
        <v/>
      </c>
      <c r="D365" s="1" t="str">
        <f>IFERROR(IF(MARÍTIMOS[[#This Row],[Instruction]]="","",MARÍTIMOS[[#This Row],[Instruction]]),"")</f>
        <v/>
      </c>
      <c r="E365" s="1"/>
      <c r="F365" s="2" t="str">
        <f>IFERROR(IF(MARÍTIMOS[[#This Row],[Transportista]]="","",MARÍTIMOS[[#This Row],[Transportista]]),"")</f>
        <v/>
      </c>
      <c r="G365" s="2" t="str">
        <f>IFERROR(IF(MARÍTIMOS[[#This Row],[Tercero]]="","",MARÍTIMOS[[#This Row],[Tercero]]),"")</f>
        <v/>
      </c>
      <c r="H365" s="2" t="str">
        <f>IFERROR(IF(MARÍTIMOS[[#This Row],[Razón Social]]="","",MARÍTIMOS[[#This Row],[Razón Social]]),"")</f>
        <v/>
      </c>
      <c r="I365" s="2" t="str">
        <f>IFERROR(IF(MARÍTIMOS[[#This Row],[RUC]]="","",MARÍTIMOS[[#This Row],[RUC]]),"")</f>
        <v/>
      </c>
      <c r="J365" s="2" t="str">
        <f>IFERROR(IF(MARÍTIMOS[[#This Row],[Placa Tracto]]="","",MARÍTIMOS[[#This Row],[Placa Tracto]]),"")</f>
        <v/>
      </c>
      <c r="K365" s="2" t="str">
        <f>IFERROR(IF(MARÍTIMOS[[#This Row],[Placa Carreta]]="","",MARÍTIMOS[[#This Row],[Placa Carreta]]),"")</f>
        <v/>
      </c>
      <c r="L365" s="46" t="str">
        <f>IFERROR(IF(MARÍTIMOS[[#This Row],[Conductor]]="","",MARÍTIMOS[[#This Row],[Conductor]]),"")</f>
        <v/>
      </c>
      <c r="M365" s="2" t="str">
        <f>IFERROR(IF(MARÍTIMOS[[#This Row],[Licencia]]="","",MARÍTIMOS[[#This Row],[Licencia]]),"")</f>
        <v/>
      </c>
      <c r="N365" s="2" t="str">
        <f>IFERROR(IF(MARÍTIMOS[[#This Row],[Número de Contacto]]="","",MARÍTIMOS[[#This Row],[Número de Contacto]]),"")</f>
        <v/>
      </c>
      <c r="O365" s="10" t="str">
        <f>IFERROR(IF(MARÍTIMOS[[#This Row],[Booking|AWB|CRT]]="","",MARÍTIMOS[[#This Row],[Booking|AWB|CRT]]),"")</f>
        <v/>
      </c>
      <c r="P365" s="2" t="str">
        <f>IFERROR(IF(MARÍTIMOS[[#This Row],[Contenedor]]="","",MARÍTIMOS[[#This Row],[Contenedor]]),"")</f>
        <v/>
      </c>
      <c r="Q365" s="2" t="str">
        <f>IFERROR(IF(MARÍTIMOS[[#This Row],[Puerto de Retiro]]="","",MARÍTIMOS[[#This Row],[Puerto de Retiro]]),"")</f>
        <v/>
      </c>
      <c r="R365" s="2" t="str">
        <f>IFERROR(IF(MARÍTIMOS[[#This Row],[Almacén de Retiro]]="","",MARÍTIMOS[[#This Row],[Almacén de Retiro]]),"")</f>
        <v/>
      </c>
      <c r="S365" s="11" t="str">
        <f>IFERROR(IF(MARÍTIMOS[[#This Row],[Etapa Retiro - Cita]]="","",MARÍTIMOS[[#This Row],[Etapa Retiro - Cita]]),"")</f>
        <v/>
      </c>
      <c r="T365" s="11" t="str">
        <f>IFERROR(IF(MARÍTIMOS[[#This Row],[Etapa Retiro - Llegada]]="","",MARÍTIMOS[[#This Row],[Etapa Retiro - Llegada]]),"")</f>
        <v/>
      </c>
      <c r="U365" s="11" t="str">
        <f>IFERROR(IF(MARÍTIMOS[[#This Row],[Etapa Retiro - Ingreso]]="","",MARÍTIMOS[[#This Row],[Etapa Retiro - Ingreso]]),"")</f>
        <v/>
      </c>
      <c r="V365" s="11" t="str">
        <f>IFERROR(IF(MARÍTIMOS[[#This Row],[Etapa Retiro - Atención]]="","",MARÍTIMOS[[#This Row],[Etapa Retiro - Atención]]),"")</f>
        <v/>
      </c>
      <c r="W365" s="11" t="str">
        <f>IFERROR(IF(MARÍTIMOS[[#This Row],[Etapa Retiro - Salida]]="","",MARÍTIMOS[[#This Row],[Etapa Retiro - Salida]]),"")</f>
        <v/>
      </c>
      <c r="X365" s="11" t="str">
        <f>IFERROR(IF(MARÍTIMOS[[#This Row],[Etapa Retiro - Inicio de Ruta]]="","",MARÍTIMOS[[#This Row],[Etapa Retiro - Inicio de Ruta]]),"")</f>
        <v/>
      </c>
      <c r="Y365" s="11" t="str">
        <f>IFERROR(IF(MARÍTIMOS[[#This Row],[Hora de Posicionamiento]]="","",MARÍTIMOS[[#This Row],[Hora de Carga]]+MARÍTIMOS[[#This Row],[Hora de Posicionamiento]]),"")</f>
        <v/>
      </c>
      <c r="Z365" s="11" t="str">
        <f>IFERROR(IF(MARÍTIMOS[[#This Row],[Etapa Despacho -  Llegada]]="","",MARÍTIMOS[[#This Row],[Etapa Despacho -  Llegada]]),"")</f>
        <v/>
      </c>
      <c r="AA365" s="11" t="str">
        <f>IFERROR(IF(MARÍTIMOS[[#This Row],[Etapa Despacho -  Registro]]="","",MARÍTIMOS[[#This Row],[Etapa Despacho -  Registro]]),"")</f>
        <v/>
      </c>
      <c r="AB365" s="11" t="str">
        <f>IFERROR(IF(MARÍTIMOS[[#This Row],[Inspección Externa]]="","",MARÍTIMOS[[#This Row],[Inspección Externa]]),"")</f>
        <v/>
      </c>
      <c r="AC365" s="11" t="str">
        <f>IFERROR(IF(MARÍTIMOS[[#This Row],[Etapa Despacho -  Inicio de Carga]]="","",MARÍTIMOS[[#This Row],[Etapa Despacho -  Inicio de Carga]]),"")</f>
        <v/>
      </c>
      <c r="AD365" s="11" t="str">
        <f>IFERROR(IF(MARÍTIMOS[[#This Row],[Etapa Despacho -  Fin de Carga]]="","",MARÍTIMOS[[#This Row],[Etapa Despacho -  Fin de Carga]]),"")</f>
        <v/>
      </c>
      <c r="AE365" s="11" t="str">
        <f>IFERROR(IF(MARÍTIMOS[[#This Row],[Etapa Despacho -  Salida]]="","",MARÍTIMOS[[#This Row],[Etapa Despacho -  Salida]]),"")</f>
        <v/>
      </c>
      <c r="AF365" s="2" t="str">
        <f>IFERROR(IF(MARÍTIMOS[[#This Row],[Puerto de Embarque]]="","",MARÍTIMOS[[#This Row],[Puerto de Embarque]]),"")</f>
        <v/>
      </c>
      <c r="AG365" s="2" t="str">
        <f>IFERROR(IF(MARÍTIMOS[[#This Row],[Almacén de Ingreso]]="","",MARÍTIMOS[[#This Row],[Almacén de Ingreso]]),"")</f>
        <v/>
      </c>
      <c r="AH365" s="11" t="str">
        <f>IFERROR(IF(MARÍTIMOS[[#This Row],[Etapa Ingreso - Cita]]="","",MARÍTIMOS[[#This Row],[Etapa Ingreso - Cita]]),"")</f>
        <v/>
      </c>
      <c r="AI365" s="11" t="str">
        <f>IFERROR(IF(MARÍTIMOS[[#This Row],[Etapa Ingreso - Llegada]]="","",MARÍTIMOS[[#This Row],[Etapa Ingreso - Llegada]]),"")</f>
        <v/>
      </c>
      <c r="AJ365" s="11" t="str">
        <f>IFERROR(IF(MARÍTIMOS[[#This Row],[Etapa Ingreso - Ingeso]]="","",MARÍTIMOS[[#This Row],[Etapa Ingreso - Ingeso]]),"")</f>
        <v/>
      </c>
      <c r="AK365" s="11" t="str">
        <f>IFERROR(IF(MARÍTIMOS[[#This Row],[Etapa Ingreso - Atención]]="","",MARÍTIMOS[[#This Row],[Etapa Ingreso - Atención]]),"")</f>
        <v/>
      </c>
      <c r="AL365" s="11" t="str">
        <f>IFERROR(IF(MARÍTIMOS[[#This Row],[Etapa Ingreso - Salida]]="","",MARÍTIMOS[[#This Row],[Etapa Ingreso - Salida]]),"")</f>
        <v/>
      </c>
      <c r="AM365" s="2" t="str">
        <f>IFERROR(IF(MARÍTIMOS[[#This Row],[FCL]]="","",MARÍTIMOS[[#This Row],[FCL]]),"")</f>
        <v/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5" s="5" t="str">
        <f>IFERROR(OLDBD[[#This Row],[Llegada a packing]]-OLDBD[[#This Row],[Inicio de Ruta]],"")</f>
        <v/>
      </c>
      <c r="AQ365" s="6" t="str">
        <f>IFERROR(OLDBD[[#This Row],[Inicio de Ruta]]-OLDBD[[#This Row],[Salida de almacén de retiro]],"")</f>
        <v/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5" s="9" t="str">
        <f>IFERROR(OLDBD[[#This Row],[Ingreso Packing]]-OLDBD[[#This Row],[Registro en Packing]],"")</f>
        <v/>
      </c>
      <c r="AV365" s="9" t="str">
        <f>IFERROR(OLDBD[[#This Row],[Ingreso Packing]]-OLDBD[[#This Row],[Llegada a packing]],"")</f>
        <v/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 t="str">
        <f>IFERROR(OLDBD[[#This Row],[Llegada Almacén de Ingreso]]-OLDBD[[#This Row],[Salida Packing]],"")</f>
        <v/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5" s="45" t="s">
        <v>181</v>
      </c>
      <c r="BB365" s="53" t="str">
        <f>IFERROR(IF(MARÍTIMOS[[#This Row],[Estatus]]="","",MARÍTIMOS[[#This Row],[Estatus]]),"")</f>
        <v/>
      </c>
      <c r="BC365" s="45"/>
      <c r="BD365" s="52" t="str">
        <f>IFERROR(OLDBD[[#This Row],[Salida de almacén de retiro]]-OLDBD[[#This Row],[Ingreso Almacén de retiro]],"")</f>
        <v/>
      </c>
      <c r="BE365" s="52" t="str">
        <f>IFERROR(OLDBD[[#This Row],[Fin de Carga]]-OLDBD[[#This Row],[Inicio de Carga]],"")</f>
        <v/>
      </c>
    </row>
    <row r="366" spans="1:57" x14ac:dyDescent="0.35">
      <c r="A366" s="1"/>
      <c r="B366" s="1" t="str">
        <f>IFERROR(IF(MARÍTIMOS[[#This Row],[PP]]="","",MARÍTIMOS[[#This Row],[PP]]),"")</f>
        <v/>
      </c>
      <c r="C366" s="1" t="str">
        <f>IFERROR(IF(MARÍTIMOS[[#This Row],[Sede]]="","",MARÍTIMOS[[#This Row],[Sede]]),"")</f>
        <v/>
      </c>
      <c r="D366" s="1" t="str">
        <f>IFERROR(IF(MARÍTIMOS[[#This Row],[Instruction]]="","",MARÍTIMOS[[#This Row],[Instruction]]),"")</f>
        <v/>
      </c>
      <c r="E366" s="1"/>
      <c r="F366" s="2" t="str">
        <f>IFERROR(IF(MARÍTIMOS[[#This Row],[Transportista]]="","",MARÍTIMOS[[#This Row],[Transportista]]),"")</f>
        <v/>
      </c>
      <c r="G366" s="2" t="str">
        <f>IFERROR(IF(MARÍTIMOS[[#This Row],[Tercero]]="","",MARÍTIMOS[[#This Row],[Tercero]]),"")</f>
        <v/>
      </c>
      <c r="H366" s="2" t="str">
        <f>IFERROR(IF(MARÍTIMOS[[#This Row],[Razón Social]]="","",MARÍTIMOS[[#This Row],[Razón Social]]),"")</f>
        <v/>
      </c>
      <c r="I366" s="2" t="str">
        <f>IFERROR(IF(MARÍTIMOS[[#This Row],[RUC]]="","",MARÍTIMOS[[#This Row],[RUC]]),"")</f>
        <v/>
      </c>
      <c r="J366" s="2" t="str">
        <f>IFERROR(IF(MARÍTIMOS[[#This Row],[Placa Tracto]]="","",MARÍTIMOS[[#This Row],[Placa Tracto]]),"")</f>
        <v/>
      </c>
      <c r="K366" s="2" t="str">
        <f>IFERROR(IF(MARÍTIMOS[[#This Row],[Placa Carreta]]="","",MARÍTIMOS[[#This Row],[Placa Carreta]]),"")</f>
        <v/>
      </c>
      <c r="L366" s="46" t="str">
        <f>IFERROR(IF(MARÍTIMOS[[#This Row],[Conductor]]="","",MARÍTIMOS[[#This Row],[Conductor]]),"")</f>
        <v/>
      </c>
      <c r="M366" s="2" t="str">
        <f>IFERROR(IF(MARÍTIMOS[[#This Row],[Licencia]]="","",MARÍTIMOS[[#This Row],[Licencia]]),"")</f>
        <v/>
      </c>
      <c r="N366" s="2" t="str">
        <f>IFERROR(IF(MARÍTIMOS[[#This Row],[Número de Contacto]]="","",MARÍTIMOS[[#This Row],[Número de Contacto]]),"")</f>
        <v/>
      </c>
      <c r="O366" s="10" t="str">
        <f>IFERROR(IF(MARÍTIMOS[[#This Row],[Booking|AWB|CRT]]="","",MARÍTIMOS[[#This Row],[Booking|AWB|CRT]]),"")</f>
        <v/>
      </c>
      <c r="P366" s="2" t="str">
        <f>IFERROR(IF(MARÍTIMOS[[#This Row],[Contenedor]]="","",MARÍTIMOS[[#This Row],[Contenedor]]),"")</f>
        <v/>
      </c>
      <c r="Q366" s="2" t="str">
        <f>IFERROR(IF(MARÍTIMOS[[#This Row],[Puerto de Retiro]]="","",MARÍTIMOS[[#This Row],[Puerto de Retiro]]),"")</f>
        <v/>
      </c>
      <c r="R366" s="2" t="str">
        <f>IFERROR(IF(MARÍTIMOS[[#This Row],[Almacén de Retiro]]="","",MARÍTIMOS[[#This Row],[Almacén de Retiro]]),"")</f>
        <v/>
      </c>
      <c r="S366" s="11" t="str">
        <f>IFERROR(IF(MARÍTIMOS[[#This Row],[Etapa Retiro - Cita]]="","",MARÍTIMOS[[#This Row],[Etapa Retiro - Cita]]),"")</f>
        <v/>
      </c>
      <c r="T366" s="11" t="str">
        <f>IFERROR(IF(MARÍTIMOS[[#This Row],[Etapa Retiro - Llegada]]="","",MARÍTIMOS[[#This Row],[Etapa Retiro - Llegada]]),"")</f>
        <v/>
      </c>
      <c r="U366" s="11" t="str">
        <f>IFERROR(IF(MARÍTIMOS[[#This Row],[Etapa Retiro - Ingreso]]="","",MARÍTIMOS[[#This Row],[Etapa Retiro - Ingreso]]),"")</f>
        <v/>
      </c>
      <c r="V366" s="11" t="str">
        <f>IFERROR(IF(MARÍTIMOS[[#This Row],[Etapa Retiro - Atención]]="","",MARÍTIMOS[[#This Row],[Etapa Retiro - Atención]]),"")</f>
        <v/>
      </c>
      <c r="W366" s="11" t="str">
        <f>IFERROR(IF(MARÍTIMOS[[#This Row],[Etapa Retiro - Salida]]="","",MARÍTIMOS[[#This Row],[Etapa Retiro - Salida]]),"")</f>
        <v/>
      </c>
      <c r="X366" s="11" t="str">
        <f>IFERROR(IF(MARÍTIMOS[[#This Row],[Etapa Retiro - Inicio de Ruta]]="","",MARÍTIMOS[[#This Row],[Etapa Retiro - Inicio de Ruta]]),"")</f>
        <v/>
      </c>
      <c r="Y366" s="11" t="str">
        <f>IFERROR(IF(MARÍTIMOS[[#This Row],[Hora de Posicionamiento]]="","",MARÍTIMOS[[#This Row],[Hora de Carga]]+MARÍTIMOS[[#This Row],[Hora de Posicionamiento]]),"")</f>
        <v/>
      </c>
      <c r="Z366" s="11" t="str">
        <f>IFERROR(IF(MARÍTIMOS[[#This Row],[Etapa Despacho -  Llegada]]="","",MARÍTIMOS[[#This Row],[Etapa Despacho -  Llegada]]),"")</f>
        <v/>
      </c>
      <c r="AA366" s="11" t="str">
        <f>IFERROR(IF(MARÍTIMOS[[#This Row],[Etapa Despacho -  Registro]]="","",MARÍTIMOS[[#This Row],[Etapa Despacho -  Registro]]),"")</f>
        <v/>
      </c>
      <c r="AB366" s="11" t="str">
        <f>IFERROR(IF(MARÍTIMOS[[#This Row],[Inspección Externa]]="","",MARÍTIMOS[[#This Row],[Inspección Externa]]),"")</f>
        <v/>
      </c>
      <c r="AC366" s="11" t="str">
        <f>IFERROR(IF(MARÍTIMOS[[#This Row],[Etapa Despacho -  Inicio de Carga]]="","",MARÍTIMOS[[#This Row],[Etapa Despacho -  Inicio de Carga]]),"")</f>
        <v/>
      </c>
      <c r="AD366" s="11" t="str">
        <f>IFERROR(IF(MARÍTIMOS[[#This Row],[Etapa Despacho -  Fin de Carga]]="","",MARÍTIMOS[[#This Row],[Etapa Despacho -  Fin de Carga]]),"")</f>
        <v/>
      </c>
      <c r="AE366" s="11" t="str">
        <f>IFERROR(IF(MARÍTIMOS[[#This Row],[Etapa Despacho -  Salida]]="","",MARÍTIMOS[[#This Row],[Etapa Despacho -  Salida]]),"")</f>
        <v/>
      </c>
      <c r="AF366" s="2" t="str">
        <f>IFERROR(IF(MARÍTIMOS[[#This Row],[Puerto de Embarque]]="","",MARÍTIMOS[[#This Row],[Puerto de Embarque]]),"")</f>
        <v/>
      </c>
      <c r="AG366" s="2" t="str">
        <f>IFERROR(IF(MARÍTIMOS[[#This Row],[Almacén de Ingreso]]="","",MARÍTIMOS[[#This Row],[Almacén de Ingreso]]),"")</f>
        <v/>
      </c>
      <c r="AH366" s="11" t="str">
        <f>IFERROR(IF(MARÍTIMOS[[#This Row],[Etapa Ingreso - Cita]]="","",MARÍTIMOS[[#This Row],[Etapa Ingreso - Cita]]),"")</f>
        <v/>
      </c>
      <c r="AI366" s="11" t="str">
        <f>IFERROR(IF(MARÍTIMOS[[#This Row],[Etapa Ingreso - Llegada]]="","",MARÍTIMOS[[#This Row],[Etapa Ingreso - Llegada]]),"")</f>
        <v/>
      </c>
      <c r="AJ366" s="11" t="str">
        <f>IFERROR(IF(MARÍTIMOS[[#This Row],[Etapa Ingreso - Ingeso]]="","",MARÍTIMOS[[#This Row],[Etapa Ingreso - Ingeso]]),"")</f>
        <v/>
      </c>
      <c r="AK366" s="11" t="str">
        <f>IFERROR(IF(MARÍTIMOS[[#This Row],[Etapa Ingreso - Atención]]="","",MARÍTIMOS[[#This Row],[Etapa Ingreso - Atención]]),"")</f>
        <v/>
      </c>
      <c r="AL366" s="11" t="str">
        <f>IFERROR(IF(MARÍTIMOS[[#This Row],[Etapa Ingreso - Salida]]="","",MARÍTIMOS[[#This Row],[Etapa Ingreso - Salida]]),"")</f>
        <v/>
      </c>
      <c r="AM366" s="2" t="str">
        <f>IFERROR(IF(MARÍTIMOS[[#This Row],[FCL]]="","",MARÍTIMOS[[#This Row],[FCL]]),"")</f>
        <v/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6" s="5" t="str">
        <f>IFERROR(OLDBD[[#This Row],[Llegada a packing]]-OLDBD[[#This Row],[Inicio de Ruta]],"")</f>
        <v/>
      </c>
      <c r="AQ366" s="6" t="str">
        <f>IFERROR(OLDBD[[#This Row],[Inicio de Ruta]]-OLDBD[[#This Row],[Salida de almacén de retiro]],"")</f>
        <v/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6" s="9" t="str">
        <f>IFERROR(OLDBD[[#This Row],[Ingreso Packing]]-OLDBD[[#This Row],[Registro en Packing]],"")</f>
        <v/>
      </c>
      <c r="AV366" s="9" t="str">
        <f>IFERROR(OLDBD[[#This Row],[Ingreso Packing]]-OLDBD[[#This Row],[Llegada a packing]],"")</f>
        <v/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 t="str">
        <f>IFERROR(OLDBD[[#This Row],[Llegada Almacén de Ingreso]]-OLDBD[[#This Row],[Salida Packing]],"")</f>
        <v/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6" s="45" t="s">
        <v>181</v>
      </c>
      <c r="BB366" s="53" t="str">
        <f>IFERROR(IF(MARÍTIMOS[[#This Row],[Estatus]]="","",MARÍTIMOS[[#This Row],[Estatus]]),"")</f>
        <v/>
      </c>
      <c r="BC366" s="45"/>
      <c r="BD366" s="52" t="str">
        <f>IFERROR(OLDBD[[#This Row],[Salida de almacén de retiro]]-OLDBD[[#This Row],[Ingreso Almacén de retiro]],"")</f>
        <v/>
      </c>
      <c r="BE366" s="52" t="str">
        <f>IFERROR(OLDBD[[#This Row],[Fin de Carga]]-OLDBD[[#This Row],[Inicio de Carga]],"")</f>
        <v/>
      </c>
    </row>
    <row r="367" spans="1:57" x14ac:dyDescent="0.35">
      <c r="A367" s="1"/>
      <c r="B367" s="1" t="str">
        <f>IFERROR(IF(MARÍTIMOS[[#This Row],[PP]]="","",MARÍTIMOS[[#This Row],[PP]]),"")</f>
        <v/>
      </c>
      <c r="C367" s="1" t="str">
        <f>IFERROR(IF(MARÍTIMOS[[#This Row],[Sede]]="","",MARÍTIMOS[[#This Row],[Sede]]),"")</f>
        <v/>
      </c>
      <c r="D367" s="1" t="str">
        <f>IFERROR(IF(MARÍTIMOS[[#This Row],[Instruction]]="","",MARÍTIMOS[[#This Row],[Instruction]]),"")</f>
        <v/>
      </c>
      <c r="E367" s="1"/>
      <c r="F367" s="2" t="str">
        <f>IFERROR(IF(MARÍTIMOS[[#This Row],[Transportista]]="","",MARÍTIMOS[[#This Row],[Transportista]]),"")</f>
        <v/>
      </c>
      <c r="G367" s="2" t="str">
        <f>IFERROR(IF(MARÍTIMOS[[#This Row],[Tercero]]="","",MARÍTIMOS[[#This Row],[Tercero]]),"")</f>
        <v/>
      </c>
      <c r="H367" s="2" t="str">
        <f>IFERROR(IF(MARÍTIMOS[[#This Row],[Razón Social]]="","",MARÍTIMOS[[#This Row],[Razón Social]]),"")</f>
        <v/>
      </c>
      <c r="I367" s="2" t="str">
        <f>IFERROR(IF(MARÍTIMOS[[#This Row],[RUC]]="","",MARÍTIMOS[[#This Row],[RUC]]),"")</f>
        <v/>
      </c>
      <c r="J367" s="2" t="str">
        <f>IFERROR(IF(MARÍTIMOS[[#This Row],[Placa Tracto]]="","",MARÍTIMOS[[#This Row],[Placa Tracto]]),"")</f>
        <v/>
      </c>
      <c r="K367" s="2" t="str">
        <f>IFERROR(IF(MARÍTIMOS[[#This Row],[Placa Carreta]]="","",MARÍTIMOS[[#This Row],[Placa Carreta]]),"")</f>
        <v/>
      </c>
      <c r="L367" s="46" t="str">
        <f>IFERROR(IF(MARÍTIMOS[[#This Row],[Conductor]]="","",MARÍTIMOS[[#This Row],[Conductor]]),"")</f>
        <v/>
      </c>
      <c r="M367" s="2" t="str">
        <f>IFERROR(IF(MARÍTIMOS[[#This Row],[Licencia]]="","",MARÍTIMOS[[#This Row],[Licencia]]),"")</f>
        <v/>
      </c>
      <c r="N367" s="2" t="str">
        <f>IFERROR(IF(MARÍTIMOS[[#This Row],[Número de Contacto]]="","",MARÍTIMOS[[#This Row],[Número de Contacto]]),"")</f>
        <v/>
      </c>
      <c r="O367" s="10" t="str">
        <f>IFERROR(IF(MARÍTIMOS[[#This Row],[Booking|AWB|CRT]]="","",MARÍTIMOS[[#This Row],[Booking|AWB|CRT]]),"")</f>
        <v/>
      </c>
      <c r="P367" s="2" t="str">
        <f>IFERROR(IF(MARÍTIMOS[[#This Row],[Contenedor]]="","",MARÍTIMOS[[#This Row],[Contenedor]]),"")</f>
        <v/>
      </c>
      <c r="Q367" s="2" t="str">
        <f>IFERROR(IF(MARÍTIMOS[[#This Row],[Puerto de Retiro]]="","",MARÍTIMOS[[#This Row],[Puerto de Retiro]]),"")</f>
        <v/>
      </c>
      <c r="R367" s="2" t="str">
        <f>IFERROR(IF(MARÍTIMOS[[#This Row],[Almacén de Retiro]]="","",MARÍTIMOS[[#This Row],[Almacén de Retiro]]),"")</f>
        <v/>
      </c>
      <c r="S367" s="11" t="str">
        <f>IFERROR(IF(MARÍTIMOS[[#This Row],[Etapa Retiro - Cita]]="","",MARÍTIMOS[[#This Row],[Etapa Retiro - Cita]]),"")</f>
        <v/>
      </c>
      <c r="T367" s="11" t="str">
        <f>IFERROR(IF(MARÍTIMOS[[#This Row],[Etapa Retiro - Llegada]]="","",MARÍTIMOS[[#This Row],[Etapa Retiro - Llegada]]),"")</f>
        <v/>
      </c>
      <c r="U367" s="11" t="str">
        <f>IFERROR(IF(MARÍTIMOS[[#This Row],[Etapa Retiro - Ingreso]]="","",MARÍTIMOS[[#This Row],[Etapa Retiro - Ingreso]]),"")</f>
        <v/>
      </c>
      <c r="V367" s="11" t="str">
        <f>IFERROR(IF(MARÍTIMOS[[#This Row],[Etapa Retiro - Atención]]="","",MARÍTIMOS[[#This Row],[Etapa Retiro - Atención]]),"")</f>
        <v/>
      </c>
      <c r="W367" s="11" t="str">
        <f>IFERROR(IF(MARÍTIMOS[[#This Row],[Etapa Retiro - Salida]]="","",MARÍTIMOS[[#This Row],[Etapa Retiro - Salida]]),"")</f>
        <v/>
      </c>
      <c r="X367" s="11" t="str">
        <f>IFERROR(IF(MARÍTIMOS[[#This Row],[Etapa Retiro - Inicio de Ruta]]="","",MARÍTIMOS[[#This Row],[Etapa Retiro - Inicio de Ruta]]),"")</f>
        <v/>
      </c>
      <c r="Y367" s="11" t="str">
        <f>IFERROR(IF(MARÍTIMOS[[#This Row],[Hora de Posicionamiento]]="","",MARÍTIMOS[[#This Row],[Hora de Carga]]+MARÍTIMOS[[#This Row],[Hora de Posicionamiento]]),"")</f>
        <v/>
      </c>
      <c r="Z367" s="11" t="str">
        <f>IFERROR(IF(MARÍTIMOS[[#This Row],[Etapa Despacho -  Llegada]]="","",MARÍTIMOS[[#This Row],[Etapa Despacho -  Llegada]]),"")</f>
        <v/>
      </c>
      <c r="AA367" s="11" t="str">
        <f>IFERROR(IF(MARÍTIMOS[[#This Row],[Etapa Despacho -  Registro]]="","",MARÍTIMOS[[#This Row],[Etapa Despacho -  Registro]]),"")</f>
        <v/>
      </c>
      <c r="AB367" s="11" t="str">
        <f>IFERROR(IF(MARÍTIMOS[[#This Row],[Inspección Externa]]="","",MARÍTIMOS[[#This Row],[Inspección Externa]]),"")</f>
        <v/>
      </c>
      <c r="AC367" s="11" t="str">
        <f>IFERROR(IF(MARÍTIMOS[[#This Row],[Etapa Despacho -  Inicio de Carga]]="","",MARÍTIMOS[[#This Row],[Etapa Despacho -  Inicio de Carga]]),"")</f>
        <v/>
      </c>
      <c r="AD367" s="11" t="str">
        <f>IFERROR(IF(MARÍTIMOS[[#This Row],[Etapa Despacho -  Fin de Carga]]="","",MARÍTIMOS[[#This Row],[Etapa Despacho -  Fin de Carga]]),"")</f>
        <v/>
      </c>
      <c r="AE367" s="11" t="str">
        <f>IFERROR(IF(MARÍTIMOS[[#This Row],[Etapa Despacho -  Salida]]="","",MARÍTIMOS[[#This Row],[Etapa Despacho -  Salida]]),"")</f>
        <v/>
      </c>
      <c r="AF367" s="2" t="str">
        <f>IFERROR(IF(MARÍTIMOS[[#This Row],[Puerto de Embarque]]="","",MARÍTIMOS[[#This Row],[Puerto de Embarque]]),"")</f>
        <v/>
      </c>
      <c r="AG367" s="2" t="str">
        <f>IFERROR(IF(MARÍTIMOS[[#This Row],[Almacén de Ingreso]]="","",MARÍTIMOS[[#This Row],[Almacén de Ingreso]]),"")</f>
        <v/>
      </c>
      <c r="AH367" s="11" t="str">
        <f>IFERROR(IF(MARÍTIMOS[[#This Row],[Etapa Ingreso - Cita]]="","",MARÍTIMOS[[#This Row],[Etapa Ingreso - Cita]]),"")</f>
        <v/>
      </c>
      <c r="AI367" s="11" t="str">
        <f>IFERROR(IF(MARÍTIMOS[[#This Row],[Etapa Ingreso - Llegada]]="","",MARÍTIMOS[[#This Row],[Etapa Ingreso - Llegada]]),"")</f>
        <v/>
      </c>
      <c r="AJ367" s="11" t="str">
        <f>IFERROR(IF(MARÍTIMOS[[#This Row],[Etapa Ingreso - Ingeso]]="","",MARÍTIMOS[[#This Row],[Etapa Ingreso - Ingeso]]),"")</f>
        <v/>
      </c>
      <c r="AK367" s="11" t="str">
        <f>IFERROR(IF(MARÍTIMOS[[#This Row],[Etapa Ingreso - Atención]]="","",MARÍTIMOS[[#This Row],[Etapa Ingreso - Atención]]),"")</f>
        <v/>
      </c>
      <c r="AL367" s="11" t="str">
        <f>IFERROR(IF(MARÍTIMOS[[#This Row],[Etapa Ingreso - Salida]]="","",MARÍTIMOS[[#This Row],[Etapa Ingreso - Salida]]),"")</f>
        <v/>
      </c>
      <c r="AM367" s="2" t="str">
        <f>IFERROR(IF(MARÍTIMOS[[#This Row],[FCL]]="","",MARÍTIMOS[[#This Row],[FCL]]),"")</f>
        <v/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7" s="5" t="str">
        <f>IFERROR(OLDBD[[#This Row],[Llegada a packing]]-OLDBD[[#This Row],[Inicio de Ruta]],"")</f>
        <v/>
      </c>
      <c r="AQ367" s="6" t="str">
        <f>IFERROR(OLDBD[[#This Row],[Inicio de Ruta]]-OLDBD[[#This Row],[Salida de almacén de retiro]],"")</f>
        <v/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7" s="9" t="str">
        <f>IFERROR(OLDBD[[#This Row],[Ingreso Packing]]-OLDBD[[#This Row],[Registro en Packing]],"")</f>
        <v/>
      </c>
      <c r="AV367" s="9" t="str">
        <f>IFERROR(OLDBD[[#This Row],[Ingreso Packing]]-OLDBD[[#This Row],[Llegada a packing]],"")</f>
        <v/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 t="str">
        <f>IFERROR(OLDBD[[#This Row],[Llegada Almacén de Ingreso]]-OLDBD[[#This Row],[Salida Packing]],"")</f>
        <v/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7" s="45" t="s">
        <v>181</v>
      </c>
      <c r="BB367" s="53" t="str">
        <f>IFERROR(IF(MARÍTIMOS[[#This Row],[Estatus]]="","",MARÍTIMOS[[#This Row],[Estatus]]),"")</f>
        <v/>
      </c>
      <c r="BC367" s="45"/>
      <c r="BD367" s="52" t="str">
        <f>IFERROR(OLDBD[[#This Row],[Salida de almacén de retiro]]-OLDBD[[#This Row],[Ingreso Almacén de retiro]],"")</f>
        <v/>
      </c>
      <c r="BE367" s="52" t="str">
        <f>IFERROR(OLDBD[[#This Row],[Fin de Carga]]-OLDBD[[#This Row],[Inicio de Carga]],"")</f>
        <v/>
      </c>
    </row>
    <row r="368" spans="1:57" x14ac:dyDescent="0.35">
      <c r="A368" s="1"/>
      <c r="B368" s="1" t="str">
        <f>IFERROR(IF(MARÍTIMOS[[#This Row],[PP]]="","",MARÍTIMOS[[#This Row],[PP]]),"")</f>
        <v/>
      </c>
      <c r="C368" s="1" t="str">
        <f>IFERROR(IF(MARÍTIMOS[[#This Row],[Sede]]="","",MARÍTIMOS[[#This Row],[Sede]]),"")</f>
        <v/>
      </c>
      <c r="D368" s="1" t="str">
        <f>IFERROR(IF(MARÍTIMOS[[#This Row],[Instruction]]="","",MARÍTIMOS[[#This Row],[Instruction]]),"")</f>
        <v/>
      </c>
      <c r="E368" s="1"/>
      <c r="F368" s="2" t="str">
        <f>IFERROR(IF(MARÍTIMOS[[#This Row],[Transportista]]="","",MARÍTIMOS[[#This Row],[Transportista]]),"")</f>
        <v/>
      </c>
      <c r="G368" s="2" t="str">
        <f>IFERROR(IF(MARÍTIMOS[[#This Row],[Tercero]]="","",MARÍTIMOS[[#This Row],[Tercero]]),"")</f>
        <v/>
      </c>
      <c r="H368" s="2" t="str">
        <f>IFERROR(IF(MARÍTIMOS[[#This Row],[Razón Social]]="","",MARÍTIMOS[[#This Row],[Razón Social]]),"")</f>
        <v/>
      </c>
      <c r="I368" s="2" t="str">
        <f>IFERROR(IF(MARÍTIMOS[[#This Row],[RUC]]="","",MARÍTIMOS[[#This Row],[RUC]]),"")</f>
        <v/>
      </c>
      <c r="J368" s="2" t="str">
        <f>IFERROR(IF(MARÍTIMOS[[#This Row],[Placa Tracto]]="","",MARÍTIMOS[[#This Row],[Placa Tracto]]),"")</f>
        <v/>
      </c>
      <c r="K368" s="2" t="str">
        <f>IFERROR(IF(MARÍTIMOS[[#This Row],[Placa Carreta]]="","",MARÍTIMOS[[#This Row],[Placa Carreta]]),"")</f>
        <v/>
      </c>
      <c r="L368" s="46" t="str">
        <f>IFERROR(IF(MARÍTIMOS[[#This Row],[Conductor]]="","",MARÍTIMOS[[#This Row],[Conductor]]),"")</f>
        <v/>
      </c>
      <c r="M368" s="2" t="str">
        <f>IFERROR(IF(MARÍTIMOS[[#This Row],[Licencia]]="","",MARÍTIMOS[[#This Row],[Licencia]]),"")</f>
        <v/>
      </c>
      <c r="N368" s="2" t="str">
        <f>IFERROR(IF(MARÍTIMOS[[#This Row],[Número de Contacto]]="","",MARÍTIMOS[[#This Row],[Número de Contacto]]),"")</f>
        <v/>
      </c>
      <c r="O368" s="10" t="str">
        <f>IFERROR(IF(MARÍTIMOS[[#This Row],[Booking|AWB|CRT]]="","",MARÍTIMOS[[#This Row],[Booking|AWB|CRT]]),"")</f>
        <v/>
      </c>
      <c r="P368" s="2" t="str">
        <f>IFERROR(IF(MARÍTIMOS[[#This Row],[Contenedor]]="","",MARÍTIMOS[[#This Row],[Contenedor]]),"")</f>
        <v/>
      </c>
      <c r="Q368" s="2" t="str">
        <f>IFERROR(IF(MARÍTIMOS[[#This Row],[Puerto de Retiro]]="","",MARÍTIMOS[[#This Row],[Puerto de Retiro]]),"")</f>
        <v/>
      </c>
      <c r="R368" s="2" t="str">
        <f>IFERROR(IF(MARÍTIMOS[[#This Row],[Almacén de Retiro]]="","",MARÍTIMOS[[#This Row],[Almacén de Retiro]]),"")</f>
        <v/>
      </c>
      <c r="S368" s="11" t="str">
        <f>IFERROR(IF(MARÍTIMOS[[#This Row],[Etapa Retiro - Cita]]="","",MARÍTIMOS[[#This Row],[Etapa Retiro - Cita]]),"")</f>
        <v/>
      </c>
      <c r="T368" s="11" t="str">
        <f>IFERROR(IF(MARÍTIMOS[[#This Row],[Etapa Retiro - Llegada]]="","",MARÍTIMOS[[#This Row],[Etapa Retiro - Llegada]]),"")</f>
        <v/>
      </c>
      <c r="U368" s="11" t="str">
        <f>IFERROR(IF(MARÍTIMOS[[#This Row],[Etapa Retiro - Ingreso]]="","",MARÍTIMOS[[#This Row],[Etapa Retiro - Ingreso]]),"")</f>
        <v/>
      </c>
      <c r="V368" s="11" t="str">
        <f>IFERROR(IF(MARÍTIMOS[[#This Row],[Etapa Retiro - Atención]]="","",MARÍTIMOS[[#This Row],[Etapa Retiro - Atención]]),"")</f>
        <v/>
      </c>
      <c r="W368" s="11" t="str">
        <f>IFERROR(IF(MARÍTIMOS[[#This Row],[Etapa Retiro - Salida]]="","",MARÍTIMOS[[#This Row],[Etapa Retiro - Salida]]),"")</f>
        <v/>
      </c>
      <c r="X368" s="11" t="str">
        <f>IFERROR(IF(MARÍTIMOS[[#This Row],[Etapa Retiro - Inicio de Ruta]]="","",MARÍTIMOS[[#This Row],[Etapa Retiro - Inicio de Ruta]]),"")</f>
        <v/>
      </c>
      <c r="Y368" s="11" t="str">
        <f>IFERROR(IF(MARÍTIMOS[[#This Row],[Hora de Posicionamiento]]="","",MARÍTIMOS[[#This Row],[Hora de Carga]]+MARÍTIMOS[[#This Row],[Hora de Posicionamiento]]),"")</f>
        <v/>
      </c>
      <c r="Z368" s="11" t="str">
        <f>IFERROR(IF(MARÍTIMOS[[#This Row],[Etapa Despacho -  Llegada]]="","",MARÍTIMOS[[#This Row],[Etapa Despacho -  Llegada]]),"")</f>
        <v/>
      </c>
      <c r="AA368" s="11" t="str">
        <f>IFERROR(IF(MARÍTIMOS[[#This Row],[Etapa Despacho -  Registro]]="","",MARÍTIMOS[[#This Row],[Etapa Despacho -  Registro]]),"")</f>
        <v/>
      </c>
      <c r="AB368" s="11" t="str">
        <f>IFERROR(IF(MARÍTIMOS[[#This Row],[Inspección Externa]]="","",MARÍTIMOS[[#This Row],[Inspección Externa]]),"")</f>
        <v/>
      </c>
      <c r="AC368" s="11" t="str">
        <f>IFERROR(IF(MARÍTIMOS[[#This Row],[Etapa Despacho -  Inicio de Carga]]="","",MARÍTIMOS[[#This Row],[Etapa Despacho -  Inicio de Carga]]),"")</f>
        <v/>
      </c>
      <c r="AD368" s="11" t="str">
        <f>IFERROR(IF(MARÍTIMOS[[#This Row],[Etapa Despacho -  Fin de Carga]]="","",MARÍTIMOS[[#This Row],[Etapa Despacho -  Fin de Carga]]),"")</f>
        <v/>
      </c>
      <c r="AE368" s="11" t="str">
        <f>IFERROR(IF(MARÍTIMOS[[#This Row],[Etapa Despacho -  Salida]]="","",MARÍTIMOS[[#This Row],[Etapa Despacho -  Salida]]),"")</f>
        <v/>
      </c>
      <c r="AF368" s="2" t="str">
        <f>IFERROR(IF(MARÍTIMOS[[#This Row],[Puerto de Embarque]]="","",MARÍTIMOS[[#This Row],[Puerto de Embarque]]),"")</f>
        <v/>
      </c>
      <c r="AG368" s="2" t="str">
        <f>IFERROR(IF(MARÍTIMOS[[#This Row],[Almacén de Ingreso]]="","",MARÍTIMOS[[#This Row],[Almacén de Ingreso]]),"")</f>
        <v/>
      </c>
      <c r="AH368" s="11" t="str">
        <f>IFERROR(IF(MARÍTIMOS[[#This Row],[Etapa Ingreso - Cita]]="","",MARÍTIMOS[[#This Row],[Etapa Ingreso - Cita]]),"")</f>
        <v/>
      </c>
      <c r="AI368" s="11" t="str">
        <f>IFERROR(IF(MARÍTIMOS[[#This Row],[Etapa Ingreso - Llegada]]="","",MARÍTIMOS[[#This Row],[Etapa Ingreso - Llegada]]),"")</f>
        <v/>
      </c>
      <c r="AJ368" s="11" t="str">
        <f>IFERROR(IF(MARÍTIMOS[[#This Row],[Etapa Ingreso - Ingeso]]="","",MARÍTIMOS[[#This Row],[Etapa Ingreso - Ingeso]]),"")</f>
        <v/>
      </c>
      <c r="AK368" s="11" t="str">
        <f>IFERROR(IF(MARÍTIMOS[[#This Row],[Etapa Ingreso - Atención]]="","",MARÍTIMOS[[#This Row],[Etapa Ingreso - Atención]]),"")</f>
        <v/>
      </c>
      <c r="AL368" s="11" t="str">
        <f>IFERROR(IF(MARÍTIMOS[[#This Row],[Etapa Ingreso - Salida]]="","",MARÍTIMOS[[#This Row],[Etapa Ingreso - Salida]]),"")</f>
        <v/>
      </c>
      <c r="AM368" s="2" t="str">
        <f>IFERROR(IF(MARÍTIMOS[[#This Row],[FCL]]="","",MARÍTIMOS[[#This Row],[FCL]]),"")</f>
        <v/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8" s="5" t="str">
        <f>IFERROR(OLDBD[[#This Row],[Llegada a packing]]-OLDBD[[#This Row],[Inicio de Ruta]],"")</f>
        <v/>
      </c>
      <c r="AQ368" s="6" t="str">
        <f>IFERROR(OLDBD[[#This Row],[Inicio de Ruta]]-OLDBD[[#This Row],[Salida de almacén de retiro]],"")</f>
        <v/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8" s="9" t="str">
        <f>IFERROR(OLDBD[[#This Row],[Ingreso Packing]]-OLDBD[[#This Row],[Registro en Packing]],"")</f>
        <v/>
      </c>
      <c r="AV368" s="9" t="str">
        <f>IFERROR(OLDBD[[#This Row],[Ingreso Packing]]-OLDBD[[#This Row],[Llegada a packing]],"")</f>
        <v/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 t="str">
        <f>IFERROR(OLDBD[[#This Row],[Llegada Almacén de Ingreso]]-OLDBD[[#This Row],[Salida Packing]],"")</f>
        <v/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8" s="45" t="s">
        <v>181</v>
      </c>
      <c r="BB368" s="53" t="str">
        <f>IFERROR(IF(MARÍTIMOS[[#This Row],[Estatus]]="","",MARÍTIMOS[[#This Row],[Estatus]]),"")</f>
        <v/>
      </c>
      <c r="BC368" s="45"/>
      <c r="BD368" s="52" t="str">
        <f>IFERROR(OLDBD[[#This Row],[Salida de almacén de retiro]]-OLDBD[[#This Row],[Ingreso Almacén de retiro]],"")</f>
        <v/>
      </c>
      <c r="BE368" s="52" t="str">
        <f>IFERROR(OLDBD[[#This Row],[Fin de Carga]]-OLDBD[[#This Row],[Inicio de Carga]],"")</f>
        <v/>
      </c>
    </row>
    <row r="369" spans="1:57" x14ac:dyDescent="0.35">
      <c r="A369" s="1"/>
      <c r="B369" s="1" t="str">
        <f>IFERROR(IF(MARÍTIMOS[[#This Row],[PP]]="","",MARÍTIMOS[[#This Row],[PP]]),"")</f>
        <v/>
      </c>
      <c r="C369" s="1" t="str">
        <f>IFERROR(IF(MARÍTIMOS[[#This Row],[Sede]]="","",MARÍTIMOS[[#This Row],[Sede]]),"")</f>
        <v/>
      </c>
      <c r="D369" s="1" t="str">
        <f>IFERROR(IF(MARÍTIMOS[[#This Row],[Instruction]]="","",MARÍTIMOS[[#This Row],[Instruction]]),"")</f>
        <v/>
      </c>
      <c r="E369" s="1"/>
      <c r="F369" s="2" t="str">
        <f>IFERROR(IF(MARÍTIMOS[[#This Row],[Transportista]]="","",MARÍTIMOS[[#This Row],[Transportista]]),"")</f>
        <v/>
      </c>
      <c r="G369" s="2" t="str">
        <f>IFERROR(IF(MARÍTIMOS[[#This Row],[Tercero]]="","",MARÍTIMOS[[#This Row],[Tercero]]),"")</f>
        <v/>
      </c>
      <c r="H369" s="2" t="str">
        <f>IFERROR(IF(MARÍTIMOS[[#This Row],[Razón Social]]="","",MARÍTIMOS[[#This Row],[Razón Social]]),"")</f>
        <v/>
      </c>
      <c r="I369" s="2" t="str">
        <f>IFERROR(IF(MARÍTIMOS[[#This Row],[RUC]]="","",MARÍTIMOS[[#This Row],[RUC]]),"")</f>
        <v/>
      </c>
      <c r="J369" s="2" t="str">
        <f>IFERROR(IF(MARÍTIMOS[[#This Row],[Placa Tracto]]="","",MARÍTIMOS[[#This Row],[Placa Tracto]]),"")</f>
        <v/>
      </c>
      <c r="K369" s="2" t="str">
        <f>IFERROR(IF(MARÍTIMOS[[#This Row],[Placa Carreta]]="","",MARÍTIMOS[[#This Row],[Placa Carreta]]),"")</f>
        <v/>
      </c>
      <c r="L369" s="46" t="str">
        <f>IFERROR(IF(MARÍTIMOS[[#This Row],[Conductor]]="","",MARÍTIMOS[[#This Row],[Conductor]]),"")</f>
        <v/>
      </c>
      <c r="M369" s="2" t="str">
        <f>IFERROR(IF(MARÍTIMOS[[#This Row],[Licencia]]="","",MARÍTIMOS[[#This Row],[Licencia]]),"")</f>
        <v/>
      </c>
      <c r="N369" s="2" t="str">
        <f>IFERROR(IF(MARÍTIMOS[[#This Row],[Número de Contacto]]="","",MARÍTIMOS[[#This Row],[Número de Contacto]]),"")</f>
        <v/>
      </c>
      <c r="O369" s="10" t="str">
        <f>IFERROR(IF(MARÍTIMOS[[#This Row],[Booking|AWB|CRT]]="","",MARÍTIMOS[[#This Row],[Booking|AWB|CRT]]),"")</f>
        <v/>
      </c>
      <c r="P369" s="2" t="str">
        <f>IFERROR(IF(MARÍTIMOS[[#This Row],[Contenedor]]="","",MARÍTIMOS[[#This Row],[Contenedor]]),"")</f>
        <v/>
      </c>
      <c r="Q369" s="2" t="str">
        <f>IFERROR(IF(MARÍTIMOS[[#This Row],[Puerto de Retiro]]="","",MARÍTIMOS[[#This Row],[Puerto de Retiro]]),"")</f>
        <v/>
      </c>
      <c r="R369" s="2" t="str">
        <f>IFERROR(IF(MARÍTIMOS[[#This Row],[Almacén de Retiro]]="","",MARÍTIMOS[[#This Row],[Almacén de Retiro]]),"")</f>
        <v/>
      </c>
      <c r="S369" s="11" t="str">
        <f>IFERROR(IF(MARÍTIMOS[[#This Row],[Etapa Retiro - Cita]]="","",MARÍTIMOS[[#This Row],[Etapa Retiro - Cita]]),"")</f>
        <v/>
      </c>
      <c r="T369" s="11" t="str">
        <f>IFERROR(IF(MARÍTIMOS[[#This Row],[Etapa Retiro - Llegada]]="","",MARÍTIMOS[[#This Row],[Etapa Retiro - Llegada]]),"")</f>
        <v/>
      </c>
      <c r="U369" s="11" t="str">
        <f>IFERROR(IF(MARÍTIMOS[[#This Row],[Etapa Retiro - Ingreso]]="","",MARÍTIMOS[[#This Row],[Etapa Retiro - Ingreso]]),"")</f>
        <v/>
      </c>
      <c r="V369" s="11" t="str">
        <f>IFERROR(IF(MARÍTIMOS[[#This Row],[Etapa Retiro - Atención]]="","",MARÍTIMOS[[#This Row],[Etapa Retiro - Atención]]),"")</f>
        <v/>
      </c>
      <c r="W369" s="11" t="str">
        <f>IFERROR(IF(MARÍTIMOS[[#This Row],[Etapa Retiro - Salida]]="","",MARÍTIMOS[[#This Row],[Etapa Retiro - Salida]]),"")</f>
        <v/>
      </c>
      <c r="X369" s="11" t="str">
        <f>IFERROR(IF(MARÍTIMOS[[#This Row],[Etapa Retiro - Inicio de Ruta]]="","",MARÍTIMOS[[#This Row],[Etapa Retiro - Inicio de Ruta]]),"")</f>
        <v/>
      </c>
      <c r="Y369" s="11" t="str">
        <f>IFERROR(IF(MARÍTIMOS[[#This Row],[Hora de Posicionamiento]]="","",MARÍTIMOS[[#This Row],[Hora de Carga]]+MARÍTIMOS[[#This Row],[Hora de Posicionamiento]]),"")</f>
        <v/>
      </c>
      <c r="Z369" s="11" t="str">
        <f>IFERROR(IF(MARÍTIMOS[[#This Row],[Etapa Despacho -  Llegada]]="","",MARÍTIMOS[[#This Row],[Etapa Despacho -  Llegada]]),"")</f>
        <v/>
      </c>
      <c r="AA369" s="11" t="str">
        <f>IFERROR(IF(MARÍTIMOS[[#This Row],[Etapa Despacho -  Registro]]="","",MARÍTIMOS[[#This Row],[Etapa Despacho -  Registro]]),"")</f>
        <v/>
      </c>
      <c r="AB369" s="11" t="str">
        <f>IFERROR(IF(MARÍTIMOS[[#This Row],[Inspección Externa]]="","",MARÍTIMOS[[#This Row],[Inspección Externa]]),"")</f>
        <v/>
      </c>
      <c r="AC369" s="11" t="str">
        <f>IFERROR(IF(MARÍTIMOS[[#This Row],[Etapa Despacho -  Inicio de Carga]]="","",MARÍTIMOS[[#This Row],[Etapa Despacho -  Inicio de Carga]]),"")</f>
        <v/>
      </c>
      <c r="AD369" s="11" t="str">
        <f>IFERROR(IF(MARÍTIMOS[[#This Row],[Etapa Despacho -  Fin de Carga]]="","",MARÍTIMOS[[#This Row],[Etapa Despacho -  Fin de Carga]]),"")</f>
        <v/>
      </c>
      <c r="AE369" s="11" t="str">
        <f>IFERROR(IF(MARÍTIMOS[[#This Row],[Etapa Despacho -  Salida]]="","",MARÍTIMOS[[#This Row],[Etapa Despacho -  Salida]]),"")</f>
        <v/>
      </c>
      <c r="AF369" s="2" t="str">
        <f>IFERROR(IF(MARÍTIMOS[[#This Row],[Puerto de Embarque]]="","",MARÍTIMOS[[#This Row],[Puerto de Embarque]]),"")</f>
        <v/>
      </c>
      <c r="AG369" s="2" t="str">
        <f>IFERROR(IF(MARÍTIMOS[[#This Row],[Almacén de Ingreso]]="","",MARÍTIMOS[[#This Row],[Almacén de Ingreso]]),"")</f>
        <v/>
      </c>
      <c r="AH369" s="11" t="str">
        <f>IFERROR(IF(MARÍTIMOS[[#This Row],[Etapa Ingreso - Cita]]="","",MARÍTIMOS[[#This Row],[Etapa Ingreso - Cita]]),"")</f>
        <v/>
      </c>
      <c r="AI369" s="11" t="str">
        <f>IFERROR(IF(MARÍTIMOS[[#This Row],[Etapa Ingreso - Llegada]]="","",MARÍTIMOS[[#This Row],[Etapa Ingreso - Llegada]]),"")</f>
        <v/>
      </c>
      <c r="AJ369" s="11" t="str">
        <f>IFERROR(IF(MARÍTIMOS[[#This Row],[Etapa Ingreso - Ingeso]]="","",MARÍTIMOS[[#This Row],[Etapa Ingreso - Ingeso]]),"")</f>
        <v/>
      </c>
      <c r="AK369" s="11" t="str">
        <f>IFERROR(IF(MARÍTIMOS[[#This Row],[Etapa Ingreso - Atención]]="","",MARÍTIMOS[[#This Row],[Etapa Ingreso - Atención]]),"")</f>
        <v/>
      </c>
      <c r="AL369" s="11" t="str">
        <f>IFERROR(IF(MARÍTIMOS[[#This Row],[Etapa Ingreso - Salida]]="","",MARÍTIMOS[[#This Row],[Etapa Ingreso - Salida]]),"")</f>
        <v/>
      </c>
      <c r="AM369" s="2" t="str">
        <f>IFERROR(IF(MARÍTIMOS[[#This Row],[FCL]]="","",MARÍTIMOS[[#This Row],[FCL]]),"")</f>
        <v/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9" s="5" t="str">
        <f>IFERROR(OLDBD[[#This Row],[Llegada a packing]]-OLDBD[[#This Row],[Inicio de Ruta]],"")</f>
        <v/>
      </c>
      <c r="AQ369" s="6" t="str">
        <f>IFERROR(OLDBD[[#This Row],[Inicio de Ruta]]-OLDBD[[#This Row],[Salida de almacén de retiro]],"")</f>
        <v/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9" s="9" t="str">
        <f>IFERROR(OLDBD[[#This Row],[Ingreso Packing]]-OLDBD[[#This Row],[Registro en Packing]],"")</f>
        <v/>
      </c>
      <c r="AV369" s="9" t="str">
        <f>IFERROR(OLDBD[[#This Row],[Ingreso Packing]]-OLDBD[[#This Row],[Llegada a packing]],"")</f>
        <v/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 t="str">
        <f>IFERROR(OLDBD[[#This Row],[Llegada Almacén de Ingreso]]-OLDBD[[#This Row],[Salida Packing]],"")</f>
        <v/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9" s="45" t="s">
        <v>181</v>
      </c>
      <c r="BB369" s="53" t="str">
        <f>IFERROR(IF(MARÍTIMOS[[#This Row],[Estatus]]="","",MARÍTIMOS[[#This Row],[Estatus]]),"")</f>
        <v/>
      </c>
      <c r="BC369" s="45"/>
      <c r="BD369" s="52" t="str">
        <f>IFERROR(OLDBD[[#This Row],[Salida de almacén de retiro]]-OLDBD[[#This Row],[Ingreso Almacén de retiro]],"")</f>
        <v/>
      </c>
      <c r="BE369" s="52" t="str">
        <f>IFERROR(OLDBD[[#This Row],[Fin de Carga]]-OLDBD[[#This Row],[Inicio de Carga]],"")</f>
        <v/>
      </c>
    </row>
    <row r="370" spans="1:57" x14ac:dyDescent="0.35">
      <c r="A370" s="1"/>
      <c r="B370" s="1" t="str">
        <f>IFERROR(IF(MARÍTIMOS[[#This Row],[PP]]="","",MARÍTIMOS[[#This Row],[PP]]),"")</f>
        <v/>
      </c>
      <c r="C370" s="1" t="str">
        <f>IFERROR(IF(MARÍTIMOS[[#This Row],[Sede]]="","",MARÍTIMOS[[#This Row],[Sede]]),"")</f>
        <v/>
      </c>
      <c r="D370" s="1" t="str">
        <f>IFERROR(IF(MARÍTIMOS[[#This Row],[Instruction]]="","",MARÍTIMOS[[#This Row],[Instruction]]),"")</f>
        <v/>
      </c>
      <c r="E370" s="1"/>
      <c r="F370" s="2" t="str">
        <f>IFERROR(IF(MARÍTIMOS[[#This Row],[Transportista]]="","",MARÍTIMOS[[#This Row],[Transportista]]),"")</f>
        <v/>
      </c>
      <c r="G370" s="2" t="str">
        <f>IFERROR(IF(MARÍTIMOS[[#This Row],[Tercero]]="","",MARÍTIMOS[[#This Row],[Tercero]]),"")</f>
        <v/>
      </c>
      <c r="H370" s="2" t="str">
        <f>IFERROR(IF(MARÍTIMOS[[#This Row],[Razón Social]]="","",MARÍTIMOS[[#This Row],[Razón Social]]),"")</f>
        <v/>
      </c>
      <c r="I370" s="2" t="str">
        <f>IFERROR(IF(MARÍTIMOS[[#This Row],[RUC]]="","",MARÍTIMOS[[#This Row],[RUC]]),"")</f>
        <v/>
      </c>
      <c r="J370" s="2" t="str">
        <f>IFERROR(IF(MARÍTIMOS[[#This Row],[Placa Tracto]]="","",MARÍTIMOS[[#This Row],[Placa Tracto]]),"")</f>
        <v/>
      </c>
      <c r="K370" s="2" t="str">
        <f>IFERROR(IF(MARÍTIMOS[[#This Row],[Placa Carreta]]="","",MARÍTIMOS[[#This Row],[Placa Carreta]]),"")</f>
        <v/>
      </c>
      <c r="L370" s="46" t="str">
        <f>IFERROR(IF(MARÍTIMOS[[#This Row],[Conductor]]="","",MARÍTIMOS[[#This Row],[Conductor]]),"")</f>
        <v/>
      </c>
      <c r="M370" s="2" t="str">
        <f>IFERROR(IF(MARÍTIMOS[[#This Row],[Licencia]]="","",MARÍTIMOS[[#This Row],[Licencia]]),"")</f>
        <v/>
      </c>
      <c r="N370" s="2" t="str">
        <f>IFERROR(IF(MARÍTIMOS[[#This Row],[Número de Contacto]]="","",MARÍTIMOS[[#This Row],[Número de Contacto]]),"")</f>
        <v/>
      </c>
      <c r="O370" s="10" t="str">
        <f>IFERROR(IF(MARÍTIMOS[[#This Row],[Booking|AWB|CRT]]="","",MARÍTIMOS[[#This Row],[Booking|AWB|CRT]]),"")</f>
        <v/>
      </c>
      <c r="P370" s="2" t="str">
        <f>IFERROR(IF(MARÍTIMOS[[#This Row],[Contenedor]]="","",MARÍTIMOS[[#This Row],[Contenedor]]),"")</f>
        <v/>
      </c>
      <c r="Q370" s="2" t="str">
        <f>IFERROR(IF(MARÍTIMOS[[#This Row],[Puerto de Retiro]]="","",MARÍTIMOS[[#This Row],[Puerto de Retiro]]),"")</f>
        <v/>
      </c>
      <c r="R370" s="2" t="str">
        <f>IFERROR(IF(MARÍTIMOS[[#This Row],[Almacén de Retiro]]="","",MARÍTIMOS[[#This Row],[Almacén de Retiro]]),"")</f>
        <v/>
      </c>
      <c r="S370" s="11" t="str">
        <f>IFERROR(IF(MARÍTIMOS[[#This Row],[Etapa Retiro - Cita]]="","",MARÍTIMOS[[#This Row],[Etapa Retiro - Cita]]),"")</f>
        <v/>
      </c>
      <c r="T370" s="11" t="str">
        <f>IFERROR(IF(MARÍTIMOS[[#This Row],[Etapa Retiro - Llegada]]="","",MARÍTIMOS[[#This Row],[Etapa Retiro - Llegada]]),"")</f>
        <v/>
      </c>
      <c r="U370" s="11" t="str">
        <f>IFERROR(IF(MARÍTIMOS[[#This Row],[Etapa Retiro - Ingreso]]="","",MARÍTIMOS[[#This Row],[Etapa Retiro - Ingreso]]),"")</f>
        <v/>
      </c>
      <c r="V370" s="11" t="str">
        <f>IFERROR(IF(MARÍTIMOS[[#This Row],[Etapa Retiro - Atención]]="","",MARÍTIMOS[[#This Row],[Etapa Retiro - Atención]]),"")</f>
        <v/>
      </c>
      <c r="W370" s="11" t="str">
        <f>IFERROR(IF(MARÍTIMOS[[#This Row],[Etapa Retiro - Salida]]="","",MARÍTIMOS[[#This Row],[Etapa Retiro - Salida]]),"")</f>
        <v/>
      </c>
      <c r="X370" s="11" t="str">
        <f>IFERROR(IF(MARÍTIMOS[[#This Row],[Etapa Retiro - Inicio de Ruta]]="","",MARÍTIMOS[[#This Row],[Etapa Retiro - Inicio de Ruta]]),"")</f>
        <v/>
      </c>
      <c r="Y370" s="11" t="str">
        <f>IFERROR(IF(MARÍTIMOS[[#This Row],[Hora de Posicionamiento]]="","",MARÍTIMOS[[#This Row],[Hora de Carga]]+MARÍTIMOS[[#This Row],[Hora de Posicionamiento]]),"")</f>
        <v/>
      </c>
      <c r="Z370" s="11" t="str">
        <f>IFERROR(IF(MARÍTIMOS[[#This Row],[Etapa Despacho -  Llegada]]="","",MARÍTIMOS[[#This Row],[Etapa Despacho -  Llegada]]),"")</f>
        <v/>
      </c>
      <c r="AA370" s="11" t="str">
        <f>IFERROR(IF(MARÍTIMOS[[#This Row],[Etapa Despacho -  Registro]]="","",MARÍTIMOS[[#This Row],[Etapa Despacho -  Registro]]),"")</f>
        <v/>
      </c>
      <c r="AB370" s="11" t="str">
        <f>IFERROR(IF(MARÍTIMOS[[#This Row],[Inspección Externa]]="","",MARÍTIMOS[[#This Row],[Inspección Externa]]),"")</f>
        <v/>
      </c>
      <c r="AC370" s="11" t="str">
        <f>IFERROR(IF(MARÍTIMOS[[#This Row],[Etapa Despacho -  Inicio de Carga]]="","",MARÍTIMOS[[#This Row],[Etapa Despacho -  Inicio de Carga]]),"")</f>
        <v/>
      </c>
      <c r="AD370" s="11" t="str">
        <f>IFERROR(IF(MARÍTIMOS[[#This Row],[Etapa Despacho -  Fin de Carga]]="","",MARÍTIMOS[[#This Row],[Etapa Despacho -  Fin de Carga]]),"")</f>
        <v/>
      </c>
      <c r="AE370" s="11" t="str">
        <f>IFERROR(IF(MARÍTIMOS[[#This Row],[Etapa Despacho -  Salida]]="","",MARÍTIMOS[[#This Row],[Etapa Despacho -  Salida]]),"")</f>
        <v/>
      </c>
      <c r="AF370" s="2" t="str">
        <f>IFERROR(IF(MARÍTIMOS[[#This Row],[Puerto de Embarque]]="","",MARÍTIMOS[[#This Row],[Puerto de Embarque]]),"")</f>
        <v/>
      </c>
      <c r="AG370" s="2" t="str">
        <f>IFERROR(IF(MARÍTIMOS[[#This Row],[Almacén de Ingreso]]="","",MARÍTIMOS[[#This Row],[Almacén de Ingreso]]),"")</f>
        <v/>
      </c>
      <c r="AH370" s="11" t="str">
        <f>IFERROR(IF(MARÍTIMOS[[#This Row],[Etapa Ingreso - Cita]]="","",MARÍTIMOS[[#This Row],[Etapa Ingreso - Cita]]),"")</f>
        <v/>
      </c>
      <c r="AI370" s="11" t="str">
        <f>IFERROR(IF(MARÍTIMOS[[#This Row],[Etapa Ingreso - Llegada]]="","",MARÍTIMOS[[#This Row],[Etapa Ingreso - Llegada]]),"")</f>
        <v/>
      </c>
      <c r="AJ370" s="11" t="str">
        <f>IFERROR(IF(MARÍTIMOS[[#This Row],[Etapa Ingreso - Ingeso]]="","",MARÍTIMOS[[#This Row],[Etapa Ingreso - Ingeso]]),"")</f>
        <v/>
      </c>
      <c r="AK370" s="11" t="str">
        <f>IFERROR(IF(MARÍTIMOS[[#This Row],[Etapa Ingreso - Atención]]="","",MARÍTIMOS[[#This Row],[Etapa Ingreso - Atención]]),"")</f>
        <v/>
      </c>
      <c r="AL370" s="11" t="str">
        <f>IFERROR(IF(MARÍTIMOS[[#This Row],[Etapa Ingreso - Salida]]="","",MARÍTIMOS[[#This Row],[Etapa Ingreso - Salida]]),"")</f>
        <v/>
      </c>
      <c r="AM370" s="2" t="str">
        <f>IFERROR(IF(MARÍTIMOS[[#This Row],[FCL]]="","",MARÍTIMOS[[#This Row],[FCL]]),"")</f>
        <v/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0" s="5" t="str">
        <f>IFERROR(OLDBD[[#This Row],[Llegada a packing]]-OLDBD[[#This Row],[Inicio de Ruta]],"")</f>
        <v/>
      </c>
      <c r="AQ370" s="6" t="str">
        <f>IFERROR(OLDBD[[#This Row],[Inicio de Ruta]]-OLDBD[[#This Row],[Salida de almacén de retiro]],"")</f>
        <v/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0" s="9" t="str">
        <f>IFERROR(OLDBD[[#This Row],[Ingreso Packing]]-OLDBD[[#This Row],[Registro en Packing]],"")</f>
        <v/>
      </c>
      <c r="AV370" s="9" t="str">
        <f>IFERROR(OLDBD[[#This Row],[Ingreso Packing]]-OLDBD[[#This Row],[Llegada a packing]],"")</f>
        <v/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 t="str">
        <f>IFERROR(OLDBD[[#This Row],[Llegada Almacén de Ingreso]]-OLDBD[[#This Row],[Salida Packing]],"")</f>
        <v/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0" s="45" t="s">
        <v>181</v>
      </c>
      <c r="BB370" s="53" t="str">
        <f>IFERROR(IF(MARÍTIMOS[[#This Row],[Estatus]]="","",MARÍTIMOS[[#This Row],[Estatus]]),"")</f>
        <v/>
      </c>
      <c r="BC370" s="45"/>
      <c r="BD370" s="52" t="str">
        <f>IFERROR(OLDBD[[#This Row],[Salida de almacén de retiro]]-OLDBD[[#This Row],[Ingreso Almacén de retiro]],"")</f>
        <v/>
      </c>
      <c r="BE370" s="52" t="str">
        <f>IFERROR(OLDBD[[#This Row],[Fin de Carga]]-OLDBD[[#This Row],[Inicio de Carga]],"")</f>
        <v/>
      </c>
    </row>
    <row r="371" spans="1:57" x14ac:dyDescent="0.35">
      <c r="A371" s="1"/>
      <c r="B371" s="1" t="str">
        <f>IFERROR(IF(MARÍTIMOS[[#This Row],[PP]]="","",MARÍTIMOS[[#This Row],[PP]]),"")</f>
        <v/>
      </c>
      <c r="C371" s="1" t="str">
        <f>IFERROR(IF(MARÍTIMOS[[#This Row],[Sede]]="","",MARÍTIMOS[[#This Row],[Sede]]),"")</f>
        <v/>
      </c>
      <c r="D371" s="1" t="str">
        <f>IFERROR(IF(MARÍTIMOS[[#This Row],[Instruction]]="","",MARÍTIMOS[[#This Row],[Instruction]]),"")</f>
        <v/>
      </c>
      <c r="E371" s="1"/>
      <c r="F371" s="2" t="str">
        <f>IFERROR(IF(MARÍTIMOS[[#This Row],[Transportista]]="","",MARÍTIMOS[[#This Row],[Transportista]]),"")</f>
        <v/>
      </c>
      <c r="G371" s="2" t="str">
        <f>IFERROR(IF(MARÍTIMOS[[#This Row],[Tercero]]="","",MARÍTIMOS[[#This Row],[Tercero]]),"")</f>
        <v/>
      </c>
      <c r="H371" s="2" t="str">
        <f>IFERROR(IF(MARÍTIMOS[[#This Row],[Razón Social]]="","",MARÍTIMOS[[#This Row],[Razón Social]]),"")</f>
        <v/>
      </c>
      <c r="I371" s="2" t="str">
        <f>IFERROR(IF(MARÍTIMOS[[#This Row],[RUC]]="","",MARÍTIMOS[[#This Row],[RUC]]),"")</f>
        <v/>
      </c>
      <c r="J371" s="2" t="str">
        <f>IFERROR(IF(MARÍTIMOS[[#This Row],[Placa Tracto]]="","",MARÍTIMOS[[#This Row],[Placa Tracto]]),"")</f>
        <v/>
      </c>
      <c r="K371" s="2" t="str">
        <f>IFERROR(IF(MARÍTIMOS[[#This Row],[Placa Carreta]]="","",MARÍTIMOS[[#This Row],[Placa Carreta]]),"")</f>
        <v/>
      </c>
      <c r="L371" s="46" t="str">
        <f>IFERROR(IF(MARÍTIMOS[[#This Row],[Conductor]]="","",MARÍTIMOS[[#This Row],[Conductor]]),"")</f>
        <v/>
      </c>
      <c r="M371" s="2" t="str">
        <f>IFERROR(IF(MARÍTIMOS[[#This Row],[Licencia]]="","",MARÍTIMOS[[#This Row],[Licencia]]),"")</f>
        <v/>
      </c>
      <c r="N371" s="2" t="str">
        <f>IFERROR(IF(MARÍTIMOS[[#This Row],[Número de Contacto]]="","",MARÍTIMOS[[#This Row],[Número de Contacto]]),"")</f>
        <v/>
      </c>
      <c r="O371" s="10" t="str">
        <f>IFERROR(IF(MARÍTIMOS[[#This Row],[Booking|AWB|CRT]]="","",MARÍTIMOS[[#This Row],[Booking|AWB|CRT]]),"")</f>
        <v/>
      </c>
      <c r="P371" s="2" t="str">
        <f>IFERROR(IF(MARÍTIMOS[[#This Row],[Contenedor]]="","",MARÍTIMOS[[#This Row],[Contenedor]]),"")</f>
        <v/>
      </c>
      <c r="Q371" s="2" t="str">
        <f>IFERROR(IF(MARÍTIMOS[[#This Row],[Puerto de Retiro]]="","",MARÍTIMOS[[#This Row],[Puerto de Retiro]]),"")</f>
        <v/>
      </c>
      <c r="R371" s="2" t="str">
        <f>IFERROR(IF(MARÍTIMOS[[#This Row],[Almacén de Retiro]]="","",MARÍTIMOS[[#This Row],[Almacén de Retiro]]),"")</f>
        <v/>
      </c>
      <c r="S371" s="11" t="str">
        <f>IFERROR(IF(MARÍTIMOS[[#This Row],[Etapa Retiro - Cita]]="","",MARÍTIMOS[[#This Row],[Etapa Retiro - Cita]]),"")</f>
        <v/>
      </c>
      <c r="T371" s="11" t="str">
        <f>IFERROR(IF(MARÍTIMOS[[#This Row],[Etapa Retiro - Llegada]]="","",MARÍTIMOS[[#This Row],[Etapa Retiro - Llegada]]),"")</f>
        <v/>
      </c>
      <c r="U371" s="11" t="str">
        <f>IFERROR(IF(MARÍTIMOS[[#This Row],[Etapa Retiro - Ingreso]]="","",MARÍTIMOS[[#This Row],[Etapa Retiro - Ingreso]]),"")</f>
        <v/>
      </c>
      <c r="V371" s="11" t="str">
        <f>IFERROR(IF(MARÍTIMOS[[#This Row],[Etapa Retiro - Atención]]="","",MARÍTIMOS[[#This Row],[Etapa Retiro - Atención]]),"")</f>
        <v/>
      </c>
      <c r="W371" s="11" t="str">
        <f>IFERROR(IF(MARÍTIMOS[[#This Row],[Etapa Retiro - Salida]]="","",MARÍTIMOS[[#This Row],[Etapa Retiro - Salida]]),"")</f>
        <v/>
      </c>
      <c r="X371" s="11" t="str">
        <f>IFERROR(IF(MARÍTIMOS[[#This Row],[Etapa Retiro - Inicio de Ruta]]="","",MARÍTIMOS[[#This Row],[Etapa Retiro - Inicio de Ruta]]),"")</f>
        <v/>
      </c>
      <c r="Y371" s="11" t="str">
        <f>IFERROR(IF(MARÍTIMOS[[#This Row],[Hora de Posicionamiento]]="","",MARÍTIMOS[[#This Row],[Hora de Carga]]+MARÍTIMOS[[#This Row],[Hora de Posicionamiento]]),"")</f>
        <v/>
      </c>
      <c r="Z371" s="11" t="str">
        <f>IFERROR(IF(MARÍTIMOS[[#This Row],[Etapa Despacho -  Llegada]]="","",MARÍTIMOS[[#This Row],[Etapa Despacho -  Llegada]]),"")</f>
        <v/>
      </c>
      <c r="AA371" s="11" t="str">
        <f>IFERROR(IF(MARÍTIMOS[[#This Row],[Etapa Despacho -  Registro]]="","",MARÍTIMOS[[#This Row],[Etapa Despacho -  Registro]]),"")</f>
        <v/>
      </c>
      <c r="AB371" s="11" t="str">
        <f>IFERROR(IF(MARÍTIMOS[[#This Row],[Inspección Externa]]="","",MARÍTIMOS[[#This Row],[Inspección Externa]]),"")</f>
        <v/>
      </c>
      <c r="AC371" s="11" t="str">
        <f>IFERROR(IF(MARÍTIMOS[[#This Row],[Etapa Despacho -  Inicio de Carga]]="","",MARÍTIMOS[[#This Row],[Etapa Despacho -  Inicio de Carga]]),"")</f>
        <v/>
      </c>
      <c r="AD371" s="11" t="str">
        <f>IFERROR(IF(MARÍTIMOS[[#This Row],[Etapa Despacho -  Fin de Carga]]="","",MARÍTIMOS[[#This Row],[Etapa Despacho -  Fin de Carga]]),"")</f>
        <v/>
      </c>
      <c r="AE371" s="11" t="str">
        <f>IFERROR(IF(MARÍTIMOS[[#This Row],[Etapa Despacho -  Salida]]="","",MARÍTIMOS[[#This Row],[Etapa Despacho -  Salida]]),"")</f>
        <v/>
      </c>
      <c r="AF371" s="2" t="str">
        <f>IFERROR(IF(MARÍTIMOS[[#This Row],[Puerto de Embarque]]="","",MARÍTIMOS[[#This Row],[Puerto de Embarque]]),"")</f>
        <v/>
      </c>
      <c r="AG371" s="2" t="str">
        <f>IFERROR(IF(MARÍTIMOS[[#This Row],[Almacén de Ingreso]]="","",MARÍTIMOS[[#This Row],[Almacén de Ingreso]]),"")</f>
        <v/>
      </c>
      <c r="AH371" s="11" t="str">
        <f>IFERROR(IF(MARÍTIMOS[[#This Row],[Etapa Ingreso - Cita]]="","",MARÍTIMOS[[#This Row],[Etapa Ingreso - Cita]]),"")</f>
        <v/>
      </c>
      <c r="AI371" s="11" t="str">
        <f>IFERROR(IF(MARÍTIMOS[[#This Row],[Etapa Ingreso - Llegada]]="","",MARÍTIMOS[[#This Row],[Etapa Ingreso - Llegada]]),"")</f>
        <v/>
      </c>
      <c r="AJ371" s="11" t="str">
        <f>IFERROR(IF(MARÍTIMOS[[#This Row],[Etapa Ingreso - Ingeso]]="","",MARÍTIMOS[[#This Row],[Etapa Ingreso - Ingeso]]),"")</f>
        <v/>
      </c>
      <c r="AK371" s="11" t="str">
        <f>IFERROR(IF(MARÍTIMOS[[#This Row],[Etapa Ingreso - Atención]]="","",MARÍTIMOS[[#This Row],[Etapa Ingreso - Atención]]),"")</f>
        <v/>
      </c>
      <c r="AL371" s="11" t="str">
        <f>IFERROR(IF(MARÍTIMOS[[#This Row],[Etapa Ingreso - Salida]]="","",MARÍTIMOS[[#This Row],[Etapa Ingreso - Salida]]),"")</f>
        <v/>
      </c>
      <c r="AM371" s="2" t="str">
        <f>IFERROR(IF(MARÍTIMOS[[#This Row],[FCL]]="","",MARÍTIMOS[[#This Row],[FCL]]),"")</f>
        <v/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1" s="5" t="str">
        <f>IFERROR(OLDBD[[#This Row],[Llegada a packing]]-OLDBD[[#This Row],[Inicio de Ruta]],"")</f>
        <v/>
      </c>
      <c r="AQ371" s="6" t="str">
        <f>IFERROR(OLDBD[[#This Row],[Inicio de Ruta]]-OLDBD[[#This Row],[Salida de almacén de retiro]],"")</f>
        <v/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1" s="9" t="str">
        <f>IFERROR(OLDBD[[#This Row],[Ingreso Packing]]-OLDBD[[#This Row],[Registro en Packing]],"")</f>
        <v/>
      </c>
      <c r="AV371" s="9" t="str">
        <f>IFERROR(OLDBD[[#This Row],[Ingreso Packing]]-OLDBD[[#This Row],[Llegada a packing]],"")</f>
        <v/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 t="str">
        <f>IFERROR(OLDBD[[#This Row],[Llegada Almacén de Ingreso]]-OLDBD[[#This Row],[Salida Packing]],"")</f>
        <v/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1" s="45" t="s">
        <v>181</v>
      </c>
      <c r="BB371" s="53" t="str">
        <f>IFERROR(IF(MARÍTIMOS[[#This Row],[Estatus]]="","",MARÍTIMOS[[#This Row],[Estatus]]),"")</f>
        <v/>
      </c>
      <c r="BC371" s="45"/>
      <c r="BD371" s="52" t="str">
        <f>IFERROR(OLDBD[[#This Row],[Salida de almacén de retiro]]-OLDBD[[#This Row],[Ingreso Almacén de retiro]],"")</f>
        <v/>
      </c>
      <c r="BE371" s="52" t="str">
        <f>IFERROR(OLDBD[[#This Row],[Fin de Carga]]-OLDBD[[#This Row],[Inicio de Carga]],"")</f>
        <v/>
      </c>
    </row>
    <row r="372" spans="1:57" x14ac:dyDescent="0.35">
      <c r="A372" s="1"/>
      <c r="B372" s="1" t="str">
        <f>IFERROR(IF(MARÍTIMOS[[#This Row],[PP]]="","",MARÍTIMOS[[#This Row],[PP]]),"")</f>
        <v/>
      </c>
      <c r="C372" s="1" t="str">
        <f>IFERROR(IF(MARÍTIMOS[[#This Row],[Sede]]="","",MARÍTIMOS[[#This Row],[Sede]]),"")</f>
        <v/>
      </c>
      <c r="D372" s="1" t="str">
        <f>IFERROR(IF(MARÍTIMOS[[#This Row],[Instruction]]="","",MARÍTIMOS[[#This Row],[Instruction]]),"")</f>
        <v/>
      </c>
      <c r="E372" s="1"/>
      <c r="F372" s="2" t="str">
        <f>IFERROR(IF(MARÍTIMOS[[#This Row],[Transportista]]="","",MARÍTIMOS[[#This Row],[Transportista]]),"")</f>
        <v/>
      </c>
      <c r="G372" s="2" t="str">
        <f>IFERROR(IF(MARÍTIMOS[[#This Row],[Tercero]]="","",MARÍTIMOS[[#This Row],[Tercero]]),"")</f>
        <v/>
      </c>
      <c r="H372" s="2" t="str">
        <f>IFERROR(IF(MARÍTIMOS[[#This Row],[Razón Social]]="","",MARÍTIMOS[[#This Row],[Razón Social]]),"")</f>
        <v/>
      </c>
      <c r="I372" s="2" t="str">
        <f>IFERROR(IF(MARÍTIMOS[[#This Row],[RUC]]="","",MARÍTIMOS[[#This Row],[RUC]]),"")</f>
        <v/>
      </c>
      <c r="J372" s="2" t="str">
        <f>IFERROR(IF(MARÍTIMOS[[#This Row],[Placa Tracto]]="","",MARÍTIMOS[[#This Row],[Placa Tracto]]),"")</f>
        <v/>
      </c>
      <c r="K372" s="2" t="str">
        <f>IFERROR(IF(MARÍTIMOS[[#This Row],[Placa Carreta]]="","",MARÍTIMOS[[#This Row],[Placa Carreta]]),"")</f>
        <v/>
      </c>
      <c r="L372" s="46" t="str">
        <f>IFERROR(IF(MARÍTIMOS[[#This Row],[Conductor]]="","",MARÍTIMOS[[#This Row],[Conductor]]),"")</f>
        <v/>
      </c>
      <c r="M372" s="2" t="str">
        <f>IFERROR(IF(MARÍTIMOS[[#This Row],[Licencia]]="","",MARÍTIMOS[[#This Row],[Licencia]]),"")</f>
        <v/>
      </c>
      <c r="N372" s="2" t="str">
        <f>IFERROR(IF(MARÍTIMOS[[#This Row],[Número de Contacto]]="","",MARÍTIMOS[[#This Row],[Número de Contacto]]),"")</f>
        <v/>
      </c>
      <c r="O372" s="10" t="str">
        <f>IFERROR(IF(MARÍTIMOS[[#This Row],[Booking|AWB|CRT]]="","",MARÍTIMOS[[#This Row],[Booking|AWB|CRT]]),"")</f>
        <v/>
      </c>
      <c r="P372" s="2" t="str">
        <f>IFERROR(IF(MARÍTIMOS[[#This Row],[Contenedor]]="","",MARÍTIMOS[[#This Row],[Contenedor]]),"")</f>
        <v/>
      </c>
      <c r="Q372" s="2" t="str">
        <f>IFERROR(IF(MARÍTIMOS[[#This Row],[Puerto de Retiro]]="","",MARÍTIMOS[[#This Row],[Puerto de Retiro]]),"")</f>
        <v/>
      </c>
      <c r="R372" s="2" t="str">
        <f>IFERROR(IF(MARÍTIMOS[[#This Row],[Almacén de Retiro]]="","",MARÍTIMOS[[#This Row],[Almacén de Retiro]]),"")</f>
        <v/>
      </c>
      <c r="S372" s="11" t="str">
        <f>IFERROR(IF(MARÍTIMOS[[#This Row],[Etapa Retiro - Cita]]="","",MARÍTIMOS[[#This Row],[Etapa Retiro - Cita]]),"")</f>
        <v/>
      </c>
      <c r="T372" s="11" t="str">
        <f>IFERROR(IF(MARÍTIMOS[[#This Row],[Etapa Retiro - Llegada]]="","",MARÍTIMOS[[#This Row],[Etapa Retiro - Llegada]]),"")</f>
        <v/>
      </c>
      <c r="U372" s="11" t="str">
        <f>IFERROR(IF(MARÍTIMOS[[#This Row],[Etapa Retiro - Ingreso]]="","",MARÍTIMOS[[#This Row],[Etapa Retiro - Ingreso]]),"")</f>
        <v/>
      </c>
      <c r="V372" s="11" t="str">
        <f>IFERROR(IF(MARÍTIMOS[[#This Row],[Etapa Retiro - Atención]]="","",MARÍTIMOS[[#This Row],[Etapa Retiro - Atención]]),"")</f>
        <v/>
      </c>
      <c r="W372" s="11" t="str">
        <f>IFERROR(IF(MARÍTIMOS[[#This Row],[Etapa Retiro - Salida]]="","",MARÍTIMOS[[#This Row],[Etapa Retiro - Salida]]),"")</f>
        <v/>
      </c>
      <c r="X372" s="11" t="str">
        <f>IFERROR(IF(MARÍTIMOS[[#This Row],[Etapa Retiro - Inicio de Ruta]]="","",MARÍTIMOS[[#This Row],[Etapa Retiro - Inicio de Ruta]]),"")</f>
        <v/>
      </c>
      <c r="Y372" s="11" t="str">
        <f>IFERROR(IF(MARÍTIMOS[[#This Row],[Hora de Posicionamiento]]="","",MARÍTIMOS[[#This Row],[Hora de Carga]]+MARÍTIMOS[[#This Row],[Hora de Posicionamiento]]),"")</f>
        <v/>
      </c>
      <c r="Z372" s="11" t="str">
        <f>IFERROR(IF(MARÍTIMOS[[#This Row],[Etapa Despacho -  Llegada]]="","",MARÍTIMOS[[#This Row],[Etapa Despacho -  Llegada]]),"")</f>
        <v/>
      </c>
      <c r="AA372" s="11" t="str">
        <f>IFERROR(IF(MARÍTIMOS[[#This Row],[Etapa Despacho -  Registro]]="","",MARÍTIMOS[[#This Row],[Etapa Despacho - 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 Inicio de Carga]]="","",MARÍTIMOS[[#This Row],[Etapa Despacho -  Inicio de Carga]]),"")</f>
        <v/>
      </c>
      <c r="AD372" s="11" t="str">
        <f>IFERROR(IF(MARÍTIMOS[[#This Row],[Etapa Despacho -  Fin de Carga]]="","",MARÍTIMOS[[#This Row],[Etapa Despacho -  Fin de Carga]]),"")</f>
        <v/>
      </c>
      <c r="AE372" s="11" t="str">
        <f>IFERROR(IF(MARÍTIMOS[[#This Row],[Etapa Despacho -  Salida]]="","",MARÍTIMOS[[#This Row],[Etapa Despacho -  Salida]]),"")</f>
        <v/>
      </c>
      <c r="AF372" s="2" t="str">
        <f>IFERROR(IF(MARÍTIMOS[[#This Row],[Puerto de Embarque]]="","",MARÍTIMOS[[#This Row],[Puerto de Embarque]]),"")</f>
        <v/>
      </c>
      <c r="AG372" s="2" t="str">
        <f>IFERROR(IF(MARÍTIMOS[[#This Row],[Almacén de Ingreso]]="","",MARÍTIMOS[[#This Row],[Almacén de Ingreso]]),"")</f>
        <v/>
      </c>
      <c r="AH372" s="11" t="str">
        <f>IFERROR(IF(MARÍTIMOS[[#This Row],[Etapa Ingreso - Cita]]="","",MARÍTIMOS[[#This Row],[Etapa Ingreso - Cita]]),"")</f>
        <v/>
      </c>
      <c r="AI372" s="11" t="str">
        <f>IFERROR(IF(MARÍTIMOS[[#This Row],[Etapa Ingreso - Llegada]]="","",MARÍTIMOS[[#This Row],[Etapa Ingreso - Llegada]]),"")</f>
        <v/>
      </c>
      <c r="AJ372" s="11" t="str">
        <f>IFERROR(IF(MARÍTIMOS[[#This Row],[Etapa Ingreso - Ingeso]]="","",MARÍTIMOS[[#This Row],[Etapa Ingreso - Ingeso]]),"")</f>
        <v/>
      </c>
      <c r="AK372" s="11" t="str">
        <f>IFERROR(IF(MARÍTIMOS[[#This Row],[Etapa Ingreso - Atención]]="","",MARÍTIMOS[[#This Row],[Etapa Ingreso - Atención]]),"")</f>
        <v/>
      </c>
      <c r="AL372" s="11" t="str">
        <f>IFERROR(IF(MARÍTIMOS[[#This Row],[Etapa Ingreso - Salida]]="","",MARÍTIMOS[[#This Row],[Etapa Ingreso - Salida]]),"")</f>
        <v/>
      </c>
      <c r="AM372" s="2" t="str">
        <f>IFERROR(IF(MARÍTIMOS[[#This Row],[FCL]]="","",MARÍTIMOS[[#This Row],[FCL]]),"")</f>
        <v/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2" s="5" t="str">
        <f>IFERROR(OLDBD[[#This Row],[Llegada a packing]]-OLDBD[[#This Row],[Inicio de Ruta]],"")</f>
        <v/>
      </c>
      <c r="AQ372" s="6" t="str">
        <f>IFERROR(OLDBD[[#This Row],[Inicio de Ruta]]-OLDBD[[#This Row],[Salida de almacén de retiro]],"")</f>
        <v/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2" s="45" t="s">
        <v>181</v>
      </c>
      <c r="BB372" s="53" t="str">
        <f>IFERROR(IF(MARÍTIMOS[[#This Row],[Estatus]]="","",MARÍTIMOS[[#This Row],[Estatus]]),"")</f>
        <v/>
      </c>
      <c r="BC372" s="45"/>
      <c r="BD372" s="52" t="str">
        <f>IFERROR(OLDBD[[#This Row],[Salida de almacén de retiro]]-OLDBD[[#This Row],[Ingreso Almacén de retiro]],"")</f>
        <v/>
      </c>
      <c r="BE372" s="52" t="str">
        <f>IFERROR(OLDBD[[#This Row],[Fin de Carga]]-OLDBD[[#This Row],[Inicio de Carga]],"")</f>
        <v/>
      </c>
    </row>
    <row r="373" spans="1:57" x14ac:dyDescent="0.35">
      <c r="A373" s="1"/>
      <c r="B373" s="1" t="str">
        <f>IFERROR(IF(MARÍTIMOS[[#This Row],[PP]]="","",MARÍTIMOS[[#This Row],[PP]]),"")</f>
        <v/>
      </c>
      <c r="C373" s="1" t="str">
        <f>IFERROR(IF(MARÍTIMOS[[#This Row],[Sede]]="","",MARÍTIMOS[[#This Row],[Sede]]),"")</f>
        <v/>
      </c>
      <c r="D373" s="1" t="str">
        <f>IFERROR(IF(MARÍTIMOS[[#This Row],[Instruction]]="","",MARÍTIMOS[[#This Row],[Instruction]]),"")</f>
        <v/>
      </c>
      <c r="E373" s="1"/>
      <c r="F373" s="2" t="str">
        <f>IFERROR(IF(MARÍTIMOS[[#This Row],[Transportista]]="","",MARÍTIMOS[[#This Row],[Transportista]]),"")</f>
        <v/>
      </c>
      <c r="G373" s="2" t="str">
        <f>IFERROR(IF(MARÍTIMOS[[#This Row],[Tercero]]="","",MARÍTIMOS[[#This Row],[Tercero]]),"")</f>
        <v/>
      </c>
      <c r="H373" s="2" t="str">
        <f>IFERROR(IF(MARÍTIMOS[[#This Row],[Razón Social]]="","",MARÍTIMOS[[#This Row],[Razón Social]]),"")</f>
        <v/>
      </c>
      <c r="I373" s="2" t="str">
        <f>IFERROR(IF(MARÍTIMOS[[#This Row],[RUC]]="","",MARÍTIMOS[[#This Row],[RUC]]),"")</f>
        <v/>
      </c>
      <c r="J373" s="2" t="str">
        <f>IFERROR(IF(MARÍTIMOS[[#This Row],[Placa Tracto]]="","",MARÍTIMOS[[#This Row],[Placa Tracto]]),"")</f>
        <v/>
      </c>
      <c r="K373" s="2" t="str">
        <f>IFERROR(IF(MARÍTIMOS[[#This Row],[Placa Carreta]]="","",MARÍTIMOS[[#This Row],[Placa Carreta]]),"")</f>
        <v/>
      </c>
      <c r="L373" s="46" t="str">
        <f>IFERROR(IF(MARÍTIMOS[[#This Row],[Conductor]]="","",MARÍTIMOS[[#This Row],[Conductor]]),"")</f>
        <v/>
      </c>
      <c r="M373" s="2" t="str">
        <f>IFERROR(IF(MARÍTIMOS[[#This Row],[Licencia]]="","",MARÍTIMOS[[#This Row],[Licencia]]),"")</f>
        <v/>
      </c>
      <c r="N373" s="2" t="str">
        <f>IFERROR(IF(MARÍTIMOS[[#This Row],[Número de Contacto]]="","",MARÍTIMOS[[#This Row],[Número de Contacto]]),"")</f>
        <v/>
      </c>
      <c r="O373" s="10" t="str">
        <f>IFERROR(IF(MARÍTIMOS[[#This Row],[Booking|AWB|CRT]]="","",MARÍTIMOS[[#This Row],[Booking|AWB|CRT]]),"")</f>
        <v/>
      </c>
      <c r="P373" s="2" t="str">
        <f>IFERROR(IF(MARÍTIMOS[[#This Row],[Contenedor]]="","",MARÍTIMOS[[#This Row],[Contenedor]]),"")</f>
        <v/>
      </c>
      <c r="Q373" s="2" t="str">
        <f>IFERROR(IF(MARÍTIMOS[[#This Row],[Puerto de Retiro]]="","",MARÍTIMOS[[#This Row],[Puerto de Retiro]]),"")</f>
        <v/>
      </c>
      <c r="R373" s="2" t="str">
        <f>IFERROR(IF(MARÍTIMOS[[#This Row],[Almacén de Retiro]]="","",MARÍTIMOS[[#This Row],[Almacén de Retiro]]),"")</f>
        <v/>
      </c>
      <c r="S373" s="11" t="str">
        <f>IFERROR(IF(MARÍTIMOS[[#This Row],[Etapa Retiro - Cita]]="","",MARÍTIMOS[[#This Row],[Etapa Retiro - Cita]]),"")</f>
        <v/>
      </c>
      <c r="T373" s="11" t="str">
        <f>IFERROR(IF(MARÍTIMOS[[#This Row],[Etapa Retiro - Llegada]]="","",MARÍTIMOS[[#This Row],[Etapa Retiro - Llegada]]),"")</f>
        <v/>
      </c>
      <c r="U373" s="11" t="str">
        <f>IFERROR(IF(MARÍTIMOS[[#This Row],[Etapa Retiro - Ingreso]]="","",MARÍTIMOS[[#This Row],[Etapa Retiro - Ingreso]]),"")</f>
        <v/>
      </c>
      <c r="V373" s="11" t="str">
        <f>IFERROR(IF(MARÍTIMOS[[#This Row],[Etapa Retiro - Atención]]="","",MARÍTIMOS[[#This Row],[Etapa Retiro - Atención]]),"")</f>
        <v/>
      </c>
      <c r="W373" s="11" t="str">
        <f>IFERROR(IF(MARÍTIMOS[[#This Row],[Etapa Retiro - Salida]]="","",MARÍTIMOS[[#This Row],[Etapa Retiro - Salida]]),"")</f>
        <v/>
      </c>
      <c r="X373" s="11" t="str">
        <f>IFERROR(IF(MARÍTIMOS[[#This Row],[Etapa Retiro - Inicio de Ruta]]="","",MARÍTIMOS[[#This Row],[Etapa Retiro - Inicio de Ruta]]),"")</f>
        <v/>
      </c>
      <c r="Y373" s="11" t="str">
        <f>IFERROR(IF(MARÍTIMOS[[#This Row],[Hora de Posicionamiento]]="","",MARÍTIMOS[[#This Row],[Hora de Carga]]+MARÍTIMOS[[#This Row],[Hora de Posicionamiento]]),"")</f>
        <v/>
      </c>
      <c r="Z373" s="11" t="str">
        <f>IFERROR(IF(MARÍTIMOS[[#This Row],[Etapa Despacho -  Llegada]]="","",MARÍTIMOS[[#This Row],[Etapa Despacho -  Llegada]]),"")</f>
        <v/>
      </c>
      <c r="AA373" s="11" t="str">
        <f>IFERROR(IF(MARÍTIMOS[[#This Row],[Etapa Despacho -  Registro]]="","",MARÍTIMOS[[#This Row],[Etapa Despacho -  Registro]]),"")</f>
        <v/>
      </c>
      <c r="AB373" s="11" t="str">
        <f>IFERROR(IF(MARÍTIMOS[[#This Row],[Inspección Externa]]="","",MARÍTIMOS[[#This Row],[Inspección Externa]]),"")</f>
        <v/>
      </c>
      <c r="AC373" s="11" t="str">
        <f>IFERROR(IF(MARÍTIMOS[[#This Row],[Etapa Despacho -  Inicio de Carga]]="","",MARÍTIMOS[[#This Row],[Etapa Despacho -  Inicio de Carga]]),"")</f>
        <v/>
      </c>
      <c r="AD373" s="11" t="str">
        <f>IFERROR(IF(MARÍTIMOS[[#This Row],[Etapa Despacho -  Fin de Carga]]="","",MARÍTIMOS[[#This Row],[Etapa Despacho -  Fin de Carga]]),"")</f>
        <v/>
      </c>
      <c r="AE373" s="11" t="str">
        <f>IFERROR(IF(MARÍTIMOS[[#This Row],[Etapa Despacho -  Salida]]="","",MARÍTIMOS[[#This Row],[Etapa Despacho -  Salida]]),"")</f>
        <v/>
      </c>
      <c r="AF373" s="2" t="str">
        <f>IFERROR(IF(MARÍTIMOS[[#This Row],[Puerto de Embarque]]="","",MARÍTIMOS[[#This Row],[Puerto de Embarque]]),"")</f>
        <v/>
      </c>
      <c r="AG373" s="2" t="str">
        <f>IFERROR(IF(MARÍTIMOS[[#This Row],[Almacén de Ingreso]]="","",MARÍTIMOS[[#This Row],[Almacén de Ingreso]]),"")</f>
        <v/>
      </c>
      <c r="AH373" s="11" t="str">
        <f>IFERROR(IF(MARÍTIMOS[[#This Row],[Etapa Ingreso - Cita]]="","",MARÍTIMOS[[#This Row],[Etapa Ingreso - Cita]]),"")</f>
        <v/>
      </c>
      <c r="AI373" s="11" t="str">
        <f>IFERROR(IF(MARÍTIMOS[[#This Row],[Etapa Ingreso - Llegada]]="","",MARÍTIMOS[[#This Row],[Etapa Ingreso - Llegada]]),"")</f>
        <v/>
      </c>
      <c r="AJ373" s="11" t="str">
        <f>IFERROR(IF(MARÍTIMOS[[#This Row],[Etapa Ingreso - Ingeso]]="","",MARÍTIMOS[[#This Row],[Etapa Ingreso - Ingeso]]),"")</f>
        <v/>
      </c>
      <c r="AK373" s="11" t="str">
        <f>IFERROR(IF(MARÍTIMOS[[#This Row],[Etapa Ingreso - Atención]]="","",MARÍTIMOS[[#This Row],[Etapa Ingreso - Atención]]),"")</f>
        <v/>
      </c>
      <c r="AL373" s="11" t="str">
        <f>IFERROR(IF(MARÍTIMOS[[#This Row],[Etapa Ingreso - Salida]]="","",MARÍTIMOS[[#This Row],[Etapa Ingreso - Salida]]),"")</f>
        <v/>
      </c>
      <c r="AM373" s="2" t="str">
        <f>IFERROR(IF(MARÍTIMOS[[#This Row],[FCL]]="","",MARÍTIMOS[[#This Row],[FCL]]),"")</f>
        <v/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3" s="5" t="str">
        <f>IFERROR(OLDBD[[#This Row],[Llegada a packing]]-OLDBD[[#This Row],[Inicio de Ruta]],"")</f>
        <v/>
      </c>
      <c r="AQ373" s="6" t="str">
        <f>IFERROR(OLDBD[[#This Row],[Inicio de Ruta]]-OLDBD[[#This Row],[Salida de almacén de retiro]],"")</f>
        <v/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3" s="9" t="str">
        <f>IFERROR(OLDBD[[#This Row],[Ingreso Packing]]-OLDBD[[#This Row],[Registro en Packing]],"")</f>
        <v/>
      </c>
      <c r="AV373" s="9" t="str">
        <f>IFERROR(OLDBD[[#This Row],[Ingreso Packing]]-OLDBD[[#This Row],[Llegada a packing]],"")</f>
        <v/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 t="str">
        <f>IFERROR(OLDBD[[#This Row],[Llegada Almacén de Ingreso]]-OLDBD[[#This Row],[Salida Packing]],"")</f>
        <v/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3" s="45" t="s">
        <v>181</v>
      </c>
      <c r="BB373" s="53" t="str">
        <f>IFERROR(IF(MARÍTIMOS[[#This Row],[Estatus]]="","",MARÍTIMOS[[#This Row],[Estatus]]),"")</f>
        <v/>
      </c>
      <c r="BC373" s="45"/>
      <c r="BD373" s="52" t="str">
        <f>IFERROR(OLDBD[[#This Row],[Salida de almacén de retiro]]-OLDBD[[#This Row],[Ingreso Almacén de retiro]],"")</f>
        <v/>
      </c>
      <c r="BE373" s="52" t="str">
        <f>IFERROR(OLDBD[[#This Row],[Fin de Carga]]-OLDBD[[#This Row],[Inicio de Carga]],"")</f>
        <v/>
      </c>
    </row>
    <row r="374" spans="1:57" x14ac:dyDescent="0.35">
      <c r="A374" s="1"/>
      <c r="B374" s="1" t="str">
        <f>IFERROR(IF(MARÍTIMOS[[#This Row],[PP]]="","",MARÍTIMOS[[#This Row],[PP]]),"")</f>
        <v/>
      </c>
      <c r="C374" s="1" t="str">
        <f>IFERROR(IF(MARÍTIMOS[[#This Row],[Sede]]="","",MARÍTIMOS[[#This Row],[Sede]]),"")</f>
        <v/>
      </c>
      <c r="D374" s="1" t="str">
        <f>IFERROR(IF(MARÍTIMOS[[#This Row],[Instruction]]="","",MARÍTIMOS[[#This Row],[Instruction]]),"")</f>
        <v/>
      </c>
      <c r="E374" s="1"/>
      <c r="F374" s="2" t="str">
        <f>IFERROR(IF(MARÍTIMOS[[#This Row],[Transportista]]="","",MARÍTIMOS[[#This Row],[Transportista]]),"")</f>
        <v/>
      </c>
      <c r="G374" s="2" t="str">
        <f>IFERROR(IF(MARÍTIMOS[[#This Row],[Tercero]]="","",MARÍTIMOS[[#This Row],[Tercero]]),"")</f>
        <v/>
      </c>
      <c r="H374" s="2" t="str">
        <f>IFERROR(IF(MARÍTIMOS[[#This Row],[Razón Social]]="","",MARÍTIMOS[[#This Row],[Razón Social]]),"")</f>
        <v/>
      </c>
      <c r="I374" s="2" t="str">
        <f>IFERROR(IF(MARÍTIMOS[[#This Row],[RUC]]="","",MARÍTIMOS[[#This Row],[RUC]]),"")</f>
        <v/>
      </c>
      <c r="J374" s="2" t="str">
        <f>IFERROR(IF(MARÍTIMOS[[#This Row],[Placa Tracto]]="","",MARÍTIMOS[[#This Row],[Placa Tracto]]),"")</f>
        <v/>
      </c>
      <c r="K374" s="2" t="str">
        <f>IFERROR(IF(MARÍTIMOS[[#This Row],[Placa Carreta]]="","",MARÍTIMOS[[#This Row],[Placa Carreta]]),"")</f>
        <v/>
      </c>
      <c r="L374" s="46" t="str">
        <f>IFERROR(IF(MARÍTIMOS[[#This Row],[Conductor]]="","",MARÍTIMOS[[#This Row],[Conductor]]),"")</f>
        <v/>
      </c>
      <c r="M374" s="2" t="str">
        <f>IFERROR(IF(MARÍTIMOS[[#This Row],[Licencia]]="","",MARÍTIMOS[[#This Row],[Licencia]]),"")</f>
        <v/>
      </c>
      <c r="N374" s="2" t="str">
        <f>IFERROR(IF(MARÍTIMOS[[#This Row],[Número de Contacto]]="","",MARÍTIMOS[[#This Row],[Número de Contacto]]),"")</f>
        <v/>
      </c>
      <c r="O374" s="10" t="str">
        <f>IFERROR(IF(MARÍTIMOS[[#This Row],[Booking|AWB|CRT]]="","",MARÍTIMOS[[#This Row],[Booking|AWB|CRT]]),"")</f>
        <v/>
      </c>
      <c r="P374" s="2" t="str">
        <f>IFERROR(IF(MARÍTIMOS[[#This Row],[Contenedor]]="","",MARÍTIMOS[[#This Row],[Contenedor]]),"")</f>
        <v/>
      </c>
      <c r="Q374" s="2" t="str">
        <f>IFERROR(IF(MARÍTIMOS[[#This Row],[Puerto de Retiro]]="","",MARÍTIMOS[[#This Row],[Puerto de Retiro]]),"")</f>
        <v/>
      </c>
      <c r="R374" s="2" t="str">
        <f>IFERROR(IF(MARÍTIMOS[[#This Row],[Almacén de Retiro]]="","",MARÍTIMOS[[#This Row],[Almacén de Retiro]]),"")</f>
        <v/>
      </c>
      <c r="S374" s="11" t="str">
        <f>IFERROR(IF(MARÍTIMOS[[#This Row],[Etapa Retiro - Cita]]="","",MARÍTIMOS[[#This Row],[Etapa Retiro - Cita]]),"")</f>
        <v/>
      </c>
      <c r="T374" s="11" t="str">
        <f>IFERROR(IF(MARÍTIMOS[[#This Row],[Etapa Retiro - Llegada]]="","",MARÍTIMOS[[#This Row],[Etapa Retiro - Llegada]]),"")</f>
        <v/>
      </c>
      <c r="U374" s="11" t="str">
        <f>IFERROR(IF(MARÍTIMOS[[#This Row],[Etapa Retiro - Ingreso]]="","",MARÍTIMOS[[#This Row],[Etapa Retiro - Ingreso]]),"")</f>
        <v/>
      </c>
      <c r="V374" s="11" t="str">
        <f>IFERROR(IF(MARÍTIMOS[[#This Row],[Etapa Retiro - Atención]]="","",MARÍTIMOS[[#This Row],[Etapa Retiro - Atención]]),"")</f>
        <v/>
      </c>
      <c r="W374" s="11" t="str">
        <f>IFERROR(IF(MARÍTIMOS[[#This Row],[Etapa Retiro - Salida]]="","",MARÍTIMOS[[#This Row],[Etapa Retiro - Salida]]),"")</f>
        <v/>
      </c>
      <c r="X374" s="11" t="str">
        <f>IFERROR(IF(MARÍTIMOS[[#This Row],[Etapa Retiro - Inicio de Ruta]]="","",MARÍTIMOS[[#This Row],[Etapa Retiro - Inicio de Ruta]]),"")</f>
        <v/>
      </c>
      <c r="Y374" s="11" t="str">
        <f>IFERROR(IF(MARÍTIMOS[[#This Row],[Hora de Posicionamiento]]="","",MARÍTIMOS[[#This Row],[Hora de Carga]]+MARÍTIMOS[[#This Row],[Hora de Posicionamiento]]),"")</f>
        <v/>
      </c>
      <c r="Z374" s="11" t="str">
        <f>IFERROR(IF(MARÍTIMOS[[#This Row],[Etapa Despacho -  Llegada]]="","",MARÍTIMOS[[#This Row],[Etapa Despacho -  Llegada]]),"")</f>
        <v/>
      </c>
      <c r="AA374" s="11" t="str">
        <f>IFERROR(IF(MARÍTIMOS[[#This Row],[Etapa Despacho -  Registro]]="","",MARÍTIMOS[[#This Row],[Etapa Despacho -  Registro]]),"")</f>
        <v/>
      </c>
      <c r="AB374" s="11" t="str">
        <f>IFERROR(IF(MARÍTIMOS[[#This Row],[Inspección Externa]]="","",MARÍTIMOS[[#This Row],[Inspección Externa]]),"")</f>
        <v/>
      </c>
      <c r="AC374" s="11" t="str">
        <f>IFERROR(IF(MARÍTIMOS[[#This Row],[Etapa Despacho -  Inicio de Carga]]="","",MARÍTIMOS[[#This Row],[Etapa Despacho -  Inicio de Carga]]),"")</f>
        <v/>
      </c>
      <c r="AD374" s="11" t="str">
        <f>IFERROR(IF(MARÍTIMOS[[#This Row],[Etapa Despacho -  Fin de Carga]]="","",MARÍTIMOS[[#This Row],[Etapa Despacho -  Fin de Carga]]),"")</f>
        <v/>
      </c>
      <c r="AE374" s="11" t="str">
        <f>IFERROR(IF(MARÍTIMOS[[#This Row],[Etapa Despacho -  Salida]]="","",MARÍTIMOS[[#This Row],[Etapa Despacho -  Salida]]),"")</f>
        <v/>
      </c>
      <c r="AF374" s="2" t="str">
        <f>IFERROR(IF(MARÍTIMOS[[#This Row],[Puerto de Embarque]]="","",MARÍTIMOS[[#This Row],[Puerto de Embarque]]),"")</f>
        <v/>
      </c>
      <c r="AG374" s="2" t="str">
        <f>IFERROR(IF(MARÍTIMOS[[#This Row],[Almacén de Ingreso]]="","",MARÍTIMOS[[#This Row],[Almacén de Ingreso]]),"")</f>
        <v/>
      </c>
      <c r="AH374" s="11" t="str">
        <f>IFERROR(IF(MARÍTIMOS[[#This Row],[Etapa Ingreso - Cita]]="","",MARÍTIMOS[[#This Row],[Etapa Ingreso - Cita]]),"")</f>
        <v/>
      </c>
      <c r="AI374" s="11" t="str">
        <f>IFERROR(IF(MARÍTIMOS[[#This Row],[Etapa Ingreso - Llegada]]="","",MARÍTIMOS[[#This Row],[Etapa Ingreso - Llegada]]),"")</f>
        <v/>
      </c>
      <c r="AJ374" s="11" t="str">
        <f>IFERROR(IF(MARÍTIMOS[[#This Row],[Etapa Ingreso - Ingeso]]="","",MARÍTIMOS[[#This Row],[Etapa Ingreso - Ingeso]]),"")</f>
        <v/>
      </c>
      <c r="AK374" s="11" t="str">
        <f>IFERROR(IF(MARÍTIMOS[[#This Row],[Etapa Ingreso - Atención]]="","",MARÍTIMOS[[#This Row],[Etapa Ingreso - Atención]]),"")</f>
        <v/>
      </c>
      <c r="AL374" s="11" t="str">
        <f>IFERROR(IF(MARÍTIMOS[[#This Row],[Etapa Ingreso - Salida]]="","",MARÍTIMOS[[#This Row],[Etapa Ingreso - Salida]]),"")</f>
        <v/>
      </c>
      <c r="AM374" s="2" t="str">
        <f>IFERROR(IF(MARÍTIMOS[[#This Row],[FCL]]="","",MARÍTIMOS[[#This Row],[FCL]]),"")</f>
        <v/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4" s="5" t="str">
        <f>IFERROR(OLDBD[[#This Row],[Llegada a packing]]-OLDBD[[#This Row],[Inicio de Ruta]],"")</f>
        <v/>
      </c>
      <c r="AQ374" s="6" t="str">
        <f>IFERROR(OLDBD[[#This Row],[Inicio de Ruta]]-OLDBD[[#This Row],[Salida de almacén de retiro]],"")</f>
        <v/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4" s="9" t="str">
        <f>IFERROR(OLDBD[[#This Row],[Ingreso Packing]]-OLDBD[[#This Row],[Registro en Packing]],"")</f>
        <v/>
      </c>
      <c r="AV374" s="9" t="str">
        <f>IFERROR(OLDBD[[#This Row],[Ingreso Packing]]-OLDBD[[#This Row],[Llegada a packing]],"")</f>
        <v/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 t="str">
        <f>IFERROR(OLDBD[[#This Row],[Llegada Almacén de Ingreso]]-OLDBD[[#This Row],[Salida Packing]],"")</f>
        <v/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4" s="45" t="s">
        <v>181</v>
      </c>
      <c r="BB374" s="53" t="str">
        <f>IFERROR(IF(MARÍTIMOS[[#This Row],[Estatus]]="","",MARÍTIMOS[[#This Row],[Estatus]]),"")</f>
        <v/>
      </c>
      <c r="BC374" s="45"/>
      <c r="BD374" s="52" t="str">
        <f>IFERROR(OLDBD[[#This Row],[Salida de almacén de retiro]]-OLDBD[[#This Row],[Ingreso Almacén de retiro]],"")</f>
        <v/>
      </c>
      <c r="BE374" s="52" t="str">
        <f>IFERROR(OLDBD[[#This Row],[Fin de Carga]]-OLDBD[[#This Row],[Inicio de Carga]],"")</f>
        <v/>
      </c>
    </row>
    <row r="375" spans="1:57" x14ac:dyDescent="0.35">
      <c r="A375" s="1"/>
      <c r="B375" s="1" t="str">
        <f>IFERROR(IF(MARÍTIMOS[[#This Row],[PP]]="","",MARÍTIMOS[[#This Row],[PP]]),"")</f>
        <v/>
      </c>
      <c r="C375" s="1" t="str">
        <f>IFERROR(IF(MARÍTIMOS[[#This Row],[Sede]]="","",MARÍTIMOS[[#This Row],[Sede]]),"")</f>
        <v/>
      </c>
      <c r="D375" s="1" t="str">
        <f>IFERROR(IF(MARÍTIMOS[[#This Row],[Instruction]]="","",MARÍTIMOS[[#This Row],[Instruction]]),"")</f>
        <v/>
      </c>
      <c r="E375" s="1"/>
      <c r="F375" s="2" t="str">
        <f>IFERROR(IF(MARÍTIMOS[[#This Row],[Transportista]]="","",MARÍTIMOS[[#This Row],[Transportista]]),"")</f>
        <v/>
      </c>
      <c r="G375" s="2" t="str">
        <f>IFERROR(IF(MARÍTIMOS[[#This Row],[Tercero]]="","",MARÍTIMOS[[#This Row],[Tercero]]),"")</f>
        <v/>
      </c>
      <c r="H375" s="2" t="str">
        <f>IFERROR(IF(MARÍTIMOS[[#This Row],[Razón Social]]="","",MARÍTIMOS[[#This Row],[Razón Social]]),"")</f>
        <v/>
      </c>
      <c r="I375" s="2" t="str">
        <f>IFERROR(IF(MARÍTIMOS[[#This Row],[RUC]]="","",MARÍTIMOS[[#This Row],[RUC]]),"")</f>
        <v/>
      </c>
      <c r="J375" s="2" t="str">
        <f>IFERROR(IF(MARÍTIMOS[[#This Row],[Placa Tracto]]="","",MARÍTIMOS[[#This Row],[Placa Tracto]]),"")</f>
        <v/>
      </c>
      <c r="K375" s="2" t="str">
        <f>IFERROR(IF(MARÍTIMOS[[#This Row],[Placa Carreta]]="","",MARÍTIMOS[[#This Row],[Placa Carreta]]),"")</f>
        <v/>
      </c>
      <c r="L375" s="46" t="str">
        <f>IFERROR(IF(MARÍTIMOS[[#This Row],[Conductor]]="","",MARÍTIMOS[[#This Row],[Conductor]]),"")</f>
        <v/>
      </c>
      <c r="M375" s="2" t="str">
        <f>IFERROR(IF(MARÍTIMOS[[#This Row],[Licencia]]="","",MARÍTIMOS[[#This Row],[Licencia]]),"")</f>
        <v/>
      </c>
      <c r="N375" s="2" t="str">
        <f>IFERROR(IF(MARÍTIMOS[[#This Row],[Número de Contacto]]="","",MARÍTIMOS[[#This Row],[Número de Contacto]]),"")</f>
        <v/>
      </c>
      <c r="O375" s="10" t="str">
        <f>IFERROR(IF(MARÍTIMOS[[#This Row],[Booking|AWB|CRT]]="","",MARÍTIMOS[[#This Row],[Booking|AWB|CRT]]),"")</f>
        <v/>
      </c>
      <c r="P375" s="2" t="str">
        <f>IFERROR(IF(MARÍTIMOS[[#This Row],[Contenedor]]="","",MARÍTIMOS[[#This Row],[Contenedor]]),"")</f>
        <v/>
      </c>
      <c r="Q375" s="2" t="str">
        <f>IFERROR(IF(MARÍTIMOS[[#This Row],[Puerto de Retiro]]="","",MARÍTIMOS[[#This Row],[Puerto de Retiro]]),"")</f>
        <v/>
      </c>
      <c r="R375" s="2" t="str">
        <f>IFERROR(IF(MARÍTIMOS[[#This Row],[Almacén de Retiro]]="","",MARÍTIMOS[[#This Row],[Almacén de Retiro]]),"")</f>
        <v/>
      </c>
      <c r="S375" s="11" t="str">
        <f>IFERROR(IF(MARÍTIMOS[[#This Row],[Etapa Retiro - Cita]]="","",MARÍTIMOS[[#This Row],[Etapa Retiro - Cita]]),"")</f>
        <v/>
      </c>
      <c r="T375" s="11" t="str">
        <f>IFERROR(IF(MARÍTIMOS[[#This Row],[Etapa Retiro - Llegada]]="","",MARÍTIMOS[[#This Row],[Etapa Retiro - Llegada]]),"")</f>
        <v/>
      </c>
      <c r="U375" s="11" t="str">
        <f>IFERROR(IF(MARÍTIMOS[[#This Row],[Etapa Retiro - Ingreso]]="","",MARÍTIMOS[[#This Row],[Etapa Retiro - Ingreso]]),"")</f>
        <v/>
      </c>
      <c r="V375" s="11" t="str">
        <f>IFERROR(IF(MARÍTIMOS[[#This Row],[Etapa Retiro - Atención]]="","",MARÍTIMOS[[#This Row],[Etapa Retiro - Atención]]),"")</f>
        <v/>
      </c>
      <c r="W375" s="11" t="str">
        <f>IFERROR(IF(MARÍTIMOS[[#This Row],[Etapa Retiro - Salida]]="","",MARÍTIMOS[[#This Row],[Etapa Retiro - Salida]]),"")</f>
        <v/>
      </c>
      <c r="X375" s="11" t="str">
        <f>IFERROR(IF(MARÍTIMOS[[#This Row],[Etapa Retiro - Inicio de Ruta]]="","",MARÍTIMOS[[#This Row],[Etapa Retiro - Inicio de Ruta]]),"")</f>
        <v/>
      </c>
      <c r="Y375" s="11" t="str">
        <f>IFERROR(IF(MARÍTIMOS[[#This Row],[Hora de Posicionamiento]]="","",MARÍTIMOS[[#This Row],[Hora de Carga]]+MARÍTIMOS[[#This Row],[Hora de Posicionamiento]]),"")</f>
        <v/>
      </c>
      <c r="Z375" s="11" t="str">
        <f>IFERROR(IF(MARÍTIMOS[[#This Row],[Etapa Despacho -  Llegada]]="","",MARÍTIMOS[[#This Row],[Etapa Despacho -  Llegada]]),"")</f>
        <v/>
      </c>
      <c r="AA375" s="11" t="str">
        <f>IFERROR(IF(MARÍTIMOS[[#This Row],[Etapa Despacho -  Registro]]="","",MARÍTIMOS[[#This Row],[Etapa Despacho -  Registro]]),"")</f>
        <v/>
      </c>
      <c r="AB375" s="11" t="str">
        <f>IFERROR(IF(MARÍTIMOS[[#This Row],[Inspección Externa]]="","",MARÍTIMOS[[#This Row],[Inspección Externa]]),"")</f>
        <v/>
      </c>
      <c r="AC375" s="11" t="str">
        <f>IFERROR(IF(MARÍTIMOS[[#This Row],[Etapa Despacho -  Inicio de Carga]]="","",MARÍTIMOS[[#This Row],[Etapa Despacho -  Inicio de Carga]]),"")</f>
        <v/>
      </c>
      <c r="AD375" s="11" t="str">
        <f>IFERROR(IF(MARÍTIMOS[[#This Row],[Etapa Despacho -  Fin de Carga]]="","",MARÍTIMOS[[#This Row],[Etapa Despacho -  Fin de Carga]]),"")</f>
        <v/>
      </c>
      <c r="AE375" s="11" t="str">
        <f>IFERROR(IF(MARÍTIMOS[[#This Row],[Etapa Despacho -  Salida]]="","",MARÍTIMOS[[#This Row],[Etapa Despacho -  Salida]]),"")</f>
        <v/>
      </c>
      <c r="AF375" s="2" t="str">
        <f>IFERROR(IF(MARÍTIMOS[[#This Row],[Puerto de Embarque]]="","",MARÍTIMOS[[#This Row],[Puerto de Embarque]]),"")</f>
        <v/>
      </c>
      <c r="AG375" s="2" t="str">
        <f>IFERROR(IF(MARÍTIMOS[[#This Row],[Almacén de Ingreso]]="","",MARÍTIMOS[[#This Row],[Almacén de Ingreso]]),"")</f>
        <v/>
      </c>
      <c r="AH375" s="11" t="str">
        <f>IFERROR(IF(MARÍTIMOS[[#This Row],[Etapa Ingreso - Cita]]="","",MARÍTIMOS[[#This Row],[Etapa Ingreso - Cita]]),"")</f>
        <v/>
      </c>
      <c r="AI375" s="11" t="str">
        <f>IFERROR(IF(MARÍTIMOS[[#This Row],[Etapa Ingreso - Llegada]]="","",MARÍTIMOS[[#This Row],[Etapa Ingreso - Llegada]]),"")</f>
        <v/>
      </c>
      <c r="AJ375" s="11" t="str">
        <f>IFERROR(IF(MARÍTIMOS[[#This Row],[Etapa Ingreso - Ingeso]]="","",MARÍTIMOS[[#This Row],[Etapa Ingreso - Ingeso]]),"")</f>
        <v/>
      </c>
      <c r="AK375" s="11" t="str">
        <f>IFERROR(IF(MARÍTIMOS[[#This Row],[Etapa Ingreso - Atención]]="","",MARÍTIMOS[[#This Row],[Etapa Ingreso - Atención]]),"")</f>
        <v/>
      </c>
      <c r="AL375" s="11" t="str">
        <f>IFERROR(IF(MARÍTIMOS[[#This Row],[Etapa Ingreso - Salida]]="","",MARÍTIMOS[[#This Row],[Etapa Ingreso - Salida]]),"")</f>
        <v/>
      </c>
      <c r="AM375" s="2" t="str">
        <f>IFERROR(IF(MARÍTIMOS[[#This Row],[FCL]]="","",MARÍTIMOS[[#This Row],[FCL]]),"")</f>
        <v/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5" s="5" t="str">
        <f>IFERROR(OLDBD[[#This Row],[Llegada a packing]]-OLDBD[[#This Row],[Inicio de Ruta]],"")</f>
        <v/>
      </c>
      <c r="AQ375" s="6" t="str">
        <f>IFERROR(OLDBD[[#This Row],[Inicio de Ruta]]-OLDBD[[#This Row],[Salida de almacén de retiro]],"")</f>
        <v/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5" s="9" t="str">
        <f>IFERROR(OLDBD[[#This Row],[Ingreso Packing]]-OLDBD[[#This Row],[Registro en Packing]],"")</f>
        <v/>
      </c>
      <c r="AV375" s="9" t="str">
        <f>IFERROR(OLDBD[[#This Row],[Ingreso Packing]]-OLDBD[[#This Row],[Llegada a packing]],"")</f>
        <v/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 t="str">
        <f>IFERROR(OLDBD[[#This Row],[Llegada Almacén de Ingreso]]-OLDBD[[#This Row],[Salida Packing]],"")</f>
        <v/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5" s="45" t="s">
        <v>181</v>
      </c>
      <c r="BB375" s="53" t="str">
        <f>IFERROR(IF(MARÍTIMOS[[#This Row],[Estatus]]="","",MARÍTIMOS[[#This Row],[Estatus]]),"")</f>
        <v/>
      </c>
      <c r="BC375" s="45"/>
      <c r="BD375" s="52" t="str">
        <f>IFERROR(OLDBD[[#This Row],[Salida de almacén de retiro]]-OLDBD[[#This Row],[Ingreso Almacén de retiro]],"")</f>
        <v/>
      </c>
      <c r="BE375" s="52" t="str">
        <f>IFERROR(OLDBD[[#This Row],[Fin de Carga]]-OLDBD[[#This Row],[Inicio de Carga]],"")</f>
        <v/>
      </c>
    </row>
    <row r="376" spans="1:57" x14ac:dyDescent="0.35">
      <c r="A376" s="1"/>
      <c r="B376" s="1" t="str">
        <f>IFERROR(IF(MARÍTIMOS[[#This Row],[PP]]="","",MARÍTIMOS[[#This Row],[PP]]),"")</f>
        <v/>
      </c>
      <c r="C376" s="1" t="str">
        <f>IFERROR(IF(MARÍTIMOS[[#This Row],[Sede]]="","",MARÍTIMOS[[#This Row],[Sede]]),"")</f>
        <v/>
      </c>
      <c r="D376" s="1" t="str">
        <f>IFERROR(IF(MARÍTIMOS[[#This Row],[Instruction]]="","",MARÍTIMOS[[#This Row],[Instruction]]),"")</f>
        <v/>
      </c>
      <c r="E376" s="1"/>
      <c r="F376" s="2" t="str">
        <f>IFERROR(IF(MARÍTIMOS[[#This Row],[Transportista]]="","",MARÍTIMOS[[#This Row],[Transportista]]),"")</f>
        <v/>
      </c>
      <c r="G376" s="2" t="str">
        <f>IFERROR(IF(MARÍTIMOS[[#This Row],[Tercero]]="","",MARÍTIMOS[[#This Row],[Tercero]]),"")</f>
        <v/>
      </c>
      <c r="H376" s="2" t="str">
        <f>IFERROR(IF(MARÍTIMOS[[#This Row],[Razón Social]]="","",MARÍTIMOS[[#This Row],[Razón Social]]),"")</f>
        <v/>
      </c>
      <c r="I376" s="2" t="str">
        <f>IFERROR(IF(MARÍTIMOS[[#This Row],[RUC]]="","",MARÍTIMOS[[#This Row],[RUC]]),"")</f>
        <v/>
      </c>
      <c r="J376" s="2" t="str">
        <f>IFERROR(IF(MARÍTIMOS[[#This Row],[Placa Tracto]]="","",MARÍTIMOS[[#This Row],[Placa Tracto]]),"")</f>
        <v/>
      </c>
      <c r="K376" s="2" t="str">
        <f>IFERROR(IF(MARÍTIMOS[[#This Row],[Placa Carreta]]="","",MARÍTIMOS[[#This Row],[Placa Carreta]]),"")</f>
        <v/>
      </c>
      <c r="L376" s="46" t="str">
        <f>IFERROR(IF(MARÍTIMOS[[#This Row],[Conductor]]="","",MARÍTIMOS[[#This Row],[Conductor]]),"")</f>
        <v/>
      </c>
      <c r="M376" s="2" t="str">
        <f>IFERROR(IF(MARÍTIMOS[[#This Row],[Licencia]]="","",MARÍTIMOS[[#This Row],[Licencia]]),"")</f>
        <v/>
      </c>
      <c r="N376" s="2" t="str">
        <f>IFERROR(IF(MARÍTIMOS[[#This Row],[Número de Contacto]]="","",MARÍTIMOS[[#This Row],[Número de Contacto]]),"")</f>
        <v/>
      </c>
      <c r="O376" s="10" t="str">
        <f>IFERROR(IF(MARÍTIMOS[[#This Row],[Booking|AWB|CRT]]="","",MARÍTIMOS[[#This Row],[Booking|AWB|CRT]]),"")</f>
        <v/>
      </c>
      <c r="P376" s="2" t="str">
        <f>IFERROR(IF(MARÍTIMOS[[#This Row],[Contenedor]]="","",MARÍTIMOS[[#This Row],[Contenedor]]),"")</f>
        <v/>
      </c>
      <c r="Q376" s="2" t="str">
        <f>IFERROR(IF(MARÍTIMOS[[#This Row],[Puerto de Retiro]]="","",MARÍTIMOS[[#This Row],[Puerto de Retiro]]),"")</f>
        <v/>
      </c>
      <c r="R376" s="2" t="str">
        <f>IFERROR(IF(MARÍTIMOS[[#This Row],[Almacén de Retiro]]="","",MARÍTIMOS[[#This Row],[Almacén de Retiro]]),"")</f>
        <v/>
      </c>
      <c r="S376" s="11" t="str">
        <f>IFERROR(IF(MARÍTIMOS[[#This Row],[Etapa Retiro - Cita]]="","",MARÍTIMOS[[#This Row],[Etapa Retiro - Cita]]),"")</f>
        <v/>
      </c>
      <c r="T376" s="11" t="str">
        <f>IFERROR(IF(MARÍTIMOS[[#This Row],[Etapa Retiro - Llegada]]="","",MARÍTIMOS[[#This Row],[Etapa Retiro - Llegada]]),"")</f>
        <v/>
      </c>
      <c r="U376" s="11" t="str">
        <f>IFERROR(IF(MARÍTIMOS[[#This Row],[Etapa Retiro - Ingreso]]="","",MARÍTIMOS[[#This Row],[Etapa Retiro - Ingreso]]),"")</f>
        <v/>
      </c>
      <c r="V376" s="11" t="str">
        <f>IFERROR(IF(MARÍTIMOS[[#This Row],[Etapa Retiro - Atención]]="","",MARÍTIMOS[[#This Row],[Etapa Retiro - Atención]]),"")</f>
        <v/>
      </c>
      <c r="W376" s="11" t="str">
        <f>IFERROR(IF(MARÍTIMOS[[#This Row],[Etapa Retiro - Salida]]="","",MARÍTIMOS[[#This Row],[Etapa Retiro - Salida]]),"")</f>
        <v/>
      </c>
      <c r="X376" s="11" t="str">
        <f>IFERROR(IF(MARÍTIMOS[[#This Row],[Etapa Retiro - Inicio de Ruta]]="","",MARÍTIMOS[[#This Row],[Etapa Retiro - Inicio de Ruta]]),"")</f>
        <v/>
      </c>
      <c r="Y376" s="11" t="str">
        <f>IFERROR(IF(MARÍTIMOS[[#This Row],[Hora de Posicionamiento]]="","",MARÍTIMOS[[#This Row],[Hora de Carga]]+MARÍTIMOS[[#This Row],[Hora de Posicionamiento]]),"")</f>
        <v/>
      </c>
      <c r="Z376" s="11" t="str">
        <f>IFERROR(IF(MARÍTIMOS[[#This Row],[Etapa Despacho -  Llegada]]="","",MARÍTIMOS[[#This Row],[Etapa Despacho -  Llegada]]),"")</f>
        <v/>
      </c>
      <c r="AA376" s="11" t="str">
        <f>IFERROR(IF(MARÍTIMOS[[#This Row],[Etapa Despacho -  Registro]]="","",MARÍTIMOS[[#This Row],[Etapa Despacho -  Registro]]),"")</f>
        <v/>
      </c>
      <c r="AB376" s="11" t="str">
        <f>IFERROR(IF(MARÍTIMOS[[#This Row],[Inspección Externa]]="","",MARÍTIMOS[[#This Row],[Inspección Externa]]),"")</f>
        <v/>
      </c>
      <c r="AC376" s="11" t="str">
        <f>IFERROR(IF(MARÍTIMOS[[#This Row],[Etapa Despacho -  Inicio de Carga]]="","",MARÍTIMOS[[#This Row],[Etapa Despacho -  Inicio de Carga]]),"")</f>
        <v/>
      </c>
      <c r="AD376" s="11" t="str">
        <f>IFERROR(IF(MARÍTIMOS[[#This Row],[Etapa Despacho -  Fin de Carga]]="","",MARÍTIMOS[[#This Row],[Etapa Despacho -  Fin de Carga]]),"")</f>
        <v/>
      </c>
      <c r="AE376" s="11" t="str">
        <f>IFERROR(IF(MARÍTIMOS[[#This Row],[Etapa Despacho -  Salida]]="","",MARÍTIMOS[[#This Row],[Etapa Despacho -  Salida]]),"")</f>
        <v/>
      </c>
      <c r="AF376" s="2" t="str">
        <f>IFERROR(IF(MARÍTIMOS[[#This Row],[Puerto de Embarque]]="","",MARÍTIMOS[[#This Row],[Puerto de Embarque]]),"")</f>
        <v/>
      </c>
      <c r="AG376" s="2" t="str">
        <f>IFERROR(IF(MARÍTIMOS[[#This Row],[Almacén de Ingreso]]="","",MARÍTIMOS[[#This Row],[Almacén de Ingreso]]),"")</f>
        <v/>
      </c>
      <c r="AH376" s="11" t="str">
        <f>IFERROR(IF(MARÍTIMOS[[#This Row],[Etapa Ingreso - Cita]]="","",MARÍTIMOS[[#This Row],[Etapa Ingreso - Cita]]),"")</f>
        <v/>
      </c>
      <c r="AI376" s="11" t="str">
        <f>IFERROR(IF(MARÍTIMOS[[#This Row],[Etapa Ingreso - Llegada]]="","",MARÍTIMOS[[#This Row],[Etapa Ingreso - Llegada]]),"")</f>
        <v/>
      </c>
      <c r="AJ376" s="11" t="str">
        <f>IFERROR(IF(MARÍTIMOS[[#This Row],[Etapa Ingreso - Ingeso]]="","",MARÍTIMOS[[#This Row],[Etapa Ingreso - Ingeso]]),"")</f>
        <v/>
      </c>
      <c r="AK376" s="11" t="str">
        <f>IFERROR(IF(MARÍTIMOS[[#This Row],[Etapa Ingreso - Atención]]="","",MARÍTIMOS[[#This Row],[Etapa Ingreso - Atención]]),"")</f>
        <v/>
      </c>
      <c r="AL376" s="11" t="str">
        <f>IFERROR(IF(MARÍTIMOS[[#This Row],[Etapa Ingreso - Salida]]="","",MARÍTIMOS[[#This Row],[Etapa Ingreso - Salida]]),"")</f>
        <v/>
      </c>
      <c r="AM376" s="2" t="str">
        <f>IFERROR(IF(MARÍTIMOS[[#This Row],[FCL]]="","",MARÍTIMOS[[#This Row],[FCL]]),"")</f>
        <v/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6" s="5" t="str">
        <f>IFERROR(OLDBD[[#This Row],[Llegada a packing]]-OLDBD[[#This Row],[Inicio de Ruta]],"")</f>
        <v/>
      </c>
      <c r="AQ376" s="6" t="str">
        <f>IFERROR(OLDBD[[#This Row],[Inicio de Ruta]]-OLDBD[[#This Row],[Salida de almacén de retiro]],"")</f>
        <v/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6" s="9" t="str">
        <f>IFERROR(OLDBD[[#This Row],[Ingreso Packing]]-OLDBD[[#This Row],[Registro en Packing]],"")</f>
        <v/>
      </c>
      <c r="AV376" s="9" t="str">
        <f>IFERROR(OLDBD[[#This Row],[Ingreso Packing]]-OLDBD[[#This Row],[Llegada a packing]],"")</f>
        <v/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 t="str">
        <f>IFERROR(OLDBD[[#This Row],[Llegada Almacén de Ingreso]]-OLDBD[[#This Row],[Salida Packing]],"")</f>
        <v/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6" s="45" t="s">
        <v>181</v>
      </c>
      <c r="BB376" s="53" t="str">
        <f>IFERROR(IF(MARÍTIMOS[[#This Row],[Estatus]]="","",MARÍTIMOS[[#This Row],[Estatus]]),"")</f>
        <v/>
      </c>
      <c r="BC376" s="45"/>
      <c r="BD376" s="52" t="str">
        <f>IFERROR(OLDBD[[#This Row],[Salida de almacén de retiro]]-OLDBD[[#This Row],[Ingreso Almacén de retiro]],"")</f>
        <v/>
      </c>
      <c r="BE376" s="52" t="str">
        <f>IFERROR(OLDBD[[#This Row],[Fin de Carga]]-OLDBD[[#This Row],[Inicio de Carga]],"")</f>
        <v/>
      </c>
    </row>
    <row r="377" spans="1:57" x14ac:dyDescent="0.35">
      <c r="A377" s="1"/>
      <c r="B377" s="1" t="str">
        <f>IFERROR(IF(MARÍTIMOS[[#This Row],[PP]]="","",MARÍTIMOS[[#This Row],[PP]]),"")</f>
        <v/>
      </c>
      <c r="C377" s="1" t="str">
        <f>IFERROR(IF(MARÍTIMOS[[#This Row],[Sede]]="","",MARÍTIMOS[[#This Row],[Sede]]),"")</f>
        <v/>
      </c>
      <c r="D377" s="1" t="str">
        <f>IFERROR(IF(MARÍTIMOS[[#This Row],[Instruction]]="","",MARÍTIMOS[[#This Row],[Instruction]]),"")</f>
        <v/>
      </c>
      <c r="E377" s="1"/>
      <c r="F377" s="2" t="str">
        <f>IFERROR(IF(MARÍTIMOS[[#This Row],[Transportista]]="","",MARÍTIMOS[[#This Row],[Transportista]]),"")</f>
        <v/>
      </c>
      <c r="G377" s="2" t="str">
        <f>IFERROR(IF(MARÍTIMOS[[#This Row],[Tercero]]="","",MARÍTIMOS[[#This Row],[Tercero]]),"")</f>
        <v/>
      </c>
      <c r="H377" s="2" t="str">
        <f>IFERROR(IF(MARÍTIMOS[[#This Row],[Razón Social]]="","",MARÍTIMOS[[#This Row],[Razón Social]]),"")</f>
        <v/>
      </c>
      <c r="I377" s="2" t="str">
        <f>IFERROR(IF(MARÍTIMOS[[#This Row],[RUC]]="","",MARÍTIMOS[[#This Row],[RUC]]),"")</f>
        <v/>
      </c>
      <c r="J377" s="2" t="str">
        <f>IFERROR(IF(MARÍTIMOS[[#This Row],[Placa Tracto]]="","",MARÍTIMOS[[#This Row],[Placa Tracto]]),"")</f>
        <v/>
      </c>
      <c r="K377" s="2" t="str">
        <f>IFERROR(IF(MARÍTIMOS[[#This Row],[Placa Carreta]]="","",MARÍTIMOS[[#This Row],[Placa Carreta]]),"")</f>
        <v/>
      </c>
      <c r="L377" s="46" t="str">
        <f>IFERROR(IF(MARÍTIMOS[[#This Row],[Conductor]]="","",MARÍTIMOS[[#This Row],[Conductor]]),"")</f>
        <v/>
      </c>
      <c r="M377" s="2" t="str">
        <f>IFERROR(IF(MARÍTIMOS[[#This Row],[Licencia]]="","",MARÍTIMOS[[#This Row],[Licencia]]),"")</f>
        <v/>
      </c>
      <c r="N377" s="2" t="str">
        <f>IFERROR(IF(MARÍTIMOS[[#This Row],[Número de Contacto]]="","",MARÍTIMOS[[#This Row],[Número de Contacto]]),"")</f>
        <v/>
      </c>
      <c r="O377" s="10" t="str">
        <f>IFERROR(IF(MARÍTIMOS[[#This Row],[Booking|AWB|CRT]]="","",MARÍTIMOS[[#This Row],[Booking|AWB|CRT]]),"")</f>
        <v/>
      </c>
      <c r="P377" s="2" t="str">
        <f>IFERROR(IF(MARÍTIMOS[[#This Row],[Contenedor]]="","",MARÍTIMOS[[#This Row],[Contenedor]]),"")</f>
        <v/>
      </c>
      <c r="Q377" s="2" t="str">
        <f>IFERROR(IF(MARÍTIMOS[[#This Row],[Puerto de Retiro]]="","",MARÍTIMOS[[#This Row],[Puerto de Retiro]]),"")</f>
        <v/>
      </c>
      <c r="R377" s="2" t="str">
        <f>IFERROR(IF(MARÍTIMOS[[#This Row],[Almacén de Retiro]]="","",MARÍTIMOS[[#This Row],[Almacén de Retiro]]),"")</f>
        <v/>
      </c>
      <c r="S377" s="11" t="str">
        <f>IFERROR(IF(MARÍTIMOS[[#This Row],[Etapa Retiro - Cita]]="","",MARÍTIMOS[[#This Row],[Etapa Retiro - Cita]]),"")</f>
        <v/>
      </c>
      <c r="T377" s="11" t="str">
        <f>IFERROR(IF(MARÍTIMOS[[#This Row],[Etapa Retiro - Llegada]]="","",MARÍTIMOS[[#This Row],[Etapa Retiro - Llegada]]),"")</f>
        <v/>
      </c>
      <c r="U377" s="11" t="str">
        <f>IFERROR(IF(MARÍTIMOS[[#This Row],[Etapa Retiro - Ingreso]]="","",MARÍTIMOS[[#This Row],[Etapa Retiro - Ingreso]]),"")</f>
        <v/>
      </c>
      <c r="V377" s="11" t="str">
        <f>IFERROR(IF(MARÍTIMOS[[#This Row],[Etapa Retiro - Atención]]="","",MARÍTIMOS[[#This Row],[Etapa Retiro - Atención]]),"")</f>
        <v/>
      </c>
      <c r="W377" s="11" t="str">
        <f>IFERROR(IF(MARÍTIMOS[[#This Row],[Etapa Retiro - Salida]]="","",MARÍTIMOS[[#This Row],[Etapa Retiro - Salida]]),"")</f>
        <v/>
      </c>
      <c r="X377" s="11" t="str">
        <f>IFERROR(IF(MARÍTIMOS[[#This Row],[Etapa Retiro - Inicio de Ruta]]="","",MARÍTIMOS[[#This Row],[Etapa Retiro - Inicio de Ruta]]),"")</f>
        <v/>
      </c>
      <c r="Y377" s="11" t="str">
        <f>IFERROR(IF(MARÍTIMOS[[#This Row],[Hora de Posicionamiento]]="","",MARÍTIMOS[[#This Row],[Hora de Carga]]+MARÍTIMOS[[#This Row],[Hora de Posicionamiento]]),"")</f>
        <v/>
      </c>
      <c r="Z377" s="11" t="str">
        <f>IFERROR(IF(MARÍTIMOS[[#This Row],[Etapa Despacho -  Llegada]]="","",MARÍTIMOS[[#This Row],[Etapa Despacho -  Llegada]]),"")</f>
        <v/>
      </c>
      <c r="AA377" s="11" t="str">
        <f>IFERROR(IF(MARÍTIMOS[[#This Row],[Etapa Despacho -  Registro]]="","",MARÍTIMOS[[#This Row],[Etapa Despacho -  Registro]]),"")</f>
        <v/>
      </c>
      <c r="AB377" s="11" t="str">
        <f>IFERROR(IF(MARÍTIMOS[[#This Row],[Inspección Externa]]="","",MARÍTIMOS[[#This Row],[Inspección Externa]]),"")</f>
        <v/>
      </c>
      <c r="AC377" s="11" t="str">
        <f>IFERROR(IF(MARÍTIMOS[[#This Row],[Etapa Despacho -  Inicio de Carga]]="","",MARÍTIMOS[[#This Row],[Etapa Despacho -  Inicio de Carga]]),"")</f>
        <v/>
      </c>
      <c r="AD377" s="11" t="str">
        <f>IFERROR(IF(MARÍTIMOS[[#This Row],[Etapa Despacho -  Fin de Carga]]="","",MARÍTIMOS[[#This Row],[Etapa Despacho -  Fin de Carga]]),"")</f>
        <v/>
      </c>
      <c r="AE377" s="11" t="str">
        <f>IFERROR(IF(MARÍTIMOS[[#This Row],[Etapa Despacho -  Salida]]="","",MARÍTIMOS[[#This Row],[Etapa Despacho -  Salida]]),"")</f>
        <v/>
      </c>
      <c r="AF377" s="2" t="str">
        <f>IFERROR(IF(MARÍTIMOS[[#This Row],[Puerto de Embarque]]="","",MARÍTIMOS[[#This Row],[Puerto de Embarque]]),"")</f>
        <v/>
      </c>
      <c r="AG377" s="2" t="str">
        <f>IFERROR(IF(MARÍTIMOS[[#This Row],[Almacén de Ingreso]]="","",MARÍTIMOS[[#This Row],[Almacén de Ingreso]]),"")</f>
        <v/>
      </c>
      <c r="AH377" s="11" t="str">
        <f>IFERROR(IF(MARÍTIMOS[[#This Row],[Etapa Ingreso - Cita]]="","",MARÍTIMOS[[#This Row],[Etapa Ingreso - Cita]]),"")</f>
        <v/>
      </c>
      <c r="AI377" s="11" t="str">
        <f>IFERROR(IF(MARÍTIMOS[[#This Row],[Etapa Ingreso - Llegada]]="","",MARÍTIMOS[[#This Row],[Etapa Ingreso - Llegada]]),"")</f>
        <v/>
      </c>
      <c r="AJ377" s="11" t="str">
        <f>IFERROR(IF(MARÍTIMOS[[#This Row],[Etapa Ingreso - Ingeso]]="","",MARÍTIMOS[[#This Row],[Etapa Ingreso - Ingeso]]),"")</f>
        <v/>
      </c>
      <c r="AK377" s="11" t="str">
        <f>IFERROR(IF(MARÍTIMOS[[#This Row],[Etapa Ingreso - Atención]]="","",MARÍTIMOS[[#This Row],[Etapa Ingreso - Atención]]),"")</f>
        <v/>
      </c>
      <c r="AL377" s="11" t="str">
        <f>IFERROR(IF(MARÍTIMOS[[#This Row],[Etapa Ingreso - Salida]]="","",MARÍTIMOS[[#This Row],[Etapa Ingreso - Salida]]),"")</f>
        <v/>
      </c>
      <c r="AM377" s="2" t="str">
        <f>IFERROR(IF(MARÍTIMOS[[#This Row],[FCL]]="","",MARÍTIMOS[[#This Row],[FCL]]),"")</f>
        <v/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7" s="5" t="str">
        <f>IFERROR(OLDBD[[#This Row],[Llegada a packing]]-OLDBD[[#This Row],[Inicio de Ruta]],"")</f>
        <v/>
      </c>
      <c r="AQ377" s="6" t="str">
        <f>IFERROR(OLDBD[[#This Row],[Inicio de Ruta]]-OLDBD[[#This Row],[Salida de almacén de retiro]],"")</f>
        <v/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7" s="9" t="str">
        <f>IFERROR(OLDBD[[#This Row],[Ingreso Packing]]-OLDBD[[#This Row],[Registro en Packing]],"")</f>
        <v/>
      </c>
      <c r="AV377" s="9" t="str">
        <f>IFERROR(OLDBD[[#This Row],[Ingreso Packing]]-OLDBD[[#This Row],[Llegada a packing]],"")</f>
        <v/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 t="str">
        <f>IFERROR(OLDBD[[#This Row],[Llegada Almacén de Ingreso]]-OLDBD[[#This Row],[Salida Packing]],"")</f>
        <v/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7" s="45" t="s">
        <v>181</v>
      </c>
      <c r="BB377" s="53" t="str">
        <f>IFERROR(IF(MARÍTIMOS[[#This Row],[Estatus]]="","",MARÍTIMOS[[#This Row],[Estatus]]),"")</f>
        <v/>
      </c>
      <c r="BC377" s="45"/>
      <c r="BD377" s="52" t="str">
        <f>IFERROR(OLDBD[[#This Row],[Salida de almacén de retiro]]-OLDBD[[#This Row],[Ingreso Almacén de retiro]],"")</f>
        <v/>
      </c>
      <c r="BE377" s="52" t="str">
        <f>IFERROR(OLDBD[[#This Row],[Fin de Carga]]-OLDBD[[#This Row],[Inicio de Carga]],"")</f>
        <v/>
      </c>
    </row>
    <row r="378" spans="1:57" x14ac:dyDescent="0.35">
      <c r="A378" s="1"/>
      <c r="B378" s="1" t="str">
        <f>IFERROR(IF(MARÍTIMOS[[#This Row],[PP]]="","",MARÍTIMOS[[#This Row],[PP]]),"")</f>
        <v/>
      </c>
      <c r="C378" s="1" t="str">
        <f>IFERROR(IF(MARÍTIMOS[[#This Row],[Sede]]="","",MARÍTIMOS[[#This Row],[Sede]]),"")</f>
        <v/>
      </c>
      <c r="D378" s="1" t="str">
        <f>IFERROR(IF(MARÍTIMOS[[#This Row],[Instruction]]="","",MARÍTIMOS[[#This Row],[Instruction]]),"")</f>
        <v/>
      </c>
      <c r="E378" s="1"/>
      <c r="F378" s="2" t="str">
        <f>IFERROR(IF(MARÍTIMOS[[#This Row],[Transportista]]="","",MARÍTIMOS[[#This Row],[Transportista]]),"")</f>
        <v/>
      </c>
      <c r="G378" s="2" t="str">
        <f>IFERROR(IF(MARÍTIMOS[[#This Row],[Tercero]]="","",MARÍTIMOS[[#This Row],[Tercero]]),"")</f>
        <v/>
      </c>
      <c r="H378" s="2" t="str">
        <f>IFERROR(IF(MARÍTIMOS[[#This Row],[Razón Social]]="","",MARÍTIMOS[[#This Row],[Razón Social]]),"")</f>
        <v/>
      </c>
      <c r="I378" s="2" t="str">
        <f>IFERROR(IF(MARÍTIMOS[[#This Row],[RUC]]="","",MARÍTIMOS[[#This Row],[RUC]]),"")</f>
        <v/>
      </c>
      <c r="J378" s="2" t="str">
        <f>IFERROR(IF(MARÍTIMOS[[#This Row],[Placa Tracto]]="","",MARÍTIMOS[[#This Row],[Placa Tracto]]),"")</f>
        <v/>
      </c>
      <c r="K378" s="2" t="str">
        <f>IFERROR(IF(MARÍTIMOS[[#This Row],[Placa Carreta]]="","",MARÍTIMOS[[#This Row],[Placa Carreta]]),"")</f>
        <v/>
      </c>
      <c r="L378" s="46" t="str">
        <f>IFERROR(IF(MARÍTIMOS[[#This Row],[Conductor]]="","",MARÍTIMOS[[#This Row],[Conductor]]),"")</f>
        <v/>
      </c>
      <c r="M378" s="2" t="str">
        <f>IFERROR(IF(MARÍTIMOS[[#This Row],[Licencia]]="","",MARÍTIMOS[[#This Row],[Licencia]]),"")</f>
        <v/>
      </c>
      <c r="N378" s="2" t="str">
        <f>IFERROR(IF(MARÍTIMOS[[#This Row],[Número de Contacto]]="","",MARÍTIMOS[[#This Row],[Número de Contacto]]),"")</f>
        <v/>
      </c>
      <c r="O378" s="10" t="str">
        <f>IFERROR(IF(MARÍTIMOS[[#This Row],[Booking|AWB|CRT]]="","",MARÍTIMOS[[#This Row],[Booking|AWB|CRT]]),"")</f>
        <v/>
      </c>
      <c r="P378" s="2" t="str">
        <f>IFERROR(IF(MARÍTIMOS[[#This Row],[Contenedor]]="","",MARÍTIMOS[[#This Row],[Contenedor]]),"")</f>
        <v/>
      </c>
      <c r="Q378" s="2" t="str">
        <f>IFERROR(IF(MARÍTIMOS[[#This Row],[Puerto de Retiro]]="","",MARÍTIMOS[[#This Row],[Puerto de Retiro]]),"")</f>
        <v/>
      </c>
      <c r="R378" s="2" t="str">
        <f>IFERROR(IF(MARÍTIMOS[[#This Row],[Almacén de Retiro]]="","",MARÍTIMOS[[#This Row],[Almacén de Retiro]]),"")</f>
        <v/>
      </c>
      <c r="S378" s="11" t="str">
        <f>IFERROR(IF(MARÍTIMOS[[#This Row],[Etapa Retiro - Cita]]="","",MARÍTIMOS[[#This Row],[Etapa Retiro - Cita]]),"")</f>
        <v/>
      </c>
      <c r="T378" s="11" t="str">
        <f>IFERROR(IF(MARÍTIMOS[[#This Row],[Etapa Retiro - Llegada]]="","",MARÍTIMOS[[#This Row],[Etapa Retiro - Llegada]]),"")</f>
        <v/>
      </c>
      <c r="U378" s="11" t="str">
        <f>IFERROR(IF(MARÍTIMOS[[#This Row],[Etapa Retiro - Ingreso]]="","",MARÍTIMOS[[#This Row],[Etapa Retiro - Ingreso]]),"")</f>
        <v/>
      </c>
      <c r="V378" s="11" t="str">
        <f>IFERROR(IF(MARÍTIMOS[[#This Row],[Etapa Retiro - Atención]]="","",MARÍTIMOS[[#This Row],[Etapa Retiro - Atención]]),"")</f>
        <v/>
      </c>
      <c r="W378" s="11" t="str">
        <f>IFERROR(IF(MARÍTIMOS[[#This Row],[Etapa Retiro - Salida]]="","",MARÍTIMOS[[#This Row],[Etapa Retiro - Salida]]),"")</f>
        <v/>
      </c>
      <c r="X378" s="11" t="str">
        <f>IFERROR(IF(MARÍTIMOS[[#This Row],[Etapa Retiro - Inicio de Ruta]]="","",MARÍTIMOS[[#This Row],[Etapa Retiro - Inicio de Ruta]]),"")</f>
        <v/>
      </c>
      <c r="Y378" s="11" t="str">
        <f>IFERROR(IF(MARÍTIMOS[[#This Row],[Hora de Posicionamiento]]="","",MARÍTIMOS[[#This Row],[Hora de Carga]]+MARÍTIMOS[[#This Row],[Hora de Posicionamiento]]),"")</f>
        <v/>
      </c>
      <c r="Z378" s="11" t="str">
        <f>IFERROR(IF(MARÍTIMOS[[#This Row],[Etapa Despacho -  Llegada]]="","",MARÍTIMOS[[#This Row],[Etapa Despacho -  Llegada]]),"")</f>
        <v/>
      </c>
      <c r="AA378" s="11" t="str">
        <f>IFERROR(IF(MARÍTIMOS[[#This Row],[Etapa Despacho -  Registro]]="","",MARÍTIMOS[[#This Row],[Etapa Despacho -  Registro]]),"")</f>
        <v/>
      </c>
      <c r="AB378" s="11" t="str">
        <f>IFERROR(IF(MARÍTIMOS[[#This Row],[Inspección Externa]]="","",MARÍTIMOS[[#This Row],[Inspección Externa]]),"")</f>
        <v/>
      </c>
      <c r="AC378" s="11" t="str">
        <f>IFERROR(IF(MARÍTIMOS[[#This Row],[Etapa Despacho -  Inicio de Carga]]="","",MARÍTIMOS[[#This Row],[Etapa Despacho -  Inicio de Carga]]),"")</f>
        <v/>
      </c>
      <c r="AD378" s="11" t="str">
        <f>IFERROR(IF(MARÍTIMOS[[#This Row],[Etapa Despacho -  Fin de Carga]]="","",MARÍTIMOS[[#This Row],[Etapa Despacho -  Fin de Carga]]),"")</f>
        <v/>
      </c>
      <c r="AE378" s="11" t="str">
        <f>IFERROR(IF(MARÍTIMOS[[#This Row],[Etapa Despacho -  Salida]]="","",MARÍTIMOS[[#This Row],[Etapa Despacho -  Salida]]),"")</f>
        <v/>
      </c>
      <c r="AF378" s="2" t="str">
        <f>IFERROR(IF(MARÍTIMOS[[#This Row],[Puerto de Embarque]]="","",MARÍTIMOS[[#This Row],[Puerto de Embarque]]),"")</f>
        <v/>
      </c>
      <c r="AG378" s="2" t="str">
        <f>IFERROR(IF(MARÍTIMOS[[#This Row],[Almacén de Ingreso]]="","",MARÍTIMOS[[#This Row],[Almacén de Ingreso]]),"")</f>
        <v/>
      </c>
      <c r="AH378" s="11" t="str">
        <f>IFERROR(IF(MARÍTIMOS[[#This Row],[Etapa Ingreso - Cita]]="","",MARÍTIMOS[[#This Row],[Etapa Ingreso - Cita]]),"")</f>
        <v/>
      </c>
      <c r="AI378" s="11" t="str">
        <f>IFERROR(IF(MARÍTIMOS[[#This Row],[Etapa Ingreso - Llegada]]="","",MARÍTIMOS[[#This Row],[Etapa Ingreso - Llegada]]),"")</f>
        <v/>
      </c>
      <c r="AJ378" s="11" t="str">
        <f>IFERROR(IF(MARÍTIMOS[[#This Row],[Etapa Ingreso - Ingeso]]="","",MARÍTIMOS[[#This Row],[Etapa Ingreso - Ingeso]]),"")</f>
        <v/>
      </c>
      <c r="AK378" s="11" t="str">
        <f>IFERROR(IF(MARÍTIMOS[[#This Row],[Etapa Ingreso - Atención]]="","",MARÍTIMOS[[#This Row],[Etapa Ingreso - Atención]]),"")</f>
        <v/>
      </c>
      <c r="AL378" s="11" t="str">
        <f>IFERROR(IF(MARÍTIMOS[[#This Row],[Etapa Ingreso - Salida]]="","",MARÍTIMOS[[#This Row],[Etapa Ingreso - Salida]]),"")</f>
        <v/>
      </c>
      <c r="AM378" s="2" t="str">
        <f>IFERROR(IF(MARÍTIMOS[[#This Row],[FCL]]="","",MARÍTIMOS[[#This Row],[FCL]]),"")</f>
        <v/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8" s="5" t="str">
        <f>IFERROR(OLDBD[[#This Row],[Llegada a packing]]-OLDBD[[#This Row],[Inicio de Ruta]],"")</f>
        <v/>
      </c>
      <c r="AQ378" s="6" t="str">
        <f>IFERROR(OLDBD[[#This Row],[Inicio de Ruta]]-OLDBD[[#This Row],[Salida de almacén de retiro]],"")</f>
        <v/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8" s="9" t="str">
        <f>IFERROR(OLDBD[[#This Row],[Ingreso Packing]]-OLDBD[[#This Row],[Registro en Packing]],"")</f>
        <v/>
      </c>
      <c r="AV378" s="9" t="str">
        <f>IFERROR(OLDBD[[#This Row],[Ingreso Packing]]-OLDBD[[#This Row],[Llegada a packing]],"")</f>
        <v/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 t="str">
        <f>IFERROR(OLDBD[[#This Row],[Llegada Almacén de Ingreso]]-OLDBD[[#This Row],[Salida Packing]],"")</f>
        <v/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8" s="45" t="s">
        <v>181</v>
      </c>
      <c r="BB378" s="53" t="str">
        <f>IFERROR(IF(MARÍTIMOS[[#This Row],[Estatus]]="","",MARÍTIMOS[[#This Row],[Estatus]]),"")</f>
        <v/>
      </c>
      <c r="BC378" s="45"/>
      <c r="BD378" s="52" t="str">
        <f>IFERROR(OLDBD[[#This Row],[Salida de almacén de retiro]]-OLDBD[[#This Row],[Ingreso Almacén de retiro]],"")</f>
        <v/>
      </c>
      <c r="BE378" s="52" t="str">
        <f>IFERROR(OLDBD[[#This Row],[Fin de Carga]]-OLDBD[[#This Row],[Inicio de Carga]],"")</f>
        <v/>
      </c>
    </row>
    <row r="379" spans="1:57" x14ac:dyDescent="0.35">
      <c r="A379" s="1"/>
      <c r="B379" s="1" t="str">
        <f>IFERROR(IF(MARÍTIMOS[[#This Row],[PP]]="","",MARÍTIMOS[[#This Row],[PP]]),"")</f>
        <v/>
      </c>
      <c r="C379" s="1" t="str">
        <f>IFERROR(IF(MARÍTIMOS[[#This Row],[Sede]]="","",MARÍTIMOS[[#This Row],[Sede]]),"")</f>
        <v/>
      </c>
      <c r="D379" s="1" t="str">
        <f>IFERROR(IF(MARÍTIMOS[[#This Row],[Instruction]]="","",MARÍTIMOS[[#This Row],[Instruction]]),"")</f>
        <v/>
      </c>
      <c r="E379" s="1"/>
      <c r="F379" s="2" t="str">
        <f>IFERROR(IF(MARÍTIMOS[[#This Row],[Transportista]]="","",MARÍTIMOS[[#This Row],[Transportista]]),"")</f>
        <v/>
      </c>
      <c r="G379" s="2" t="str">
        <f>IFERROR(IF(MARÍTIMOS[[#This Row],[Tercero]]="","",MARÍTIMOS[[#This Row],[Tercero]]),"")</f>
        <v/>
      </c>
      <c r="H379" s="2" t="str">
        <f>IFERROR(IF(MARÍTIMOS[[#This Row],[Razón Social]]="","",MARÍTIMOS[[#This Row],[Razón Social]]),"")</f>
        <v/>
      </c>
      <c r="I379" s="2" t="str">
        <f>IFERROR(IF(MARÍTIMOS[[#This Row],[RUC]]="","",MARÍTIMOS[[#This Row],[RUC]]),"")</f>
        <v/>
      </c>
      <c r="J379" s="2" t="str">
        <f>IFERROR(IF(MARÍTIMOS[[#This Row],[Placa Tracto]]="","",MARÍTIMOS[[#This Row],[Placa Tracto]]),"")</f>
        <v/>
      </c>
      <c r="K379" s="2" t="str">
        <f>IFERROR(IF(MARÍTIMOS[[#This Row],[Placa Carreta]]="","",MARÍTIMOS[[#This Row],[Placa Carreta]]),"")</f>
        <v/>
      </c>
      <c r="L379" s="46" t="str">
        <f>IFERROR(IF(MARÍTIMOS[[#This Row],[Conductor]]="","",MARÍTIMOS[[#This Row],[Conductor]]),"")</f>
        <v/>
      </c>
      <c r="M379" s="2" t="str">
        <f>IFERROR(IF(MARÍTIMOS[[#This Row],[Licencia]]="","",MARÍTIMOS[[#This Row],[Licencia]]),"")</f>
        <v/>
      </c>
      <c r="N379" s="2" t="str">
        <f>IFERROR(IF(MARÍTIMOS[[#This Row],[Número de Contacto]]="","",MARÍTIMOS[[#This Row],[Número de Contacto]]),"")</f>
        <v/>
      </c>
      <c r="O379" s="10" t="str">
        <f>IFERROR(IF(MARÍTIMOS[[#This Row],[Booking|AWB|CRT]]="","",MARÍTIMOS[[#This Row],[Booking|AWB|CRT]]),"")</f>
        <v/>
      </c>
      <c r="P379" s="2" t="str">
        <f>IFERROR(IF(MARÍTIMOS[[#This Row],[Contenedor]]="","",MARÍTIMOS[[#This Row],[Contenedor]]),"")</f>
        <v/>
      </c>
      <c r="Q379" s="2" t="str">
        <f>IFERROR(IF(MARÍTIMOS[[#This Row],[Puerto de Retiro]]="","",MARÍTIMOS[[#This Row],[Puerto de Retiro]]),"")</f>
        <v/>
      </c>
      <c r="R379" s="2" t="str">
        <f>IFERROR(IF(MARÍTIMOS[[#This Row],[Almacén de Retiro]]="","",MARÍTIMOS[[#This Row],[Almacén de Retiro]]),"")</f>
        <v/>
      </c>
      <c r="S379" s="11" t="str">
        <f>IFERROR(IF(MARÍTIMOS[[#This Row],[Etapa Retiro - Cita]]="","",MARÍTIMOS[[#This Row],[Etapa Retiro - Cita]]),"")</f>
        <v/>
      </c>
      <c r="T379" s="11" t="str">
        <f>IFERROR(IF(MARÍTIMOS[[#This Row],[Etapa Retiro - Llegada]]="","",MARÍTIMOS[[#This Row],[Etapa Retiro - Llegada]]),"")</f>
        <v/>
      </c>
      <c r="U379" s="11" t="str">
        <f>IFERROR(IF(MARÍTIMOS[[#This Row],[Etapa Retiro - Ingreso]]="","",MARÍTIMOS[[#This Row],[Etapa Retiro - Ingreso]]),"")</f>
        <v/>
      </c>
      <c r="V379" s="11" t="str">
        <f>IFERROR(IF(MARÍTIMOS[[#This Row],[Etapa Retiro - Atención]]="","",MARÍTIMOS[[#This Row],[Etapa Retiro - Atención]]),"")</f>
        <v/>
      </c>
      <c r="W379" s="11" t="str">
        <f>IFERROR(IF(MARÍTIMOS[[#This Row],[Etapa Retiro - Salida]]="","",MARÍTIMOS[[#This Row],[Etapa Retiro - Salida]]),"")</f>
        <v/>
      </c>
      <c r="X379" s="11" t="str">
        <f>IFERROR(IF(MARÍTIMOS[[#This Row],[Etapa Retiro - Inicio de Ruta]]="","",MARÍTIMOS[[#This Row],[Etapa Retiro - Inicio de Ruta]]),"")</f>
        <v/>
      </c>
      <c r="Y379" s="11" t="str">
        <f>IFERROR(IF(MARÍTIMOS[[#This Row],[Hora de Posicionamiento]]="","",MARÍTIMOS[[#This Row],[Hora de Carga]]+MARÍTIMOS[[#This Row],[Hora de Posicionamiento]]),"")</f>
        <v/>
      </c>
      <c r="Z379" s="11" t="str">
        <f>IFERROR(IF(MARÍTIMOS[[#This Row],[Etapa Despacho -  Llegada]]="","",MARÍTIMOS[[#This Row],[Etapa Despacho -  Llegada]]),"")</f>
        <v/>
      </c>
      <c r="AA379" s="11" t="str">
        <f>IFERROR(IF(MARÍTIMOS[[#This Row],[Etapa Despacho -  Registro]]="","",MARÍTIMOS[[#This Row],[Etapa Despacho -  Registro]]),"")</f>
        <v/>
      </c>
      <c r="AB379" s="11" t="str">
        <f>IFERROR(IF(MARÍTIMOS[[#This Row],[Inspección Externa]]="","",MARÍTIMOS[[#This Row],[Inspección Externa]]),"")</f>
        <v/>
      </c>
      <c r="AC379" s="11" t="str">
        <f>IFERROR(IF(MARÍTIMOS[[#This Row],[Etapa Despacho -  Inicio de Carga]]="","",MARÍTIMOS[[#This Row],[Etapa Despacho -  Inicio de Carga]]),"")</f>
        <v/>
      </c>
      <c r="AD379" s="11" t="str">
        <f>IFERROR(IF(MARÍTIMOS[[#This Row],[Etapa Despacho -  Fin de Carga]]="","",MARÍTIMOS[[#This Row],[Etapa Despacho -  Fin de Carga]]),"")</f>
        <v/>
      </c>
      <c r="AE379" s="11" t="str">
        <f>IFERROR(IF(MARÍTIMOS[[#This Row],[Etapa Despacho -  Salida]]="","",MARÍTIMOS[[#This Row],[Etapa Despacho -  Salida]]),"")</f>
        <v/>
      </c>
      <c r="AF379" s="2" t="str">
        <f>IFERROR(IF(MARÍTIMOS[[#This Row],[Puerto de Embarque]]="","",MARÍTIMOS[[#This Row],[Puerto de Embarque]]),"")</f>
        <v/>
      </c>
      <c r="AG379" s="2" t="str">
        <f>IFERROR(IF(MARÍTIMOS[[#This Row],[Almacén de Ingreso]]="","",MARÍTIMOS[[#This Row],[Almacén de Ingreso]]),"")</f>
        <v/>
      </c>
      <c r="AH379" s="11" t="str">
        <f>IFERROR(IF(MARÍTIMOS[[#This Row],[Etapa Ingreso - Cita]]="","",MARÍTIMOS[[#This Row],[Etapa Ingreso - Cita]]),"")</f>
        <v/>
      </c>
      <c r="AI379" s="11" t="str">
        <f>IFERROR(IF(MARÍTIMOS[[#This Row],[Etapa Ingreso - Llegada]]="","",MARÍTIMOS[[#This Row],[Etapa Ingreso - Llegada]]),"")</f>
        <v/>
      </c>
      <c r="AJ379" s="11" t="str">
        <f>IFERROR(IF(MARÍTIMOS[[#This Row],[Etapa Ingreso - Ingeso]]="","",MARÍTIMOS[[#This Row],[Etapa Ingreso - Ingeso]]),"")</f>
        <v/>
      </c>
      <c r="AK379" s="11" t="str">
        <f>IFERROR(IF(MARÍTIMOS[[#This Row],[Etapa Ingreso - Atención]]="","",MARÍTIMOS[[#This Row],[Etapa Ingreso - Atención]]),"")</f>
        <v/>
      </c>
      <c r="AL379" s="11" t="str">
        <f>IFERROR(IF(MARÍTIMOS[[#This Row],[Etapa Ingreso - Salida]]="","",MARÍTIMOS[[#This Row],[Etapa Ingreso - Salida]]),"")</f>
        <v/>
      </c>
      <c r="AM379" s="2" t="str">
        <f>IFERROR(IF(MARÍTIMOS[[#This Row],[FCL]]="","",MARÍTIMOS[[#This Row],[FCL]]),"")</f>
        <v/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9" s="5" t="str">
        <f>IFERROR(OLDBD[[#This Row],[Llegada a packing]]-OLDBD[[#This Row],[Inicio de Ruta]],"")</f>
        <v/>
      </c>
      <c r="AQ379" s="6" t="str">
        <f>IFERROR(OLDBD[[#This Row],[Inicio de Ruta]]-OLDBD[[#This Row],[Salida de almacén de retiro]],"")</f>
        <v/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9" s="9" t="str">
        <f>IFERROR(OLDBD[[#This Row],[Ingreso Packing]]-OLDBD[[#This Row],[Registro en Packing]],"")</f>
        <v/>
      </c>
      <c r="AV379" s="9" t="str">
        <f>IFERROR(OLDBD[[#This Row],[Ingreso Packing]]-OLDBD[[#This Row],[Llegada a packing]],"")</f>
        <v/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 t="str">
        <f>IFERROR(OLDBD[[#This Row],[Llegada Almacén de Ingreso]]-OLDBD[[#This Row],[Salida Packing]],"")</f>
        <v/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9" s="45" t="s">
        <v>181</v>
      </c>
      <c r="BB379" s="53" t="str">
        <f>IFERROR(IF(MARÍTIMOS[[#This Row],[Estatus]]="","",MARÍTIMOS[[#This Row],[Estatus]]),"")</f>
        <v/>
      </c>
      <c r="BC379" s="45"/>
      <c r="BD379" s="52" t="str">
        <f>IFERROR(OLDBD[[#This Row],[Salida de almacén de retiro]]-OLDBD[[#This Row],[Ingreso Almacén de retiro]],"")</f>
        <v/>
      </c>
      <c r="BE379" s="52" t="str">
        <f>IFERROR(OLDBD[[#This Row],[Fin de Carga]]-OLDBD[[#This Row],[Inicio de Carga]],"")</f>
        <v/>
      </c>
    </row>
    <row r="380" spans="1:57" x14ac:dyDescent="0.35">
      <c r="A380" s="1"/>
      <c r="B380" s="1" t="str">
        <f>IFERROR(IF(MARÍTIMOS[[#This Row],[PP]]="","",MARÍTIMOS[[#This Row],[PP]]),"")</f>
        <v/>
      </c>
      <c r="C380" s="1" t="str">
        <f>IFERROR(IF(MARÍTIMOS[[#This Row],[Sede]]="","",MARÍTIMOS[[#This Row],[Sede]]),"")</f>
        <v/>
      </c>
      <c r="D380" s="1" t="str">
        <f>IFERROR(IF(MARÍTIMOS[[#This Row],[Instruction]]="","",MARÍTIMOS[[#This Row],[Instruction]]),"")</f>
        <v/>
      </c>
      <c r="E380" s="1"/>
      <c r="F380" s="2" t="str">
        <f>IFERROR(IF(MARÍTIMOS[[#This Row],[Transportista]]="","",MARÍTIMOS[[#This Row],[Transportista]]),"")</f>
        <v/>
      </c>
      <c r="G380" s="2" t="str">
        <f>IFERROR(IF(MARÍTIMOS[[#This Row],[Tercero]]="","",MARÍTIMOS[[#This Row],[Tercero]]),"")</f>
        <v/>
      </c>
      <c r="H380" s="2" t="str">
        <f>IFERROR(IF(MARÍTIMOS[[#This Row],[Razón Social]]="","",MARÍTIMOS[[#This Row],[Razón Social]]),"")</f>
        <v/>
      </c>
      <c r="I380" s="2" t="str">
        <f>IFERROR(IF(MARÍTIMOS[[#This Row],[RUC]]="","",MARÍTIMOS[[#This Row],[RUC]]),"")</f>
        <v/>
      </c>
      <c r="J380" s="2" t="str">
        <f>IFERROR(IF(MARÍTIMOS[[#This Row],[Placa Tracto]]="","",MARÍTIMOS[[#This Row],[Placa Tracto]]),"")</f>
        <v/>
      </c>
      <c r="K380" s="2" t="str">
        <f>IFERROR(IF(MARÍTIMOS[[#This Row],[Placa Carreta]]="","",MARÍTIMOS[[#This Row],[Placa Carreta]]),"")</f>
        <v/>
      </c>
      <c r="L380" s="46" t="str">
        <f>IFERROR(IF(MARÍTIMOS[[#This Row],[Conductor]]="","",MARÍTIMOS[[#This Row],[Conductor]]),"")</f>
        <v/>
      </c>
      <c r="M380" s="2" t="str">
        <f>IFERROR(IF(MARÍTIMOS[[#This Row],[Licencia]]="","",MARÍTIMOS[[#This Row],[Licencia]]),"")</f>
        <v/>
      </c>
      <c r="N380" s="2" t="str">
        <f>IFERROR(IF(MARÍTIMOS[[#This Row],[Número de Contacto]]="","",MARÍTIMOS[[#This Row],[Número de Contacto]]),"")</f>
        <v/>
      </c>
      <c r="O380" s="10" t="str">
        <f>IFERROR(IF(MARÍTIMOS[[#This Row],[Booking|AWB|CRT]]="","",MARÍTIMOS[[#This Row],[Booking|AWB|CRT]]),"")</f>
        <v/>
      </c>
      <c r="P380" s="2" t="str">
        <f>IFERROR(IF(MARÍTIMOS[[#This Row],[Contenedor]]="","",MARÍTIMOS[[#This Row],[Contenedor]]),"")</f>
        <v/>
      </c>
      <c r="Q380" s="2" t="str">
        <f>IFERROR(IF(MARÍTIMOS[[#This Row],[Puerto de Retiro]]="","",MARÍTIMOS[[#This Row],[Puerto de Retiro]]),"")</f>
        <v/>
      </c>
      <c r="R380" s="2" t="str">
        <f>IFERROR(IF(MARÍTIMOS[[#This Row],[Almacén de Retiro]]="","",MARÍTIMOS[[#This Row],[Almacén de Retiro]]),"")</f>
        <v/>
      </c>
      <c r="S380" s="11" t="str">
        <f>IFERROR(IF(MARÍTIMOS[[#This Row],[Etapa Retiro - Cita]]="","",MARÍTIMOS[[#This Row],[Etapa Retiro - Cita]]),"")</f>
        <v/>
      </c>
      <c r="T380" s="11" t="str">
        <f>IFERROR(IF(MARÍTIMOS[[#This Row],[Etapa Retiro - Llegada]]="","",MARÍTIMOS[[#This Row],[Etapa Retiro - Llegada]]),"")</f>
        <v/>
      </c>
      <c r="U380" s="11" t="str">
        <f>IFERROR(IF(MARÍTIMOS[[#This Row],[Etapa Retiro - Ingreso]]="","",MARÍTIMOS[[#This Row],[Etapa Retiro - Ingreso]]),"")</f>
        <v/>
      </c>
      <c r="V380" s="11" t="str">
        <f>IFERROR(IF(MARÍTIMOS[[#This Row],[Etapa Retiro - Atención]]="","",MARÍTIMOS[[#This Row],[Etapa Retiro - Atención]]),"")</f>
        <v/>
      </c>
      <c r="W380" s="11" t="str">
        <f>IFERROR(IF(MARÍTIMOS[[#This Row],[Etapa Retiro - Salida]]="","",MARÍTIMOS[[#This Row],[Etapa Retiro - Salida]]),"")</f>
        <v/>
      </c>
      <c r="X380" s="11" t="str">
        <f>IFERROR(IF(MARÍTIMOS[[#This Row],[Etapa Retiro - Inicio de Ruta]]="","",MARÍTIMOS[[#This Row],[Etapa Retiro - Inicio de Ruta]]),"")</f>
        <v/>
      </c>
      <c r="Y380" s="11" t="str">
        <f>IFERROR(IF(MARÍTIMOS[[#This Row],[Hora de Posicionamiento]]="","",MARÍTIMOS[[#This Row],[Hora de Carga]]+MARÍTIMOS[[#This Row],[Hora de Posicionamiento]]),"")</f>
        <v/>
      </c>
      <c r="Z380" s="11" t="str">
        <f>IFERROR(IF(MARÍTIMOS[[#This Row],[Etapa Despacho -  Llegada]]="","",MARÍTIMOS[[#This Row],[Etapa Despacho -  Llegada]]),"")</f>
        <v/>
      </c>
      <c r="AA380" s="11" t="str">
        <f>IFERROR(IF(MARÍTIMOS[[#This Row],[Etapa Despacho -  Registro]]="","",MARÍTIMOS[[#This Row],[Etapa Despacho -  Registro]]),"")</f>
        <v/>
      </c>
      <c r="AB380" s="11" t="str">
        <f>IFERROR(IF(MARÍTIMOS[[#This Row],[Inspección Externa]]="","",MARÍTIMOS[[#This Row],[Inspección Externa]]),"")</f>
        <v/>
      </c>
      <c r="AC380" s="11" t="str">
        <f>IFERROR(IF(MARÍTIMOS[[#This Row],[Etapa Despacho -  Inicio de Carga]]="","",MARÍTIMOS[[#This Row],[Etapa Despacho -  Inicio de Carga]]),"")</f>
        <v/>
      </c>
      <c r="AD380" s="11" t="str">
        <f>IFERROR(IF(MARÍTIMOS[[#This Row],[Etapa Despacho -  Fin de Carga]]="","",MARÍTIMOS[[#This Row],[Etapa Despacho -  Fin de Carga]]),"")</f>
        <v/>
      </c>
      <c r="AE380" s="11" t="str">
        <f>IFERROR(IF(MARÍTIMOS[[#This Row],[Etapa Despacho -  Salida]]="","",MARÍTIMOS[[#This Row],[Etapa Despacho -  Salida]]),"")</f>
        <v/>
      </c>
      <c r="AF380" s="2" t="str">
        <f>IFERROR(IF(MARÍTIMOS[[#This Row],[Puerto de Embarque]]="","",MARÍTIMOS[[#This Row],[Puerto de Embarque]]),"")</f>
        <v/>
      </c>
      <c r="AG380" s="2" t="str">
        <f>IFERROR(IF(MARÍTIMOS[[#This Row],[Almacén de Ingreso]]="","",MARÍTIMOS[[#This Row],[Almacén de Ingreso]]),"")</f>
        <v/>
      </c>
      <c r="AH380" s="11" t="str">
        <f>IFERROR(IF(MARÍTIMOS[[#This Row],[Etapa Ingreso - Cita]]="","",MARÍTIMOS[[#This Row],[Etapa Ingreso - Cita]]),"")</f>
        <v/>
      </c>
      <c r="AI380" s="11" t="str">
        <f>IFERROR(IF(MARÍTIMOS[[#This Row],[Etapa Ingreso - Llegada]]="","",MARÍTIMOS[[#This Row],[Etapa Ingreso - Llegada]]),"")</f>
        <v/>
      </c>
      <c r="AJ380" s="11" t="str">
        <f>IFERROR(IF(MARÍTIMOS[[#This Row],[Etapa Ingreso - Ingeso]]="","",MARÍTIMOS[[#This Row],[Etapa Ingreso - Ingeso]]),"")</f>
        <v/>
      </c>
      <c r="AK380" s="11" t="str">
        <f>IFERROR(IF(MARÍTIMOS[[#This Row],[Etapa Ingreso - Atención]]="","",MARÍTIMOS[[#This Row],[Etapa Ingreso - Atención]]),"")</f>
        <v/>
      </c>
      <c r="AL380" s="11" t="str">
        <f>IFERROR(IF(MARÍTIMOS[[#This Row],[Etapa Ingreso - Salida]]="","",MARÍTIMOS[[#This Row],[Etapa Ingreso - Salida]]),"")</f>
        <v/>
      </c>
      <c r="AM380" s="2" t="str">
        <f>IFERROR(IF(MARÍTIMOS[[#This Row],[FCL]]="","",MARÍTIMOS[[#This Row],[FCL]]),"")</f>
        <v/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0" s="5" t="str">
        <f>IFERROR(OLDBD[[#This Row],[Llegada a packing]]-OLDBD[[#This Row],[Inicio de Ruta]],"")</f>
        <v/>
      </c>
      <c r="AQ380" s="6" t="str">
        <f>IFERROR(OLDBD[[#This Row],[Inicio de Ruta]]-OLDBD[[#This Row],[Salida de almacén de retiro]],"")</f>
        <v/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0" s="9" t="str">
        <f>IFERROR(OLDBD[[#This Row],[Ingreso Packing]]-OLDBD[[#This Row],[Registro en Packing]],"")</f>
        <v/>
      </c>
      <c r="AV380" s="9" t="str">
        <f>IFERROR(OLDBD[[#This Row],[Ingreso Packing]]-OLDBD[[#This Row],[Llegada a packing]],"")</f>
        <v/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 t="str">
        <f>IFERROR(OLDBD[[#This Row],[Llegada Almacén de Ingreso]]-OLDBD[[#This Row],[Salida Packing]],"")</f>
        <v/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0" s="45" t="s">
        <v>181</v>
      </c>
      <c r="BB380" s="53" t="str">
        <f>IFERROR(IF(MARÍTIMOS[[#This Row],[Estatus]]="","",MARÍTIMOS[[#This Row],[Estatus]]),"")</f>
        <v/>
      </c>
      <c r="BC380" s="45"/>
      <c r="BD380" s="52" t="str">
        <f>IFERROR(OLDBD[[#This Row],[Salida de almacén de retiro]]-OLDBD[[#This Row],[Ingreso Almacén de retiro]],"")</f>
        <v/>
      </c>
      <c r="BE380" s="52" t="str">
        <f>IFERROR(OLDBD[[#This Row],[Fin de Carga]]-OLDBD[[#This Row],[Inicio de Carga]],"")</f>
        <v/>
      </c>
    </row>
    <row r="381" spans="1:57" x14ac:dyDescent="0.35">
      <c r="A381" s="1"/>
      <c r="B381" s="1" t="str">
        <f>IFERROR(IF(MARÍTIMOS[[#This Row],[PP]]="","",MARÍTIMOS[[#This Row],[PP]]),"")</f>
        <v/>
      </c>
      <c r="C381" s="1" t="str">
        <f>IFERROR(IF(MARÍTIMOS[[#This Row],[Sede]]="","",MARÍTIMOS[[#This Row],[Sede]]),"")</f>
        <v/>
      </c>
      <c r="D381" s="1" t="str">
        <f>IFERROR(IF(MARÍTIMOS[[#This Row],[Instruction]]="","",MARÍTIMOS[[#This Row],[Instruction]]),"")</f>
        <v/>
      </c>
      <c r="E381" s="1"/>
      <c r="F381" s="2" t="str">
        <f>IFERROR(IF(MARÍTIMOS[[#This Row],[Transportista]]="","",MARÍTIMOS[[#This Row],[Transportista]]),"")</f>
        <v/>
      </c>
      <c r="G381" s="2" t="str">
        <f>IFERROR(IF(MARÍTIMOS[[#This Row],[Tercero]]="","",MARÍTIMOS[[#This Row],[Tercero]]),"")</f>
        <v/>
      </c>
      <c r="H381" s="2" t="str">
        <f>IFERROR(IF(MARÍTIMOS[[#This Row],[Razón Social]]="","",MARÍTIMOS[[#This Row],[Razón Social]]),"")</f>
        <v/>
      </c>
      <c r="I381" s="2" t="str">
        <f>IFERROR(IF(MARÍTIMOS[[#This Row],[RUC]]="","",MARÍTIMOS[[#This Row],[RUC]]),"")</f>
        <v/>
      </c>
      <c r="J381" s="2" t="str">
        <f>IFERROR(IF(MARÍTIMOS[[#This Row],[Placa Tracto]]="","",MARÍTIMOS[[#This Row],[Placa Tracto]]),"")</f>
        <v/>
      </c>
      <c r="K381" s="2" t="str">
        <f>IFERROR(IF(MARÍTIMOS[[#This Row],[Placa Carreta]]="","",MARÍTIMOS[[#This Row],[Placa Carreta]]),"")</f>
        <v/>
      </c>
      <c r="L381" s="46" t="str">
        <f>IFERROR(IF(MARÍTIMOS[[#This Row],[Conductor]]="","",MARÍTIMOS[[#This Row],[Conductor]]),"")</f>
        <v/>
      </c>
      <c r="M381" s="2" t="str">
        <f>IFERROR(IF(MARÍTIMOS[[#This Row],[Licencia]]="","",MARÍTIMOS[[#This Row],[Licencia]]),"")</f>
        <v/>
      </c>
      <c r="N381" s="2" t="str">
        <f>IFERROR(IF(MARÍTIMOS[[#This Row],[Número de Contacto]]="","",MARÍTIMOS[[#This Row],[Número de Contacto]]),"")</f>
        <v/>
      </c>
      <c r="O381" s="10" t="str">
        <f>IFERROR(IF(MARÍTIMOS[[#This Row],[Booking|AWB|CRT]]="","",MARÍTIMOS[[#This Row],[Booking|AWB|CRT]]),"")</f>
        <v/>
      </c>
      <c r="P381" s="2" t="str">
        <f>IFERROR(IF(MARÍTIMOS[[#This Row],[Contenedor]]="","",MARÍTIMOS[[#This Row],[Contenedor]]),"")</f>
        <v/>
      </c>
      <c r="Q381" s="2" t="str">
        <f>IFERROR(IF(MARÍTIMOS[[#This Row],[Puerto de Retiro]]="","",MARÍTIMOS[[#This Row],[Puerto de Retiro]]),"")</f>
        <v/>
      </c>
      <c r="R381" s="2" t="str">
        <f>IFERROR(IF(MARÍTIMOS[[#This Row],[Almacén de Retiro]]="","",MARÍTIMOS[[#This Row],[Almacén de Retiro]]),"")</f>
        <v/>
      </c>
      <c r="S381" s="11" t="str">
        <f>IFERROR(IF(MARÍTIMOS[[#This Row],[Etapa Retiro - Cita]]="","",MARÍTIMOS[[#This Row],[Etapa Retiro - Cita]]),"")</f>
        <v/>
      </c>
      <c r="T381" s="11" t="str">
        <f>IFERROR(IF(MARÍTIMOS[[#This Row],[Etapa Retiro - Llegada]]="","",MARÍTIMOS[[#This Row],[Etapa Retiro - Llegada]]),"")</f>
        <v/>
      </c>
      <c r="U381" s="11" t="str">
        <f>IFERROR(IF(MARÍTIMOS[[#This Row],[Etapa Retiro - Ingreso]]="","",MARÍTIMOS[[#This Row],[Etapa Retiro - Ingreso]]),"")</f>
        <v/>
      </c>
      <c r="V381" s="11" t="str">
        <f>IFERROR(IF(MARÍTIMOS[[#This Row],[Etapa Retiro - Atención]]="","",MARÍTIMOS[[#This Row],[Etapa Retiro - Atención]]),"")</f>
        <v/>
      </c>
      <c r="W381" s="11" t="str">
        <f>IFERROR(IF(MARÍTIMOS[[#This Row],[Etapa Retiro - Salida]]="","",MARÍTIMOS[[#This Row],[Etapa Retiro - Salida]]),"")</f>
        <v/>
      </c>
      <c r="X381" s="11" t="str">
        <f>IFERROR(IF(MARÍTIMOS[[#This Row],[Etapa Retiro - Inicio de Ruta]]="","",MARÍTIMOS[[#This Row],[Etapa Retiro - Inicio de Ruta]]),"")</f>
        <v/>
      </c>
      <c r="Y381" s="11" t="str">
        <f>IFERROR(IF(MARÍTIMOS[[#This Row],[Hora de Posicionamiento]]="","",MARÍTIMOS[[#This Row],[Hora de Carga]]+MARÍTIMOS[[#This Row],[Hora de Posicionamiento]]),"")</f>
        <v/>
      </c>
      <c r="Z381" s="11" t="str">
        <f>IFERROR(IF(MARÍTIMOS[[#This Row],[Etapa Despacho -  Llegada]]="","",MARÍTIMOS[[#This Row],[Etapa Despacho -  Llegada]]),"")</f>
        <v/>
      </c>
      <c r="AA381" s="11" t="str">
        <f>IFERROR(IF(MARÍTIMOS[[#This Row],[Etapa Despacho -  Registro]]="","",MARÍTIMOS[[#This Row],[Etapa Despacho -  Registro]]),"")</f>
        <v/>
      </c>
      <c r="AB381" s="11" t="str">
        <f>IFERROR(IF(MARÍTIMOS[[#This Row],[Inspección Externa]]="","",MARÍTIMOS[[#This Row],[Inspección Externa]]),"")</f>
        <v/>
      </c>
      <c r="AC381" s="11" t="str">
        <f>IFERROR(IF(MARÍTIMOS[[#This Row],[Etapa Despacho -  Inicio de Carga]]="","",MARÍTIMOS[[#This Row],[Etapa Despacho -  Inicio de Carga]]),"")</f>
        <v/>
      </c>
      <c r="AD381" s="11" t="str">
        <f>IFERROR(IF(MARÍTIMOS[[#This Row],[Etapa Despacho -  Fin de Carga]]="","",MARÍTIMOS[[#This Row],[Etapa Despacho -  Fin de Carga]]),"")</f>
        <v/>
      </c>
      <c r="AE381" s="11" t="str">
        <f>IFERROR(IF(MARÍTIMOS[[#This Row],[Etapa Despacho -  Salida]]="","",MARÍTIMOS[[#This Row],[Etapa Despacho -  Salida]]),"")</f>
        <v/>
      </c>
      <c r="AF381" s="2" t="str">
        <f>IFERROR(IF(MARÍTIMOS[[#This Row],[Puerto de Embarque]]="","",MARÍTIMOS[[#This Row],[Puerto de Embarque]]),"")</f>
        <v/>
      </c>
      <c r="AG381" s="2" t="str">
        <f>IFERROR(IF(MARÍTIMOS[[#This Row],[Almacén de Ingreso]]="","",MARÍTIMOS[[#This Row],[Almacén de Ingreso]]),"")</f>
        <v/>
      </c>
      <c r="AH381" s="11" t="str">
        <f>IFERROR(IF(MARÍTIMOS[[#This Row],[Etapa Ingreso - Cita]]="","",MARÍTIMOS[[#This Row],[Etapa Ingreso - Cita]]),"")</f>
        <v/>
      </c>
      <c r="AI381" s="11" t="str">
        <f>IFERROR(IF(MARÍTIMOS[[#This Row],[Etapa Ingreso - Llegada]]="","",MARÍTIMOS[[#This Row],[Etapa Ingreso - Llegada]]),"")</f>
        <v/>
      </c>
      <c r="AJ381" s="11" t="str">
        <f>IFERROR(IF(MARÍTIMOS[[#This Row],[Etapa Ingreso - Ingeso]]="","",MARÍTIMOS[[#This Row],[Etapa Ingreso - Ingeso]]),"")</f>
        <v/>
      </c>
      <c r="AK381" s="11" t="str">
        <f>IFERROR(IF(MARÍTIMOS[[#This Row],[Etapa Ingreso - Atención]]="","",MARÍTIMOS[[#This Row],[Etapa Ingreso - Atención]]),"")</f>
        <v/>
      </c>
      <c r="AL381" s="11" t="str">
        <f>IFERROR(IF(MARÍTIMOS[[#This Row],[Etapa Ingreso - Salida]]="","",MARÍTIMOS[[#This Row],[Etapa Ingreso - Salida]]),"")</f>
        <v/>
      </c>
      <c r="AM381" s="2" t="str">
        <f>IFERROR(IF(MARÍTIMOS[[#This Row],[FCL]]="","",MARÍTIMOS[[#This Row],[FCL]]),"")</f>
        <v/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1" s="5" t="str">
        <f>IFERROR(OLDBD[[#This Row],[Llegada a packing]]-OLDBD[[#This Row],[Inicio de Ruta]],"")</f>
        <v/>
      </c>
      <c r="AQ381" s="6" t="str">
        <f>IFERROR(OLDBD[[#This Row],[Inicio de Ruta]]-OLDBD[[#This Row],[Salida de almacén de retiro]],"")</f>
        <v/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1" s="9" t="str">
        <f>IFERROR(OLDBD[[#This Row],[Ingreso Packing]]-OLDBD[[#This Row],[Registro en Packing]],"")</f>
        <v/>
      </c>
      <c r="AV381" s="9" t="str">
        <f>IFERROR(OLDBD[[#This Row],[Ingreso Packing]]-OLDBD[[#This Row],[Llegada a packing]],"")</f>
        <v/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 t="str">
        <f>IFERROR(OLDBD[[#This Row],[Llegada Almacén de Ingreso]]-OLDBD[[#This Row],[Salida Packing]],"")</f>
        <v/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1" s="45" t="s">
        <v>181</v>
      </c>
      <c r="BB381" s="53" t="str">
        <f>IFERROR(IF(MARÍTIMOS[[#This Row],[Estatus]]="","",MARÍTIMOS[[#This Row],[Estatus]]),"")</f>
        <v/>
      </c>
      <c r="BC381" s="45"/>
      <c r="BD381" s="52" t="str">
        <f>IFERROR(OLDBD[[#This Row],[Salida de almacén de retiro]]-OLDBD[[#This Row],[Ingreso Almacén de retiro]],"")</f>
        <v/>
      </c>
      <c r="BE381" s="52" t="str">
        <f>IFERROR(OLDBD[[#This Row],[Fin de Carga]]-OLDBD[[#This Row],[Inicio de Carga]],"")</f>
        <v/>
      </c>
    </row>
    <row r="382" spans="1:57" x14ac:dyDescent="0.35">
      <c r="A382" s="1"/>
      <c r="B382" s="1" t="str">
        <f>IFERROR(IF(MARÍTIMOS[[#This Row],[PP]]="","",MARÍTIMOS[[#This Row],[PP]]),"")</f>
        <v/>
      </c>
      <c r="C382" s="1" t="str">
        <f>IFERROR(IF(MARÍTIMOS[[#This Row],[Sede]]="","",MARÍTIMOS[[#This Row],[Sede]]),"")</f>
        <v/>
      </c>
      <c r="D382" s="1" t="str">
        <f>IFERROR(IF(MARÍTIMOS[[#This Row],[Instruction]]="","",MARÍTIMOS[[#This Row],[Instruction]]),"")</f>
        <v/>
      </c>
      <c r="E382" s="1"/>
      <c r="F382" s="2" t="str">
        <f>IFERROR(IF(MARÍTIMOS[[#This Row],[Transportista]]="","",MARÍTIMOS[[#This Row],[Transportista]]),"")</f>
        <v/>
      </c>
      <c r="G382" s="2" t="str">
        <f>IFERROR(IF(MARÍTIMOS[[#This Row],[Tercero]]="","",MARÍTIMOS[[#This Row],[Tercero]]),"")</f>
        <v/>
      </c>
      <c r="H382" s="2" t="str">
        <f>IFERROR(IF(MARÍTIMOS[[#This Row],[Razón Social]]="","",MARÍTIMOS[[#This Row],[Razón Social]]),"")</f>
        <v/>
      </c>
      <c r="I382" s="2" t="str">
        <f>IFERROR(IF(MARÍTIMOS[[#This Row],[RUC]]="","",MARÍTIMOS[[#This Row],[RUC]]),"")</f>
        <v/>
      </c>
      <c r="J382" s="2" t="str">
        <f>IFERROR(IF(MARÍTIMOS[[#This Row],[Placa Tracto]]="","",MARÍTIMOS[[#This Row],[Placa Tracto]]),"")</f>
        <v/>
      </c>
      <c r="K382" s="2" t="str">
        <f>IFERROR(IF(MARÍTIMOS[[#This Row],[Placa Carreta]]="","",MARÍTIMOS[[#This Row],[Placa Carreta]]),"")</f>
        <v/>
      </c>
      <c r="L382" s="46" t="str">
        <f>IFERROR(IF(MARÍTIMOS[[#This Row],[Conductor]]="","",MARÍTIMOS[[#This Row],[Conductor]]),"")</f>
        <v/>
      </c>
      <c r="M382" s="2" t="str">
        <f>IFERROR(IF(MARÍTIMOS[[#This Row],[Licencia]]="","",MARÍTIMOS[[#This Row],[Licencia]]),"")</f>
        <v/>
      </c>
      <c r="N382" s="2" t="str">
        <f>IFERROR(IF(MARÍTIMOS[[#This Row],[Número de Contacto]]="","",MARÍTIMOS[[#This Row],[Número de Contacto]]),"")</f>
        <v/>
      </c>
      <c r="O382" s="10" t="str">
        <f>IFERROR(IF(MARÍTIMOS[[#This Row],[Booking|AWB|CRT]]="","",MARÍTIMOS[[#This Row],[Booking|AWB|CRT]]),"")</f>
        <v/>
      </c>
      <c r="P382" s="2" t="str">
        <f>IFERROR(IF(MARÍTIMOS[[#This Row],[Contenedor]]="","",MARÍTIMOS[[#This Row],[Contenedor]]),"")</f>
        <v/>
      </c>
      <c r="Q382" s="2" t="str">
        <f>IFERROR(IF(MARÍTIMOS[[#This Row],[Puerto de Retiro]]="","",MARÍTIMOS[[#This Row],[Puerto de Retiro]]),"")</f>
        <v/>
      </c>
      <c r="R382" s="2" t="str">
        <f>IFERROR(IF(MARÍTIMOS[[#This Row],[Almacén de Retiro]]="","",MARÍTIMOS[[#This Row],[Almacén de Retiro]]),"")</f>
        <v/>
      </c>
      <c r="S382" s="11" t="str">
        <f>IFERROR(IF(MARÍTIMOS[[#This Row],[Etapa Retiro - Cita]]="","",MARÍTIMOS[[#This Row],[Etapa Retiro - Cita]]),"")</f>
        <v/>
      </c>
      <c r="T382" s="11" t="str">
        <f>IFERROR(IF(MARÍTIMOS[[#This Row],[Etapa Retiro - Llegada]]="","",MARÍTIMOS[[#This Row],[Etapa Retiro - Llegada]]),"")</f>
        <v/>
      </c>
      <c r="U382" s="11" t="str">
        <f>IFERROR(IF(MARÍTIMOS[[#This Row],[Etapa Retiro - Ingreso]]="","",MARÍTIMOS[[#This Row],[Etapa Retiro - Ingreso]]),"")</f>
        <v/>
      </c>
      <c r="V382" s="11" t="str">
        <f>IFERROR(IF(MARÍTIMOS[[#This Row],[Etapa Retiro - Atención]]="","",MARÍTIMOS[[#This Row],[Etapa Retiro - Atención]]),"")</f>
        <v/>
      </c>
      <c r="W382" s="11" t="str">
        <f>IFERROR(IF(MARÍTIMOS[[#This Row],[Etapa Retiro - Salida]]="","",MARÍTIMOS[[#This Row],[Etapa Retiro - Salida]]),"")</f>
        <v/>
      </c>
      <c r="X382" s="11" t="str">
        <f>IFERROR(IF(MARÍTIMOS[[#This Row],[Etapa Retiro - Inicio de Ruta]]="","",MARÍTIMOS[[#This Row],[Etapa Retiro - Inicio de Ruta]]),"")</f>
        <v/>
      </c>
      <c r="Y382" s="11" t="str">
        <f>IFERROR(IF(MARÍTIMOS[[#This Row],[Hora de Posicionamiento]]="","",MARÍTIMOS[[#This Row],[Hora de Carga]]+MARÍTIMOS[[#This Row],[Hora de Posicionamiento]]),"")</f>
        <v/>
      </c>
      <c r="Z382" s="11" t="str">
        <f>IFERROR(IF(MARÍTIMOS[[#This Row],[Etapa Despacho -  Llegada]]="","",MARÍTIMOS[[#This Row],[Etapa Despacho -  Llegada]]),"")</f>
        <v/>
      </c>
      <c r="AA382" s="11" t="str">
        <f>IFERROR(IF(MARÍTIMOS[[#This Row],[Etapa Despacho -  Registro]]="","",MARÍTIMOS[[#This Row],[Etapa Despacho -  Registro]]),"")</f>
        <v/>
      </c>
      <c r="AB382" s="11" t="str">
        <f>IFERROR(IF(MARÍTIMOS[[#This Row],[Inspección Externa]]="","",MARÍTIMOS[[#This Row],[Inspección Externa]]),"")</f>
        <v/>
      </c>
      <c r="AC382" s="11" t="str">
        <f>IFERROR(IF(MARÍTIMOS[[#This Row],[Etapa Despacho -  Inicio de Carga]]="","",MARÍTIMOS[[#This Row],[Etapa Despacho -  Inicio de Carga]]),"")</f>
        <v/>
      </c>
      <c r="AD382" s="11" t="str">
        <f>IFERROR(IF(MARÍTIMOS[[#This Row],[Etapa Despacho -  Fin de Carga]]="","",MARÍTIMOS[[#This Row],[Etapa Despacho -  Fin de Carga]]),"")</f>
        <v/>
      </c>
      <c r="AE382" s="11" t="str">
        <f>IFERROR(IF(MARÍTIMOS[[#This Row],[Etapa Despacho -  Salida]]="","",MARÍTIMOS[[#This Row],[Etapa Despacho -  Salida]]),"")</f>
        <v/>
      </c>
      <c r="AF382" s="2" t="str">
        <f>IFERROR(IF(MARÍTIMOS[[#This Row],[Puerto de Embarque]]="","",MARÍTIMOS[[#This Row],[Puerto de Embarque]]),"")</f>
        <v/>
      </c>
      <c r="AG382" s="2" t="str">
        <f>IFERROR(IF(MARÍTIMOS[[#This Row],[Almacén de Ingreso]]="","",MARÍTIMOS[[#This Row],[Almacén de Ingreso]]),"")</f>
        <v/>
      </c>
      <c r="AH382" s="11" t="str">
        <f>IFERROR(IF(MARÍTIMOS[[#This Row],[Etapa Ingreso - Cita]]="","",MARÍTIMOS[[#This Row],[Etapa Ingreso - Cita]]),"")</f>
        <v/>
      </c>
      <c r="AI382" s="11" t="str">
        <f>IFERROR(IF(MARÍTIMOS[[#This Row],[Etapa Ingreso - Llegada]]="","",MARÍTIMOS[[#This Row],[Etapa Ingreso - Llegada]]),"")</f>
        <v/>
      </c>
      <c r="AJ382" s="11" t="str">
        <f>IFERROR(IF(MARÍTIMOS[[#This Row],[Etapa Ingreso - Ingeso]]="","",MARÍTIMOS[[#This Row],[Etapa Ingreso - Ingeso]]),"")</f>
        <v/>
      </c>
      <c r="AK382" s="11" t="str">
        <f>IFERROR(IF(MARÍTIMOS[[#This Row],[Etapa Ingreso - Atención]]="","",MARÍTIMOS[[#This Row],[Etapa Ingreso - Atención]]),"")</f>
        <v/>
      </c>
      <c r="AL382" s="11" t="str">
        <f>IFERROR(IF(MARÍTIMOS[[#This Row],[Etapa Ingreso - Salida]]="","",MARÍTIMOS[[#This Row],[Etapa Ingreso - Salida]]),"")</f>
        <v/>
      </c>
      <c r="AM382" s="2" t="str">
        <f>IFERROR(IF(MARÍTIMOS[[#This Row],[FCL]]="","",MARÍTIMOS[[#This Row],[FCL]]),"")</f>
        <v/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2" s="5" t="str">
        <f>IFERROR(OLDBD[[#This Row],[Llegada a packing]]-OLDBD[[#This Row],[Inicio de Ruta]],"")</f>
        <v/>
      </c>
      <c r="AQ382" s="6" t="str">
        <f>IFERROR(OLDBD[[#This Row],[Inicio de Ruta]]-OLDBD[[#This Row],[Salida de almacén de retiro]],"")</f>
        <v/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2" s="9" t="str">
        <f>IFERROR(OLDBD[[#This Row],[Ingreso Packing]]-OLDBD[[#This Row],[Registro en Packing]],"")</f>
        <v/>
      </c>
      <c r="AV382" s="9" t="str">
        <f>IFERROR(OLDBD[[#This Row],[Ingreso Packing]]-OLDBD[[#This Row],[Llegada a packing]],"")</f>
        <v/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 t="str">
        <f>IFERROR(OLDBD[[#This Row],[Llegada Almacén de Ingreso]]-OLDBD[[#This Row],[Salida Packing]],"")</f>
        <v/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2" s="45" t="s">
        <v>181</v>
      </c>
      <c r="BB382" s="53" t="str">
        <f>IFERROR(IF(MARÍTIMOS[[#This Row],[Estatus]]="","",MARÍTIMOS[[#This Row],[Estatus]]),"")</f>
        <v/>
      </c>
      <c r="BC382" s="45"/>
      <c r="BD382" s="52" t="str">
        <f>IFERROR(OLDBD[[#This Row],[Salida de almacén de retiro]]-OLDBD[[#This Row],[Ingreso Almacén de retiro]],"")</f>
        <v/>
      </c>
      <c r="BE382" s="52" t="str">
        <f>IFERROR(OLDBD[[#This Row],[Fin de Carga]]-OLDBD[[#This Row],[Inicio de Carga]],"")</f>
        <v/>
      </c>
    </row>
    <row r="383" spans="1:57" x14ac:dyDescent="0.35">
      <c r="A383" s="1"/>
      <c r="B383" s="1" t="str">
        <f>IFERROR(IF(MARÍTIMOS[[#This Row],[PP]]="","",MARÍTIMOS[[#This Row],[PP]]),"")</f>
        <v/>
      </c>
      <c r="C383" s="1" t="str">
        <f>IFERROR(IF(MARÍTIMOS[[#This Row],[Sede]]="","",MARÍTIMOS[[#This Row],[Sede]]),"")</f>
        <v/>
      </c>
      <c r="D383" s="1" t="str">
        <f>IFERROR(IF(MARÍTIMOS[[#This Row],[Instruction]]="","",MARÍTIMOS[[#This Row],[Instruction]]),"")</f>
        <v/>
      </c>
      <c r="E383" s="1"/>
      <c r="F383" s="2" t="str">
        <f>IFERROR(IF(MARÍTIMOS[[#This Row],[Transportista]]="","",MARÍTIMOS[[#This Row],[Transportista]]),"")</f>
        <v/>
      </c>
      <c r="G383" s="2" t="str">
        <f>IFERROR(IF(MARÍTIMOS[[#This Row],[Tercero]]="","",MARÍTIMOS[[#This Row],[Tercero]]),"")</f>
        <v/>
      </c>
      <c r="H383" s="2" t="str">
        <f>IFERROR(IF(MARÍTIMOS[[#This Row],[Razón Social]]="","",MARÍTIMOS[[#This Row],[Razón Social]]),"")</f>
        <v/>
      </c>
      <c r="I383" s="2" t="str">
        <f>IFERROR(IF(MARÍTIMOS[[#This Row],[RUC]]="","",MARÍTIMOS[[#This Row],[RUC]]),"")</f>
        <v/>
      </c>
      <c r="J383" s="2" t="str">
        <f>IFERROR(IF(MARÍTIMOS[[#This Row],[Placa Tracto]]="","",MARÍTIMOS[[#This Row],[Placa Tracto]]),"")</f>
        <v/>
      </c>
      <c r="K383" s="2" t="str">
        <f>IFERROR(IF(MARÍTIMOS[[#This Row],[Placa Carreta]]="","",MARÍTIMOS[[#This Row],[Placa Carreta]]),"")</f>
        <v/>
      </c>
      <c r="L383" s="46" t="str">
        <f>IFERROR(IF(MARÍTIMOS[[#This Row],[Conductor]]="","",MARÍTIMOS[[#This Row],[Conductor]]),"")</f>
        <v/>
      </c>
      <c r="M383" s="2" t="str">
        <f>IFERROR(IF(MARÍTIMOS[[#This Row],[Licencia]]="","",MARÍTIMOS[[#This Row],[Licencia]]),"")</f>
        <v/>
      </c>
      <c r="N383" s="2" t="str">
        <f>IFERROR(IF(MARÍTIMOS[[#This Row],[Número de Contacto]]="","",MARÍTIMOS[[#This Row],[Número de Contacto]]),"")</f>
        <v/>
      </c>
      <c r="O383" s="10" t="str">
        <f>IFERROR(IF(MARÍTIMOS[[#This Row],[Booking|AWB|CRT]]="","",MARÍTIMOS[[#This Row],[Booking|AWB|CRT]]),"")</f>
        <v/>
      </c>
      <c r="P383" s="2" t="str">
        <f>IFERROR(IF(MARÍTIMOS[[#This Row],[Contenedor]]="","",MARÍTIMOS[[#This Row],[Contenedor]]),"")</f>
        <v/>
      </c>
      <c r="Q383" s="2" t="str">
        <f>IFERROR(IF(MARÍTIMOS[[#This Row],[Puerto de Retiro]]="","",MARÍTIMOS[[#This Row],[Puerto de Retiro]]),"")</f>
        <v/>
      </c>
      <c r="R383" s="2" t="str">
        <f>IFERROR(IF(MARÍTIMOS[[#This Row],[Almacén de Retiro]]="","",MARÍTIMOS[[#This Row],[Almacén de Retiro]]),"")</f>
        <v/>
      </c>
      <c r="S383" s="11" t="str">
        <f>IFERROR(IF(MARÍTIMOS[[#This Row],[Etapa Retiro - Cita]]="","",MARÍTIMOS[[#This Row],[Etapa Retiro - Cita]]),"")</f>
        <v/>
      </c>
      <c r="T383" s="11" t="str">
        <f>IFERROR(IF(MARÍTIMOS[[#This Row],[Etapa Retiro - Llegada]]="","",MARÍTIMOS[[#This Row],[Etapa Retiro - Llegada]]),"")</f>
        <v/>
      </c>
      <c r="U383" s="11" t="str">
        <f>IFERROR(IF(MARÍTIMOS[[#This Row],[Etapa Retiro - Ingreso]]="","",MARÍTIMOS[[#This Row],[Etapa Retiro - Ingreso]]),"")</f>
        <v/>
      </c>
      <c r="V383" s="11" t="str">
        <f>IFERROR(IF(MARÍTIMOS[[#This Row],[Etapa Retiro - Atención]]="","",MARÍTIMOS[[#This Row],[Etapa Retiro - Atención]]),"")</f>
        <v/>
      </c>
      <c r="W383" s="11" t="str">
        <f>IFERROR(IF(MARÍTIMOS[[#This Row],[Etapa Retiro - Salida]]="","",MARÍTIMOS[[#This Row],[Etapa Retiro - Salida]]),"")</f>
        <v/>
      </c>
      <c r="X383" s="11" t="str">
        <f>IFERROR(IF(MARÍTIMOS[[#This Row],[Etapa Retiro - Inicio de Ruta]]="","",MARÍTIMOS[[#This Row],[Etapa Retiro - Inicio de Ruta]]),"")</f>
        <v/>
      </c>
      <c r="Y383" s="11" t="str">
        <f>IFERROR(IF(MARÍTIMOS[[#This Row],[Hora de Posicionamiento]]="","",MARÍTIMOS[[#This Row],[Hora de Carga]]+MARÍTIMOS[[#This Row],[Hora de Posicionamiento]]),"")</f>
        <v/>
      </c>
      <c r="Z383" s="11" t="str">
        <f>IFERROR(IF(MARÍTIMOS[[#This Row],[Etapa Despacho -  Llegada]]="","",MARÍTIMOS[[#This Row],[Etapa Despacho -  Llegada]]),"")</f>
        <v/>
      </c>
      <c r="AA383" s="11" t="str">
        <f>IFERROR(IF(MARÍTIMOS[[#This Row],[Etapa Despacho -  Registro]]="","",MARÍTIMOS[[#This Row],[Etapa Despacho -  Registro]]),"")</f>
        <v/>
      </c>
      <c r="AB383" s="11" t="str">
        <f>IFERROR(IF(MARÍTIMOS[[#This Row],[Inspección Externa]]="","",MARÍTIMOS[[#This Row],[Inspección Externa]]),"")</f>
        <v/>
      </c>
      <c r="AC383" s="11" t="str">
        <f>IFERROR(IF(MARÍTIMOS[[#This Row],[Etapa Despacho -  Inicio de Carga]]="","",MARÍTIMOS[[#This Row],[Etapa Despacho -  Inicio de Carga]]),"")</f>
        <v/>
      </c>
      <c r="AD383" s="11" t="str">
        <f>IFERROR(IF(MARÍTIMOS[[#This Row],[Etapa Despacho -  Fin de Carga]]="","",MARÍTIMOS[[#This Row],[Etapa Despacho -  Fin de Carga]]),"")</f>
        <v/>
      </c>
      <c r="AE383" s="11" t="str">
        <f>IFERROR(IF(MARÍTIMOS[[#This Row],[Etapa Despacho -  Salida]]="","",MARÍTIMOS[[#This Row],[Etapa Despacho -  Salida]]),"")</f>
        <v/>
      </c>
      <c r="AF383" s="2" t="str">
        <f>IFERROR(IF(MARÍTIMOS[[#This Row],[Puerto de Embarque]]="","",MARÍTIMOS[[#This Row],[Puerto de Embarque]]),"")</f>
        <v/>
      </c>
      <c r="AG383" s="2" t="str">
        <f>IFERROR(IF(MARÍTIMOS[[#This Row],[Almacén de Ingreso]]="","",MARÍTIMOS[[#This Row],[Almacén de Ingreso]]),"")</f>
        <v/>
      </c>
      <c r="AH383" s="11" t="str">
        <f>IFERROR(IF(MARÍTIMOS[[#This Row],[Etapa Ingreso - Cita]]="","",MARÍTIMOS[[#This Row],[Etapa Ingreso - Cita]]),"")</f>
        <v/>
      </c>
      <c r="AI383" s="11" t="str">
        <f>IFERROR(IF(MARÍTIMOS[[#This Row],[Etapa Ingreso - Llegada]]="","",MARÍTIMOS[[#This Row],[Etapa Ingreso - Llegada]]),"")</f>
        <v/>
      </c>
      <c r="AJ383" s="11" t="str">
        <f>IFERROR(IF(MARÍTIMOS[[#This Row],[Etapa Ingreso - Ingeso]]="","",MARÍTIMOS[[#This Row],[Etapa Ingreso - Ingeso]]),"")</f>
        <v/>
      </c>
      <c r="AK383" s="11" t="str">
        <f>IFERROR(IF(MARÍTIMOS[[#This Row],[Etapa Ingreso - Atención]]="","",MARÍTIMOS[[#This Row],[Etapa Ingreso - Atención]]),"")</f>
        <v/>
      </c>
      <c r="AL383" s="11" t="str">
        <f>IFERROR(IF(MARÍTIMOS[[#This Row],[Etapa Ingreso - Salida]]="","",MARÍTIMOS[[#This Row],[Etapa Ingreso - Salida]]),"")</f>
        <v/>
      </c>
      <c r="AM383" s="2" t="str">
        <f>IFERROR(IF(MARÍTIMOS[[#This Row],[FCL]]="","",MARÍTIMOS[[#This Row],[FCL]]),"")</f>
        <v/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3" s="5" t="str">
        <f>IFERROR(OLDBD[[#This Row],[Llegada a packing]]-OLDBD[[#This Row],[Inicio de Ruta]],"")</f>
        <v/>
      </c>
      <c r="AQ383" s="6" t="str">
        <f>IFERROR(OLDBD[[#This Row],[Inicio de Ruta]]-OLDBD[[#This Row],[Salida de almacén de retiro]],"")</f>
        <v/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3" s="9" t="str">
        <f>IFERROR(OLDBD[[#This Row],[Ingreso Packing]]-OLDBD[[#This Row],[Registro en Packing]],"")</f>
        <v/>
      </c>
      <c r="AV383" s="9" t="str">
        <f>IFERROR(OLDBD[[#This Row],[Ingreso Packing]]-OLDBD[[#This Row],[Llegada a packing]],"")</f>
        <v/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 t="str">
        <f>IFERROR(OLDBD[[#This Row],[Llegada Almacén de Ingreso]]-OLDBD[[#This Row],[Salida Packing]],"")</f>
        <v/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3" s="45" t="s">
        <v>181</v>
      </c>
      <c r="BB383" s="53" t="str">
        <f>IFERROR(IF(MARÍTIMOS[[#This Row],[Estatus]]="","",MARÍTIMOS[[#This Row],[Estatus]]),"")</f>
        <v/>
      </c>
      <c r="BC383" s="45"/>
      <c r="BD383" s="52" t="str">
        <f>IFERROR(OLDBD[[#This Row],[Salida de almacén de retiro]]-OLDBD[[#This Row],[Ingreso Almacén de retiro]],"")</f>
        <v/>
      </c>
      <c r="BE383" s="52" t="str">
        <f>IFERROR(OLDBD[[#This Row],[Fin de Carga]]-OLDBD[[#This Row],[Inicio de Carga]],"")</f>
        <v/>
      </c>
    </row>
    <row r="384" spans="1:57" x14ac:dyDescent="0.35">
      <c r="A384" s="1"/>
      <c r="B384" s="1" t="str">
        <f>IFERROR(IF(MARÍTIMOS[[#This Row],[PP]]="","",MARÍTIMOS[[#This Row],[PP]]),"")</f>
        <v/>
      </c>
      <c r="C384" s="1" t="str">
        <f>IFERROR(IF(MARÍTIMOS[[#This Row],[Sede]]="","",MARÍTIMOS[[#This Row],[Sede]]),"")</f>
        <v/>
      </c>
      <c r="D384" s="1" t="str">
        <f>IFERROR(IF(MARÍTIMOS[[#This Row],[Instruction]]="","",MARÍTIMOS[[#This Row],[Instruction]]),"")</f>
        <v/>
      </c>
      <c r="E384" s="1"/>
      <c r="F384" s="2" t="str">
        <f>IFERROR(IF(MARÍTIMOS[[#This Row],[Transportista]]="","",MARÍTIMOS[[#This Row],[Transportista]]),"")</f>
        <v/>
      </c>
      <c r="G384" s="2" t="str">
        <f>IFERROR(IF(MARÍTIMOS[[#This Row],[Tercero]]="","",MARÍTIMOS[[#This Row],[Tercero]]),"")</f>
        <v/>
      </c>
      <c r="H384" s="2" t="str">
        <f>IFERROR(IF(MARÍTIMOS[[#This Row],[Razón Social]]="","",MARÍTIMOS[[#This Row],[Razón Social]]),"")</f>
        <v/>
      </c>
      <c r="I384" s="2" t="str">
        <f>IFERROR(IF(MARÍTIMOS[[#This Row],[RUC]]="","",MARÍTIMOS[[#This Row],[RUC]]),"")</f>
        <v/>
      </c>
      <c r="J384" s="2" t="str">
        <f>IFERROR(IF(MARÍTIMOS[[#This Row],[Placa Tracto]]="","",MARÍTIMOS[[#This Row],[Placa Tracto]]),"")</f>
        <v/>
      </c>
      <c r="K384" s="2" t="str">
        <f>IFERROR(IF(MARÍTIMOS[[#This Row],[Placa Carreta]]="","",MARÍTIMOS[[#This Row],[Placa Carreta]]),"")</f>
        <v/>
      </c>
      <c r="L384" s="46" t="str">
        <f>IFERROR(IF(MARÍTIMOS[[#This Row],[Conductor]]="","",MARÍTIMOS[[#This Row],[Conductor]]),"")</f>
        <v/>
      </c>
      <c r="M384" s="2" t="str">
        <f>IFERROR(IF(MARÍTIMOS[[#This Row],[Licencia]]="","",MARÍTIMOS[[#This Row],[Licencia]]),"")</f>
        <v/>
      </c>
      <c r="N384" s="2" t="str">
        <f>IFERROR(IF(MARÍTIMOS[[#This Row],[Número de Contacto]]="","",MARÍTIMOS[[#This Row],[Número de Contacto]]),"")</f>
        <v/>
      </c>
      <c r="O384" s="10" t="str">
        <f>IFERROR(IF(MARÍTIMOS[[#This Row],[Booking|AWB|CRT]]="","",MARÍTIMOS[[#This Row],[Booking|AWB|CRT]]),"")</f>
        <v/>
      </c>
      <c r="P384" s="2" t="str">
        <f>IFERROR(IF(MARÍTIMOS[[#This Row],[Contenedor]]="","",MARÍTIMOS[[#This Row],[Contenedor]]),"")</f>
        <v/>
      </c>
      <c r="Q384" s="2" t="str">
        <f>IFERROR(IF(MARÍTIMOS[[#This Row],[Puerto de Retiro]]="","",MARÍTIMOS[[#This Row],[Puerto de Retiro]]),"")</f>
        <v/>
      </c>
      <c r="R384" s="2" t="str">
        <f>IFERROR(IF(MARÍTIMOS[[#This Row],[Almacén de Retiro]]="","",MARÍTIMOS[[#This Row],[Almacén de Retiro]]),"")</f>
        <v/>
      </c>
      <c r="S384" s="11" t="str">
        <f>IFERROR(IF(MARÍTIMOS[[#This Row],[Etapa Retiro - Cita]]="","",MARÍTIMOS[[#This Row],[Etapa Retiro - Cita]]),"")</f>
        <v/>
      </c>
      <c r="T384" s="11" t="str">
        <f>IFERROR(IF(MARÍTIMOS[[#This Row],[Etapa Retiro - Llegada]]="","",MARÍTIMOS[[#This Row],[Etapa Retiro - Llegada]]),"")</f>
        <v/>
      </c>
      <c r="U384" s="11" t="str">
        <f>IFERROR(IF(MARÍTIMOS[[#This Row],[Etapa Retiro - Ingreso]]="","",MARÍTIMOS[[#This Row],[Etapa Retiro - Ingreso]]),"")</f>
        <v/>
      </c>
      <c r="V384" s="11" t="str">
        <f>IFERROR(IF(MARÍTIMOS[[#This Row],[Etapa Retiro - Atención]]="","",MARÍTIMOS[[#This Row],[Etapa Retiro - Atención]]),"")</f>
        <v/>
      </c>
      <c r="W384" s="11" t="str">
        <f>IFERROR(IF(MARÍTIMOS[[#This Row],[Etapa Retiro - Salida]]="","",MARÍTIMOS[[#This Row],[Etapa Retiro - Salida]]),"")</f>
        <v/>
      </c>
      <c r="X384" s="11" t="str">
        <f>IFERROR(IF(MARÍTIMOS[[#This Row],[Etapa Retiro - Inicio de Ruta]]="","",MARÍTIMOS[[#This Row],[Etapa Retiro - Inicio de Ruta]]),"")</f>
        <v/>
      </c>
      <c r="Y384" s="11" t="str">
        <f>IFERROR(IF(MARÍTIMOS[[#This Row],[Hora de Posicionamiento]]="","",MARÍTIMOS[[#This Row],[Hora de Carga]]+MARÍTIMOS[[#This Row],[Hora de Posicionamiento]]),"")</f>
        <v/>
      </c>
      <c r="Z384" s="11" t="str">
        <f>IFERROR(IF(MARÍTIMOS[[#This Row],[Etapa Despacho -  Llegada]]="","",MARÍTIMOS[[#This Row],[Etapa Despacho -  Llegada]]),"")</f>
        <v/>
      </c>
      <c r="AA384" s="11" t="str">
        <f>IFERROR(IF(MARÍTIMOS[[#This Row],[Etapa Despacho -  Registro]]="","",MARÍTIMOS[[#This Row],[Etapa Despacho -  Registro]]),"")</f>
        <v/>
      </c>
      <c r="AB384" s="11" t="str">
        <f>IFERROR(IF(MARÍTIMOS[[#This Row],[Inspección Externa]]="","",MARÍTIMOS[[#This Row],[Inspección Externa]]),"")</f>
        <v/>
      </c>
      <c r="AC384" s="11" t="str">
        <f>IFERROR(IF(MARÍTIMOS[[#This Row],[Etapa Despacho -  Inicio de Carga]]="","",MARÍTIMOS[[#This Row],[Etapa Despacho -  Inicio de Carga]]),"")</f>
        <v/>
      </c>
      <c r="AD384" s="11" t="str">
        <f>IFERROR(IF(MARÍTIMOS[[#This Row],[Etapa Despacho -  Fin de Carga]]="","",MARÍTIMOS[[#This Row],[Etapa Despacho -  Fin de Carga]]),"")</f>
        <v/>
      </c>
      <c r="AE384" s="11" t="str">
        <f>IFERROR(IF(MARÍTIMOS[[#This Row],[Etapa Despacho -  Salida]]="","",MARÍTIMOS[[#This Row],[Etapa Despacho -  Salida]]),"")</f>
        <v/>
      </c>
      <c r="AF384" s="2" t="str">
        <f>IFERROR(IF(MARÍTIMOS[[#This Row],[Puerto de Embarque]]="","",MARÍTIMOS[[#This Row],[Puerto de Embarque]]),"")</f>
        <v/>
      </c>
      <c r="AG384" s="2" t="str">
        <f>IFERROR(IF(MARÍTIMOS[[#This Row],[Almacén de Ingreso]]="","",MARÍTIMOS[[#This Row],[Almacén de Ingreso]]),"")</f>
        <v/>
      </c>
      <c r="AH384" s="11" t="str">
        <f>IFERROR(IF(MARÍTIMOS[[#This Row],[Etapa Ingreso - Cita]]="","",MARÍTIMOS[[#This Row],[Etapa Ingreso - Cita]]),"")</f>
        <v/>
      </c>
      <c r="AI384" s="11" t="str">
        <f>IFERROR(IF(MARÍTIMOS[[#This Row],[Etapa Ingreso - Llegada]]="","",MARÍTIMOS[[#This Row],[Etapa Ingreso - Llegada]]),"")</f>
        <v/>
      </c>
      <c r="AJ384" s="11" t="str">
        <f>IFERROR(IF(MARÍTIMOS[[#This Row],[Etapa Ingreso - Ingeso]]="","",MARÍTIMOS[[#This Row],[Etapa Ingreso - Ingeso]]),"")</f>
        <v/>
      </c>
      <c r="AK384" s="11" t="str">
        <f>IFERROR(IF(MARÍTIMOS[[#This Row],[Etapa Ingreso - Atención]]="","",MARÍTIMOS[[#This Row],[Etapa Ingreso - Atención]]),"")</f>
        <v/>
      </c>
      <c r="AL384" s="11" t="str">
        <f>IFERROR(IF(MARÍTIMOS[[#This Row],[Etapa Ingreso - Salida]]="","",MARÍTIMOS[[#This Row],[Etapa Ingreso - Salida]]),"")</f>
        <v/>
      </c>
      <c r="AM384" s="2" t="str">
        <f>IFERROR(IF(MARÍTIMOS[[#This Row],[FCL]]="","",MARÍTIMOS[[#This Row],[FCL]]),"")</f>
        <v/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4" s="5" t="str">
        <f>IFERROR(OLDBD[[#This Row],[Llegada a packing]]-OLDBD[[#This Row],[Inicio de Ruta]],"")</f>
        <v/>
      </c>
      <c r="AQ384" s="6" t="str">
        <f>IFERROR(OLDBD[[#This Row],[Inicio de Ruta]]-OLDBD[[#This Row],[Salida de almacén de retiro]],"")</f>
        <v/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4" s="9" t="str">
        <f>IFERROR(OLDBD[[#This Row],[Ingreso Packing]]-OLDBD[[#This Row],[Registro en Packing]],"")</f>
        <v/>
      </c>
      <c r="AV384" s="9" t="str">
        <f>IFERROR(OLDBD[[#This Row],[Ingreso Packing]]-OLDBD[[#This Row],[Llegada a packing]],"")</f>
        <v/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 t="str">
        <f>IFERROR(OLDBD[[#This Row],[Llegada Almacén de Ingreso]]-OLDBD[[#This Row],[Salida Packing]],"")</f>
        <v/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4" s="45" t="s">
        <v>181</v>
      </c>
      <c r="BB384" s="53" t="str">
        <f>IFERROR(IF(MARÍTIMOS[[#This Row],[Estatus]]="","",MARÍTIMOS[[#This Row],[Estatus]]),"")</f>
        <v/>
      </c>
      <c r="BC384" s="45"/>
      <c r="BD384" s="52" t="str">
        <f>IFERROR(OLDBD[[#This Row],[Salida de almacén de retiro]]-OLDBD[[#This Row],[Ingreso Almacén de retiro]],"")</f>
        <v/>
      </c>
      <c r="BE384" s="52" t="str">
        <f>IFERROR(OLDBD[[#This Row],[Fin de Carga]]-OLDBD[[#This Row],[Inicio de Carga]],"")</f>
        <v/>
      </c>
    </row>
    <row r="385" spans="1:57" x14ac:dyDescent="0.35">
      <c r="A385" s="1"/>
      <c r="B385" s="1" t="str">
        <f>IFERROR(IF(MARÍTIMOS[[#This Row],[PP]]="","",MARÍTIMOS[[#This Row],[PP]]),"")</f>
        <v/>
      </c>
      <c r="C385" s="1" t="str">
        <f>IFERROR(IF(MARÍTIMOS[[#This Row],[Sede]]="","",MARÍTIMOS[[#This Row],[Sede]]),"")</f>
        <v/>
      </c>
      <c r="D385" s="1" t="str">
        <f>IFERROR(IF(MARÍTIMOS[[#This Row],[Instruction]]="","",MARÍTIMOS[[#This Row],[Instruction]]),"")</f>
        <v/>
      </c>
      <c r="E385" s="1"/>
      <c r="F385" s="2" t="str">
        <f>IFERROR(IF(MARÍTIMOS[[#This Row],[Transportista]]="","",MARÍTIMOS[[#This Row],[Transportista]]),"")</f>
        <v/>
      </c>
      <c r="G385" s="2" t="str">
        <f>IFERROR(IF(MARÍTIMOS[[#This Row],[Tercero]]="","",MARÍTIMOS[[#This Row],[Tercero]]),"")</f>
        <v/>
      </c>
      <c r="H385" s="2" t="str">
        <f>IFERROR(IF(MARÍTIMOS[[#This Row],[Razón Social]]="","",MARÍTIMOS[[#This Row],[Razón Social]]),"")</f>
        <v/>
      </c>
      <c r="I385" s="2" t="str">
        <f>IFERROR(IF(MARÍTIMOS[[#This Row],[RUC]]="","",MARÍTIMOS[[#This Row],[RUC]]),"")</f>
        <v/>
      </c>
      <c r="J385" s="2" t="str">
        <f>IFERROR(IF(MARÍTIMOS[[#This Row],[Placa Tracto]]="","",MARÍTIMOS[[#This Row],[Placa Tracto]]),"")</f>
        <v/>
      </c>
      <c r="K385" s="2" t="str">
        <f>IFERROR(IF(MARÍTIMOS[[#This Row],[Placa Carreta]]="","",MARÍTIMOS[[#This Row],[Placa Carreta]]),"")</f>
        <v/>
      </c>
      <c r="L385" s="46" t="str">
        <f>IFERROR(IF(MARÍTIMOS[[#This Row],[Conductor]]="","",MARÍTIMOS[[#This Row],[Conductor]]),"")</f>
        <v/>
      </c>
      <c r="M385" s="2" t="str">
        <f>IFERROR(IF(MARÍTIMOS[[#This Row],[Licencia]]="","",MARÍTIMOS[[#This Row],[Licencia]]),"")</f>
        <v/>
      </c>
      <c r="N385" s="2" t="str">
        <f>IFERROR(IF(MARÍTIMOS[[#This Row],[Número de Contacto]]="","",MARÍTIMOS[[#This Row],[Número de Contacto]]),"")</f>
        <v/>
      </c>
      <c r="O385" s="10" t="str">
        <f>IFERROR(IF(MARÍTIMOS[[#This Row],[Booking|AWB|CRT]]="","",MARÍTIMOS[[#This Row],[Booking|AWB|CRT]]),"")</f>
        <v/>
      </c>
      <c r="P385" s="2" t="str">
        <f>IFERROR(IF(MARÍTIMOS[[#This Row],[Contenedor]]="","",MARÍTIMOS[[#This Row],[Contenedor]]),"")</f>
        <v/>
      </c>
      <c r="Q385" s="2" t="str">
        <f>IFERROR(IF(MARÍTIMOS[[#This Row],[Puerto de Retiro]]="","",MARÍTIMOS[[#This Row],[Puerto de Retiro]]),"")</f>
        <v/>
      </c>
      <c r="R385" s="2" t="str">
        <f>IFERROR(IF(MARÍTIMOS[[#This Row],[Almacén de Retiro]]="","",MARÍTIMOS[[#This Row],[Almacén de Retiro]]),"")</f>
        <v/>
      </c>
      <c r="S385" s="11" t="str">
        <f>IFERROR(IF(MARÍTIMOS[[#This Row],[Etapa Retiro - Cita]]="","",MARÍTIMOS[[#This Row],[Etapa Retiro - Cita]]),"")</f>
        <v/>
      </c>
      <c r="T385" s="11" t="str">
        <f>IFERROR(IF(MARÍTIMOS[[#This Row],[Etapa Retiro - Llegada]]="","",MARÍTIMOS[[#This Row],[Etapa Retiro - Llegada]]),"")</f>
        <v/>
      </c>
      <c r="U385" s="11" t="str">
        <f>IFERROR(IF(MARÍTIMOS[[#This Row],[Etapa Retiro - Ingreso]]="","",MARÍTIMOS[[#This Row],[Etapa Retiro - Ingreso]]),"")</f>
        <v/>
      </c>
      <c r="V385" s="11" t="str">
        <f>IFERROR(IF(MARÍTIMOS[[#This Row],[Etapa Retiro - Atención]]="","",MARÍTIMOS[[#This Row],[Etapa Retiro - Atención]]),"")</f>
        <v/>
      </c>
      <c r="W385" s="11" t="str">
        <f>IFERROR(IF(MARÍTIMOS[[#This Row],[Etapa Retiro - Salida]]="","",MARÍTIMOS[[#This Row],[Etapa Retiro - Salida]]),"")</f>
        <v/>
      </c>
      <c r="X385" s="11" t="str">
        <f>IFERROR(IF(MARÍTIMOS[[#This Row],[Etapa Retiro - Inicio de Ruta]]="","",MARÍTIMOS[[#This Row],[Etapa Retiro - Inicio de Ruta]]),"")</f>
        <v/>
      </c>
      <c r="Y385" s="11" t="str">
        <f>IFERROR(IF(MARÍTIMOS[[#This Row],[Hora de Posicionamiento]]="","",MARÍTIMOS[[#This Row],[Hora de Carga]]+MARÍTIMOS[[#This Row],[Hora de Posicionamiento]]),"")</f>
        <v/>
      </c>
      <c r="Z385" s="11" t="str">
        <f>IFERROR(IF(MARÍTIMOS[[#This Row],[Etapa Despacho -  Llegada]]="","",MARÍTIMOS[[#This Row],[Etapa Despacho -  Llegada]]),"")</f>
        <v/>
      </c>
      <c r="AA385" s="11" t="str">
        <f>IFERROR(IF(MARÍTIMOS[[#This Row],[Etapa Despacho -  Registro]]="","",MARÍTIMOS[[#This Row],[Etapa Despacho -  Registro]]),"")</f>
        <v/>
      </c>
      <c r="AB385" s="11" t="str">
        <f>IFERROR(IF(MARÍTIMOS[[#This Row],[Inspección Externa]]="","",MARÍTIMOS[[#This Row],[Inspección Externa]]),"")</f>
        <v/>
      </c>
      <c r="AC385" s="11" t="str">
        <f>IFERROR(IF(MARÍTIMOS[[#This Row],[Etapa Despacho -  Inicio de Carga]]="","",MARÍTIMOS[[#This Row],[Etapa Despacho -  Inicio de Carga]]),"")</f>
        <v/>
      </c>
      <c r="AD385" s="11" t="str">
        <f>IFERROR(IF(MARÍTIMOS[[#This Row],[Etapa Despacho -  Fin de Carga]]="","",MARÍTIMOS[[#This Row],[Etapa Despacho -  Fin de Carga]]),"")</f>
        <v/>
      </c>
      <c r="AE385" s="11" t="str">
        <f>IFERROR(IF(MARÍTIMOS[[#This Row],[Etapa Despacho -  Salida]]="","",MARÍTIMOS[[#This Row],[Etapa Despacho -  Salida]]),"")</f>
        <v/>
      </c>
      <c r="AF385" s="2" t="str">
        <f>IFERROR(IF(MARÍTIMOS[[#This Row],[Puerto de Embarque]]="","",MARÍTIMOS[[#This Row],[Puerto de Embarque]]),"")</f>
        <v/>
      </c>
      <c r="AG385" s="2" t="str">
        <f>IFERROR(IF(MARÍTIMOS[[#This Row],[Almacén de Ingreso]]="","",MARÍTIMOS[[#This Row],[Almacén de Ingreso]]),"")</f>
        <v/>
      </c>
      <c r="AH385" s="11" t="str">
        <f>IFERROR(IF(MARÍTIMOS[[#This Row],[Etapa Ingreso - Cita]]="","",MARÍTIMOS[[#This Row],[Etapa Ingreso - Cita]]),"")</f>
        <v/>
      </c>
      <c r="AI385" s="11" t="str">
        <f>IFERROR(IF(MARÍTIMOS[[#This Row],[Etapa Ingreso - Llegada]]="","",MARÍTIMOS[[#This Row],[Etapa Ingreso - Llegada]]),"")</f>
        <v/>
      </c>
      <c r="AJ385" s="11" t="str">
        <f>IFERROR(IF(MARÍTIMOS[[#This Row],[Etapa Ingreso - Ingeso]]="","",MARÍTIMOS[[#This Row],[Etapa Ingreso - Ingeso]]),"")</f>
        <v/>
      </c>
      <c r="AK385" s="11" t="str">
        <f>IFERROR(IF(MARÍTIMOS[[#This Row],[Etapa Ingreso - Atención]]="","",MARÍTIMOS[[#This Row],[Etapa Ingreso - Atención]]),"")</f>
        <v/>
      </c>
      <c r="AL385" s="11" t="str">
        <f>IFERROR(IF(MARÍTIMOS[[#This Row],[Etapa Ingreso - Salida]]="","",MARÍTIMOS[[#This Row],[Etapa Ingreso - Salida]]),"")</f>
        <v/>
      </c>
      <c r="AM385" s="2" t="str">
        <f>IFERROR(IF(MARÍTIMOS[[#This Row],[FCL]]="","",MARÍTIMOS[[#This Row],[FCL]]),"")</f>
        <v/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5" s="5" t="str">
        <f>IFERROR(OLDBD[[#This Row],[Llegada a packing]]-OLDBD[[#This Row],[Inicio de Ruta]],"")</f>
        <v/>
      </c>
      <c r="AQ385" s="6" t="str">
        <f>IFERROR(OLDBD[[#This Row],[Inicio de Ruta]]-OLDBD[[#This Row],[Salida de almacén de retiro]],"")</f>
        <v/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5" s="9" t="str">
        <f>IFERROR(OLDBD[[#This Row],[Ingreso Packing]]-OLDBD[[#This Row],[Registro en Packing]],"")</f>
        <v/>
      </c>
      <c r="AV385" s="9" t="str">
        <f>IFERROR(OLDBD[[#This Row],[Ingreso Packing]]-OLDBD[[#This Row],[Llegada a packing]],"")</f>
        <v/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 t="str">
        <f>IFERROR(OLDBD[[#This Row],[Llegada Almacén de Ingreso]]-OLDBD[[#This Row],[Salida Packing]],"")</f>
        <v/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5" s="45" t="s">
        <v>181</v>
      </c>
      <c r="BB385" s="53" t="str">
        <f>IFERROR(IF(MARÍTIMOS[[#This Row],[Estatus]]="","",MARÍTIMOS[[#This Row],[Estatus]]),"")</f>
        <v/>
      </c>
      <c r="BC385" s="45"/>
      <c r="BD385" s="52" t="str">
        <f>IFERROR(OLDBD[[#This Row],[Salida de almacén de retiro]]-OLDBD[[#This Row],[Ingreso Almacén de retiro]],"")</f>
        <v/>
      </c>
      <c r="BE385" s="52" t="str">
        <f>IFERROR(OLDBD[[#This Row],[Fin de Carga]]-OLDBD[[#This Row],[Inicio de Carga]],"")</f>
        <v/>
      </c>
    </row>
    <row r="386" spans="1:57" x14ac:dyDescent="0.35">
      <c r="A386" s="1"/>
      <c r="B386" s="1" t="str">
        <f>IFERROR(IF(MARÍTIMOS[[#This Row],[PP]]="","",MARÍTIMOS[[#This Row],[PP]]),"")</f>
        <v/>
      </c>
      <c r="C386" s="1" t="str">
        <f>IFERROR(IF(MARÍTIMOS[[#This Row],[Sede]]="","",MARÍTIMOS[[#This Row],[Sede]]),"")</f>
        <v/>
      </c>
      <c r="D386" s="1" t="str">
        <f>IFERROR(IF(MARÍTIMOS[[#This Row],[Instruction]]="","",MARÍTIMOS[[#This Row],[Instruction]]),"")</f>
        <v/>
      </c>
      <c r="E386" s="1"/>
      <c r="F386" s="2" t="str">
        <f>IFERROR(IF(MARÍTIMOS[[#This Row],[Transportista]]="","",MARÍTIMOS[[#This Row],[Transportista]]),"")</f>
        <v/>
      </c>
      <c r="G386" s="2" t="str">
        <f>IFERROR(IF(MARÍTIMOS[[#This Row],[Tercero]]="","",MARÍTIMOS[[#This Row],[Tercero]]),"")</f>
        <v/>
      </c>
      <c r="H386" s="2" t="str">
        <f>IFERROR(IF(MARÍTIMOS[[#This Row],[Razón Social]]="","",MARÍTIMOS[[#This Row],[Razón Social]]),"")</f>
        <v/>
      </c>
      <c r="I386" s="2" t="str">
        <f>IFERROR(IF(MARÍTIMOS[[#This Row],[RUC]]="","",MARÍTIMOS[[#This Row],[RUC]]),"")</f>
        <v/>
      </c>
      <c r="J386" s="2" t="str">
        <f>IFERROR(IF(MARÍTIMOS[[#This Row],[Placa Tracto]]="","",MARÍTIMOS[[#This Row],[Placa Tracto]]),"")</f>
        <v/>
      </c>
      <c r="K386" s="2" t="str">
        <f>IFERROR(IF(MARÍTIMOS[[#This Row],[Placa Carreta]]="","",MARÍTIMOS[[#This Row],[Placa Carreta]]),"")</f>
        <v/>
      </c>
      <c r="L386" s="46" t="str">
        <f>IFERROR(IF(MARÍTIMOS[[#This Row],[Conductor]]="","",MARÍTIMOS[[#This Row],[Conductor]]),"")</f>
        <v/>
      </c>
      <c r="M386" s="2" t="str">
        <f>IFERROR(IF(MARÍTIMOS[[#This Row],[Licencia]]="","",MARÍTIMOS[[#This Row],[Licencia]]),"")</f>
        <v/>
      </c>
      <c r="N386" s="2" t="str">
        <f>IFERROR(IF(MARÍTIMOS[[#This Row],[Número de Contacto]]="","",MARÍTIMOS[[#This Row],[Número de Contacto]]),"")</f>
        <v/>
      </c>
      <c r="O386" s="10" t="str">
        <f>IFERROR(IF(MARÍTIMOS[[#This Row],[Booking|AWB|CRT]]="","",MARÍTIMOS[[#This Row],[Booking|AWB|CRT]]),"")</f>
        <v/>
      </c>
      <c r="P386" s="2" t="str">
        <f>IFERROR(IF(MARÍTIMOS[[#This Row],[Contenedor]]="","",MARÍTIMOS[[#This Row],[Contenedor]]),"")</f>
        <v/>
      </c>
      <c r="Q386" s="2" t="str">
        <f>IFERROR(IF(MARÍTIMOS[[#This Row],[Puerto de Retiro]]="","",MARÍTIMOS[[#This Row],[Puerto de Retiro]]),"")</f>
        <v/>
      </c>
      <c r="R386" s="2" t="str">
        <f>IFERROR(IF(MARÍTIMOS[[#This Row],[Almacén de Retiro]]="","",MARÍTIMOS[[#This Row],[Almacén de Retiro]]),"")</f>
        <v/>
      </c>
      <c r="S386" s="11" t="str">
        <f>IFERROR(IF(MARÍTIMOS[[#This Row],[Etapa Retiro - Cita]]="","",MARÍTIMOS[[#This Row],[Etapa Retiro - Cita]]),"")</f>
        <v/>
      </c>
      <c r="T386" s="11" t="str">
        <f>IFERROR(IF(MARÍTIMOS[[#This Row],[Etapa Retiro - Llegada]]="","",MARÍTIMOS[[#This Row],[Etapa Retiro - Llegada]]),"")</f>
        <v/>
      </c>
      <c r="U386" s="11" t="str">
        <f>IFERROR(IF(MARÍTIMOS[[#This Row],[Etapa Retiro - Ingreso]]="","",MARÍTIMOS[[#This Row],[Etapa Retiro - Ingreso]]),"")</f>
        <v/>
      </c>
      <c r="V386" s="11" t="str">
        <f>IFERROR(IF(MARÍTIMOS[[#This Row],[Etapa Retiro - Atención]]="","",MARÍTIMOS[[#This Row],[Etapa Retiro - Atención]]),"")</f>
        <v/>
      </c>
      <c r="W386" s="11" t="str">
        <f>IFERROR(IF(MARÍTIMOS[[#This Row],[Etapa Retiro - Salida]]="","",MARÍTIMOS[[#This Row],[Etapa Retiro - Salida]]),"")</f>
        <v/>
      </c>
      <c r="X386" s="11" t="str">
        <f>IFERROR(IF(MARÍTIMOS[[#This Row],[Etapa Retiro - Inicio de Ruta]]="","",MARÍTIMOS[[#This Row],[Etapa Retiro - Inicio de Ruta]]),"")</f>
        <v/>
      </c>
      <c r="Y386" s="11" t="str">
        <f>IFERROR(IF(MARÍTIMOS[[#This Row],[Hora de Posicionamiento]]="","",MARÍTIMOS[[#This Row],[Hora de Carga]]+MARÍTIMOS[[#This Row],[Hora de Posicionamiento]]),"")</f>
        <v/>
      </c>
      <c r="Z386" s="11" t="str">
        <f>IFERROR(IF(MARÍTIMOS[[#This Row],[Etapa Despacho -  Llegada]]="","",MARÍTIMOS[[#This Row],[Etapa Despacho -  Llegada]]),"")</f>
        <v/>
      </c>
      <c r="AA386" s="11" t="str">
        <f>IFERROR(IF(MARÍTIMOS[[#This Row],[Etapa Despacho -  Registro]]="","",MARÍTIMOS[[#This Row],[Etapa Despacho -  Registro]]),"")</f>
        <v/>
      </c>
      <c r="AB386" s="11" t="str">
        <f>IFERROR(IF(MARÍTIMOS[[#This Row],[Inspección Externa]]="","",MARÍTIMOS[[#This Row],[Inspección Externa]]),"")</f>
        <v/>
      </c>
      <c r="AC386" s="11" t="str">
        <f>IFERROR(IF(MARÍTIMOS[[#This Row],[Etapa Despacho -  Inicio de Carga]]="","",MARÍTIMOS[[#This Row],[Etapa Despacho -  Inicio de Carga]]),"")</f>
        <v/>
      </c>
      <c r="AD386" s="11" t="str">
        <f>IFERROR(IF(MARÍTIMOS[[#This Row],[Etapa Despacho -  Fin de Carga]]="","",MARÍTIMOS[[#This Row],[Etapa Despacho -  Fin de Carga]]),"")</f>
        <v/>
      </c>
      <c r="AE386" s="11" t="str">
        <f>IFERROR(IF(MARÍTIMOS[[#This Row],[Etapa Despacho -  Salida]]="","",MARÍTIMOS[[#This Row],[Etapa Despacho -  Salida]]),"")</f>
        <v/>
      </c>
      <c r="AF386" s="2" t="str">
        <f>IFERROR(IF(MARÍTIMOS[[#This Row],[Puerto de Embarque]]="","",MARÍTIMOS[[#This Row],[Puerto de Embarque]]),"")</f>
        <v/>
      </c>
      <c r="AG386" s="2" t="str">
        <f>IFERROR(IF(MARÍTIMOS[[#This Row],[Almacén de Ingreso]]="","",MARÍTIMOS[[#This Row],[Almacén de Ingreso]]),"")</f>
        <v/>
      </c>
      <c r="AH386" s="11" t="str">
        <f>IFERROR(IF(MARÍTIMOS[[#This Row],[Etapa Ingreso - Cita]]="","",MARÍTIMOS[[#This Row],[Etapa Ingreso - Cita]]),"")</f>
        <v/>
      </c>
      <c r="AI386" s="11" t="str">
        <f>IFERROR(IF(MARÍTIMOS[[#This Row],[Etapa Ingreso - Llegada]]="","",MARÍTIMOS[[#This Row],[Etapa Ingreso - Llegada]]),"")</f>
        <v/>
      </c>
      <c r="AJ386" s="11" t="str">
        <f>IFERROR(IF(MARÍTIMOS[[#This Row],[Etapa Ingreso - Ingeso]]="","",MARÍTIMOS[[#This Row],[Etapa Ingreso - Ingeso]]),"")</f>
        <v/>
      </c>
      <c r="AK386" s="11" t="str">
        <f>IFERROR(IF(MARÍTIMOS[[#This Row],[Etapa Ingreso - Atención]]="","",MARÍTIMOS[[#This Row],[Etapa Ingreso - Atención]]),"")</f>
        <v/>
      </c>
      <c r="AL386" s="11" t="str">
        <f>IFERROR(IF(MARÍTIMOS[[#This Row],[Etapa Ingreso - Salida]]="","",MARÍTIMOS[[#This Row],[Etapa Ingreso - Salida]]),"")</f>
        <v/>
      </c>
      <c r="AM386" s="2" t="str">
        <f>IFERROR(IF(MARÍTIMOS[[#This Row],[FCL]]="","",MARÍTIMOS[[#This Row],[FCL]]),"")</f>
        <v/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6" s="5" t="str">
        <f>IFERROR(OLDBD[[#This Row],[Llegada a packing]]-OLDBD[[#This Row],[Inicio de Ruta]],"")</f>
        <v/>
      </c>
      <c r="AQ386" s="6" t="str">
        <f>IFERROR(OLDBD[[#This Row],[Inicio de Ruta]]-OLDBD[[#This Row],[Salida de almacén de retiro]],"")</f>
        <v/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6" s="9" t="str">
        <f>IFERROR(OLDBD[[#This Row],[Ingreso Packing]]-OLDBD[[#This Row],[Registro en Packing]],"")</f>
        <v/>
      </c>
      <c r="AV386" s="9" t="str">
        <f>IFERROR(OLDBD[[#This Row],[Ingreso Packing]]-OLDBD[[#This Row],[Llegada a packing]],"")</f>
        <v/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 t="str">
        <f>IFERROR(OLDBD[[#This Row],[Llegada Almacén de Ingreso]]-OLDBD[[#This Row],[Salida Packing]],"")</f>
        <v/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6" s="45" t="s">
        <v>181</v>
      </c>
      <c r="BB386" s="53" t="str">
        <f>IFERROR(IF(MARÍTIMOS[[#This Row],[Estatus]]="","",MARÍTIMOS[[#This Row],[Estatus]]),"")</f>
        <v/>
      </c>
      <c r="BC386" s="45"/>
      <c r="BD386" s="52" t="str">
        <f>IFERROR(OLDBD[[#This Row],[Salida de almacén de retiro]]-OLDBD[[#This Row],[Ingreso Almacén de retiro]],"")</f>
        <v/>
      </c>
      <c r="BE386" s="52" t="str">
        <f>IFERROR(OLDBD[[#This Row],[Fin de Carga]]-OLDBD[[#This Row],[Inicio de Carga]],"")</f>
        <v/>
      </c>
    </row>
    <row r="387" spans="1:57" x14ac:dyDescent="0.35">
      <c r="A387" s="1"/>
      <c r="B387" s="1" t="str">
        <f>IFERROR(IF(MARÍTIMOS[[#This Row],[PP]]="","",MARÍTIMOS[[#This Row],[PP]]),"")</f>
        <v/>
      </c>
      <c r="C387" s="1" t="str">
        <f>IFERROR(IF(MARÍTIMOS[[#This Row],[Sede]]="","",MARÍTIMOS[[#This Row],[Sede]]),"")</f>
        <v/>
      </c>
      <c r="D387" s="1" t="str">
        <f>IFERROR(IF(MARÍTIMOS[[#This Row],[Instruction]]="","",MARÍTIMOS[[#This Row],[Instruction]]),"")</f>
        <v/>
      </c>
      <c r="E387" s="1"/>
      <c r="F387" s="2" t="str">
        <f>IFERROR(IF(MARÍTIMOS[[#This Row],[Transportista]]="","",MARÍTIMOS[[#This Row],[Transportista]]),"")</f>
        <v/>
      </c>
      <c r="G387" s="2" t="str">
        <f>IFERROR(IF(MARÍTIMOS[[#This Row],[Tercero]]="","",MARÍTIMOS[[#This Row],[Tercero]]),"")</f>
        <v/>
      </c>
      <c r="H387" s="2" t="str">
        <f>IFERROR(IF(MARÍTIMOS[[#This Row],[Razón Social]]="","",MARÍTIMOS[[#This Row],[Razón Social]]),"")</f>
        <v/>
      </c>
      <c r="I387" s="2" t="str">
        <f>IFERROR(IF(MARÍTIMOS[[#This Row],[RUC]]="","",MARÍTIMOS[[#This Row],[RUC]]),"")</f>
        <v/>
      </c>
      <c r="J387" s="2" t="str">
        <f>IFERROR(IF(MARÍTIMOS[[#This Row],[Placa Tracto]]="","",MARÍTIMOS[[#This Row],[Placa Tracto]]),"")</f>
        <v/>
      </c>
      <c r="K387" s="2" t="str">
        <f>IFERROR(IF(MARÍTIMOS[[#This Row],[Placa Carreta]]="","",MARÍTIMOS[[#This Row],[Placa Carreta]]),"")</f>
        <v/>
      </c>
      <c r="L387" s="46" t="str">
        <f>IFERROR(IF(MARÍTIMOS[[#This Row],[Conductor]]="","",MARÍTIMOS[[#This Row],[Conductor]]),"")</f>
        <v/>
      </c>
      <c r="M387" s="2" t="str">
        <f>IFERROR(IF(MARÍTIMOS[[#This Row],[Licencia]]="","",MARÍTIMOS[[#This Row],[Licencia]]),"")</f>
        <v/>
      </c>
      <c r="N387" s="2" t="str">
        <f>IFERROR(IF(MARÍTIMOS[[#This Row],[Número de Contacto]]="","",MARÍTIMOS[[#This Row],[Número de Contacto]]),"")</f>
        <v/>
      </c>
      <c r="O387" s="10" t="str">
        <f>IFERROR(IF(MARÍTIMOS[[#This Row],[Booking|AWB|CRT]]="","",MARÍTIMOS[[#This Row],[Booking|AWB|CRT]]),"")</f>
        <v/>
      </c>
      <c r="P387" s="2" t="str">
        <f>IFERROR(IF(MARÍTIMOS[[#This Row],[Contenedor]]="","",MARÍTIMOS[[#This Row],[Contenedor]]),"")</f>
        <v/>
      </c>
      <c r="Q387" s="2" t="str">
        <f>IFERROR(IF(MARÍTIMOS[[#This Row],[Puerto de Retiro]]="","",MARÍTIMOS[[#This Row],[Puerto de Retiro]]),"")</f>
        <v/>
      </c>
      <c r="R387" s="2" t="str">
        <f>IFERROR(IF(MARÍTIMOS[[#This Row],[Almacén de Retiro]]="","",MARÍTIMOS[[#This Row],[Almacén de Retiro]]),"")</f>
        <v/>
      </c>
      <c r="S387" s="11" t="str">
        <f>IFERROR(IF(MARÍTIMOS[[#This Row],[Etapa Retiro - Cita]]="","",MARÍTIMOS[[#This Row],[Etapa Retiro - Cita]]),"")</f>
        <v/>
      </c>
      <c r="T387" s="11" t="str">
        <f>IFERROR(IF(MARÍTIMOS[[#This Row],[Etapa Retiro - Llegada]]="","",MARÍTIMOS[[#This Row],[Etapa Retiro - Llegada]]),"")</f>
        <v/>
      </c>
      <c r="U387" s="11" t="str">
        <f>IFERROR(IF(MARÍTIMOS[[#This Row],[Etapa Retiro - Ingreso]]="","",MARÍTIMOS[[#This Row],[Etapa Retiro - Ingreso]]),"")</f>
        <v/>
      </c>
      <c r="V387" s="11" t="str">
        <f>IFERROR(IF(MARÍTIMOS[[#This Row],[Etapa Retiro - Atención]]="","",MARÍTIMOS[[#This Row],[Etapa Retiro - Atención]]),"")</f>
        <v/>
      </c>
      <c r="W387" s="11" t="str">
        <f>IFERROR(IF(MARÍTIMOS[[#This Row],[Etapa Retiro - Salida]]="","",MARÍTIMOS[[#This Row],[Etapa Retiro - Salida]]),"")</f>
        <v/>
      </c>
      <c r="X387" s="11" t="str">
        <f>IFERROR(IF(MARÍTIMOS[[#This Row],[Etapa Retiro - Inicio de Ruta]]="","",MARÍTIMOS[[#This Row],[Etapa Retiro - Inicio de Ruta]]),"")</f>
        <v/>
      </c>
      <c r="Y387" s="11" t="str">
        <f>IFERROR(IF(MARÍTIMOS[[#This Row],[Hora de Posicionamiento]]="","",MARÍTIMOS[[#This Row],[Hora de Carga]]+MARÍTIMOS[[#This Row],[Hora de Posicionamiento]]),"")</f>
        <v/>
      </c>
      <c r="Z387" s="11" t="str">
        <f>IFERROR(IF(MARÍTIMOS[[#This Row],[Etapa Despacho -  Llegada]]="","",MARÍTIMOS[[#This Row],[Etapa Despacho -  Llegada]]),"")</f>
        <v/>
      </c>
      <c r="AA387" s="11" t="str">
        <f>IFERROR(IF(MARÍTIMOS[[#This Row],[Etapa Despacho -  Registro]]="","",MARÍTIMOS[[#This Row],[Etapa Despacho -  Registro]]),"")</f>
        <v/>
      </c>
      <c r="AB387" s="11" t="str">
        <f>IFERROR(IF(MARÍTIMOS[[#This Row],[Inspección Externa]]="","",MARÍTIMOS[[#This Row],[Inspección Externa]]),"")</f>
        <v/>
      </c>
      <c r="AC387" s="11" t="str">
        <f>IFERROR(IF(MARÍTIMOS[[#This Row],[Etapa Despacho -  Inicio de Carga]]="","",MARÍTIMOS[[#This Row],[Etapa Despacho -  Inicio de Carga]]),"")</f>
        <v/>
      </c>
      <c r="AD387" s="11" t="str">
        <f>IFERROR(IF(MARÍTIMOS[[#This Row],[Etapa Despacho -  Fin de Carga]]="","",MARÍTIMOS[[#This Row],[Etapa Despacho -  Fin de Carga]]),"")</f>
        <v/>
      </c>
      <c r="AE387" s="11" t="str">
        <f>IFERROR(IF(MARÍTIMOS[[#This Row],[Etapa Despacho -  Salida]]="","",MARÍTIMOS[[#This Row],[Etapa Despacho -  Salida]]),"")</f>
        <v/>
      </c>
      <c r="AF387" s="2" t="str">
        <f>IFERROR(IF(MARÍTIMOS[[#This Row],[Puerto de Embarque]]="","",MARÍTIMOS[[#This Row],[Puerto de Embarque]]),"")</f>
        <v/>
      </c>
      <c r="AG387" s="2" t="str">
        <f>IFERROR(IF(MARÍTIMOS[[#This Row],[Almacén de Ingreso]]="","",MARÍTIMOS[[#This Row],[Almacén de Ingreso]]),"")</f>
        <v/>
      </c>
      <c r="AH387" s="11" t="str">
        <f>IFERROR(IF(MARÍTIMOS[[#This Row],[Etapa Ingreso - Cita]]="","",MARÍTIMOS[[#This Row],[Etapa Ingreso - Cita]]),"")</f>
        <v/>
      </c>
      <c r="AI387" s="11" t="str">
        <f>IFERROR(IF(MARÍTIMOS[[#This Row],[Etapa Ingreso - Llegada]]="","",MARÍTIMOS[[#This Row],[Etapa Ingreso - Llegada]]),"")</f>
        <v/>
      </c>
      <c r="AJ387" s="11" t="str">
        <f>IFERROR(IF(MARÍTIMOS[[#This Row],[Etapa Ingreso - Ingeso]]="","",MARÍTIMOS[[#This Row],[Etapa Ingreso - Ingeso]]),"")</f>
        <v/>
      </c>
      <c r="AK387" s="11" t="str">
        <f>IFERROR(IF(MARÍTIMOS[[#This Row],[Etapa Ingreso - Atención]]="","",MARÍTIMOS[[#This Row],[Etapa Ingreso - Atención]]),"")</f>
        <v/>
      </c>
      <c r="AL387" s="11" t="str">
        <f>IFERROR(IF(MARÍTIMOS[[#This Row],[Etapa Ingreso - Salida]]="","",MARÍTIMOS[[#This Row],[Etapa Ingreso - Salida]]),"")</f>
        <v/>
      </c>
      <c r="AM387" s="2" t="str">
        <f>IFERROR(IF(MARÍTIMOS[[#This Row],[FCL]]="","",MARÍTIMOS[[#This Row],[FCL]]),"")</f>
        <v/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7" s="5" t="str">
        <f>IFERROR(OLDBD[[#This Row],[Llegada a packing]]-OLDBD[[#This Row],[Inicio de Ruta]],"")</f>
        <v/>
      </c>
      <c r="AQ387" s="6" t="str">
        <f>IFERROR(OLDBD[[#This Row],[Inicio de Ruta]]-OLDBD[[#This Row],[Salida de almacén de retiro]],"")</f>
        <v/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7" s="9" t="str">
        <f>IFERROR(OLDBD[[#This Row],[Ingreso Packing]]-OLDBD[[#This Row],[Registro en Packing]],"")</f>
        <v/>
      </c>
      <c r="AV387" s="9" t="str">
        <f>IFERROR(OLDBD[[#This Row],[Ingreso Packing]]-OLDBD[[#This Row],[Llegada a packing]],"")</f>
        <v/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 t="str">
        <f>IFERROR(OLDBD[[#This Row],[Llegada Almacén de Ingreso]]-OLDBD[[#This Row],[Salida Packing]],"")</f>
        <v/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7" s="45" t="s">
        <v>181</v>
      </c>
      <c r="BB387" s="53" t="str">
        <f>IFERROR(IF(MARÍTIMOS[[#This Row],[Estatus]]="","",MARÍTIMOS[[#This Row],[Estatus]]),"")</f>
        <v/>
      </c>
      <c r="BC387" s="45"/>
      <c r="BD387" s="52" t="str">
        <f>IFERROR(OLDBD[[#This Row],[Salida de almacén de retiro]]-OLDBD[[#This Row],[Ingreso Almacén de retiro]],"")</f>
        <v/>
      </c>
      <c r="BE387" s="52" t="str">
        <f>IFERROR(OLDBD[[#This Row],[Fin de Carga]]-OLDBD[[#This Row],[Inicio de Carga]],"")</f>
        <v/>
      </c>
    </row>
    <row r="388" spans="1:57" x14ac:dyDescent="0.35">
      <c r="A388" s="1"/>
      <c r="B388" s="1" t="str">
        <f>IFERROR(IF(MARÍTIMOS[[#This Row],[PP]]="","",MARÍTIMOS[[#This Row],[PP]]),"")</f>
        <v/>
      </c>
      <c r="C388" s="1" t="str">
        <f>IFERROR(IF(MARÍTIMOS[[#This Row],[Sede]]="","",MARÍTIMOS[[#This Row],[Sede]]),"")</f>
        <v/>
      </c>
      <c r="D388" s="1" t="str">
        <f>IFERROR(IF(MARÍTIMOS[[#This Row],[Instruction]]="","",MARÍTIMOS[[#This Row],[Instruction]]),"")</f>
        <v/>
      </c>
      <c r="E388" s="1"/>
      <c r="F388" s="2" t="str">
        <f>IFERROR(IF(MARÍTIMOS[[#This Row],[Transportista]]="","",MARÍTIMOS[[#This Row],[Transportista]]),"")</f>
        <v/>
      </c>
      <c r="G388" s="2" t="str">
        <f>IFERROR(IF(MARÍTIMOS[[#This Row],[Tercero]]="","",MARÍTIMOS[[#This Row],[Tercero]]),"")</f>
        <v/>
      </c>
      <c r="H388" s="2" t="str">
        <f>IFERROR(IF(MARÍTIMOS[[#This Row],[Razón Social]]="","",MARÍTIMOS[[#This Row],[Razón Social]]),"")</f>
        <v/>
      </c>
      <c r="I388" s="2" t="str">
        <f>IFERROR(IF(MARÍTIMOS[[#This Row],[RUC]]="","",MARÍTIMOS[[#This Row],[RUC]]),"")</f>
        <v/>
      </c>
      <c r="J388" s="2" t="str">
        <f>IFERROR(IF(MARÍTIMOS[[#This Row],[Placa Tracto]]="","",MARÍTIMOS[[#This Row],[Placa Tracto]]),"")</f>
        <v/>
      </c>
      <c r="K388" s="2" t="str">
        <f>IFERROR(IF(MARÍTIMOS[[#This Row],[Placa Carreta]]="","",MARÍTIMOS[[#This Row],[Placa Carreta]]),"")</f>
        <v/>
      </c>
      <c r="L388" s="46" t="str">
        <f>IFERROR(IF(MARÍTIMOS[[#This Row],[Conductor]]="","",MARÍTIMOS[[#This Row],[Conductor]]),"")</f>
        <v/>
      </c>
      <c r="M388" s="2" t="str">
        <f>IFERROR(IF(MARÍTIMOS[[#This Row],[Licencia]]="","",MARÍTIMOS[[#This Row],[Licencia]]),"")</f>
        <v/>
      </c>
      <c r="N388" s="2" t="str">
        <f>IFERROR(IF(MARÍTIMOS[[#This Row],[Número de Contacto]]="","",MARÍTIMOS[[#This Row],[Número de Contacto]]),"")</f>
        <v/>
      </c>
      <c r="O388" s="10" t="str">
        <f>IFERROR(IF(MARÍTIMOS[[#This Row],[Booking|AWB|CRT]]="","",MARÍTIMOS[[#This Row],[Booking|AWB|CRT]]),"")</f>
        <v/>
      </c>
      <c r="P388" s="2" t="str">
        <f>IFERROR(IF(MARÍTIMOS[[#This Row],[Contenedor]]="","",MARÍTIMOS[[#This Row],[Contenedor]]),"")</f>
        <v/>
      </c>
      <c r="Q388" s="2" t="str">
        <f>IFERROR(IF(MARÍTIMOS[[#This Row],[Puerto de Retiro]]="","",MARÍTIMOS[[#This Row],[Puerto de Retiro]]),"")</f>
        <v/>
      </c>
      <c r="R388" s="2" t="str">
        <f>IFERROR(IF(MARÍTIMOS[[#This Row],[Almacén de Retiro]]="","",MARÍTIMOS[[#This Row],[Almacén de Retiro]]),"")</f>
        <v/>
      </c>
      <c r="S388" s="11" t="str">
        <f>IFERROR(IF(MARÍTIMOS[[#This Row],[Etapa Retiro - Cita]]="","",MARÍTIMOS[[#This Row],[Etapa Retiro - Cita]]),"")</f>
        <v/>
      </c>
      <c r="T388" s="11" t="str">
        <f>IFERROR(IF(MARÍTIMOS[[#This Row],[Etapa Retiro - Llegada]]="","",MARÍTIMOS[[#This Row],[Etapa Retiro - Llegada]]),"")</f>
        <v/>
      </c>
      <c r="U388" s="11" t="str">
        <f>IFERROR(IF(MARÍTIMOS[[#This Row],[Etapa Retiro - Ingreso]]="","",MARÍTIMOS[[#This Row],[Etapa Retiro - Ingreso]]),"")</f>
        <v/>
      </c>
      <c r="V388" s="11" t="str">
        <f>IFERROR(IF(MARÍTIMOS[[#This Row],[Etapa Retiro - Atención]]="","",MARÍTIMOS[[#This Row],[Etapa Retiro - Atención]]),"")</f>
        <v/>
      </c>
      <c r="W388" s="11" t="str">
        <f>IFERROR(IF(MARÍTIMOS[[#This Row],[Etapa Retiro - Salida]]="","",MARÍTIMOS[[#This Row],[Etapa Retiro - Salida]]),"")</f>
        <v/>
      </c>
      <c r="X388" s="11" t="str">
        <f>IFERROR(IF(MARÍTIMOS[[#This Row],[Etapa Retiro - Inicio de Ruta]]="","",MARÍTIMOS[[#This Row],[Etapa Retiro - Inicio de Ruta]]),"")</f>
        <v/>
      </c>
      <c r="Y388" s="11" t="str">
        <f>IFERROR(IF(MARÍTIMOS[[#This Row],[Hora de Posicionamiento]]="","",MARÍTIMOS[[#This Row],[Hora de Carga]]+MARÍTIMOS[[#This Row],[Hora de Posicionamiento]]),"")</f>
        <v/>
      </c>
      <c r="Z388" s="11" t="str">
        <f>IFERROR(IF(MARÍTIMOS[[#This Row],[Etapa Despacho -  Llegada]]="","",MARÍTIMOS[[#This Row],[Etapa Despacho -  Llegada]]),"")</f>
        <v/>
      </c>
      <c r="AA388" s="11" t="str">
        <f>IFERROR(IF(MARÍTIMOS[[#This Row],[Etapa Despacho -  Registro]]="","",MARÍTIMOS[[#This Row],[Etapa Despacho -  Registro]]),"")</f>
        <v/>
      </c>
      <c r="AB388" s="11" t="str">
        <f>IFERROR(IF(MARÍTIMOS[[#This Row],[Inspección Externa]]="","",MARÍTIMOS[[#This Row],[Inspección Externa]]),"")</f>
        <v/>
      </c>
      <c r="AC388" s="11" t="str">
        <f>IFERROR(IF(MARÍTIMOS[[#This Row],[Etapa Despacho -  Inicio de Carga]]="","",MARÍTIMOS[[#This Row],[Etapa Despacho -  Inicio de Carga]]),"")</f>
        <v/>
      </c>
      <c r="AD388" s="11" t="str">
        <f>IFERROR(IF(MARÍTIMOS[[#This Row],[Etapa Despacho -  Fin de Carga]]="","",MARÍTIMOS[[#This Row],[Etapa Despacho -  Fin de Carga]]),"")</f>
        <v/>
      </c>
      <c r="AE388" s="11" t="str">
        <f>IFERROR(IF(MARÍTIMOS[[#This Row],[Etapa Despacho -  Salida]]="","",MARÍTIMOS[[#This Row],[Etapa Despacho -  Salida]]),"")</f>
        <v/>
      </c>
      <c r="AF388" s="2" t="str">
        <f>IFERROR(IF(MARÍTIMOS[[#This Row],[Puerto de Embarque]]="","",MARÍTIMOS[[#This Row],[Puerto de Embarque]]),"")</f>
        <v/>
      </c>
      <c r="AG388" s="2" t="str">
        <f>IFERROR(IF(MARÍTIMOS[[#This Row],[Almacén de Ingreso]]="","",MARÍTIMOS[[#This Row],[Almacén de Ingreso]]),"")</f>
        <v/>
      </c>
      <c r="AH388" s="11" t="str">
        <f>IFERROR(IF(MARÍTIMOS[[#This Row],[Etapa Ingreso - Cita]]="","",MARÍTIMOS[[#This Row],[Etapa Ingreso - Cita]]),"")</f>
        <v/>
      </c>
      <c r="AI388" s="11" t="str">
        <f>IFERROR(IF(MARÍTIMOS[[#This Row],[Etapa Ingreso - Llegada]]="","",MARÍTIMOS[[#This Row],[Etapa Ingreso - Llegada]]),"")</f>
        <v/>
      </c>
      <c r="AJ388" s="11" t="str">
        <f>IFERROR(IF(MARÍTIMOS[[#This Row],[Etapa Ingreso - Ingeso]]="","",MARÍTIMOS[[#This Row],[Etapa Ingreso - Ingeso]]),"")</f>
        <v/>
      </c>
      <c r="AK388" s="11" t="str">
        <f>IFERROR(IF(MARÍTIMOS[[#This Row],[Etapa Ingreso - Atención]]="","",MARÍTIMOS[[#This Row],[Etapa Ingreso - Atención]]),"")</f>
        <v/>
      </c>
      <c r="AL388" s="11" t="str">
        <f>IFERROR(IF(MARÍTIMOS[[#This Row],[Etapa Ingreso - Salida]]="","",MARÍTIMOS[[#This Row],[Etapa Ingreso - Salida]]),"")</f>
        <v/>
      </c>
      <c r="AM388" s="2" t="str">
        <f>IFERROR(IF(MARÍTIMOS[[#This Row],[FCL]]="","",MARÍTIMOS[[#This Row],[FCL]]),"")</f>
        <v/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8" s="5" t="str">
        <f>IFERROR(OLDBD[[#This Row],[Llegada a packing]]-OLDBD[[#This Row],[Inicio de Ruta]],"")</f>
        <v/>
      </c>
      <c r="AQ388" s="6" t="str">
        <f>IFERROR(OLDBD[[#This Row],[Inicio de Ruta]]-OLDBD[[#This Row],[Salida de almacén de retiro]],"")</f>
        <v/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 t="str">
        <f>IFERROR(OLDBD[[#This Row],[Llegada Almacén de Ingreso]]-OLDBD[[#This Row],[Salida Packing]],"")</f>
        <v/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8" s="45" t="s">
        <v>181</v>
      </c>
      <c r="BB388" s="53" t="str">
        <f>IFERROR(IF(MARÍTIMOS[[#This Row],[Estatus]]="","",MARÍTIMOS[[#This Row],[Estatus]]),"")</f>
        <v/>
      </c>
      <c r="BC388" s="45"/>
      <c r="BD388" s="52" t="str">
        <f>IFERROR(OLDBD[[#This Row],[Salida de almacén de retiro]]-OLDBD[[#This Row],[Ingreso Almacén de retiro]],"")</f>
        <v/>
      </c>
      <c r="BE388" s="52" t="str">
        <f>IFERROR(OLDBD[[#This Row],[Fin de Carga]]-OLDBD[[#This Row],[Inicio de Carga]],"")</f>
        <v/>
      </c>
    </row>
    <row r="389" spans="1:57" x14ac:dyDescent="0.35">
      <c r="A389" s="1"/>
      <c r="B389" s="1" t="str">
        <f>IFERROR(IF(MARÍTIMOS[[#This Row],[PP]]="","",MARÍTIMOS[[#This Row],[PP]]),"")</f>
        <v/>
      </c>
      <c r="C389" s="1" t="str">
        <f>IFERROR(IF(MARÍTIMOS[[#This Row],[Sede]]="","",MARÍTIMOS[[#This Row],[Sede]]),"")</f>
        <v/>
      </c>
      <c r="D389" s="1" t="str">
        <f>IFERROR(IF(MARÍTIMOS[[#This Row],[Instruction]]="","",MARÍTIMOS[[#This Row],[Instruction]]),"")</f>
        <v/>
      </c>
      <c r="E389" s="1"/>
      <c r="F389" s="2" t="str">
        <f>IFERROR(IF(MARÍTIMOS[[#This Row],[Transportista]]="","",MARÍTIMOS[[#This Row],[Transportista]]),"")</f>
        <v/>
      </c>
      <c r="G389" s="2" t="str">
        <f>IFERROR(IF(MARÍTIMOS[[#This Row],[Tercero]]="","",MARÍTIMOS[[#This Row],[Tercero]]),"")</f>
        <v/>
      </c>
      <c r="H389" s="2" t="str">
        <f>IFERROR(IF(MARÍTIMOS[[#This Row],[Razón Social]]="","",MARÍTIMOS[[#This Row],[Razón Social]]),"")</f>
        <v/>
      </c>
      <c r="I389" s="2" t="str">
        <f>IFERROR(IF(MARÍTIMOS[[#This Row],[RUC]]="","",MARÍTIMOS[[#This Row],[RUC]]),"")</f>
        <v/>
      </c>
      <c r="J389" s="2" t="str">
        <f>IFERROR(IF(MARÍTIMOS[[#This Row],[Placa Tracto]]="","",MARÍTIMOS[[#This Row],[Placa Tracto]]),"")</f>
        <v/>
      </c>
      <c r="K389" s="2" t="str">
        <f>IFERROR(IF(MARÍTIMOS[[#This Row],[Placa Carreta]]="","",MARÍTIMOS[[#This Row],[Placa Carreta]]),"")</f>
        <v/>
      </c>
      <c r="L389" s="46" t="str">
        <f>IFERROR(IF(MARÍTIMOS[[#This Row],[Conductor]]="","",MARÍTIMOS[[#This Row],[Conductor]]),"")</f>
        <v/>
      </c>
      <c r="M389" s="2" t="str">
        <f>IFERROR(IF(MARÍTIMOS[[#This Row],[Licencia]]="","",MARÍTIMOS[[#This Row],[Licencia]]),"")</f>
        <v/>
      </c>
      <c r="N389" s="2" t="str">
        <f>IFERROR(IF(MARÍTIMOS[[#This Row],[Número de Contacto]]="","",MARÍTIMOS[[#This Row],[Número de Contacto]]),"")</f>
        <v/>
      </c>
      <c r="O389" s="10" t="str">
        <f>IFERROR(IF(MARÍTIMOS[[#This Row],[Booking|AWB|CRT]]="","",MARÍTIMOS[[#This Row],[Booking|AWB|CRT]]),"")</f>
        <v/>
      </c>
      <c r="P389" s="2" t="str">
        <f>IFERROR(IF(MARÍTIMOS[[#This Row],[Contenedor]]="","",MARÍTIMOS[[#This Row],[Contenedor]]),"")</f>
        <v/>
      </c>
      <c r="Q389" s="2" t="str">
        <f>IFERROR(IF(MARÍTIMOS[[#This Row],[Puerto de Retiro]]="","",MARÍTIMOS[[#This Row],[Puerto de Retiro]]),"")</f>
        <v/>
      </c>
      <c r="R389" s="2" t="str">
        <f>IFERROR(IF(MARÍTIMOS[[#This Row],[Almacén de Retiro]]="","",MARÍTIMOS[[#This Row],[Almacén de Retiro]]),"")</f>
        <v/>
      </c>
      <c r="S389" s="11" t="str">
        <f>IFERROR(IF(MARÍTIMOS[[#This Row],[Etapa Retiro - Cita]]="","",MARÍTIMOS[[#This Row],[Etapa Retiro - Cita]]),"")</f>
        <v/>
      </c>
      <c r="T389" s="11" t="str">
        <f>IFERROR(IF(MARÍTIMOS[[#This Row],[Etapa Retiro - Llegada]]="","",MARÍTIMOS[[#This Row],[Etapa Retiro - Llegada]]),"")</f>
        <v/>
      </c>
      <c r="U389" s="11" t="str">
        <f>IFERROR(IF(MARÍTIMOS[[#This Row],[Etapa Retiro - Ingreso]]="","",MARÍTIMOS[[#This Row],[Etapa Retiro - Ingreso]]),"")</f>
        <v/>
      </c>
      <c r="V389" s="11" t="str">
        <f>IFERROR(IF(MARÍTIMOS[[#This Row],[Etapa Retiro - Atención]]="","",MARÍTIMOS[[#This Row],[Etapa Retiro - Atención]]),"")</f>
        <v/>
      </c>
      <c r="W389" s="11" t="str">
        <f>IFERROR(IF(MARÍTIMOS[[#This Row],[Etapa Retiro - Salida]]="","",MARÍTIMOS[[#This Row],[Etapa Retiro - Salida]]),"")</f>
        <v/>
      </c>
      <c r="X389" s="11" t="str">
        <f>IFERROR(IF(MARÍTIMOS[[#This Row],[Etapa Retiro - Inicio de Ruta]]="","",MARÍTIMOS[[#This Row],[Etapa Retiro - Inicio de Ruta]]),"")</f>
        <v/>
      </c>
      <c r="Y389" s="11" t="str">
        <f>IFERROR(IF(MARÍTIMOS[[#This Row],[Hora de Posicionamiento]]="","",MARÍTIMOS[[#This Row],[Hora de Carga]]+MARÍTIMOS[[#This Row],[Hora de Posicionamiento]]),"")</f>
        <v/>
      </c>
      <c r="Z389" s="11" t="str">
        <f>IFERROR(IF(MARÍTIMOS[[#This Row],[Etapa Despacho -  Llegada]]="","",MARÍTIMOS[[#This Row],[Etapa Despacho -  Llegada]]),"")</f>
        <v/>
      </c>
      <c r="AA389" s="11" t="str">
        <f>IFERROR(IF(MARÍTIMOS[[#This Row],[Etapa Despacho -  Registro]]="","",MARÍTIMOS[[#This Row],[Etapa Despacho -  Registro]]),"")</f>
        <v/>
      </c>
      <c r="AB389" s="11" t="str">
        <f>IFERROR(IF(MARÍTIMOS[[#This Row],[Inspección Externa]]="","",MARÍTIMOS[[#This Row],[Inspección Externa]]),"")</f>
        <v/>
      </c>
      <c r="AC389" s="11" t="str">
        <f>IFERROR(IF(MARÍTIMOS[[#This Row],[Etapa Despacho -  Inicio de Carga]]="","",MARÍTIMOS[[#This Row],[Etapa Despacho -  Inicio de Carga]]),"")</f>
        <v/>
      </c>
      <c r="AD389" s="11" t="str">
        <f>IFERROR(IF(MARÍTIMOS[[#This Row],[Etapa Despacho -  Fin de Carga]]="","",MARÍTIMOS[[#This Row],[Etapa Despacho -  Fin de Carga]]),"")</f>
        <v/>
      </c>
      <c r="AE389" s="11" t="str">
        <f>IFERROR(IF(MARÍTIMOS[[#This Row],[Etapa Despacho -  Salida]]="","",MARÍTIMOS[[#This Row],[Etapa Despacho -  Salida]]),"")</f>
        <v/>
      </c>
      <c r="AF389" s="2" t="str">
        <f>IFERROR(IF(MARÍTIMOS[[#This Row],[Puerto de Embarque]]="","",MARÍTIMOS[[#This Row],[Puerto de Embarque]]),"")</f>
        <v/>
      </c>
      <c r="AG389" s="2" t="str">
        <f>IFERROR(IF(MARÍTIMOS[[#This Row],[Almacén de Ingreso]]="","",MARÍTIMOS[[#This Row],[Almacén de Ingreso]]),"")</f>
        <v/>
      </c>
      <c r="AH389" s="11" t="str">
        <f>IFERROR(IF(MARÍTIMOS[[#This Row],[Etapa Ingreso - Cita]]="","",MARÍTIMOS[[#This Row],[Etapa Ingreso - Cita]]),"")</f>
        <v/>
      </c>
      <c r="AI389" s="11" t="str">
        <f>IFERROR(IF(MARÍTIMOS[[#This Row],[Etapa Ingreso - Llegada]]="","",MARÍTIMOS[[#This Row],[Etapa Ingreso - Llegada]]),"")</f>
        <v/>
      </c>
      <c r="AJ389" s="11" t="str">
        <f>IFERROR(IF(MARÍTIMOS[[#This Row],[Etapa Ingreso - Ingeso]]="","",MARÍTIMOS[[#This Row],[Etapa Ingreso - Ingeso]]),"")</f>
        <v/>
      </c>
      <c r="AK389" s="11" t="str">
        <f>IFERROR(IF(MARÍTIMOS[[#This Row],[Etapa Ingreso - Atención]]="","",MARÍTIMOS[[#This Row],[Etapa Ingreso - Atención]]),"")</f>
        <v/>
      </c>
      <c r="AL389" s="11" t="str">
        <f>IFERROR(IF(MARÍTIMOS[[#This Row],[Etapa Ingreso - Salida]]="","",MARÍTIMOS[[#This Row],[Etapa Ingreso - Salida]]),"")</f>
        <v/>
      </c>
      <c r="AM389" s="2" t="str">
        <f>IFERROR(IF(MARÍTIMOS[[#This Row],[FCL]]="","",MARÍTIMOS[[#This Row],[FCL]]),"")</f>
        <v/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9" s="5" t="str">
        <f>IFERROR(OLDBD[[#This Row],[Llegada a packing]]-OLDBD[[#This Row],[Inicio de Ruta]],"")</f>
        <v/>
      </c>
      <c r="AQ389" s="6" t="str">
        <f>IFERROR(OLDBD[[#This Row],[Inicio de Ruta]]-OLDBD[[#This Row],[Salida de almacén de retiro]],"")</f>
        <v/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 t="str">
        <f>IFERROR(OLDBD[[#This Row],[Llegada Almacén de Ingreso]]-OLDBD[[#This Row],[Salida Packing]],"")</f>
        <v/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9" s="45" t="s">
        <v>181</v>
      </c>
      <c r="BB389" s="53" t="str">
        <f>IFERROR(IF(MARÍTIMOS[[#This Row],[Estatus]]="","",MARÍTIMOS[[#This Row],[Estatus]]),"")</f>
        <v/>
      </c>
      <c r="BC389" s="45"/>
      <c r="BD389" s="52" t="str">
        <f>IFERROR(OLDBD[[#This Row],[Salida de almacén de retiro]]-OLDBD[[#This Row],[Ingreso Almacén de retiro]],"")</f>
        <v/>
      </c>
      <c r="BE389" s="52" t="str">
        <f>IFERROR(OLDBD[[#This Row],[Fin de Carga]]-OLDBD[[#This Row],[Inicio de Carga]],"")</f>
        <v/>
      </c>
    </row>
    <row r="390" spans="1:57" x14ac:dyDescent="0.35">
      <c r="A390" s="1"/>
      <c r="B390" s="1" t="str">
        <f>IFERROR(IF(MARÍTIMOS[[#This Row],[PP]]="","",MARÍTIMOS[[#This Row],[PP]]),"")</f>
        <v/>
      </c>
      <c r="C390" s="1" t="str">
        <f>IFERROR(IF(MARÍTIMOS[[#This Row],[Sede]]="","",MARÍTIMOS[[#This Row],[Sede]]),"")</f>
        <v/>
      </c>
      <c r="D390" s="1" t="str">
        <f>IFERROR(IF(MARÍTIMOS[[#This Row],[Instruction]]="","",MARÍTIMOS[[#This Row],[Instruction]]),"")</f>
        <v/>
      </c>
      <c r="E390" s="1"/>
      <c r="F390" s="2" t="str">
        <f>IFERROR(IF(MARÍTIMOS[[#This Row],[Transportista]]="","",MARÍTIMOS[[#This Row],[Transportista]]),"")</f>
        <v/>
      </c>
      <c r="G390" s="2" t="str">
        <f>IFERROR(IF(MARÍTIMOS[[#This Row],[Tercero]]="","",MARÍTIMOS[[#This Row],[Tercero]]),"")</f>
        <v/>
      </c>
      <c r="H390" s="2" t="str">
        <f>IFERROR(IF(MARÍTIMOS[[#This Row],[Razón Social]]="","",MARÍTIMOS[[#This Row],[Razón Social]]),"")</f>
        <v/>
      </c>
      <c r="I390" s="2" t="str">
        <f>IFERROR(IF(MARÍTIMOS[[#This Row],[RUC]]="","",MARÍTIMOS[[#This Row],[RUC]]),"")</f>
        <v/>
      </c>
      <c r="J390" s="2" t="str">
        <f>IFERROR(IF(MARÍTIMOS[[#This Row],[Placa Tracto]]="","",MARÍTIMOS[[#This Row],[Placa Tracto]]),"")</f>
        <v/>
      </c>
      <c r="K390" s="2" t="str">
        <f>IFERROR(IF(MARÍTIMOS[[#This Row],[Placa Carreta]]="","",MARÍTIMOS[[#This Row],[Placa Carreta]]),"")</f>
        <v/>
      </c>
      <c r="L390" s="46" t="str">
        <f>IFERROR(IF(MARÍTIMOS[[#This Row],[Conductor]]="","",MARÍTIMOS[[#This Row],[Conductor]]),"")</f>
        <v/>
      </c>
      <c r="M390" s="2" t="str">
        <f>IFERROR(IF(MARÍTIMOS[[#This Row],[Licencia]]="","",MARÍTIMOS[[#This Row],[Licencia]]),"")</f>
        <v/>
      </c>
      <c r="N390" s="2" t="str">
        <f>IFERROR(IF(MARÍTIMOS[[#This Row],[Número de Contacto]]="","",MARÍTIMOS[[#This Row],[Número de Contacto]]),"")</f>
        <v/>
      </c>
      <c r="O390" s="10" t="str">
        <f>IFERROR(IF(MARÍTIMOS[[#This Row],[Booking|AWB|CRT]]="","",MARÍTIMOS[[#This Row],[Booking|AWB|CRT]]),"")</f>
        <v/>
      </c>
      <c r="P390" s="2" t="str">
        <f>IFERROR(IF(MARÍTIMOS[[#This Row],[Contenedor]]="","",MARÍTIMOS[[#This Row],[Contenedor]]),"")</f>
        <v/>
      </c>
      <c r="Q390" s="2" t="str">
        <f>IFERROR(IF(MARÍTIMOS[[#This Row],[Puerto de Retiro]]="","",MARÍTIMOS[[#This Row],[Puerto de Retiro]]),"")</f>
        <v/>
      </c>
      <c r="R390" s="2" t="str">
        <f>IFERROR(IF(MARÍTIMOS[[#This Row],[Almacén de Retiro]]="","",MARÍTIMOS[[#This Row],[Almacén de Retiro]]),"")</f>
        <v/>
      </c>
      <c r="S390" s="11" t="str">
        <f>IFERROR(IF(MARÍTIMOS[[#This Row],[Etapa Retiro - Cita]]="","",MARÍTIMOS[[#This Row],[Etapa Retiro - Cita]]),"")</f>
        <v/>
      </c>
      <c r="T390" s="11" t="str">
        <f>IFERROR(IF(MARÍTIMOS[[#This Row],[Etapa Retiro - Llegada]]="","",MARÍTIMOS[[#This Row],[Etapa Retiro - Llegada]]),"")</f>
        <v/>
      </c>
      <c r="U390" s="11" t="str">
        <f>IFERROR(IF(MARÍTIMOS[[#This Row],[Etapa Retiro - Ingreso]]="","",MARÍTIMOS[[#This Row],[Etapa Retiro - Ingreso]]),"")</f>
        <v/>
      </c>
      <c r="V390" s="11" t="str">
        <f>IFERROR(IF(MARÍTIMOS[[#This Row],[Etapa Retiro - Atención]]="","",MARÍTIMOS[[#This Row],[Etapa Retiro - Atención]]),"")</f>
        <v/>
      </c>
      <c r="W390" s="11" t="str">
        <f>IFERROR(IF(MARÍTIMOS[[#This Row],[Etapa Retiro - Salida]]="","",MARÍTIMOS[[#This Row],[Etapa Retiro - Salida]]),"")</f>
        <v/>
      </c>
      <c r="X390" s="11" t="str">
        <f>IFERROR(IF(MARÍTIMOS[[#This Row],[Etapa Retiro - Inicio de Ruta]]="","",MARÍTIMOS[[#This Row],[Etapa Retiro - Inicio de Ruta]]),"")</f>
        <v/>
      </c>
      <c r="Y390" s="11" t="str">
        <f>IFERROR(IF(MARÍTIMOS[[#This Row],[Hora de Posicionamiento]]="","",MARÍTIMOS[[#This Row],[Hora de Carga]]+MARÍTIMOS[[#This Row],[Hora de Posicionamiento]]),"")</f>
        <v/>
      </c>
      <c r="Z390" s="11" t="str">
        <f>IFERROR(IF(MARÍTIMOS[[#This Row],[Etapa Despacho -  Llegada]]="","",MARÍTIMOS[[#This Row],[Etapa Despacho -  Llegada]]),"")</f>
        <v/>
      </c>
      <c r="AA390" s="11" t="str">
        <f>IFERROR(IF(MARÍTIMOS[[#This Row],[Etapa Despacho -  Registro]]="","",MARÍTIMOS[[#This Row],[Etapa Despacho -  Registro]]),"")</f>
        <v/>
      </c>
      <c r="AB390" s="11" t="str">
        <f>IFERROR(IF(MARÍTIMOS[[#This Row],[Inspección Externa]]="","",MARÍTIMOS[[#This Row],[Inspección Externa]]),"")</f>
        <v/>
      </c>
      <c r="AC390" s="11" t="str">
        <f>IFERROR(IF(MARÍTIMOS[[#This Row],[Etapa Despacho -  Inicio de Carga]]="","",MARÍTIMOS[[#This Row],[Etapa Despacho -  Inicio de Carga]]),"")</f>
        <v/>
      </c>
      <c r="AD390" s="11" t="str">
        <f>IFERROR(IF(MARÍTIMOS[[#This Row],[Etapa Despacho -  Fin de Carga]]="","",MARÍTIMOS[[#This Row],[Etapa Despacho -  Fin de Carga]]),"")</f>
        <v/>
      </c>
      <c r="AE390" s="11" t="str">
        <f>IFERROR(IF(MARÍTIMOS[[#This Row],[Etapa Despacho -  Salida]]="","",MARÍTIMOS[[#This Row],[Etapa Despacho -  Salida]]),"")</f>
        <v/>
      </c>
      <c r="AF390" s="2" t="str">
        <f>IFERROR(IF(MARÍTIMOS[[#This Row],[Puerto de Embarque]]="","",MARÍTIMOS[[#This Row],[Puerto de Embarque]]),"")</f>
        <v/>
      </c>
      <c r="AG390" s="2" t="str">
        <f>IFERROR(IF(MARÍTIMOS[[#This Row],[Almacén de Ingreso]]="","",MARÍTIMOS[[#This Row],[Almacén de Ingreso]]),"")</f>
        <v/>
      </c>
      <c r="AH390" s="11" t="str">
        <f>IFERROR(IF(MARÍTIMOS[[#This Row],[Etapa Ingreso - Cita]]="","",MARÍTIMOS[[#This Row],[Etapa Ingreso - Cita]]),"")</f>
        <v/>
      </c>
      <c r="AI390" s="11" t="str">
        <f>IFERROR(IF(MARÍTIMOS[[#This Row],[Etapa Ingreso - Llegada]]="","",MARÍTIMOS[[#This Row],[Etapa Ingreso - Llegada]]),"")</f>
        <v/>
      </c>
      <c r="AJ390" s="11" t="str">
        <f>IFERROR(IF(MARÍTIMOS[[#This Row],[Etapa Ingreso - Ingeso]]="","",MARÍTIMOS[[#This Row],[Etapa Ingreso - Ingeso]]),"")</f>
        <v/>
      </c>
      <c r="AK390" s="11" t="str">
        <f>IFERROR(IF(MARÍTIMOS[[#This Row],[Etapa Ingreso - Atención]]="","",MARÍTIMOS[[#This Row],[Etapa Ingreso - Atención]]),"")</f>
        <v/>
      </c>
      <c r="AL390" s="11" t="str">
        <f>IFERROR(IF(MARÍTIMOS[[#This Row],[Etapa Ingreso - Salida]]="","",MARÍTIMOS[[#This Row],[Etapa Ingreso - Salida]]),"")</f>
        <v/>
      </c>
      <c r="AM390" s="2" t="str">
        <f>IFERROR(IF(MARÍTIMOS[[#This Row],[FCL]]="","",MARÍTIMOS[[#This Row],[FCL]]),"")</f>
        <v/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0" s="5" t="str">
        <f>IFERROR(OLDBD[[#This Row],[Llegada a packing]]-OLDBD[[#This Row],[Inicio de Ruta]],"")</f>
        <v/>
      </c>
      <c r="AQ390" s="6" t="str">
        <f>IFERROR(OLDBD[[#This Row],[Inicio de Ruta]]-OLDBD[[#This Row],[Salida de almacén de retiro]],"")</f>
        <v/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 t="str">
        <f>IFERROR(OLDBD[[#This Row],[Llegada Almacén de Ingreso]]-OLDBD[[#This Row],[Salida Packing]],"")</f>
        <v/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0" s="45" t="s">
        <v>181</v>
      </c>
      <c r="BB390" s="53" t="str">
        <f>IFERROR(IF(MARÍTIMOS[[#This Row],[Estatus]]="","",MARÍTIMOS[[#This Row],[Estatus]]),"")</f>
        <v/>
      </c>
      <c r="BC390" s="45"/>
      <c r="BD390" s="52" t="str">
        <f>IFERROR(OLDBD[[#This Row],[Salida de almacén de retiro]]-OLDBD[[#This Row],[Ingreso Almacén de retiro]],"")</f>
        <v/>
      </c>
      <c r="BE390" s="52" t="str">
        <f>IFERROR(OLDBD[[#This Row],[Fin de Carga]]-OLDBD[[#This Row],[Inicio de Carga]],"")</f>
        <v/>
      </c>
    </row>
    <row r="391" spans="1:57" x14ac:dyDescent="0.35">
      <c r="A391" s="1"/>
      <c r="B391" s="1" t="str">
        <f>IFERROR(IF(MARÍTIMOS[[#This Row],[PP]]="","",MARÍTIMOS[[#This Row],[PP]]),"")</f>
        <v/>
      </c>
      <c r="C391" s="1" t="str">
        <f>IFERROR(IF(MARÍTIMOS[[#This Row],[Sede]]="","",MARÍTIMOS[[#This Row],[Sede]]),"")</f>
        <v/>
      </c>
      <c r="D391" s="1" t="str">
        <f>IFERROR(IF(MARÍTIMOS[[#This Row],[Instruction]]="","",MARÍTIMOS[[#This Row],[Instruction]]),"")</f>
        <v/>
      </c>
      <c r="E391" s="1"/>
      <c r="F391" s="2" t="str">
        <f>IFERROR(IF(MARÍTIMOS[[#This Row],[Transportista]]="","",MARÍTIMOS[[#This Row],[Transportista]]),"")</f>
        <v/>
      </c>
      <c r="G391" s="2" t="str">
        <f>IFERROR(IF(MARÍTIMOS[[#This Row],[Tercero]]="","",MARÍTIMOS[[#This Row],[Tercero]]),"")</f>
        <v/>
      </c>
      <c r="H391" s="2" t="str">
        <f>IFERROR(IF(MARÍTIMOS[[#This Row],[Razón Social]]="","",MARÍTIMOS[[#This Row],[Razón Social]]),"")</f>
        <v/>
      </c>
      <c r="I391" s="2" t="str">
        <f>IFERROR(IF(MARÍTIMOS[[#This Row],[RUC]]="","",MARÍTIMOS[[#This Row],[RUC]]),"")</f>
        <v/>
      </c>
      <c r="J391" s="2" t="str">
        <f>IFERROR(IF(MARÍTIMOS[[#This Row],[Placa Tracto]]="","",MARÍTIMOS[[#This Row],[Placa Tracto]]),"")</f>
        <v/>
      </c>
      <c r="K391" s="2" t="str">
        <f>IFERROR(IF(MARÍTIMOS[[#This Row],[Placa Carreta]]="","",MARÍTIMOS[[#This Row],[Placa Carreta]]),"")</f>
        <v/>
      </c>
      <c r="L391" s="46" t="str">
        <f>IFERROR(IF(MARÍTIMOS[[#This Row],[Conductor]]="","",MARÍTIMOS[[#This Row],[Conductor]]),"")</f>
        <v/>
      </c>
      <c r="M391" s="2" t="str">
        <f>IFERROR(IF(MARÍTIMOS[[#This Row],[Licencia]]="","",MARÍTIMOS[[#This Row],[Licencia]]),"")</f>
        <v/>
      </c>
      <c r="N391" s="2" t="str">
        <f>IFERROR(IF(MARÍTIMOS[[#This Row],[Número de Contacto]]="","",MARÍTIMOS[[#This Row],[Número de Contacto]]),"")</f>
        <v/>
      </c>
      <c r="O391" s="10" t="str">
        <f>IFERROR(IF(MARÍTIMOS[[#This Row],[Booking|AWB|CRT]]="","",MARÍTIMOS[[#This Row],[Booking|AWB|CRT]]),"")</f>
        <v/>
      </c>
      <c r="P391" s="2" t="str">
        <f>IFERROR(IF(MARÍTIMOS[[#This Row],[Contenedor]]="","",MARÍTIMOS[[#This Row],[Contenedor]]),"")</f>
        <v/>
      </c>
      <c r="Q391" s="2" t="str">
        <f>IFERROR(IF(MARÍTIMOS[[#This Row],[Puerto de Retiro]]="","",MARÍTIMOS[[#This Row],[Puerto de Retiro]]),"")</f>
        <v/>
      </c>
      <c r="R391" s="2" t="str">
        <f>IFERROR(IF(MARÍTIMOS[[#This Row],[Almacén de Retiro]]="","",MARÍTIMOS[[#This Row],[Almacén de Retiro]]),"")</f>
        <v/>
      </c>
      <c r="S391" s="11" t="str">
        <f>IFERROR(IF(MARÍTIMOS[[#This Row],[Etapa Retiro - Cita]]="","",MARÍTIMOS[[#This Row],[Etapa Retiro - Cita]]),"")</f>
        <v/>
      </c>
      <c r="T391" s="11" t="str">
        <f>IFERROR(IF(MARÍTIMOS[[#This Row],[Etapa Retiro - Llegada]]="","",MARÍTIMOS[[#This Row],[Etapa Retiro - Llegada]]),"")</f>
        <v/>
      </c>
      <c r="U391" s="11" t="str">
        <f>IFERROR(IF(MARÍTIMOS[[#This Row],[Etapa Retiro - Ingreso]]="","",MARÍTIMOS[[#This Row],[Etapa Retiro - Ingreso]]),"")</f>
        <v/>
      </c>
      <c r="V391" s="11" t="str">
        <f>IFERROR(IF(MARÍTIMOS[[#This Row],[Etapa Retiro - Atención]]="","",MARÍTIMOS[[#This Row],[Etapa Retiro - Atención]]),"")</f>
        <v/>
      </c>
      <c r="W391" s="11" t="str">
        <f>IFERROR(IF(MARÍTIMOS[[#This Row],[Etapa Retiro - Salida]]="","",MARÍTIMOS[[#This Row],[Etapa Retiro - Salida]]),"")</f>
        <v/>
      </c>
      <c r="X391" s="11" t="str">
        <f>IFERROR(IF(MARÍTIMOS[[#This Row],[Etapa Retiro - Inicio de Ruta]]="","",MARÍTIMOS[[#This Row],[Etapa Retiro - Inicio de Ruta]]),"")</f>
        <v/>
      </c>
      <c r="Y391" s="11" t="str">
        <f>IFERROR(IF(MARÍTIMOS[[#This Row],[Hora de Posicionamiento]]="","",MARÍTIMOS[[#This Row],[Hora de Carga]]+MARÍTIMOS[[#This Row],[Hora de Posicionamiento]]),"")</f>
        <v/>
      </c>
      <c r="Z391" s="11" t="str">
        <f>IFERROR(IF(MARÍTIMOS[[#This Row],[Etapa Despacho -  Llegada]]="","",MARÍTIMOS[[#This Row],[Etapa Despacho -  Llegada]]),"")</f>
        <v/>
      </c>
      <c r="AA391" s="11" t="str">
        <f>IFERROR(IF(MARÍTIMOS[[#This Row],[Etapa Despacho -  Registro]]="","",MARÍTIMOS[[#This Row],[Etapa Despacho -  Registro]]),"")</f>
        <v/>
      </c>
      <c r="AB391" s="11" t="str">
        <f>IFERROR(IF(MARÍTIMOS[[#This Row],[Inspección Externa]]="","",MARÍTIMOS[[#This Row],[Inspección Externa]]),"")</f>
        <v/>
      </c>
      <c r="AC391" s="11" t="str">
        <f>IFERROR(IF(MARÍTIMOS[[#This Row],[Etapa Despacho -  Inicio de Carga]]="","",MARÍTIMOS[[#This Row],[Etapa Despacho -  Inicio de Carga]]),"")</f>
        <v/>
      </c>
      <c r="AD391" s="11" t="str">
        <f>IFERROR(IF(MARÍTIMOS[[#This Row],[Etapa Despacho -  Fin de Carga]]="","",MARÍTIMOS[[#This Row],[Etapa Despacho -  Fin de Carga]]),"")</f>
        <v/>
      </c>
      <c r="AE391" s="11" t="str">
        <f>IFERROR(IF(MARÍTIMOS[[#This Row],[Etapa Despacho -  Salida]]="","",MARÍTIMOS[[#This Row],[Etapa Despacho -  Salida]]),"")</f>
        <v/>
      </c>
      <c r="AF391" s="2" t="str">
        <f>IFERROR(IF(MARÍTIMOS[[#This Row],[Puerto de Embarque]]="","",MARÍTIMOS[[#This Row],[Puerto de Embarque]]),"")</f>
        <v/>
      </c>
      <c r="AG391" s="2" t="str">
        <f>IFERROR(IF(MARÍTIMOS[[#This Row],[Almacén de Ingreso]]="","",MARÍTIMOS[[#This Row],[Almacén de Ingreso]]),"")</f>
        <v/>
      </c>
      <c r="AH391" s="11" t="str">
        <f>IFERROR(IF(MARÍTIMOS[[#This Row],[Etapa Ingreso - Cita]]="","",MARÍTIMOS[[#This Row],[Etapa Ingreso - Cita]]),"")</f>
        <v/>
      </c>
      <c r="AI391" s="11" t="str">
        <f>IFERROR(IF(MARÍTIMOS[[#This Row],[Etapa Ingreso - Llegada]]="","",MARÍTIMOS[[#This Row],[Etapa Ingreso - Llegada]]),"")</f>
        <v/>
      </c>
      <c r="AJ391" s="11" t="str">
        <f>IFERROR(IF(MARÍTIMOS[[#This Row],[Etapa Ingreso - Ingeso]]="","",MARÍTIMOS[[#This Row],[Etapa Ingreso - Ingeso]]),"")</f>
        <v/>
      </c>
      <c r="AK391" s="11" t="str">
        <f>IFERROR(IF(MARÍTIMOS[[#This Row],[Etapa Ingreso - Atención]]="","",MARÍTIMOS[[#This Row],[Etapa Ingreso - Atención]]),"")</f>
        <v/>
      </c>
      <c r="AL391" s="11" t="str">
        <f>IFERROR(IF(MARÍTIMOS[[#This Row],[Etapa Ingreso - Salida]]="","",MARÍTIMOS[[#This Row],[Etapa Ingreso - Salida]]),"")</f>
        <v/>
      </c>
      <c r="AM391" s="2" t="str">
        <f>IFERROR(IF(MARÍTIMOS[[#This Row],[FCL]]="","",MARÍTIMOS[[#This Row],[FCL]]),"")</f>
        <v/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1" s="5" t="str">
        <f>IFERROR(OLDBD[[#This Row],[Llegada a packing]]-OLDBD[[#This Row],[Inicio de Ruta]],"")</f>
        <v/>
      </c>
      <c r="AQ391" s="6" t="str">
        <f>IFERROR(OLDBD[[#This Row],[Inicio de Ruta]]-OLDBD[[#This Row],[Salida de almacén de retiro]],"")</f>
        <v/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 t="str">
        <f>IFERROR(OLDBD[[#This Row],[Llegada Almacén de Ingreso]]-OLDBD[[#This Row],[Salida Packing]],"")</f>
        <v/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1" s="45" t="s">
        <v>181</v>
      </c>
      <c r="BB391" s="53" t="str">
        <f>IFERROR(IF(MARÍTIMOS[[#This Row],[Estatus]]="","",MARÍTIMOS[[#This Row],[Estatus]]),"")</f>
        <v/>
      </c>
      <c r="BC391" s="45"/>
      <c r="BD391" s="52" t="str">
        <f>IFERROR(OLDBD[[#This Row],[Salida de almacén de retiro]]-OLDBD[[#This Row],[Ingreso Almacén de retiro]],"")</f>
        <v/>
      </c>
      <c r="BE391" s="52" t="str">
        <f>IFERROR(OLDBD[[#This Row],[Fin de Carga]]-OLDBD[[#This Row],[Inicio de Carga]],"")</f>
        <v/>
      </c>
    </row>
    <row r="392" spans="1:57" x14ac:dyDescent="0.35">
      <c r="A392" s="1"/>
      <c r="B392" s="1" t="str">
        <f>IFERROR(IF(MARÍTIMOS[[#This Row],[PP]]="","",MARÍTIMOS[[#This Row],[PP]]),"")</f>
        <v/>
      </c>
      <c r="C392" s="1" t="str">
        <f>IFERROR(IF(MARÍTIMOS[[#This Row],[Sede]]="","",MARÍTIMOS[[#This Row],[Sede]]),"")</f>
        <v/>
      </c>
      <c r="D392" s="1" t="str">
        <f>IFERROR(IF(MARÍTIMOS[[#This Row],[Instruction]]="","",MARÍTIMOS[[#This Row],[Instruction]]),"")</f>
        <v/>
      </c>
      <c r="E392" s="1"/>
      <c r="F392" s="2" t="str">
        <f>IFERROR(IF(MARÍTIMOS[[#This Row],[Transportista]]="","",MARÍTIMOS[[#This Row],[Transportista]]),"")</f>
        <v/>
      </c>
      <c r="G392" s="2" t="str">
        <f>IFERROR(IF(MARÍTIMOS[[#This Row],[Tercero]]="","",MARÍTIMOS[[#This Row],[Tercero]]),"")</f>
        <v/>
      </c>
      <c r="H392" s="2" t="str">
        <f>IFERROR(IF(MARÍTIMOS[[#This Row],[Razón Social]]="","",MARÍTIMOS[[#This Row],[Razón Social]]),"")</f>
        <v/>
      </c>
      <c r="I392" s="2" t="str">
        <f>IFERROR(IF(MARÍTIMOS[[#This Row],[RUC]]="","",MARÍTIMOS[[#This Row],[RUC]]),"")</f>
        <v/>
      </c>
      <c r="J392" s="2" t="str">
        <f>IFERROR(IF(MARÍTIMOS[[#This Row],[Placa Tracto]]="","",MARÍTIMOS[[#This Row],[Placa Tracto]]),"")</f>
        <v/>
      </c>
      <c r="K392" s="2" t="str">
        <f>IFERROR(IF(MARÍTIMOS[[#This Row],[Placa Carreta]]="","",MARÍTIMOS[[#This Row],[Placa Carreta]]),"")</f>
        <v/>
      </c>
      <c r="L392" s="46" t="str">
        <f>IFERROR(IF(MARÍTIMOS[[#This Row],[Conductor]]="","",MARÍTIMOS[[#This Row],[Conductor]]),"")</f>
        <v/>
      </c>
      <c r="M392" s="2" t="str">
        <f>IFERROR(IF(MARÍTIMOS[[#This Row],[Licencia]]="","",MARÍTIMOS[[#This Row],[Licencia]]),"")</f>
        <v/>
      </c>
      <c r="N392" s="2" t="str">
        <f>IFERROR(IF(MARÍTIMOS[[#This Row],[Número de Contacto]]="","",MARÍTIMOS[[#This Row],[Número de Contacto]]),"")</f>
        <v/>
      </c>
      <c r="O392" s="10" t="str">
        <f>IFERROR(IF(MARÍTIMOS[[#This Row],[Booking|AWB|CRT]]="","",MARÍTIMOS[[#This Row],[Booking|AWB|CRT]]),"")</f>
        <v/>
      </c>
      <c r="P392" s="2" t="str">
        <f>IFERROR(IF(MARÍTIMOS[[#This Row],[Contenedor]]="","",MARÍTIMOS[[#This Row],[Contenedor]]),"")</f>
        <v/>
      </c>
      <c r="Q392" s="2" t="str">
        <f>IFERROR(IF(MARÍTIMOS[[#This Row],[Puerto de Retiro]]="","",MARÍTIMOS[[#This Row],[Puerto de Retiro]]),"")</f>
        <v/>
      </c>
      <c r="R392" s="2" t="str">
        <f>IFERROR(IF(MARÍTIMOS[[#This Row],[Almacén de Retiro]]="","",MARÍTIMOS[[#This Row],[Almacén de Retiro]]),"")</f>
        <v/>
      </c>
      <c r="S392" s="11" t="str">
        <f>IFERROR(IF(MARÍTIMOS[[#This Row],[Etapa Retiro - Cita]]="","",MARÍTIMOS[[#This Row],[Etapa Retiro - Cita]]),"")</f>
        <v/>
      </c>
      <c r="T392" s="11" t="str">
        <f>IFERROR(IF(MARÍTIMOS[[#This Row],[Etapa Retiro - Llegada]]="","",MARÍTIMOS[[#This Row],[Etapa Retiro - Llegada]]),"")</f>
        <v/>
      </c>
      <c r="U392" s="11" t="str">
        <f>IFERROR(IF(MARÍTIMOS[[#This Row],[Etapa Retiro - Ingreso]]="","",MARÍTIMOS[[#This Row],[Etapa Retiro - Ingreso]]),"")</f>
        <v/>
      </c>
      <c r="V392" s="11" t="str">
        <f>IFERROR(IF(MARÍTIMOS[[#This Row],[Etapa Retiro - Atención]]="","",MARÍTIMOS[[#This Row],[Etapa Retiro - Atención]]),"")</f>
        <v/>
      </c>
      <c r="W392" s="11" t="str">
        <f>IFERROR(IF(MARÍTIMOS[[#This Row],[Etapa Retiro - Salida]]="","",MARÍTIMOS[[#This Row],[Etapa Retiro - Salida]]),"")</f>
        <v/>
      </c>
      <c r="X392" s="11" t="str">
        <f>IFERROR(IF(MARÍTIMOS[[#This Row],[Etapa Retiro - Inicio de Ruta]]="","",MARÍTIMOS[[#This Row],[Etapa Retiro - Inicio de Ruta]]),"")</f>
        <v/>
      </c>
      <c r="Y392" s="11" t="str">
        <f>IFERROR(IF(MARÍTIMOS[[#This Row],[Hora de Posicionamiento]]="","",MARÍTIMOS[[#This Row],[Hora de Carga]]+MARÍTIMOS[[#This Row],[Hora de Posicionamiento]]),"")</f>
        <v/>
      </c>
      <c r="Z392" s="11" t="str">
        <f>IFERROR(IF(MARÍTIMOS[[#This Row],[Etapa Despacho -  Llegada]]="","",MARÍTIMOS[[#This Row],[Etapa Despacho -  Llegada]]),"")</f>
        <v/>
      </c>
      <c r="AA392" s="11" t="str">
        <f>IFERROR(IF(MARÍTIMOS[[#This Row],[Etapa Despacho -  Registro]]="","",MARÍTIMOS[[#This Row],[Etapa Despacho -  Registro]]),"")</f>
        <v/>
      </c>
      <c r="AB392" s="11" t="str">
        <f>IFERROR(IF(MARÍTIMOS[[#This Row],[Inspección Externa]]="","",MARÍTIMOS[[#This Row],[Inspección Externa]]),"")</f>
        <v/>
      </c>
      <c r="AC392" s="11" t="str">
        <f>IFERROR(IF(MARÍTIMOS[[#This Row],[Etapa Despacho -  Inicio de Carga]]="","",MARÍTIMOS[[#This Row],[Etapa Despacho -  Inicio de Carga]]),"")</f>
        <v/>
      </c>
      <c r="AD392" s="11" t="str">
        <f>IFERROR(IF(MARÍTIMOS[[#This Row],[Etapa Despacho -  Fin de Carga]]="","",MARÍTIMOS[[#This Row],[Etapa Despacho -  Fin de Carga]]),"")</f>
        <v/>
      </c>
      <c r="AE392" s="11" t="str">
        <f>IFERROR(IF(MARÍTIMOS[[#This Row],[Etapa Despacho -  Salida]]="","",MARÍTIMOS[[#This Row],[Etapa Despacho -  Salida]]),"")</f>
        <v/>
      </c>
      <c r="AF392" s="2" t="str">
        <f>IFERROR(IF(MARÍTIMOS[[#This Row],[Puerto de Embarque]]="","",MARÍTIMOS[[#This Row],[Puerto de Embarque]]),"")</f>
        <v/>
      </c>
      <c r="AG392" s="2" t="str">
        <f>IFERROR(IF(MARÍTIMOS[[#This Row],[Almacén de Ingreso]]="","",MARÍTIMOS[[#This Row],[Almacén de Ingreso]]),"")</f>
        <v/>
      </c>
      <c r="AH392" s="11" t="str">
        <f>IFERROR(IF(MARÍTIMOS[[#This Row],[Etapa Ingreso - Cita]]="","",MARÍTIMOS[[#This Row],[Etapa Ingreso - Cita]]),"")</f>
        <v/>
      </c>
      <c r="AI392" s="11" t="str">
        <f>IFERROR(IF(MARÍTIMOS[[#This Row],[Etapa Ingreso - Llegada]]="","",MARÍTIMOS[[#This Row],[Etapa Ingreso - Llegada]]),"")</f>
        <v/>
      </c>
      <c r="AJ392" s="11" t="str">
        <f>IFERROR(IF(MARÍTIMOS[[#This Row],[Etapa Ingreso - Ingeso]]="","",MARÍTIMOS[[#This Row],[Etapa Ingreso - Ingeso]]),"")</f>
        <v/>
      </c>
      <c r="AK392" s="11" t="str">
        <f>IFERROR(IF(MARÍTIMOS[[#This Row],[Etapa Ingreso - Atención]]="","",MARÍTIMOS[[#This Row],[Etapa Ingreso - Atención]]),"")</f>
        <v/>
      </c>
      <c r="AL392" s="11" t="str">
        <f>IFERROR(IF(MARÍTIMOS[[#This Row],[Etapa Ingreso - Salida]]="","",MARÍTIMOS[[#This Row],[Etapa Ingreso - Salida]]),"")</f>
        <v/>
      </c>
      <c r="AM392" s="2" t="str">
        <f>IFERROR(IF(MARÍTIMOS[[#This Row],[FCL]]="","",MARÍTIMOS[[#This Row],[FCL]]),"")</f>
        <v/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2" s="5" t="str">
        <f>IFERROR(OLDBD[[#This Row],[Llegada a packing]]-OLDBD[[#This Row],[Inicio de Ruta]],"")</f>
        <v/>
      </c>
      <c r="AQ392" s="6" t="str">
        <f>IFERROR(OLDBD[[#This Row],[Inicio de Ruta]]-OLDBD[[#This Row],[Salida de almacén de retiro]],"")</f>
        <v/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 t="str">
        <f>IFERROR(OLDBD[[#This Row],[Llegada Almacén de Ingreso]]-OLDBD[[#This Row],[Salida Packing]],"")</f>
        <v/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2" s="45" t="s">
        <v>181</v>
      </c>
      <c r="BB392" s="53" t="str">
        <f>IFERROR(IF(MARÍTIMOS[[#This Row],[Estatus]]="","",MARÍTIMOS[[#This Row],[Estatus]]),"")</f>
        <v/>
      </c>
      <c r="BC392" s="45"/>
      <c r="BD392" s="52" t="str">
        <f>IFERROR(OLDBD[[#This Row],[Salida de almacén de retiro]]-OLDBD[[#This Row],[Ingreso Almacén de retiro]],"")</f>
        <v/>
      </c>
      <c r="BE392" s="52" t="str">
        <f>IFERROR(OLDBD[[#This Row],[Fin de Carga]]-OLDBD[[#This Row],[Inicio de Carga]],"")</f>
        <v/>
      </c>
    </row>
    <row r="393" spans="1:57" x14ac:dyDescent="0.35">
      <c r="A393" s="1"/>
      <c r="B393" s="1" t="str">
        <f>IFERROR(IF(MARÍTIMOS[[#This Row],[PP]]="","",MARÍTIMOS[[#This Row],[PP]]),"")</f>
        <v/>
      </c>
      <c r="C393" s="1" t="str">
        <f>IFERROR(IF(MARÍTIMOS[[#This Row],[Sede]]="","",MARÍTIMOS[[#This Row],[Sede]]),"")</f>
        <v/>
      </c>
      <c r="D393" s="1" t="str">
        <f>IFERROR(IF(MARÍTIMOS[[#This Row],[Instruction]]="","",MARÍTIMOS[[#This Row],[Instruction]]),"")</f>
        <v/>
      </c>
      <c r="E393" s="1"/>
      <c r="F393" s="2" t="str">
        <f>IFERROR(IF(MARÍTIMOS[[#This Row],[Transportista]]="","",MARÍTIMOS[[#This Row],[Transportista]]),"")</f>
        <v/>
      </c>
      <c r="G393" s="2" t="str">
        <f>IFERROR(IF(MARÍTIMOS[[#This Row],[Tercero]]="","",MARÍTIMOS[[#This Row],[Tercero]]),"")</f>
        <v/>
      </c>
      <c r="H393" s="2" t="str">
        <f>IFERROR(IF(MARÍTIMOS[[#This Row],[Razón Social]]="","",MARÍTIMOS[[#This Row],[Razón Social]]),"")</f>
        <v/>
      </c>
      <c r="I393" s="2" t="str">
        <f>IFERROR(IF(MARÍTIMOS[[#This Row],[RUC]]="","",MARÍTIMOS[[#This Row],[RUC]]),"")</f>
        <v/>
      </c>
      <c r="J393" s="2" t="str">
        <f>IFERROR(IF(MARÍTIMOS[[#This Row],[Placa Tracto]]="","",MARÍTIMOS[[#This Row],[Placa Tracto]]),"")</f>
        <v/>
      </c>
      <c r="K393" s="2" t="str">
        <f>IFERROR(IF(MARÍTIMOS[[#This Row],[Placa Carreta]]="","",MARÍTIMOS[[#This Row],[Placa Carreta]]),"")</f>
        <v/>
      </c>
      <c r="L393" s="46" t="str">
        <f>IFERROR(IF(MARÍTIMOS[[#This Row],[Conductor]]="","",MARÍTIMOS[[#This Row],[Conductor]]),"")</f>
        <v/>
      </c>
      <c r="M393" s="2" t="str">
        <f>IFERROR(IF(MARÍTIMOS[[#This Row],[Licencia]]="","",MARÍTIMOS[[#This Row],[Licencia]]),"")</f>
        <v/>
      </c>
      <c r="N393" s="2" t="str">
        <f>IFERROR(IF(MARÍTIMOS[[#This Row],[Número de Contacto]]="","",MARÍTIMOS[[#This Row],[Número de Contacto]]),"")</f>
        <v/>
      </c>
      <c r="O393" s="10" t="str">
        <f>IFERROR(IF(MARÍTIMOS[[#This Row],[Booking|AWB|CRT]]="","",MARÍTIMOS[[#This Row],[Booking|AWB|CRT]]),"")</f>
        <v/>
      </c>
      <c r="P393" s="2" t="str">
        <f>IFERROR(IF(MARÍTIMOS[[#This Row],[Contenedor]]="","",MARÍTIMOS[[#This Row],[Contenedor]]),"")</f>
        <v/>
      </c>
      <c r="Q393" s="2" t="str">
        <f>IFERROR(IF(MARÍTIMOS[[#This Row],[Puerto de Retiro]]="","",MARÍTIMOS[[#This Row],[Puerto de Retiro]]),"")</f>
        <v/>
      </c>
      <c r="R393" s="2" t="str">
        <f>IFERROR(IF(MARÍTIMOS[[#This Row],[Almacén de Retiro]]="","",MARÍTIMOS[[#This Row],[Almacén de Retiro]]),"")</f>
        <v/>
      </c>
      <c r="S393" s="11" t="str">
        <f>IFERROR(IF(MARÍTIMOS[[#This Row],[Etapa Retiro - Cita]]="","",MARÍTIMOS[[#This Row],[Etapa Retiro - Cita]]),"")</f>
        <v/>
      </c>
      <c r="T393" s="11" t="str">
        <f>IFERROR(IF(MARÍTIMOS[[#This Row],[Etapa Retiro - Llegada]]="","",MARÍTIMOS[[#This Row],[Etapa Retiro - Llegada]]),"")</f>
        <v/>
      </c>
      <c r="U393" s="11" t="str">
        <f>IFERROR(IF(MARÍTIMOS[[#This Row],[Etapa Retiro - Ingreso]]="","",MARÍTIMOS[[#This Row],[Etapa Retiro - Ingreso]]),"")</f>
        <v/>
      </c>
      <c r="V393" s="11" t="str">
        <f>IFERROR(IF(MARÍTIMOS[[#This Row],[Etapa Retiro - Atención]]="","",MARÍTIMOS[[#This Row],[Etapa Retiro - Atención]]),"")</f>
        <v/>
      </c>
      <c r="W393" s="11" t="str">
        <f>IFERROR(IF(MARÍTIMOS[[#This Row],[Etapa Retiro - Salida]]="","",MARÍTIMOS[[#This Row],[Etapa Retiro - Salida]]),"")</f>
        <v/>
      </c>
      <c r="X393" s="11" t="str">
        <f>IFERROR(IF(MARÍTIMOS[[#This Row],[Etapa Retiro - Inicio de Ruta]]="","",MARÍTIMOS[[#This Row],[Etapa Retiro - Inicio de Ruta]]),"")</f>
        <v/>
      </c>
      <c r="Y393" s="11" t="str">
        <f>IFERROR(IF(MARÍTIMOS[[#This Row],[Hora de Posicionamiento]]="","",MARÍTIMOS[[#This Row],[Hora de Carga]]+MARÍTIMOS[[#This Row],[Hora de Posicionamiento]]),"")</f>
        <v/>
      </c>
      <c r="Z393" s="11" t="str">
        <f>IFERROR(IF(MARÍTIMOS[[#This Row],[Etapa Despacho -  Llegada]]="","",MARÍTIMOS[[#This Row],[Etapa Despacho -  Llegada]]),"")</f>
        <v/>
      </c>
      <c r="AA393" s="11" t="str">
        <f>IFERROR(IF(MARÍTIMOS[[#This Row],[Etapa Despacho -  Registro]]="","",MARÍTIMOS[[#This Row],[Etapa Despacho -  Registro]]),"")</f>
        <v/>
      </c>
      <c r="AB393" s="11" t="str">
        <f>IFERROR(IF(MARÍTIMOS[[#This Row],[Inspección Externa]]="","",MARÍTIMOS[[#This Row],[Inspección Externa]]),"")</f>
        <v/>
      </c>
      <c r="AC393" s="11" t="str">
        <f>IFERROR(IF(MARÍTIMOS[[#This Row],[Etapa Despacho -  Inicio de Carga]]="","",MARÍTIMOS[[#This Row],[Etapa Despacho -  Inicio de Carga]]),"")</f>
        <v/>
      </c>
      <c r="AD393" s="11" t="str">
        <f>IFERROR(IF(MARÍTIMOS[[#This Row],[Etapa Despacho -  Fin de Carga]]="","",MARÍTIMOS[[#This Row],[Etapa Despacho -  Fin de Carga]]),"")</f>
        <v/>
      </c>
      <c r="AE393" s="11" t="str">
        <f>IFERROR(IF(MARÍTIMOS[[#This Row],[Etapa Despacho -  Salida]]="","",MARÍTIMOS[[#This Row],[Etapa Despacho -  Salida]]),"")</f>
        <v/>
      </c>
      <c r="AF393" s="2" t="str">
        <f>IFERROR(IF(MARÍTIMOS[[#This Row],[Puerto de Embarque]]="","",MARÍTIMOS[[#This Row],[Puerto de Embarque]]),"")</f>
        <v/>
      </c>
      <c r="AG393" s="2" t="str">
        <f>IFERROR(IF(MARÍTIMOS[[#This Row],[Almacén de Ingreso]]="","",MARÍTIMOS[[#This Row],[Almacén de Ingreso]]),"")</f>
        <v/>
      </c>
      <c r="AH393" s="11" t="str">
        <f>IFERROR(IF(MARÍTIMOS[[#This Row],[Etapa Ingreso - Cita]]="","",MARÍTIMOS[[#This Row],[Etapa Ingreso - Cita]]),"")</f>
        <v/>
      </c>
      <c r="AI393" s="11" t="str">
        <f>IFERROR(IF(MARÍTIMOS[[#This Row],[Etapa Ingreso - Llegada]]="","",MARÍTIMOS[[#This Row],[Etapa Ingreso - Llegada]]),"")</f>
        <v/>
      </c>
      <c r="AJ393" s="11" t="str">
        <f>IFERROR(IF(MARÍTIMOS[[#This Row],[Etapa Ingreso - Ingeso]]="","",MARÍTIMOS[[#This Row],[Etapa Ingreso - Ingeso]]),"")</f>
        <v/>
      </c>
      <c r="AK393" s="11" t="str">
        <f>IFERROR(IF(MARÍTIMOS[[#This Row],[Etapa Ingreso - Atención]]="","",MARÍTIMOS[[#This Row],[Etapa Ingreso - Atención]]),"")</f>
        <v/>
      </c>
      <c r="AL393" s="11" t="str">
        <f>IFERROR(IF(MARÍTIMOS[[#This Row],[Etapa Ingreso - Salida]]="","",MARÍTIMOS[[#This Row],[Etapa Ingreso - Salida]]),"")</f>
        <v/>
      </c>
      <c r="AM393" s="2" t="str">
        <f>IFERROR(IF(MARÍTIMOS[[#This Row],[FCL]]="","",MARÍTIMOS[[#This Row],[FCL]]),"")</f>
        <v/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3" s="5" t="str">
        <f>IFERROR(OLDBD[[#This Row],[Llegada a packing]]-OLDBD[[#This Row],[Inicio de Ruta]],"")</f>
        <v/>
      </c>
      <c r="AQ393" s="6" t="str">
        <f>IFERROR(OLDBD[[#This Row],[Inicio de Ruta]]-OLDBD[[#This Row],[Salida de almacén de retiro]],"")</f>
        <v/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 t="str">
        <f>IFERROR(OLDBD[[#This Row],[Llegada Almacén de Ingreso]]-OLDBD[[#This Row],[Salida Packing]],"")</f>
        <v/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3" s="45" t="s">
        <v>181</v>
      </c>
      <c r="BB393" s="53" t="str">
        <f>IFERROR(IF(MARÍTIMOS[[#This Row],[Estatus]]="","",MARÍTIMOS[[#This Row],[Estatus]]),"")</f>
        <v/>
      </c>
      <c r="BC393" s="45"/>
      <c r="BD393" s="52" t="str">
        <f>IFERROR(OLDBD[[#This Row],[Salida de almacén de retiro]]-OLDBD[[#This Row],[Ingreso Almacén de retiro]],"")</f>
        <v/>
      </c>
      <c r="BE393" s="52" t="str">
        <f>IFERROR(OLDBD[[#This Row],[Fin de Carga]]-OLDBD[[#This Row],[Inicio de Carga]],"")</f>
        <v/>
      </c>
    </row>
    <row r="394" spans="1:57" x14ac:dyDescent="0.35">
      <c r="A394" s="1"/>
      <c r="B394" s="1" t="str">
        <f>IFERROR(IF(MARÍTIMOS[[#This Row],[PP]]="","",MARÍTIMOS[[#This Row],[PP]]),"")</f>
        <v/>
      </c>
      <c r="C394" s="1" t="str">
        <f>IFERROR(IF(MARÍTIMOS[[#This Row],[Sede]]="","",MARÍTIMOS[[#This Row],[Sede]]),"")</f>
        <v/>
      </c>
      <c r="D394" s="1" t="str">
        <f>IFERROR(IF(MARÍTIMOS[[#This Row],[Instruction]]="","",MARÍTIMOS[[#This Row],[Instruction]]),"")</f>
        <v/>
      </c>
      <c r="E394" s="1"/>
      <c r="F394" s="2" t="str">
        <f>IFERROR(IF(MARÍTIMOS[[#This Row],[Transportista]]="","",MARÍTIMOS[[#This Row],[Transportista]]),"")</f>
        <v/>
      </c>
      <c r="G394" s="2" t="str">
        <f>IFERROR(IF(MARÍTIMOS[[#This Row],[Tercero]]="","",MARÍTIMOS[[#This Row],[Tercero]]),"")</f>
        <v/>
      </c>
      <c r="H394" s="2" t="str">
        <f>IFERROR(IF(MARÍTIMOS[[#This Row],[Razón Social]]="","",MARÍTIMOS[[#This Row],[Razón Social]]),"")</f>
        <v/>
      </c>
      <c r="I394" s="2" t="str">
        <f>IFERROR(IF(MARÍTIMOS[[#This Row],[RUC]]="","",MARÍTIMOS[[#This Row],[RUC]]),"")</f>
        <v/>
      </c>
      <c r="J394" s="2" t="str">
        <f>IFERROR(IF(MARÍTIMOS[[#This Row],[Placa Tracto]]="","",MARÍTIMOS[[#This Row],[Placa Tracto]]),"")</f>
        <v/>
      </c>
      <c r="K394" s="2" t="str">
        <f>IFERROR(IF(MARÍTIMOS[[#This Row],[Placa Carreta]]="","",MARÍTIMOS[[#This Row],[Placa Carreta]]),"")</f>
        <v/>
      </c>
      <c r="L394" s="46" t="str">
        <f>IFERROR(IF(MARÍTIMOS[[#This Row],[Conductor]]="","",MARÍTIMOS[[#This Row],[Conductor]]),"")</f>
        <v/>
      </c>
      <c r="M394" s="2" t="str">
        <f>IFERROR(IF(MARÍTIMOS[[#This Row],[Licencia]]="","",MARÍTIMOS[[#This Row],[Licencia]]),"")</f>
        <v/>
      </c>
      <c r="N394" s="2" t="str">
        <f>IFERROR(IF(MARÍTIMOS[[#This Row],[Número de Contacto]]="","",MARÍTIMOS[[#This Row],[Número de Contacto]]),"")</f>
        <v/>
      </c>
      <c r="O394" s="10" t="str">
        <f>IFERROR(IF(MARÍTIMOS[[#This Row],[Booking|AWB|CRT]]="","",MARÍTIMOS[[#This Row],[Booking|AWB|CRT]]),"")</f>
        <v/>
      </c>
      <c r="P394" s="2" t="str">
        <f>IFERROR(IF(MARÍTIMOS[[#This Row],[Contenedor]]="","",MARÍTIMOS[[#This Row],[Contenedor]]),"")</f>
        <v/>
      </c>
      <c r="Q394" s="2" t="str">
        <f>IFERROR(IF(MARÍTIMOS[[#This Row],[Puerto de Retiro]]="","",MARÍTIMOS[[#This Row],[Puerto de Retiro]]),"")</f>
        <v/>
      </c>
      <c r="R394" s="2" t="str">
        <f>IFERROR(IF(MARÍTIMOS[[#This Row],[Almacén de Retiro]]="","",MARÍTIMOS[[#This Row],[Almacén de Retiro]]),"")</f>
        <v/>
      </c>
      <c r="S394" s="11" t="str">
        <f>IFERROR(IF(MARÍTIMOS[[#This Row],[Etapa Retiro - Cita]]="","",MARÍTIMOS[[#This Row],[Etapa Retiro - Cita]]),"")</f>
        <v/>
      </c>
      <c r="T394" s="11" t="str">
        <f>IFERROR(IF(MARÍTIMOS[[#This Row],[Etapa Retiro - Llegada]]="","",MARÍTIMOS[[#This Row],[Etapa Retiro - Llegada]]),"")</f>
        <v/>
      </c>
      <c r="U394" s="11" t="str">
        <f>IFERROR(IF(MARÍTIMOS[[#This Row],[Etapa Retiro - Ingreso]]="","",MARÍTIMOS[[#This Row],[Etapa Retiro - Ingreso]]),"")</f>
        <v/>
      </c>
      <c r="V394" s="11" t="str">
        <f>IFERROR(IF(MARÍTIMOS[[#This Row],[Etapa Retiro - Atención]]="","",MARÍTIMOS[[#This Row],[Etapa Retiro - Atención]]),"")</f>
        <v/>
      </c>
      <c r="W394" s="11" t="str">
        <f>IFERROR(IF(MARÍTIMOS[[#This Row],[Etapa Retiro - Salida]]="","",MARÍTIMOS[[#This Row],[Etapa Retiro - Salida]]),"")</f>
        <v/>
      </c>
      <c r="X394" s="11" t="str">
        <f>IFERROR(IF(MARÍTIMOS[[#This Row],[Etapa Retiro - Inicio de Ruta]]="","",MARÍTIMOS[[#This Row],[Etapa Retiro - Inicio de Ruta]]),"")</f>
        <v/>
      </c>
      <c r="Y394" s="11" t="str">
        <f>IFERROR(IF(MARÍTIMOS[[#This Row],[Hora de Posicionamiento]]="","",MARÍTIMOS[[#This Row],[Hora de Carga]]+MARÍTIMOS[[#This Row],[Hora de Posicionamiento]]),"")</f>
        <v/>
      </c>
      <c r="Z394" s="11" t="str">
        <f>IFERROR(IF(MARÍTIMOS[[#This Row],[Etapa Despacho -  Llegada]]="","",MARÍTIMOS[[#This Row],[Etapa Despacho -  Llegada]]),"")</f>
        <v/>
      </c>
      <c r="AA394" s="11" t="str">
        <f>IFERROR(IF(MARÍTIMOS[[#This Row],[Etapa Despacho -  Registro]]="","",MARÍTIMOS[[#This Row],[Etapa Despacho -  Registro]]),"")</f>
        <v/>
      </c>
      <c r="AB394" s="11" t="str">
        <f>IFERROR(IF(MARÍTIMOS[[#This Row],[Inspección Externa]]="","",MARÍTIMOS[[#This Row],[Inspección Externa]]),"")</f>
        <v/>
      </c>
      <c r="AC394" s="11" t="str">
        <f>IFERROR(IF(MARÍTIMOS[[#This Row],[Etapa Despacho -  Inicio de Carga]]="","",MARÍTIMOS[[#This Row],[Etapa Despacho -  Inicio de Carga]]),"")</f>
        <v/>
      </c>
      <c r="AD394" s="11" t="str">
        <f>IFERROR(IF(MARÍTIMOS[[#This Row],[Etapa Despacho -  Fin de Carga]]="","",MARÍTIMOS[[#This Row],[Etapa Despacho -  Fin de Carga]]),"")</f>
        <v/>
      </c>
      <c r="AE394" s="11" t="str">
        <f>IFERROR(IF(MARÍTIMOS[[#This Row],[Etapa Despacho -  Salida]]="","",MARÍTIMOS[[#This Row],[Etapa Despacho -  Salida]]),"")</f>
        <v/>
      </c>
      <c r="AF394" s="2" t="str">
        <f>IFERROR(IF(MARÍTIMOS[[#This Row],[Puerto de Embarque]]="","",MARÍTIMOS[[#This Row],[Puerto de Embarque]]),"")</f>
        <v/>
      </c>
      <c r="AG394" s="2" t="str">
        <f>IFERROR(IF(MARÍTIMOS[[#This Row],[Almacén de Ingreso]]="","",MARÍTIMOS[[#This Row],[Almacén de Ingreso]]),"")</f>
        <v/>
      </c>
      <c r="AH394" s="11" t="str">
        <f>IFERROR(IF(MARÍTIMOS[[#This Row],[Etapa Ingreso - Cita]]="","",MARÍTIMOS[[#This Row],[Etapa Ingreso - Cita]]),"")</f>
        <v/>
      </c>
      <c r="AI394" s="11" t="str">
        <f>IFERROR(IF(MARÍTIMOS[[#This Row],[Etapa Ingreso - Llegada]]="","",MARÍTIMOS[[#This Row],[Etapa Ingreso - Llegada]]),"")</f>
        <v/>
      </c>
      <c r="AJ394" s="11" t="str">
        <f>IFERROR(IF(MARÍTIMOS[[#This Row],[Etapa Ingreso - Ingeso]]="","",MARÍTIMOS[[#This Row],[Etapa Ingreso - Ingeso]]),"")</f>
        <v/>
      </c>
      <c r="AK394" s="11" t="str">
        <f>IFERROR(IF(MARÍTIMOS[[#This Row],[Etapa Ingreso - Atención]]="","",MARÍTIMOS[[#This Row],[Etapa Ingreso - Atención]]),"")</f>
        <v/>
      </c>
      <c r="AL394" s="11" t="str">
        <f>IFERROR(IF(MARÍTIMOS[[#This Row],[Etapa Ingreso - Salida]]="","",MARÍTIMOS[[#This Row],[Etapa Ingreso - Salida]]),"")</f>
        <v/>
      </c>
      <c r="AM394" s="2" t="str">
        <f>IFERROR(IF(MARÍTIMOS[[#This Row],[FCL]]="","",MARÍTIMOS[[#This Row],[FCL]]),"")</f>
        <v/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4" s="5" t="str">
        <f>IFERROR(OLDBD[[#This Row],[Llegada a packing]]-OLDBD[[#This Row],[Inicio de Ruta]],"")</f>
        <v/>
      </c>
      <c r="AQ394" s="6" t="str">
        <f>IFERROR(OLDBD[[#This Row],[Inicio de Ruta]]-OLDBD[[#This Row],[Salida de almacén de retiro]],"")</f>
        <v/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 t="str">
        <f>IFERROR(OLDBD[[#This Row],[Llegada Almacén de Ingreso]]-OLDBD[[#This Row],[Salida Packing]],"")</f>
        <v/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4" s="45" t="s">
        <v>181</v>
      </c>
      <c r="BB394" s="53" t="str">
        <f>IFERROR(IF(MARÍTIMOS[[#This Row],[Estatus]]="","",MARÍTIMOS[[#This Row],[Estatus]]),"")</f>
        <v/>
      </c>
      <c r="BC394" s="45"/>
      <c r="BD394" s="52" t="str">
        <f>IFERROR(OLDBD[[#This Row],[Salida de almacén de retiro]]-OLDBD[[#This Row],[Ingreso Almacén de retiro]],"")</f>
        <v/>
      </c>
      <c r="BE394" s="52" t="str">
        <f>IFERROR(OLDBD[[#This Row],[Fin de Carga]]-OLDBD[[#This Row],[Inicio de Carga]],"")</f>
        <v/>
      </c>
    </row>
    <row r="395" spans="1:57" x14ac:dyDescent="0.35">
      <c r="A395" s="1"/>
      <c r="B395" s="1" t="str">
        <f>IFERROR(IF(MARÍTIMOS[[#This Row],[PP]]="","",MARÍTIMOS[[#This Row],[PP]]),"")</f>
        <v/>
      </c>
      <c r="C395" s="1" t="str">
        <f>IFERROR(IF(MARÍTIMOS[[#This Row],[Sede]]="","",MARÍTIMOS[[#This Row],[Sede]]),"")</f>
        <v/>
      </c>
      <c r="D395" s="1" t="str">
        <f>IFERROR(IF(MARÍTIMOS[[#This Row],[Instruction]]="","",MARÍTIMOS[[#This Row],[Instruction]]),"")</f>
        <v/>
      </c>
      <c r="E395" s="1"/>
      <c r="F395" s="2" t="str">
        <f>IFERROR(IF(MARÍTIMOS[[#This Row],[Transportista]]="","",MARÍTIMOS[[#This Row],[Transportista]]),"")</f>
        <v/>
      </c>
      <c r="G395" s="2" t="str">
        <f>IFERROR(IF(MARÍTIMOS[[#This Row],[Tercero]]="","",MARÍTIMOS[[#This Row],[Tercero]]),"")</f>
        <v/>
      </c>
      <c r="H395" s="2" t="str">
        <f>IFERROR(IF(MARÍTIMOS[[#This Row],[Razón Social]]="","",MARÍTIMOS[[#This Row],[Razón Social]]),"")</f>
        <v/>
      </c>
      <c r="I395" s="2" t="str">
        <f>IFERROR(IF(MARÍTIMOS[[#This Row],[RUC]]="","",MARÍTIMOS[[#This Row],[RUC]]),"")</f>
        <v/>
      </c>
      <c r="J395" s="2" t="str">
        <f>IFERROR(IF(MARÍTIMOS[[#This Row],[Placa Tracto]]="","",MARÍTIMOS[[#This Row],[Placa Tracto]]),"")</f>
        <v/>
      </c>
      <c r="K395" s="2" t="str">
        <f>IFERROR(IF(MARÍTIMOS[[#This Row],[Placa Carreta]]="","",MARÍTIMOS[[#This Row],[Placa Carreta]]),"")</f>
        <v/>
      </c>
      <c r="L395" s="46" t="str">
        <f>IFERROR(IF(MARÍTIMOS[[#This Row],[Conductor]]="","",MARÍTIMOS[[#This Row],[Conductor]]),"")</f>
        <v/>
      </c>
      <c r="M395" s="2" t="str">
        <f>IFERROR(IF(MARÍTIMOS[[#This Row],[Licencia]]="","",MARÍTIMOS[[#This Row],[Licencia]]),"")</f>
        <v/>
      </c>
      <c r="N395" s="2" t="str">
        <f>IFERROR(IF(MARÍTIMOS[[#This Row],[Número de Contacto]]="","",MARÍTIMOS[[#This Row],[Número de Contacto]]),"")</f>
        <v/>
      </c>
      <c r="O395" s="10" t="str">
        <f>IFERROR(IF(MARÍTIMOS[[#This Row],[Booking|AWB|CRT]]="","",MARÍTIMOS[[#This Row],[Booking|AWB|CRT]]),"")</f>
        <v/>
      </c>
      <c r="P395" s="2" t="str">
        <f>IFERROR(IF(MARÍTIMOS[[#This Row],[Contenedor]]="","",MARÍTIMOS[[#This Row],[Contenedor]]),"")</f>
        <v/>
      </c>
      <c r="Q395" s="2" t="str">
        <f>IFERROR(IF(MARÍTIMOS[[#This Row],[Puerto de Retiro]]="","",MARÍTIMOS[[#This Row],[Puerto de Retiro]]),"")</f>
        <v/>
      </c>
      <c r="R395" s="2" t="str">
        <f>IFERROR(IF(MARÍTIMOS[[#This Row],[Almacén de Retiro]]="","",MARÍTIMOS[[#This Row],[Almacén de Retiro]]),"")</f>
        <v/>
      </c>
      <c r="S395" s="11" t="str">
        <f>IFERROR(IF(MARÍTIMOS[[#This Row],[Etapa Retiro - Cita]]="","",MARÍTIMOS[[#This Row],[Etapa Retiro - Cita]]),"")</f>
        <v/>
      </c>
      <c r="T395" s="11" t="str">
        <f>IFERROR(IF(MARÍTIMOS[[#This Row],[Etapa Retiro - Llegada]]="","",MARÍTIMOS[[#This Row],[Etapa Retiro - Llegada]]),"")</f>
        <v/>
      </c>
      <c r="U395" s="11" t="str">
        <f>IFERROR(IF(MARÍTIMOS[[#This Row],[Etapa Retiro - Ingreso]]="","",MARÍTIMOS[[#This Row],[Etapa Retiro - Ingreso]]),"")</f>
        <v/>
      </c>
      <c r="V395" s="11" t="str">
        <f>IFERROR(IF(MARÍTIMOS[[#This Row],[Etapa Retiro - Atención]]="","",MARÍTIMOS[[#This Row],[Etapa Retiro - Atención]]),"")</f>
        <v/>
      </c>
      <c r="W395" s="11" t="str">
        <f>IFERROR(IF(MARÍTIMOS[[#This Row],[Etapa Retiro - Salida]]="","",MARÍTIMOS[[#This Row],[Etapa Retiro - Salida]]),"")</f>
        <v/>
      </c>
      <c r="X395" s="11" t="str">
        <f>IFERROR(IF(MARÍTIMOS[[#This Row],[Etapa Retiro - Inicio de Ruta]]="","",MARÍTIMOS[[#This Row],[Etapa Retiro - Inicio de Ruta]]),"")</f>
        <v/>
      </c>
      <c r="Y395" s="11" t="str">
        <f>IFERROR(IF(MARÍTIMOS[[#This Row],[Hora de Posicionamiento]]="","",MARÍTIMOS[[#This Row],[Hora de Carga]]+MARÍTIMOS[[#This Row],[Hora de Posicionamiento]]),"")</f>
        <v/>
      </c>
      <c r="Z395" s="11" t="str">
        <f>IFERROR(IF(MARÍTIMOS[[#This Row],[Etapa Despacho -  Llegada]]="","",MARÍTIMOS[[#This Row],[Etapa Despacho -  Llegada]]),"")</f>
        <v/>
      </c>
      <c r="AA395" s="11" t="str">
        <f>IFERROR(IF(MARÍTIMOS[[#This Row],[Etapa Despacho -  Registro]]="","",MARÍTIMOS[[#This Row],[Etapa Despacho -  Registro]]),"")</f>
        <v/>
      </c>
      <c r="AB395" s="11" t="str">
        <f>IFERROR(IF(MARÍTIMOS[[#This Row],[Inspección Externa]]="","",MARÍTIMOS[[#This Row],[Inspección Externa]]),"")</f>
        <v/>
      </c>
      <c r="AC395" s="11" t="str">
        <f>IFERROR(IF(MARÍTIMOS[[#This Row],[Etapa Despacho -  Inicio de Carga]]="","",MARÍTIMOS[[#This Row],[Etapa Despacho -  Inicio de Carga]]),"")</f>
        <v/>
      </c>
      <c r="AD395" s="11" t="str">
        <f>IFERROR(IF(MARÍTIMOS[[#This Row],[Etapa Despacho -  Fin de Carga]]="","",MARÍTIMOS[[#This Row],[Etapa Despacho -  Fin de Carga]]),"")</f>
        <v/>
      </c>
      <c r="AE395" s="11" t="str">
        <f>IFERROR(IF(MARÍTIMOS[[#This Row],[Etapa Despacho -  Salida]]="","",MARÍTIMOS[[#This Row],[Etapa Despacho -  Salida]]),"")</f>
        <v/>
      </c>
      <c r="AF395" s="2" t="str">
        <f>IFERROR(IF(MARÍTIMOS[[#This Row],[Puerto de Embarque]]="","",MARÍTIMOS[[#This Row],[Puerto de Embarque]]),"")</f>
        <v/>
      </c>
      <c r="AG395" s="2" t="str">
        <f>IFERROR(IF(MARÍTIMOS[[#This Row],[Almacén de Ingreso]]="","",MARÍTIMOS[[#This Row],[Almacén de Ingreso]]),"")</f>
        <v/>
      </c>
      <c r="AH395" s="11" t="str">
        <f>IFERROR(IF(MARÍTIMOS[[#This Row],[Etapa Ingreso - Cita]]="","",MARÍTIMOS[[#This Row],[Etapa Ingreso - Cita]]),"")</f>
        <v/>
      </c>
      <c r="AI395" s="11" t="str">
        <f>IFERROR(IF(MARÍTIMOS[[#This Row],[Etapa Ingreso - Llegada]]="","",MARÍTIMOS[[#This Row],[Etapa Ingreso - Llegada]]),"")</f>
        <v/>
      </c>
      <c r="AJ395" s="11" t="str">
        <f>IFERROR(IF(MARÍTIMOS[[#This Row],[Etapa Ingreso - Ingeso]]="","",MARÍTIMOS[[#This Row],[Etapa Ingreso - Ingeso]]),"")</f>
        <v/>
      </c>
      <c r="AK395" s="11" t="str">
        <f>IFERROR(IF(MARÍTIMOS[[#This Row],[Etapa Ingreso - Atención]]="","",MARÍTIMOS[[#This Row],[Etapa Ingreso - Atención]]),"")</f>
        <v/>
      </c>
      <c r="AL395" s="11" t="str">
        <f>IFERROR(IF(MARÍTIMOS[[#This Row],[Etapa Ingreso - Salida]]="","",MARÍTIMOS[[#This Row],[Etapa Ingreso - Salida]]),"")</f>
        <v/>
      </c>
      <c r="AM395" s="2" t="str">
        <f>IFERROR(IF(MARÍTIMOS[[#This Row],[FCL]]="","",MARÍTIMOS[[#This Row],[FCL]]),"")</f>
        <v/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5" s="5" t="str">
        <f>IFERROR(OLDBD[[#This Row],[Llegada a packing]]-OLDBD[[#This Row],[Inicio de Ruta]],"")</f>
        <v/>
      </c>
      <c r="AQ395" s="6" t="str">
        <f>IFERROR(OLDBD[[#This Row],[Inicio de Ruta]]-OLDBD[[#This Row],[Salida de almacén de retiro]],"")</f>
        <v/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 t="str">
        <f>IFERROR(OLDBD[[#This Row],[Llegada Almacén de Ingreso]]-OLDBD[[#This Row],[Salida Packing]],"")</f>
        <v/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5" s="45" t="s">
        <v>181</v>
      </c>
      <c r="BB395" s="53" t="str">
        <f>IFERROR(IF(MARÍTIMOS[[#This Row],[Estatus]]="","",MARÍTIMOS[[#This Row],[Estatus]]),"")</f>
        <v/>
      </c>
      <c r="BC395" s="45"/>
      <c r="BD395" s="52" t="str">
        <f>IFERROR(OLDBD[[#This Row],[Salida de almacén de retiro]]-OLDBD[[#This Row],[Ingreso Almacén de retiro]],"")</f>
        <v/>
      </c>
      <c r="BE395" s="52" t="str">
        <f>IFERROR(OLDBD[[#This Row],[Fin de Carga]]-OLDBD[[#This Row],[Inicio de Carga]],"")</f>
        <v/>
      </c>
    </row>
    <row r="396" spans="1:57" x14ac:dyDescent="0.35">
      <c r="A396" s="1"/>
      <c r="B396" s="1" t="str">
        <f>IFERROR(IF(MARÍTIMOS[[#This Row],[PP]]="","",MARÍTIMOS[[#This Row],[PP]]),"")</f>
        <v/>
      </c>
      <c r="C396" s="1" t="str">
        <f>IFERROR(IF(MARÍTIMOS[[#This Row],[Sede]]="","",MARÍTIMOS[[#This Row],[Sede]]),"")</f>
        <v/>
      </c>
      <c r="D396" s="1" t="str">
        <f>IFERROR(IF(MARÍTIMOS[[#This Row],[Instruction]]="","",MARÍTIMOS[[#This Row],[Instruction]]),"")</f>
        <v/>
      </c>
      <c r="E396" s="1"/>
      <c r="F396" s="2" t="str">
        <f>IFERROR(IF(MARÍTIMOS[[#This Row],[Transportista]]="","",MARÍTIMOS[[#This Row],[Transportista]]),"")</f>
        <v/>
      </c>
      <c r="G396" s="2" t="str">
        <f>IFERROR(IF(MARÍTIMOS[[#This Row],[Tercero]]="","",MARÍTIMOS[[#This Row],[Tercero]]),"")</f>
        <v/>
      </c>
      <c r="H396" s="2" t="str">
        <f>IFERROR(IF(MARÍTIMOS[[#This Row],[Razón Social]]="","",MARÍTIMOS[[#This Row],[Razón Social]]),"")</f>
        <v/>
      </c>
      <c r="I396" s="2" t="str">
        <f>IFERROR(IF(MARÍTIMOS[[#This Row],[RUC]]="","",MARÍTIMOS[[#This Row],[RUC]]),"")</f>
        <v/>
      </c>
      <c r="J396" s="2" t="str">
        <f>IFERROR(IF(MARÍTIMOS[[#This Row],[Placa Tracto]]="","",MARÍTIMOS[[#This Row],[Placa Tracto]]),"")</f>
        <v/>
      </c>
      <c r="K396" s="2" t="str">
        <f>IFERROR(IF(MARÍTIMOS[[#This Row],[Placa Carreta]]="","",MARÍTIMOS[[#This Row],[Placa Carreta]]),"")</f>
        <v/>
      </c>
      <c r="L396" s="46" t="str">
        <f>IFERROR(IF(MARÍTIMOS[[#This Row],[Conductor]]="","",MARÍTIMOS[[#This Row],[Conductor]]),"")</f>
        <v/>
      </c>
      <c r="M396" s="2" t="str">
        <f>IFERROR(IF(MARÍTIMOS[[#This Row],[Licencia]]="","",MARÍTIMOS[[#This Row],[Licencia]]),"")</f>
        <v/>
      </c>
      <c r="N396" s="2" t="str">
        <f>IFERROR(IF(MARÍTIMOS[[#This Row],[Número de Contacto]]="","",MARÍTIMOS[[#This Row],[Número de Contacto]]),"")</f>
        <v/>
      </c>
      <c r="O396" s="10" t="str">
        <f>IFERROR(IF(MARÍTIMOS[[#This Row],[Booking|AWB|CRT]]="","",MARÍTIMOS[[#This Row],[Booking|AWB|CRT]]),"")</f>
        <v/>
      </c>
      <c r="P396" s="2" t="str">
        <f>IFERROR(IF(MARÍTIMOS[[#This Row],[Contenedor]]="","",MARÍTIMOS[[#This Row],[Contenedor]]),"")</f>
        <v/>
      </c>
      <c r="Q396" s="2" t="str">
        <f>IFERROR(IF(MARÍTIMOS[[#This Row],[Puerto de Retiro]]="","",MARÍTIMOS[[#This Row],[Puerto de Retiro]]),"")</f>
        <v/>
      </c>
      <c r="R396" s="2" t="str">
        <f>IFERROR(IF(MARÍTIMOS[[#This Row],[Almacén de Retiro]]="","",MARÍTIMOS[[#This Row],[Almacén de Retiro]]),"")</f>
        <v/>
      </c>
      <c r="S396" s="11" t="str">
        <f>IFERROR(IF(MARÍTIMOS[[#This Row],[Etapa Retiro - Cita]]="","",MARÍTIMOS[[#This Row],[Etapa Retiro - Cita]]),"")</f>
        <v/>
      </c>
      <c r="T396" s="11" t="str">
        <f>IFERROR(IF(MARÍTIMOS[[#This Row],[Etapa Retiro - Llegada]]="","",MARÍTIMOS[[#This Row],[Etapa Retiro - Llegada]]),"")</f>
        <v/>
      </c>
      <c r="U396" s="11" t="str">
        <f>IFERROR(IF(MARÍTIMOS[[#This Row],[Etapa Retiro - Ingreso]]="","",MARÍTIMOS[[#This Row],[Etapa Retiro - Ingreso]]),"")</f>
        <v/>
      </c>
      <c r="V396" s="11" t="str">
        <f>IFERROR(IF(MARÍTIMOS[[#This Row],[Etapa Retiro - Atención]]="","",MARÍTIMOS[[#This Row],[Etapa Retiro - Atención]]),"")</f>
        <v/>
      </c>
      <c r="W396" s="11" t="str">
        <f>IFERROR(IF(MARÍTIMOS[[#This Row],[Etapa Retiro - Salida]]="","",MARÍTIMOS[[#This Row],[Etapa Retiro - Salida]]),"")</f>
        <v/>
      </c>
      <c r="X396" s="11" t="str">
        <f>IFERROR(IF(MARÍTIMOS[[#This Row],[Etapa Retiro - Inicio de Ruta]]="","",MARÍTIMOS[[#This Row],[Etapa Retiro - Inicio de Ruta]]),"")</f>
        <v/>
      </c>
      <c r="Y396" s="11" t="str">
        <f>IFERROR(IF(MARÍTIMOS[[#This Row],[Hora de Posicionamiento]]="","",MARÍTIMOS[[#This Row],[Hora de Carga]]+MARÍTIMOS[[#This Row],[Hora de Posicionamiento]]),"")</f>
        <v/>
      </c>
      <c r="Z396" s="11" t="str">
        <f>IFERROR(IF(MARÍTIMOS[[#This Row],[Etapa Despacho -  Llegada]]="","",MARÍTIMOS[[#This Row],[Etapa Despacho -  Llegada]]),"")</f>
        <v/>
      </c>
      <c r="AA396" s="11" t="str">
        <f>IFERROR(IF(MARÍTIMOS[[#This Row],[Etapa Despacho -  Registro]]="","",MARÍTIMOS[[#This Row],[Etapa Despacho -  Registro]]),"")</f>
        <v/>
      </c>
      <c r="AB396" s="11" t="str">
        <f>IFERROR(IF(MARÍTIMOS[[#This Row],[Inspección Externa]]="","",MARÍTIMOS[[#This Row],[Inspección Externa]]),"")</f>
        <v/>
      </c>
      <c r="AC396" s="11" t="str">
        <f>IFERROR(IF(MARÍTIMOS[[#This Row],[Etapa Despacho -  Inicio de Carga]]="","",MARÍTIMOS[[#This Row],[Etapa Despacho -  Inicio de Carga]]),"")</f>
        <v/>
      </c>
      <c r="AD396" s="11" t="str">
        <f>IFERROR(IF(MARÍTIMOS[[#This Row],[Etapa Despacho -  Fin de Carga]]="","",MARÍTIMOS[[#This Row],[Etapa Despacho -  Fin de Carga]]),"")</f>
        <v/>
      </c>
      <c r="AE396" s="11" t="str">
        <f>IFERROR(IF(MARÍTIMOS[[#This Row],[Etapa Despacho -  Salida]]="","",MARÍTIMOS[[#This Row],[Etapa Despacho -  Salida]]),"")</f>
        <v/>
      </c>
      <c r="AF396" s="2" t="str">
        <f>IFERROR(IF(MARÍTIMOS[[#This Row],[Puerto de Embarque]]="","",MARÍTIMOS[[#This Row],[Puerto de Embarque]]),"")</f>
        <v/>
      </c>
      <c r="AG396" s="2" t="str">
        <f>IFERROR(IF(MARÍTIMOS[[#This Row],[Almacén de Ingreso]]="","",MARÍTIMOS[[#This Row],[Almacén de Ingreso]]),"")</f>
        <v/>
      </c>
      <c r="AH396" s="11" t="str">
        <f>IFERROR(IF(MARÍTIMOS[[#This Row],[Etapa Ingreso - Cita]]="","",MARÍTIMOS[[#This Row],[Etapa Ingreso - Cita]]),"")</f>
        <v/>
      </c>
      <c r="AI396" s="11" t="str">
        <f>IFERROR(IF(MARÍTIMOS[[#This Row],[Etapa Ingreso - Llegada]]="","",MARÍTIMOS[[#This Row],[Etapa Ingreso - Llegada]]),"")</f>
        <v/>
      </c>
      <c r="AJ396" s="11" t="str">
        <f>IFERROR(IF(MARÍTIMOS[[#This Row],[Etapa Ingreso - Ingeso]]="","",MARÍTIMOS[[#This Row],[Etapa Ingreso - Ingeso]]),"")</f>
        <v/>
      </c>
      <c r="AK396" s="11" t="str">
        <f>IFERROR(IF(MARÍTIMOS[[#This Row],[Etapa Ingreso - Atención]]="","",MARÍTIMOS[[#This Row],[Etapa Ingreso - Atención]]),"")</f>
        <v/>
      </c>
      <c r="AL396" s="11" t="str">
        <f>IFERROR(IF(MARÍTIMOS[[#This Row],[Etapa Ingreso - Salida]]="","",MARÍTIMOS[[#This Row],[Etapa Ingreso - Salida]]),"")</f>
        <v/>
      </c>
      <c r="AM396" s="2" t="str">
        <f>IFERROR(IF(MARÍTIMOS[[#This Row],[FCL]]="","",MARÍTIMOS[[#This Row],[FCL]]),"")</f>
        <v/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6" s="5" t="str">
        <f>IFERROR(OLDBD[[#This Row],[Llegada a packing]]-OLDBD[[#This Row],[Inicio de Ruta]],"")</f>
        <v/>
      </c>
      <c r="AQ396" s="6" t="str">
        <f>IFERROR(OLDBD[[#This Row],[Inicio de Ruta]]-OLDBD[[#This Row],[Salida de almacén de retiro]],"")</f>
        <v/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 t="str">
        <f>IFERROR(OLDBD[[#This Row],[Llegada Almacén de Ingreso]]-OLDBD[[#This Row],[Salida Packing]],"")</f>
        <v/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6" s="45" t="s">
        <v>181</v>
      </c>
      <c r="BB396" s="53" t="str">
        <f>IFERROR(IF(MARÍTIMOS[[#This Row],[Estatus]]="","",MARÍTIMOS[[#This Row],[Estatus]]),"")</f>
        <v/>
      </c>
      <c r="BC396" s="45"/>
      <c r="BD396" s="52" t="str">
        <f>IFERROR(OLDBD[[#This Row],[Salida de almacén de retiro]]-OLDBD[[#This Row],[Ingreso Almacén de retiro]],"")</f>
        <v/>
      </c>
      <c r="BE396" s="52" t="str">
        <f>IFERROR(OLDBD[[#This Row],[Fin de Carga]]-OLDBD[[#This Row],[Inicio de Carga]],"")</f>
        <v/>
      </c>
    </row>
    <row r="397" spans="1:57" x14ac:dyDescent="0.35">
      <c r="A397" s="1"/>
      <c r="B397" s="1" t="str">
        <f>IFERROR(IF(MARÍTIMOS[[#This Row],[PP]]="","",MARÍTIMOS[[#This Row],[PP]]),"")</f>
        <v/>
      </c>
      <c r="C397" s="1" t="str">
        <f>IFERROR(IF(MARÍTIMOS[[#This Row],[Sede]]="","",MARÍTIMOS[[#This Row],[Sede]]),"")</f>
        <v/>
      </c>
      <c r="D397" s="1" t="str">
        <f>IFERROR(IF(MARÍTIMOS[[#This Row],[Instruction]]="","",MARÍTIMOS[[#This Row],[Instruction]]),"")</f>
        <v/>
      </c>
      <c r="E397" s="1"/>
      <c r="F397" s="2" t="str">
        <f>IFERROR(IF(MARÍTIMOS[[#This Row],[Transportista]]="","",MARÍTIMOS[[#This Row],[Transportista]]),"")</f>
        <v/>
      </c>
      <c r="G397" s="2" t="str">
        <f>IFERROR(IF(MARÍTIMOS[[#This Row],[Tercero]]="","",MARÍTIMOS[[#This Row],[Tercero]]),"")</f>
        <v/>
      </c>
      <c r="H397" s="2" t="str">
        <f>IFERROR(IF(MARÍTIMOS[[#This Row],[Razón Social]]="","",MARÍTIMOS[[#This Row],[Razón Social]]),"")</f>
        <v/>
      </c>
      <c r="I397" s="2" t="str">
        <f>IFERROR(IF(MARÍTIMOS[[#This Row],[RUC]]="","",MARÍTIMOS[[#This Row],[RUC]]),"")</f>
        <v/>
      </c>
      <c r="J397" s="2" t="str">
        <f>IFERROR(IF(MARÍTIMOS[[#This Row],[Placa Tracto]]="","",MARÍTIMOS[[#This Row],[Placa Tracto]]),"")</f>
        <v/>
      </c>
      <c r="K397" s="2" t="str">
        <f>IFERROR(IF(MARÍTIMOS[[#This Row],[Placa Carreta]]="","",MARÍTIMOS[[#This Row],[Placa Carreta]]),"")</f>
        <v/>
      </c>
      <c r="L397" s="46" t="str">
        <f>IFERROR(IF(MARÍTIMOS[[#This Row],[Conductor]]="","",MARÍTIMOS[[#This Row],[Conductor]]),"")</f>
        <v/>
      </c>
      <c r="M397" s="2" t="str">
        <f>IFERROR(IF(MARÍTIMOS[[#This Row],[Licencia]]="","",MARÍTIMOS[[#This Row],[Licencia]]),"")</f>
        <v/>
      </c>
      <c r="N397" s="2" t="str">
        <f>IFERROR(IF(MARÍTIMOS[[#This Row],[Número de Contacto]]="","",MARÍTIMOS[[#This Row],[Número de Contacto]]),"")</f>
        <v/>
      </c>
      <c r="O397" s="10" t="str">
        <f>IFERROR(IF(MARÍTIMOS[[#This Row],[Booking|AWB|CRT]]="","",MARÍTIMOS[[#This Row],[Booking|AWB|CRT]]),"")</f>
        <v/>
      </c>
      <c r="P397" s="2" t="str">
        <f>IFERROR(IF(MARÍTIMOS[[#This Row],[Contenedor]]="","",MARÍTIMOS[[#This Row],[Contenedor]]),"")</f>
        <v/>
      </c>
      <c r="Q397" s="2" t="str">
        <f>IFERROR(IF(MARÍTIMOS[[#This Row],[Puerto de Retiro]]="","",MARÍTIMOS[[#This Row],[Puerto de Retiro]]),"")</f>
        <v/>
      </c>
      <c r="R397" s="2" t="str">
        <f>IFERROR(IF(MARÍTIMOS[[#This Row],[Almacén de Retiro]]="","",MARÍTIMOS[[#This Row],[Almacén de Retiro]]),"")</f>
        <v/>
      </c>
      <c r="S397" s="11" t="str">
        <f>IFERROR(IF(MARÍTIMOS[[#This Row],[Etapa Retiro - Cita]]="","",MARÍTIMOS[[#This Row],[Etapa Retiro - Cita]]),"")</f>
        <v/>
      </c>
      <c r="T397" s="11" t="str">
        <f>IFERROR(IF(MARÍTIMOS[[#This Row],[Etapa Retiro - Llegada]]="","",MARÍTIMOS[[#This Row],[Etapa Retiro - Llegada]]),"")</f>
        <v/>
      </c>
      <c r="U397" s="11" t="str">
        <f>IFERROR(IF(MARÍTIMOS[[#This Row],[Etapa Retiro - Ingreso]]="","",MARÍTIMOS[[#This Row],[Etapa Retiro - Ingreso]]),"")</f>
        <v/>
      </c>
      <c r="V397" s="11" t="str">
        <f>IFERROR(IF(MARÍTIMOS[[#This Row],[Etapa Retiro - Atención]]="","",MARÍTIMOS[[#This Row],[Etapa Retiro - Atención]]),"")</f>
        <v/>
      </c>
      <c r="W397" s="11" t="str">
        <f>IFERROR(IF(MARÍTIMOS[[#This Row],[Etapa Retiro - Salida]]="","",MARÍTIMOS[[#This Row],[Etapa Retiro - Salida]]),"")</f>
        <v/>
      </c>
      <c r="X397" s="11" t="str">
        <f>IFERROR(IF(MARÍTIMOS[[#This Row],[Etapa Retiro - Inicio de Ruta]]="","",MARÍTIMOS[[#This Row],[Etapa Retiro - Inicio de Ruta]]),"")</f>
        <v/>
      </c>
      <c r="Y397" s="11" t="str">
        <f>IFERROR(IF(MARÍTIMOS[[#This Row],[Hora de Posicionamiento]]="","",MARÍTIMOS[[#This Row],[Hora de Carga]]+MARÍTIMOS[[#This Row],[Hora de Posicionamiento]]),"")</f>
        <v/>
      </c>
      <c r="Z397" s="11" t="str">
        <f>IFERROR(IF(MARÍTIMOS[[#This Row],[Etapa Despacho -  Llegada]]="","",MARÍTIMOS[[#This Row],[Etapa Despacho -  Llegada]]),"")</f>
        <v/>
      </c>
      <c r="AA397" s="11" t="str">
        <f>IFERROR(IF(MARÍTIMOS[[#This Row],[Etapa Despacho -  Registro]]="","",MARÍTIMOS[[#This Row],[Etapa Despacho -  Registro]]),"")</f>
        <v/>
      </c>
      <c r="AB397" s="11" t="str">
        <f>IFERROR(IF(MARÍTIMOS[[#This Row],[Inspección Externa]]="","",MARÍTIMOS[[#This Row],[Inspección Externa]]),"")</f>
        <v/>
      </c>
      <c r="AC397" s="11" t="str">
        <f>IFERROR(IF(MARÍTIMOS[[#This Row],[Etapa Despacho -  Inicio de Carga]]="","",MARÍTIMOS[[#This Row],[Etapa Despacho -  Inicio de Carga]]),"")</f>
        <v/>
      </c>
      <c r="AD397" s="11" t="str">
        <f>IFERROR(IF(MARÍTIMOS[[#This Row],[Etapa Despacho -  Fin de Carga]]="","",MARÍTIMOS[[#This Row],[Etapa Despacho -  Fin de Carga]]),"")</f>
        <v/>
      </c>
      <c r="AE397" s="11" t="str">
        <f>IFERROR(IF(MARÍTIMOS[[#This Row],[Etapa Despacho -  Salida]]="","",MARÍTIMOS[[#This Row],[Etapa Despacho -  Salida]]),"")</f>
        <v/>
      </c>
      <c r="AF397" s="2" t="str">
        <f>IFERROR(IF(MARÍTIMOS[[#This Row],[Puerto de Embarque]]="","",MARÍTIMOS[[#This Row],[Puerto de Embarque]]),"")</f>
        <v/>
      </c>
      <c r="AG397" s="2" t="str">
        <f>IFERROR(IF(MARÍTIMOS[[#This Row],[Almacén de Ingreso]]="","",MARÍTIMOS[[#This Row],[Almacén de Ingreso]]),"")</f>
        <v/>
      </c>
      <c r="AH397" s="11" t="str">
        <f>IFERROR(IF(MARÍTIMOS[[#This Row],[Etapa Ingreso - Cita]]="","",MARÍTIMOS[[#This Row],[Etapa Ingreso - Cita]]),"")</f>
        <v/>
      </c>
      <c r="AI397" s="11" t="str">
        <f>IFERROR(IF(MARÍTIMOS[[#This Row],[Etapa Ingreso - Llegada]]="","",MARÍTIMOS[[#This Row],[Etapa Ingreso - Llegada]]),"")</f>
        <v/>
      </c>
      <c r="AJ397" s="11" t="str">
        <f>IFERROR(IF(MARÍTIMOS[[#This Row],[Etapa Ingreso - Ingeso]]="","",MARÍTIMOS[[#This Row],[Etapa Ingreso - Ingeso]]),"")</f>
        <v/>
      </c>
      <c r="AK397" s="11" t="str">
        <f>IFERROR(IF(MARÍTIMOS[[#This Row],[Etapa Ingreso - Atención]]="","",MARÍTIMOS[[#This Row],[Etapa Ingreso - Atención]]),"")</f>
        <v/>
      </c>
      <c r="AL397" s="11" t="str">
        <f>IFERROR(IF(MARÍTIMOS[[#This Row],[Etapa Ingreso - Salida]]="","",MARÍTIMOS[[#This Row],[Etapa Ingreso - Salida]]),"")</f>
        <v/>
      </c>
      <c r="AM397" s="2" t="str">
        <f>IFERROR(IF(MARÍTIMOS[[#This Row],[FCL]]="","",MARÍTIMOS[[#This Row],[FCL]]),"")</f>
        <v/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7" s="5" t="str">
        <f>IFERROR(OLDBD[[#This Row],[Llegada a packing]]-OLDBD[[#This Row],[Inicio de Ruta]],"")</f>
        <v/>
      </c>
      <c r="AQ397" s="6" t="str">
        <f>IFERROR(OLDBD[[#This Row],[Inicio de Ruta]]-OLDBD[[#This Row],[Salida de almacén de retiro]],"")</f>
        <v/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 t="str">
        <f>IFERROR(OLDBD[[#This Row],[Llegada Almacén de Ingreso]]-OLDBD[[#This Row],[Salida Packing]],"")</f>
        <v/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7" s="45" t="s">
        <v>181</v>
      </c>
      <c r="BB397" s="53" t="str">
        <f>IFERROR(IF(MARÍTIMOS[[#This Row],[Estatus]]="","",MARÍTIMOS[[#This Row],[Estatus]]),"")</f>
        <v/>
      </c>
      <c r="BC397" s="45"/>
      <c r="BD397" s="52" t="str">
        <f>IFERROR(OLDBD[[#This Row],[Salida de almacén de retiro]]-OLDBD[[#This Row],[Ingreso Almacén de retiro]],"")</f>
        <v/>
      </c>
      <c r="BE397" s="52" t="str">
        <f>IFERROR(OLDBD[[#This Row],[Fin de Carga]]-OLDBD[[#This Row],[Inicio de Carga]],"")</f>
        <v/>
      </c>
    </row>
    <row r="398" spans="1:57" x14ac:dyDescent="0.35">
      <c r="A398" s="1"/>
      <c r="B398" s="1" t="str">
        <f>IFERROR(IF(MARÍTIMOS[[#This Row],[PP]]="","",MARÍTIMOS[[#This Row],[PP]]),"")</f>
        <v/>
      </c>
      <c r="C398" s="1" t="str">
        <f>IFERROR(IF(MARÍTIMOS[[#This Row],[Sede]]="","",MARÍTIMOS[[#This Row],[Sede]]),"")</f>
        <v/>
      </c>
      <c r="D398" s="1" t="str">
        <f>IFERROR(IF(MARÍTIMOS[[#This Row],[Instruction]]="","",MARÍTIMOS[[#This Row],[Instruction]]),"")</f>
        <v/>
      </c>
      <c r="E398" s="1"/>
      <c r="F398" s="2" t="str">
        <f>IFERROR(IF(MARÍTIMOS[[#This Row],[Transportista]]="","",MARÍTIMOS[[#This Row],[Transportista]]),"")</f>
        <v/>
      </c>
      <c r="G398" s="2" t="str">
        <f>IFERROR(IF(MARÍTIMOS[[#This Row],[Tercero]]="","",MARÍTIMOS[[#This Row],[Tercero]]),"")</f>
        <v/>
      </c>
      <c r="H398" s="2" t="str">
        <f>IFERROR(IF(MARÍTIMOS[[#This Row],[Razón Social]]="","",MARÍTIMOS[[#This Row],[Razón Social]]),"")</f>
        <v/>
      </c>
      <c r="I398" s="2" t="str">
        <f>IFERROR(IF(MARÍTIMOS[[#This Row],[RUC]]="","",MARÍTIMOS[[#This Row],[RUC]]),"")</f>
        <v/>
      </c>
      <c r="J398" s="2" t="str">
        <f>IFERROR(IF(MARÍTIMOS[[#This Row],[Placa Tracto]]="","",MARÍTIMOS[[#This Row],[Placa Tracto]]),"")</f>
        <v/>
      </c>
      <c r="K398" s="2" t="str">
        <f>IFERROR(IF(MARÍTIMOS[[#This Row],[Placa Carreta]]="","",MARÍTIMOS[[#This Row],[Placa Carreta]]),"")</f>
        <v/>
      </c>
      <c r="L398" s="46" t="str">
        <f>IFERROR(IF(MARÍTIMOS[[#This Row],[Conductor]]="","",MARÍTIMOS[[#This Row],[Conductor]]),"")</f>
        <v/>
      </c>
      <c r="M398" s="2" t="str">
        <f>IFERROR(IF(MARÍTIMOS[[#This Row],[Licencia]]="","",MARÍTIMOS[[#This Row],[Licencia]]),"")</f>
        <v/>
      </c>
      <c r="N398" s="2" t="str">
        <f>IFERROR(IF(MARÍTIMOS[[#This Row],[Número de Contacto]]="","",MARÍTIMOS[[#This Row],[Número de Contacto]]),"")</f>
        <v/>
      </c>
      <c r="O398" s="10" t="str">
        <f>IFERROR(IF(MARÍTIMOS[[#This Row],[Booking|AWB|CRT]]="","",MARÍTIMOS[[#This Row],[Booking|AWB|CRT]]),"")</f>
        <v/>
      </c>
      <c r="P398" s="2" t="str">
        <f>IFERROR(IF(MARÍTIMOS[[#This Row],[Contenedor]]="","",MARÍTIMOS[[#This Row],[Contenedor]]),"")</f>
        <v/>
      </c>
      <c r="Q398" s="2" t="str">
        <f>IFERROR(IF(MARÍTIMOS[[#This Row],[Puerto de Retiro]]="","",MARÍTIMOS[[#This Row],[Puerto de Retiro]]),"")</f>
        <v/>
      </c>
      <c r="R398" s="2" t="str">
        <f>IFERROR(IF(MARÍTIMOS[[#This Row],[Almacén de Retiro]]="","",MARÍTIMOS[[#This Row],[Almacén de Retiro]]),"")</f>
        <v/>
      </c>
      <c r="S398" s="11" t="str">
        <f>IFERROR(IF(MARÍTIMOS[[#This Row],[Etapa Retiro - Cita]]="","",MARÍTIMOS[[#This Row],[Etapa Retiro - Cita]]),"")</f>
        <v/>
      </c>
      <c r="T398" s="11" t="str">
        <f>IFERROR(IF(MARÍTIMOS[[#This Row],[Etapa Retiro - Llegada]]="","",MARÍTIMOS[[#This Row],[Etapa Retiro - Llegada]]),"")</f>
        <v/>
      </c>
      <c r="U398" s="11" t="str">
        <f>IFERROR(IF(MARÍTIMOS[[#This Row],[Etapa Retiro - Ingreso]]="","",MARÍTIMOS[[#This Row],[Etapa Retiro - Ingreso]]),"")</f>
        <v/>
      </c>
      <c r="V398" s="11" t="str">
        <f>IFERROR(IF(MARÍTIMOS[[#This Row],[Etapa Retiro - Atención]]="","",MARÍTIMOS[[#This Row],[Etapa Retiro - Atención]]),"")</f>
        <v/>
      </c>
      <c r="W398" s="11" t="str">
        <f>IFERROR(IF(MARÍTIMOS[[#This Row],[Etapa Retiro - Salida]]="","",MARÍTIMOS[[#This Row],[Etapa Retiro - Salida]]),"")</f>
        <v/>
      </c>
      <c r="X398" s="11" t="str">
        <f>IFERROR(IF(MARÍTIMOS[[#This Row],[Etapa Retiro - Inicio de Ruta]]="","",MARÍTIMOS[[#This Row],[Etapa Retiro - Inicio de Ruta]]),"")</f>
        <v/>
      </c>
      <c r="Y398" s="11" t="str">
        <f>IFERROR(IF(MARÍTIMOS[[#This Row],[Hora de Posicionamiento]]="","",MARÍTIMOS[[#This Row],[Hora de Carga]]+MARÍTIMOS[[#This Row],[Hora de Posicionamiento]]),"")</f>
        <v/>
      </c>
      <c r="Z398" s="11" t="str">
        <f>IFERROR(IF(MARÍTIMOS[[#This Row],[Etapa Despacho -  Llegada]]="","",MARÍTIMOS[[#This Row],[Etapa Despacho -  Llegada]]),"")</f>
        <v/>
      </c>
      <c r="AA398" s="11" t="str">
        <f>IFERROR(IF(MARÍTIMOS[[#This Row],[Etapa Despacho -  Registro]]="","",MARÍTIMOS[[#This Row],[Etapa Despacho -  Registro]]),"")</f>
        <v/>
      </c>
      <c r="AB398" s="11" t="str">
        <f>IFERROR(IF(MARÍTIMOS[[#This Row],[Inspección Externa]]="","",MARÍTIMOS[[#This Row],[Inspección Externa]]),"")</f>
        <v/>
      </c>
      <c r="AC398" s="11" t="str">
        <f>IFERROR(IF(MARÍTIMOS[[#This Row],[Etapa Despacho -  Inicio de Carga]]="","",MARÍTIMOS[[#This Row],[Etapa Despacho -  Inicio de Carga]]),"")</f>
        <v/>
      </c>
      <c r="AD398" s="11" t="str">
        <f>IFERROR(IF(MARÍTIMOS[[#This Row],[Etapa Despacho -  Fin de Carga]]="","",MARÍTIMOS[[#This Row],[Etapa Despacho -  Fin de Carga]]),"")</f>
        <v/>
      </c>
      <c r="AE398" s="11" t="str">
        <f>IFERROR(IF(MARÍTIMOS[[#This Row],[Etapa Despacho -  Salida]]="","",MARÍTIMOS[[#This Row],[Etapa Despacho -  Salida]]),"")</f>
        <v/>
      </c>
      <c r="AF398" s="2" t="str">
        <f>IFERROR(IF(MARÍTIMOS[[#This Row],[Puerto de Embarque]]="","",MARÍTIMOS[[#This Row],[Puerto de Embarque]]),"")</f>
        <v/>
      </c>
      <c r="AG398" s="2" t="str">
        <f>IFERROR(IF(MARÍTIMOS[[#This Row],[Almacén de Ingreso]]="","",MARÍTIMOS[[#This Row],[Almacén de Ingreso]]),"")</f>
        <v/>
      </c>
      <c r="AH398" s="11" t="str">
        <f>IFERROR(IF(MARÍTIMOS[[#This Row],[Etapa Ingreso - Cita]]="","",MARÍTIMOS[[#This Row],[Etapa Ingreso - Cita]]),"")</f>
        <v/>
      </c>
      <c r="AI398" s="11" t="str">
        <f>IFERROR(IF(MARÍTIMOS[[#This Row],[Etapa Ingreso - Llegada]]="","",MARÍTIMOS[[#This Row],[Etapa Ingreso - Llegada]]),"")</f>
        <v/>
      </c>
      <c r="AJ398" s="11" t="str">
        <f>IFERROR(IF(MARÍTIMOS[[#This Row],[Etapa Ingreso - Ingeso]]="","",MARÍTIMOS[[#This Row],[Etapa Ingreso - Ingeso]]),"")</f>
        <v/>
      </c>
      <c r="AK398" s="11" t="str">
        <f>IFERROR(IF(MARÍTIMOS[[#This Row],[Etapa Ingreso - Atención]]="","",MARÍTIMOS[[#This Row],[Etapa Ingreso - Atención]]),"")</f>
        <v/>
      </c>
      <c r="AL398" s="11" t="str">
        <f>IFERROR(IF(MARÍTIMOS[[#This Row],[Etapa Ingreso - Salida]]="","",MARÍTIMOS[[#This Row],[Etapa Ingreso - Salida]]),"")</f>
        <v/>
      </c>
      <c r="AM398" s="2" t="str">
        <f>IFERROR(IF(MARÍTIMOS[[#This Row],[FCL]]="","",MARÍTIMOS[[#This Row],[FCL]]),"")</f>
        <v/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8" s="5" t="str">
        <f>IFERROR(OLDBD[[#This Row],[Llegada a packing]]-OLDBD[[#This Row],[Inicio de Ruta]],"")</f>
        <v/>
      </c>
      <c r="AQ398" s="6" t="str">
        <f>IFERROR(OLDBD[[#This Row],[Inicio de Ruta]]-OLDBD[[#This Row],[Salida de almacén de retiro]],"")</f>
        <v/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8" s="9" t="str">
        <f>IFERROR(OLDBD[[#This Row],[Ingreso Packing]]-OLDBD[[#This Row],[Registro en Packing]],"")</f>
        <v/>
      </c>
      <c r="AV398" s="9" t="str">
        <f>IFERROR(OLDBD[[#This Row],[Ingreso Packing]]-OLDBD[[#This Row],[Llegada a packing]],"")</f>
        <v/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 t="str">
        <f>IFERROR(OLDBD[[#This Row],[Llegada Almacén de Ingreso]]-OLDBD[[#This Row],[Salida Packing]],"")</f>
        <v/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8" s="45" t="s">
        <v>181</v>
      </c>
      <c r="BB398" s="53" t="str">
        <f>IFERROR(IF(MARÍTIMOS[[#This Row],[Estatus]]="","",MARÍTIMOS[[#This Row],[Estatus]]),"")</f>
        <v/>
      </c>
      <c r="BC398" s="45"/>
      <c r="BD398" s="52" t="str">
        <f>IFERROR(OLDBD[[#This Row],[Salida de almacén de retiro]]-OLDBD[[#This Row],[Ingreso Almacén de retiro]],"")</f>
        <v/>
      </c>
      <c r="BE398" s="52" t="str">
        <f>IFERROR(OLDBD[[#This Row],[Fin de Carga]]-OLDBD[[#This Row],[Inicio de Carga]],"")</f>
        <v/>
      </c>
    </row>
    <row r="399" spans="1:57" x14ac:dyDescent="0.35">
      <c r="A399" s="1"/>
      <c r="B399" s="1" t="str">
        <f>IFERROR(IF(MARÍTIMOS[[#This Row],[PP]]="","",MARÍTIMOS[[#This Row],[PP]]),"")</f>
        <v/>
      </c>
      <c r="C399" s="1" t="str">
        <f>IFERROR(IF(MARÍTIMOS[[#This Row],[Sede]]="","",MARÍTIMOS[[#This Row],[Sede]]),"")</f>
        <v/>
      </c>
      <c r="D399" s="1" t="str">
        <f>IFERROR(IF(MARÍTIMOS[[#This Row],[Instruction]]="","",MARÍTIMOS[[#This Row],[Instruction]]),"")</f>
        <v/>
      </c>
      <c r="E399" s="1"/>
      <c r="F399" s="2" t="str">
        <f>IFERROR(IF(MARÍTIMOS[[#This Row],[Transportista]]="","",MARÍTIMOS[[#This Row],[Transportista]]),"")</f>
        <v/>
      </c>
      <c r="G399" s="2" t="str">
        <f>IFERROR(IF(MARÍTIMOS[[#This Row],[Tercero]]="","",MARÍTIMOS[[#This Row],[Tercero]]),"")</f>
        <v/>
      </c>
      <c r="H399" s="2" t="str">
        <f>IFERROR(IF(MARÍTIMOS[[#This Row],[Razón Social]]="","",MARÍTIMOS[[#This Row],[Razón Social]]),"")</f>
        <v/>
      </c>
      <c r="I399" s="2" t="str">
        <f>IFERROR(IF(MARÍTIMOS[[#This Row],[RUC]]="","",MARÍTIMOS[[#This Row],[RUC]]),"")</f>
        <v/>
      </c>
      <c r="J399" s="2" t="str">
        <f>IFERROR(IF(MARÍTIMOS[[#This Row],[Placa Tracto]]="","",MARÍTIMOS[[#This Row],[Placa Tracto]]),"")</f>
        <v/>
      </c>
      <c r="K399" s="2" t="str">
        <f>IFERROR(IF(MARÍTIMOS[[#This Row],[Placa Carreta]]="","",MARÍTIMOS[[#This Row],[Placa Carreta]]),"")</f>
        <v/>
      </c>
      <c r="L399" s="46" t="str">
        <f>IFERROR(IF(MARÍTIMOS[[#This Row],[Conductor]]="","",MARÍTIMOS[[#This Row],[Conductor]]),"")</f>
        <v/>
      </c>
      <c r="M399" s="2" t="str">
        <f>IFERROR(IF(MARÍTIMOS[[#This Row],[Licencia]]="","",MARÍTIMOS[[#This Row],[Licencia]]),"")</f>
        <v/>
      </c>
      <c r="N399" s="2" t="str">
        <f>IFERROR(IF(MARÍTIMOS[[#This Row],[Número de Contacto]]="","",MARÍTIMOS[[#This Row],[Número de Contacto]]),"")</f>
        <v/>
      </c>
      <c r="O399" s="10" t="str">
        <f>IFERROR(IF(MARÍTIMOS[[#This Row],[Booking|AWB|CRT]]="","",MARÍTIMOS[[#This Row],[Booking|AWB|CRT]]),"")</f>
        <v/>
      </c>
      <c r="P399" s="2" t="str">
        <f>IFERROR(IF(MARÍTIMOS[[#This Row],[Contenedor]]="","",MARÍTIMOS[[#This Row],[Contenedor]]),"")</f>
        <v/>
      </c>
      <c r="Q399" s="2" t="str">
        <f>IFERROR(IF(MARÍTIMOS[[#This Row],[Puerto de Retiro]]="","",MARÍTIMOS[[#This Row],[Puerto de Retiro]]),"")</f>
        <v/>
      </c>
      <c r="R399" s="2" t="str">
        <f>IFERROR(IF(MARÍTIMOS[[#This Row],[Almacén de Retiro]]="","",MARÍTIMOS[[#This Row],[Almacén de Retiro]]),"")</f>
        <v/>
      </c>
      <c r="S399" s="11" t="str">
        <f>IFERROR(IF(MARÍTIMOS[[#This Row],[Etapa Retiro - Cita]]="","",MARÍTIMOS[[#This Row],[Etapa Retiro - Cita]]),"")</f>
        <v/>
      </c>
      <c r="T399" s="11" t="str">
        <f>IFERROR(IF(MARÍTIMOS[[#This Row],[Etapa Retiro - Llegada]]="","",MARÍTIMOS[[#This Row],[Etapa Retiro - Llegada]]),"")</f>
        <v/>
      </c>
      <c r="U399" s="11" t="str">
        <f>IFERROR(IF(MARÍTIMOS[[#This Row],[Etapa Retiro - Ingreso]]="","",MARÍTIMOS[[#This Row],[Etapa Retiro - Ingreso]]),"")</f>
        <v/>
      </c>
      <c r="V399" s="11" t="str">
        <f>IFERROR(IF(MARÍTIMOS[[#This Row],[Etapa Retiro - Atención]]="","",MARÍTIMOS[[#This Row],[Etapa Retiro - Atención]]),"")</f>
        <v/>
      </c>
      <c r="W399" s="11" t="str">
        <f>IFERROR(IF(MARÍTIMOS[[#This Row],[Etapa Retiro - Salida]]="","",MARÍTIMOS[[#This Row],[Etapa Retiro - Salida]]),"")</f>
        <v/>
      </c>
      <c r="X399" s="11" t="str">
        <f>IFERROR(IF(MARÍTIMOS[[#This Row],[Etapa Retiro - Inicio de Ruta]]="","",MARÍTIMOS[[#This Row],[Etapa Retiro - Inicio de Ruta]]),"")</f>
        <v/>
      </c>
      <c r="Y399" s="11" t="str">
        <f>IFERROR(IF(MARÍTIMOS[[#This Row],[Hora de Posicionamiento]]="","",MARÍTIMOS[[#This Row],[Hora de Carga]]+MARÍTIMOS[[#This Row],[Hora de Posicionamiento]]),"")</f>
        <v/>
      </c>
      <c r="Z399" s="11" t="str">
        <f>IFERROR(IF(MARÍTIMOS[[#This Row],[Etapa Despacho -  Llegada]]="","",MARÍTIMOS[[#This Row],[Etapa Despacho -  Llegada]]),"")</f>
        <v/>
      </c>
      <c r="AA399" s="11" t="str">
        <f>IFERROR(IF(MARÍTIMOS[[#This Row],[Etapa Despacho -  Registro]]="","",MARÍTIMOS[[#This Row],[Etapa Despacho -  Registro]]),"")</f>
        <v/>
      </c>
      <c r="AB399" s="11" t="str">
        <f>IFERROR(IF(MARÍTIMOS[[#This Row],[Inspección Externa]]="","",MARÍTIMOS[[#This Row],[Inspección Externa]]),"")</f>
        <v/>
      </c>
      <c r="AC399" s="11" t="str">
        <f>IFERROR(IF(MARÍTIMOS[[#This Row],[Etapa Despacho -  Inicio de Carga]]="","",MARÍTIMOS[[#This Row],[Etapa Despacho -  Inicio de Carga]]),"")</f>
        <v/>
      </c>
      <c r="AD399" s="11" t="str">
        <f>IFERROR(IF(MARÍTIMOS[[#This Row],[Etapa Despacho -  Fin de Carga]]="","",MARÍTIMOS[[#This Row],[Etapa Despacho -  Fin de Carga]]),"")</f>
        <v/>
      </c>
      <c r="AE399" s="11" t="str">
        <f>IFERROR(IF(MARÍTIMOS[[#This Row],[Etapa Despacho -  Salida]]="","",MARÍTIMOS[[#This Row],[Etapa Despacho -  Salida]]),"")</f>
        <v/>
      </c>
      <c r="AF399" s="2" t="str">
        <f>IFERROR(IF(MARÍTIMOS[[#This Row],[Puerto de Embarque]]="","",MARÍTIMOS[[#This Row],[Puerto de Embarque]]),"")</f>
        <v/>
      </c>
      <c r="AG399" s="2" t="str">
        <f>IFERROR(IF(MARÍTIMOS[[#This Row],[Almacén de Ingreso]]="","",MARÍTIMOS[[#This Row],[Almacén de Ingreso]]),"")</f>
        <v/>
      </c>
      <c r="AH399" s="11" t="str">
        <f>IFERROR(IF(MARÍTIMOS[[#This Row],[Etapa Ingreso - Cita]]="","",MARÍTIMOS[[#This Row],[Etapa Ingreso - Cita]]),"")</f>
        <v/>
      </c>
      <c r="AI399" s="11" t="str">
        <f>IFERROR(IF(MARÍTIMOS[[#This Row],[Etapa Ingreso - Llegada]]="","",MARÍTIMOS[[#This Row],[Etapa Ingreso - Llegada]]),"")</f>
        <v/>
      </c>
      <c r="AJ399" s="11" t="str">
        <f>IFERROR(IF(MARÍTIMOS[[#This Row],[Etapa Ingreso - Ingeso]]="","",MARÍTIMOS[[#This Row],[Etapa Ingreso - Ingeso]]),"")</f>
        <v/>
      </c>
      <c r="AK399" s="11" t="str">
        <f>IFERROR(IF(MARÍTIMOS[[#This Row],[Etapa Ingreso - Atención]]="","",MARÍTIMOS[[#This Row],[Etapa Ingreso - Atención]]),"")</f>
        <v/>
      </c>
      <c r="AL399" s="11" t="str">
        <f>IFERROR(IF(MARÍTIMOS[[#This Row],[Etapa Ingreso - Salida]]="","",MARÍTIMOS[[#This Row],[Etapa Ingreso - Salida]]),"")</f>
        <v/>
      </c>
      <c r="AM399" s="2" t="str">
        <f>IFERROR(IF(MARÍTIMOS[[#This Row],[FCL]]="","",MARÍTIMOS[[#This Row],[FCL]]),"")</f>
        <v/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9" s="5" t="str">
        <f>IFERROR(OLDBD[[#This Row],[Llegada a packing]]-OLDBD[[#This Row],[Inicio de Ruta]],"")</f>
        <v/>
      </c>
      <c r="AQ399" s="6" t="str">
        <f>IFERROR(OLDBD[[#This Row],[Inicio de Ruta]]-OLDBD[[#This Row],[Salida de almacén de retiro]],"")</f>
        <v/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9" s="9" t="str">
        <f>IFERROR(OLDBD[[#This Row],[Ingreso Packing]]-OLDBD[[#This Row],[Registro en Packing]],"")</f>
        <v/>
      </c>
      <c r="AV399" s="9" t="str">
        <f>IFERROR(OLDBD[[#This Row],[Ingreso Packing]]-OLDBD[[#This Row],[Llegada a packing]],"")</f>
        <v/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 t="str">
        <f>IFERROR(OLDBD[[#This Row],[Llegada Almacén de Ingreso]]-OLDBD[[#This Row],[Salida Packing]],"")</f>
        <v/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9" s="45" t="s">
        <v>181</v>
      </c>
      <c r="BB399" s="53" t="str">
        <f>IFERROR(IF(MARÍTIMOS[[#This Row],[Estatus]]="","",MARÍTIMOS[[#This Row],[Estatus]]),"")</f>
        <v/>
      </c>
      <c r="BC399" s="45"/>
      <c r="BD399" s="52" t="str">
        <f>IFERROR(OLDBD[[#This Row],[Salida de almacén de retiro]]-OLDBD[[#This Row],[Ingreso Almacén de retiro]],"")</f>
        <v/>
      </c>
      <c r="BE399" s="52" t="str">
        <f>IFERROR(OLDBD[[#This Row],[Fin de Carga]]-OLDBD[[#This Row],[Inicio de Carga]],"")</f>
        <v/>
      </c>
    </row>
    <row r="400" spans="1:57" x14ac:dyDescent="0.35">
      <c r="A400" s="1"/>
      <c r="B400" s="1" t="str">
        <f>IFERROR(IF(MARÍTIMOS[[#This Row],[PP]]="","",MARÍTIMOS[[#This Row],[PP]]),"")</f>
        <v/>
      </c>
      <c r="C400" s="1" t="str">
        <f>IFERROR(IF(MARÍTIMOS[[#This Row],[Sede]]="","",MARÍTIMOS[[#This Row],[Sede]]),"")</f>
        <v/>
      </c>
      <c r="D400" s="1" t="str">
        <f>IFERROR(IF(MARÍTIMOS[[#This Row],[Instruction]]="","",MARÍTIMOS[[#This Row],[Instruction]]),"")</f>
        <v/>
      </c>
      <c r="E400" s="1"/>
      <c r="F400" s="2" t="str">
        <f>IFERROR(IF(MARÍTIMOS[[#This Row],[Transportista]]="","",MARÍTIMOS[[#This Row],[Transportista]]),"")</f>
        <v/>
      </c>
      <c r="G400" s="2" t="str">
        <f>IFERROR(IF(MARÍTIMOS[[#This Row],[Tercero]]="","",MARÍTIMOS[[#This Row],[Tercero]]),"")</f>
        <v/>
      </c>
      <c r="H400" s="2" t="str">
        <f>IFERROR(IF(MARÍTIMOS[[#This Row],[Razón Social]]="","",MARÍTIMOS[[#This Row],[Razón Social]]),"")</f>
        <v/>
      </c>
      <c r="I400" s="2" t="str">
        <f>IFERROR(IF(MARÍTIMOS[[#This Row],[RUC]]="","",MARÍTIMOS[[#This Row],[RUC]]),"")</f>
        <v/>
      </c>
      <c r="J400" s="2" t="str">
        <f>IFERROR(IF(MARÍTIMOS[[#This Row],[Placa Tracto]]="","",MARÍTIMOS[[#This Row],[Placa Tracto]]),"")</f>
        <v/>
      </c>
      <c r="K400" s="2" t="str">
        <f>IFERROR(IF(MARÍTIMOS[[#This Row],[Placa Carreta]]="","",MARÍTIMOS[[#This Row],[Placa Carreta]]),"")</f>
        <v/>
      </c>
      <c r="L400" s="46" t="str">
        <f>IFERROR(IF(MARÍTIMOS[[#This Row],[Conductor]]="","",MARÍTIMOS[[#This Row],[Conductor]]),"")</f>
        <v/>
      </c>
      <c r="M400" s="2" t="str">
        <f>IFERROR(IF(MARÍTIMOS[[#This Row],[Licencia]]="","",MARÍTIMOS[[#This Row],[Licencia]]),"")</f>
        <v/>
      </c>
      <c r="N400" s="2" t="str">
        <f>IFERROR(IF(MARÍTIMOS[[#This Row],[Número de Contacto]]="","",MARÍTIMOS[[#This Row],[Número de Contacto]]),"")</f>
        <v/>
      </c>
      <c r="O400" s="10" t="str">
        <f>IFERROR(IF(MARÍTIMOS[[#This Row],[Booking|AWB|CRT]]="","",MARÍTIMOS[[#This Row],[Booking|AWB|CRT]]),"")</f>
        <v/>
      </c>
      <c r="P400" s="2" t="str">
        <f>IFERROR(IF(MARÍTIMOS[[#This Row],[Contenedor]]="","",MARÍTIMOS[[#This Row],[Contenedor]]),"")</f>
        <v/>
      </c>
      <c r="Q400" s="2" t="str">
        <f>IFERROR(IF(MARÍTIMOS[[#This Row],[Puerto de Retiro]]="","",MARÍTIMOS[[#This Row],[Puerto de Retiro]]),"")</f>
        <v/>
      </c>
      <c r="R400" s="2" t="str">
        <f>IFERROR(IF(MARÍTIMOS[[#This Row],[Almacén de Retiro]]="","",MARÍTIMOS[[#This Row],[Almacén de Retiro]]),"")</f>
        <v/>
      </c>
      <c r="S400" s="11" t="str">
        <f>IFERROR(IF(MARÍTIMOS[[#This Row],[Etapa Retiro - Cita]]="","",MARÍTIMOS[[#This Row],[Etapa Retiro - Cita]]),"")</f>
        <v/>
      </c>
      <c r="T400" s="11" t="str">
        <f>IFERROR(IF(MARÍTIMOS[[#This Row],[Etapa Retiro - Llegada]]="","",MARÍTIMOS[[#This Row],[Etapa Retiro - Llegada]]),"")</f>
        <v/>
      </c>
      <c r="U400" s="11" t="str">
        <f>IFERROR(IF(MARÍTIMOS[[#This Row],[Etapa Retiro - Ingreso]]="","",MARÍTIMOS[[#This Row],[Etapa Retiro - Ingreso]]),"")</f>
        <v/>
      </c>
      <c r="V400" s="11" t="str">
        <f>IFERROR(IF(MARÍTIMOS[[#This Row],[Etapa Retiro - Atención]]="","",MARÍTIMOS[[#This Row],[Etapa Retiro - Atención]]),"")</f>
        <v/>
      </c>
      <c r="W400" s="11" t="str">
        <f>IFERROR(IF(MARÍTIMOS[[#This Row],[Etapa Retiro - Salida]]="","",MARÍTIMOS[[#This Row],[Etapa Retiro - Salida]]),"")</f>
        <v/>
      </c>
      <c r="X400" s="11" t="str">
        <f>IFERROR(IF(MARÍTIMOS[[#This Row],[Etapa Retiro - Inicio de Ruta]]="","",MARÍTIMOS[[#This Row],[Etapa Retiro - Inicio de Ruta]]),"")</f>
        <v/>
      </c>
      <c r="Y400" s="11" t="str">
        <f>IFERROR(IF(MARÍTIMOS[[#This Row],[Hora de Posicionamiento]]="","",MARÍTIMOS[[#This Row],[Hora de Carga]]+MARÍTIMOS[[#This Row],[Hora de Posicionamiento]]),"")</f>
        <v/>
      </c>
      <c r="Z400" s="11" t="str">
        <f>IFERROR(IF(MARÍTIMOS[[#This Row],[Etapa Despacho -  Llegada]]="","",MARÍTIMOS[[#This Row],[Etapa Despacho -  Llegada]]),"")</f>
        <v/>
      </c>
      <c r="AA400" s="11" t="str">
        <f>IFERROR(IF(MARÍTIMOS[[#This Row],[Etapa Despacho -  Registro]]="","",MARÍTIMOS[[#This Row],[Etapa Despacho -  Registro]]),"")</f>
        <v/>
      </c>
      <c r="AB400" s="11" t="str">
        <f>IFERROR(IF(MARÍTIMOS[[#This Row],[Inspección Externa]]="","",MARÍTIMOS[[#This Row],[Inspección Externa]]),"")</f>
        <v/>
      </c>
      <c r="AC400" s="11" t="str">
        <f>IFERROR(IF(MARÍTIMOS[[#This Row],[Etapa Despacho -  Inicio de Carga]]="","",MARÍTIMOS[[#This Row],[Etapa Despacho -  Inicio de Carga]]),"")</f>
        <v/>
      </c>
      <c r="AD400" s="11" t="str">
        <f>IFERROR(IF(MARÍTIMOS[[#This Row],[Etapa Despacho -  Fin de Carga]]="","",MARÍTIMOS[[#This Row],[Etapa Despacho -  Fin de Carga]]),"")</f>
        <v/>
      </c>
      <c r="AE400" s="11" t="str">
        <f>IFERROR(IF(MARÍTIMOS[[#This Row],[Etapa Despacho -  Salida]]="","",MARÍTIMOS[[#This Row],[Etapa Despacho -  Salida]]),"")</f>
        <v/>
      </c>
      <c r="AF400" s="2" t="str">
        <f>IFERROR(IF(MARÍTIMOS[[#This Row],[Puerto de Embarque]]="","",MARÍTIMOS[[#This Row],[Puerto de Embarque]]),"")</f>
        <v/>
      </c>
      <c r="AG400" s="2" t="str">
        <f>IFERROR(IF(MARÍTIMOS[[#This Row],[Almacén de Ingreso]]="","",MARÍTIMOS[[#This Row],[Almacén de Ingreso]]),"")</f>
        <v/>
      </c>
      <c r="AH400" s="11" t="str">
        <f>IFERROR(IF(MARÍTIMOS[[#This Row],[Etapa Ingreso - Cita]]="","",MARÍTIMOS[[#This Row],[Etapa Ingreso - Cita]]),"")</f>
        <v/>
      </c>
      <c r="AI400" s="11" t="str">
        <f>IFERROR(IF(MARÍTIMOS[[#This Row],[Etapa Ingreso - Llegada]]="","",MARÍTIMOS[[#This Row],[Etapa Ingreso - Llegada]]),"")</f>
        <v/>
      </c>
      <c r="AJ400" s="11" t="str">
        <f>IFERROR(IF(MARÍTIMOS[[#This Row],[Etapa Ingreso - Ingeso]]="","",MARÍTIMOS[[#This Row],[Etapa Ingreso - Ingeso]]),"")</f>
        <v/>
      </c>
      <c r="AK400" s="11" t="str">
        <f>IFERROR(IF(MARÍTIMOS[[#This Row],[Etapa Ingreso - Atención]]="","",MARÍTIMOS[[#This Row],[Etapa Ingreso - Atención]]),"")</f>
        <v/>
      </c>
      <c r="AL400" s="11" t="str">
        <f>IFERROR(IF(MARÍTIMOS[[#This Row],[Etapa Ingreso - Salida]]="","",MARÍTIMOS[[#This Row],[Etapa Ingreso - Salida]]),"")</f>
        <v/>
      </c>
      <c r="AM400" s="2" t="str">
        <f>IFERROR(IF(MARÍTIMOS[[#This Row],[FCL]]="","",MARÍTIMOS[[#This Row],[FCL]]),"")</f>
        <v/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0" s="5" t="str">
        <f>IFERROR(OLDBD[[#This Row],[Llegada a packing]]-OLDBD[[#This Row],[Inicio de Ruta]],"")</f>
        <v/>
      </c>
      <c r="AQ400" s="6" t="str">
        <f>IFERROR(OLDBD[[#This Row],[Inicio de Ruta]]-OLDBD[[#This Row],[Salida de almacén de retiro]],"")</f>
        <v/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0" s="9" t="str">
        <f>IFERROR(OLDBD[[#This Row],[Ingreso Packing]]-OLDBD[[#This Row],[Registro en Packing]],"")</f>
        <v/>
      </c>
      <c r="AV400" s="9" t="str">
        <f>IFERROR(OLDBD[[#This Row],[Ingreso Packing]]-OLDBD[[#This Row],[Llegada a packing]],"")</f>
        <v/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 t="str">
        <f>IFERROR(OLDBD[[#This Row],[Llegada Almacén de Ingreso]]-OLDBD[[#This Row],[Salida Packing]],"")</f>
        <v/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0" s="45" t="s">
        <v>181</v>
      </c>
      <c r="BB400" s="53" t="str">
        <f>IFERROR(IF(MARÍTIMOS[[#This Row],[Estatus]]="","",MARÍTIMOS[[#This Row],[Estatus]]),"")</f>
        <v/>
      </c>
      <c r="BC400" s="45"/>
      <c r="BD400" s="52" t="str">
        <f>IFERROR(OLDBD[[#This Row],[Salida de almacén de retiro]]-OLDBD[[#This Row],[Ingreso Almacén de retiro]],"")</f>
        <v/>
      </c>
      <c r="BE400" s="52" t="str">
        <f>IFERROR(OLDBD[[#This Row],[Fin de Carga]]-OLDBD[[#This Row],[Inicio de Carga]],"")</f>
        <v/>
      </c>
    </row>
    <row r="401" spans="1:57" x14ac:dyDescent="0.35">
      <c r="A401" s="1"/>
      <c r="B401" s="1" t="str">
        <f>IFERROR(IF(MARÍTIMOS[[#This Row],[PP]]="","",MARÍTIMOS[[#This Row],[PP]]),"")</f>
        <v/>
      </c>
      <c r="C401" s="1" t="str">
        <f>IFERROR(IF(MARÍTIMOS[[#This Row],[Sede]]="","",MARÍTIMOS[[#This Row],[Sede]]),"")</f>
        <v/>
      </c>
      <c r="D401" s="1" t="str">
        <f>IFERROR(IF(MARÍTIMOS[[#This Row],[Instruction]]="","",MARÍTIMOS[[#This Row],[Instruction]]),"")</f>
        <v/>
      </c>
      <c r="E401" s="1"/>
      <c r="F401" s="2" t="str">
        <f>IFERROR(IF(MARÍTIMOS[[#This Row],[Transportista]]="","",MARÍTIMOS[[#This Row],[Transportista]]),"")</f>
        <v/>
      </c>
      <c r="G401" s="2" t="str">
        <f>IFERROR(IF(MARÍTIMOS[[#This Row],[Tercero]]="","",MARÍTIMOS[[#This Row],[Tercero]]),"")</f>
        <v/>
      </c>
      <c r="H401" s="2" t="str">
        <f>IFERROR(IF(MARÍTIMOS[[#This Row],[Razón Social]]="","",MARÍTIMOS[[#This Row],[Razón Social]]),"")</f>
        <v/>
      </c>
      <c r="I401" s="2" t="str">
        <f>IFERROR(IF(MARÍTIMOS[[#This Row],[RUC]]="","",MARÍTIMOS[[#This Row],[RUC]]),"")</f>
        <v/>
      </c>
      <c r="J401" s="2" t="str">
        <f>IFERROR(IF(MARÍTIMOS[[#This Row],[Placa Tracto]]="","",MARÍTIMOS[[#This Row],[Placa Tracto]]),"")</f>
        <v/>
      </c>
      <c r="K401" s="2" t="str">
        <f>IFERROR(IF(MARÍTIMOS[[#This Row],[Placa Carreta]]="","",MARÍTIMOS[[#This Row],[Placa Carreta]]),"")</f>
        <v/>
      </c>
      <c r="L401" s="46" t="str">
        <f>IFERROR(IF(MARÍTIMOS[[#This Row],[Conductor]]="","",MARÍTIMOS[[#This Row],[Conductor]]),"")</f>
        <v/>
      </c>
      <c r="M401" s="2" t="str">
        <f>IFERROR(IF(MARÍTIMOS[[#This Row],[Licencia]]="","",MARÍTIMOS[[#This Row],[Licencia]]),"")</f>
        <v/>
      </c>
      <c r="N401" s="2" t="str">
        <f>IFERROR(IF(MARÍTIMOS[[#This Row],[Número de Contacto]]="","",MARÍTIMOS[[#This Row],[Número de Contacto]]),"")</f>
        <v/>
      </c>
      <c r="O401" s="10" t="str">
        <f>IFERROR(IF(MARÍTIMOS[[#This Row],[Booking|AWB|CRT]]="","",MARÍTIMOS[[#This Row],[Booking|AWB|CRT]]),"")</f>
        <v/>
      </c>
      <c r="P401" s="2" t="str">
        <f>IFERROR(IF(MARÍTIMOS[[#This Row],[Contenedor]]="","",MARÍTIMOS[[#This Row],[Contenedor]]),"")</f>
        <v/>
      </c>
      <c r="Q401" s="2" t="str">
        <f>IFERROR(IF(MARÍTIMOS[[#This Row],[Puerto de Retiro]]="","",MARÍTIMOS[[#This Row],[Puerto de Retiro]]),"")</f>
        <v/>
      </c>
      <c r="R401" s="2" t="str">
        <f>IFERROR(IF(MARÍTIMOS[[#This Row],[Almacén de Retiro]]="","",MARÍTIMOS[[#This Row],[Almacén de Retiro]]),"")</f>
        <v/>
      </c>
      <c r="S401" s="11" t="str">
        <f>IFERROR(IF(MARÍTIMOS[[#This Row],[Etapa Retiro - Cita]]="","",MARÍTIMOS[[#This Row],[Etapa Retiro - Cita]]),"")</f>
        <v/>
      </c>
      <c r="T401" s="11" t="str">
        <f>IFERROR(IF(MARÍTIMOS[[#This Row],[Etapa Retiro - Llegada]]="","",MARÍTIMOS[[#This Row],[Etapa Retiro - Llegada]]),"")</f>
        <v/>
      </c>
      <c r="U401" s="11" t="str">
        <f>IFERROR(IF(MARÍTIMOS[[#This Row],[Etapa Retiro - Ingreso]]="","",MARÍTIMOS[[#This Row],[Etapa Retiro - Ingreso]]),"")</f>
        <v/>
      </c>
      <c r="V401" s="11" t="str">
        <f>IFERROR(IF(MARÍTIMOS[[#This Row],[Etapa Retiro - Atención]]="","",MARÍTIMOS[[#This Row],[Etapa Retiro - Atención]]),"")</f>
        <v/>
      </c>
      <c r="W401" s="11" t="str">
        <f>IFERROR(IF(MARÍTIMOS[[#This Row],[Etapa Retiro - Salida]]="","",MARÍTIMOS[[#This Row],[Etapa Retiro - Salida]]),"")</f>
        <v/>
      </c>
      <c r="X401" s="11" t="str">
        <f>IFERROR(IF(MARÍTIMOS[[#This Row],[Etapa Retiro - Inicio de Ruta]]="","",MARÍTIMOS[[#This Row],[Etapa Retiro - Inicio de Ruta]]),"")</f>
        <v/>
      </c>
      <c r="Y401" s="11" t="str">
        <f>IFERROR(IF(MARÍTIMOS[[#This Row],[Hora de Posicionamiento]]="","",MARÍTIMOS[[#This Row],[Hora de Carga]]+MARÍTIMOS[[#This Row],[Hora de Posicionamiento]]),"")</f>
        <v/>
      </c>
      <c r="Z401" s="11" t="str">
        <f>IFERROR(IF(MARÍTIMOS[[#This Row],[Etapa Despacho -  Llegada]]="","",MARÍTIMOS[[#This Row],[Etapa Despacho -  Llegada]]),"")</f>
        <v/>
      </c>
      <c r="AA401" s="11" t="str">
        <f>IFERROR(IF(MARÍTIMOS[[#This Row],[Etapa Despacho -  Registro]]="","",MARÍTIMOS[[#This Row],[Etapa Despacho -  Registro]]),"")</f>
        <v/>
      </c>
      <c r="AB401" s="11" t="str">
        <f>IFERROR(IF(MARÍTIMOS[[#This Row],[Inspección Externa]]="","",MARÍTIMOS[[#This Row],[Inspección Externa]]),"")</f>
        <v/>
      </c>
      <c r="AC401" s="11" t="str">
        <f>IFERROR(IF(MARÍTIMOS[[#This Row],[Etapa Despacho -  Inicio de Carga]]="","",MARÍTIMOS[[#This Row],[Etapa Despacho -  Inicio de Carga]]),"")</f>
        <v/>
      </c>
      <c r="AD401" s="11" t="str">
        <f>IFERROR(IF(MARÍTIMOS[[#This Row],[Etapa Despacho -  Fin de Carga]]="","",MARÍTIMOS[[#This Row],[Etapa Despacho -  Fin de Carga]]),"")</f>
        <v/>
      </c>
      <c r="AE401" s="11" t="str">
        <f>IFERROR(IF(MARÍTIMOS[[#This Row],[Etapa Despacho -  Salida]]="","",MARÍTIMOS[[#This Row],[Etapa Despacho -  Salida]]),"")</f>
        <v/>
      </c>
      <c r="AF401" s="2" t="str">
        <f>IFERROR(IF(MARÍTIMOS[[#This Row],[Puerto de Embarque]]="","",MARÍTIMOS[[#This Row],[Puerto de Embarque]]),"")</f>
        <v/>
      </c>
      <c r="AG401" s="2" t="str">
        <f>IFERROR(IF(MARÍTIMOS[[#This Row],[Almacén de Ingreso]]="","",MARÍTIMOS[[#This Row],[Almacén de Ingreso]]),"")</f>
        <v/>
      </c>
      <c r="AH401" s="11" t="str">
        <f>IFERROR(IF(MARÍTIMOS[[#This Row],[Etapa Ingreso - Cita]]="","",MARÍTIMOS[[#This Row],[Etapa Ingreso - Cita]]),"")</f>
        <v/>
      </c>
      <c r="AI401" s="11" t="str">
        <f>IFERROR(IF(MARÍTIMOS[[#This Row],[Etapa Ingreso - Llegada]]="","",MARÍTIMOS[[#This Row],[Etapa Ingreso - Llegada]]),"")</f>
        <v/>
      </c>
      <c r="AJ401" s="11" t="str">
        <f>IFERROR(IF(MARÍTIMOS[[#This Row],[Etapa Ingreso - Ingeso]]="","",MARÍTIMOS[[#This Row],[Etapa Ingreso - Ingeso]]),"")</f>
        <v/>
      </c>
      <c r="AK401" s="11" t="str">
        <f>IFERROR(IF(MARÍTIMOS[[#This Row],[Etapa Ingreso - Atención]]="","",MARÍTIMOS[[#This Row],[Etapa Ingreso - Atención]]),"")</f>
        <v/>
      </c>
      <c r="AL401" s="11" t="str">
        <f>IFERROR(IF(MARÍTIMOS[[#This Row],[Etapa Ingreso - Salida]]="","",MARÍTIMOS[[#This Row],[Etapa Ingreso - Salida]]),"")</f>
        <v/>
      </c>
      <c r="AM401" s="2" t="str">
        <f>IFERROR(IF(MARÍTIMOS[[#This Row],[FCL]]="","",MARÍTIMOS[[#This Row],[FCL]]),"")</f>
        <v/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1" s="5" t="str">
        <f>IFERROR(OLDBD[[#This Row],[Llegada a packing]]-OLDBD[[#This Row],[Inicio de Ruta]],"")</f>
        <v/>
      </c>
      <c r="AQ401" s="6" t="str">
        <f>IFERROR(OLDBD[[#This Row],[Inicio de Ruta]]-OLDBD[[#This Row],[Salida de almacén de retiro]],"")</f>
        <v/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1" s="9" t="str">
        <f>IFERROR(OLDBD[[#This Row],[Ingreso Packing]]-OLDBD[[#This Row],[Registro en Packing]],"")</f>
        <v/>
      </c>
      <c r="AV401" s="9" t="str">
        <f>IFERROR(OLDBD[[#This Row],[Ingreso Packing]]-OLDBD[[#This Row],[Llegada a packing]],"")</f>
        <v/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 t="str">
        <f>IFERROR(OLDBD[[#This Row],[Llegada Almacén de Ingreso]]-OLDBD[[#This Row],[Salida Packing]],"")</f>
        <v/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1" s="45" t="s">
        <v>181</v>
      </c>
      <c r="BB401" s="53" t="str">
        <f>IFERROR(IF(MARÍTIMOS[[#This Row],[Estatus]]="","",MARÍTIMOS[[#This Row],[Estatus]]),"")</f>
        <v/>
      </c>
      <c r="BC401" s="45"/>
      <c r="BD401" s="52" t="str">
        <f>IFERROR(OLDBD[[#This Row],[Salida de almacén de retiro]]-OLDBD[[#This Row],[Ingreso Almacén de retiro]],"")</f>
        <v/>
      </c>
      <c r="BE401" s="52" t="str">
        <f>IFERROR(OLDBD[[#This Row],[Fin de Carga]]-OLDBD[[#This Row],[Inicio de Carga]],"")</f>
        <v/>
      </c>
    </row>
    <row r="402" spans="1:57" x14ac:dyDescent="0.35">
      <c r="A402" s="1"/>
      <c r="B402" s="1" t="str">
        <f>IFERROR(IF(MARÍTIMOS[[#This Row],[PP]]="","",MARÍTIMOS[[#This Row],[PP]]),"")</f>
        <v/>
      </c>
      <c r="C402" s="1" t="str">
        <f>IFERROR(IF(MARÍTIMOS[[#This Row],[Sede]]="","",MARÍTIMOS[[#This Row],[Sede]]),"")</f>
        <v/>
      </c>
      <c r="D402" s="1" t="str">
        <f>IFERROR(IF(MARÍTIMOS[[#This Row],[Instruction]]="","",MARÍTIMOS[[#This Row],[Instruction]]),"")</f>
        <v/>
      </c>
      <c r="E402" s="1"/>
      <c r="F402" s="2" t="str">
        <f>IFERROR(IF(MARÍTIMOS[[#This Row],[Transportista]]="","",MARÍTIMOS[[#This Row],[Transportista]]),"")</f>
        <v/>
      </c>
      <c r="G402" s="2" t="str">
        <f>IFERROR(IF(MARÍTIMOS[[#This Row],[Tercero]]="","",MARÍTIMOS[[#This Row],[Tercero]]),"")</f>
        <v/>
      </c>
      <c r="H402" s="2" t="str">
        <f>IFERROR(IF(MARÍTIMOS[[#This Row],[Razón Social]]="","",MARÍTIMOS[[#This Row],[Razón Social]]),"")</f>
        <v/>
      </c>
      <c r="I402" s="2" t="str">
        <f>IFERROR(IF(MARÍTIMOS[[#This Row],[RUC]]="","",MARÍTIMOS[[#This Row],[RUC]]),"")</f>
        <v/>
      </c>
      <c r="J402" s="2" t="str">
        <f>IFERROR(IF(MARÍTIMOS[[#This Row],[Placa Tracto]]="","",MARÍTIMOS[[#This Row],[Placa Tracto]]),"")</f>
        <v/>
      </c>
      <c r="K402" s="2" t="str">
        <f>IFERROR(IF(MARÍTIMOS[[#This Row],[Placa Carreta]]="","",MARÍTIMOS[[#This Row],[Placa Carreta]]),"")</f>
        <v/>
      </c>
      <c r="L402" s="46" t="str">
        <f>IFERROR(IF(MARÍTIMOS[[#This Row],[Conductor]]="","",MARÍTIMOS[[#This Row],[Conductor]]),"")</f>
        <v/>
      </c>
      <c r="M402" s="2" t="str">
        <f>IFERROR(IF(MARÍTIMOS[[#This Row],[Licencia]]="","",MARÍTIMOS[[#This Row],[Licencia]]),"")</f>
        <v/>
      </c>
      <c r="N402" s="2" t="str">
        <f>IFERROR(IF(MARÍTIMOS[[#This Row],[Número de Contacto]]="","",MARÍTIMOS[[#This Row],[Número de Contacto]]),"")</f>
        <v/>
      </c>
      <c r="O402" s="10" t="str">
        <f>IFERROR(IF(MARÍTIMOS[[#This Row],[Booking|AWB|CRT]]="","",MARÍTIMOS[[#This Row],[Booking|AWB|CRT]]),"")</f>
        <v/>
      </c>
      <c r="P402" s="2" t="str">
        <f>IFERROR(IF(MARÍTIMOS[[#This Row],[Contenedor]]="","",MARÍTIMOS[[#This Row],[Contenedor]]),"")</f>
        <v/>
      </c>
      <c r="Q402" s="2" t="str">
        <f>IFERROR(IF(MARÍTIMOS[[#This Row],[Puerto de Retiro]]="","",MARÍTIMOS[[#This Row],[Puerto de Retiro]]),"")</f>
        <v/>
      </c>
      <c r="R402" s="2" t="str">
        <f>IFERROR(IF(MARÍTIMOS[[#This Row],[Almacén de Retiro]]="","",MARÍTIMOS[[#This Row],[Almacén de Retiro]]),"")</f>
        <v/>
      </c>
      <c r="S402" s="11" t="str">
        <f>IFERROR(IF(MARÍTIMOS[[#This Row],[Etapa Retiro - Cita]]="","",MARÍTIMOS[[#This Row],[Etapa Retiro - Cita]]),"")</f>
        <v/>
      </c>
      <c r="T402" s="11" t="str">
        <f>IFERROR(IF(MARÍTIMOS[[#This Row],[Etapa Retiro - Llegada]]="","",MARÍTIMOS[[#This Row],[Etapa Retiro - Llegada]]),"")</f>
        <v/>
      </c>
      <c r="U402" s="11" t="str">
        <f>IFERROR(IF(MARÍTIMOS[[#This Row],[Etapa Retiro - Ingreso]]="","",MARÍTIMOS[[#This Row],[Etapa Retiro - Ingreso]]),"")</f>
        <v/>
      </c>
      <c r="V402" s="11" t="str">
        <f>IFERROR(IF(MARÍTIMOS[[#This Row],[Etapa Retiro - Atención]]="","",MARÍTIMOS[[#This Row],[Etapa Retiro - Atención]]),"")</f>
        <v/>
      </c>
      <c r="W402" s="11" t="str">
        <f>IFERROR(IF(MARÍTIMOS[[#This Row],[Etapa Retiro - Salida]]="","",MARÍTIMOS[[#This Row],[Etapa Retiro - Salida]]),"")</f>
        <v/>
      </c>
      <c r="X402" s="11" t="str">
        <f>IFERROR(IF(MARÍTIMOS[[#This Row],[Etapa Retiro - Inicio de Ruta]]="","",MARÍTIMOS[[#This Row],[Etapa Retiro - Inicio de Ruta]]),"")</f>
        <v/>
      </c>
      <c r="Y402" s="11" t="str">
        <f>IFERROR(IF(MARÍTIMOS[[#This Row],[Hora de Posicionamiento]]="","",MARÍTIMOS[[#This Row],[Hora de Carga]]+MARÍTIMOS[[#This Row],[Hora de Posicionamiento]]),"")</f>
        <v/>
      </c>
      <c r="Z402" s="11" t="str">
        <f>IFERROR(IF(MARÍTIMOS[[#This Row],[Etapa Despacho -  Llegada]]="","",MARÍTIMOS[[#This Row],[Etapa Despacho -  Llegada]]),"")</f>
        <v/>
      </c>
      <c r="AA402" s="11" t="str">
        <f>IFERROR(IF(MARÍTIMOS[[#This Row],[Etapa Despacho -  Registro]]="","",MARÍTIMOS[[#This Row],[Etapa Despacho -  Registro]]),"")</f>
        <v/>
      </c>
      <c r="AB402" s="11" t="str">
        <f>IFERROR(IF(MARÍTIMOS[[#This Row],[Inspección Externa]]="","",MARÍTIMOS[[#This Row],[Inspección Externa]]),"")</f>
        <v/>
      </c>
      <c r="AC402" s="11" t="str">
        <f>IFERROR(IF(MARÍTIMOS[[#This Row],[Etapa Despacho -  Inicio de Carga]]="","",MARÍTIMOS[[#This Row],[Etapa Despacho -  Inicio de Carga]]),"")</f>
        <v/>
      </c>
      <c r="AD402" s="11" t="str">
        <f>IFERROR(IF(MARÍTIMOS[[#This Row],[Etapa Despacho -  Fin de Carga]]="","",MARÍTIMOS[[#This Row],[Etapa Despacho -  Fin de Carga]]),"")</f>
        <v/>
      </c>
      <c r="AE402" s="11" t="str">
        <f>IFERROR(IF(MARÍTIMOS[[#This Row],[Etapa Despacho -  Salida]]="","",MARÍTIMOS[[#This Row],[Etapa Despacho -  Salida]]),"")</f>
        <v/>
      </c>
      <c r="AF402" s="2" t="str">
        <f>IFERROR(IF(MARÍTIMOS[[#This Row],[Puerto de Embarque]]="","",MARÍTIMOS[[#This Row],[Puerto de Embarque]]),"")</f>
        <v/>
      </c>
      <c r="AG402" s="2" t="str">
        <f>IFERROR(IF(MARÍTIMOS[[#This Row],[Almacén de Ingreso]]="","",MARÍTIMOS[[#This Row],[Almacén de Ingreso]]),"")</f>
        <v/>
      </c>
      <c r="AH402" s="11" t="str">
        <f>IFERROR(IF(MARÍTIMOS[[#This Row],[Etapa Ingreso - Cita]]="","",MARÍTIMOS[[#This Row],[Etapa Ingreso - Cita]]),"")</f>
        <v/>
      </c>
      <c r="AI402" s="11" t="str">
        <f>IFERROR(IF(MARÍTIMOS[[#This Row],[Etapa Ingreso - Llegada]]="","",MARÍTIMOS[[#This Row],[Etapa Ingreso - Llegada]]),"")</f>
        <v/>
      </c>
      <c r="AJ402" s="11" t="str">
        <f>IFERROR(IF(MARÍTIMOS[[#This Row],[Etapa Ingreso - Ingeso]]="","",MARÍTIMOS[[#This Row],[Etapa Ingreso - Ingeso]]),"")</f>
        <v/>
      </c>
      <c r="AK402" s="11" t="str">
        <f>IFERROR(IF(MARÍTIMOS[[#This Row],[Etapa Ingreso - Atención]]="","",MARÍTIMOS[[#This Row],[Etapa Ingreso - Atención]]),"")</f>
        <v/>
      </c>
      <c r="AL402" s="11" t="str">
        <f>IFERROR(IF(MARÍTIMOS[[#This Row],[Etapa Ingreso - Salida]]="","",MARÍTIMOS[[#This Row],[Etapa Ingreso - Salida]]),"")</f>
        <v/>
      </c>
      <c r="AM402" s="2" t="str">
        <f>IFERROR(IF(MARÍTIMOS[[#This Row],[FCL]]="","",MARÍTIMOS[[#This Row],[FCL]]),"")</f>
        <v/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2" s="5" t="str">
        <f>IFERROR(OLDBD[[#This Row],[Llegada a packing]]-OLDBD[[#This Row],[Inicio de Ruta]],"")</f>
        <v/>
      </c>
      <c r="AQ402" s="6" t="str">
        <f>IFERROR(OLDBD[[#This Row],[Inicio de Ruta]]-OLDBD[[#This Row],[Salida de almacén de retiro]],"")</f>
        <v/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2" s="9" t="str">
        <f>IFERROR(OLDBD[[#This Row],[Ingreso Packing]]-OLDBD[[#This Row],[Registro en Packing]],"")</f>
        <v/>
      </c>
      <c r="AV402" s="9" t="str">
        <f>IFERROR(OLDBD[[#This Row],[Ingreso Packing]]-OLDBD[[#This Row],[Llegada a packing]],"")</f>
        <v/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 t="str">
        <f>IFERROR(OLDBD[[#This Row],[Llegada Almacén de Ingreso]]-OLDBD[[#This Row],[Salida Packing]],"")</f>
        <v/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2" s="45" t="s">
        <v>181</v>
      </c>
      <c r="BB402" s="53" t="str">
        <f>IFERROR(IF(MARÍTIMOS[[#This Row],[Estatus]]="","",MARÍTIMOS[[#This Row],[Estatus]]),"")</f>
        <v/>
      </c>
      <c r="BC402" s="45"/>
      <c r="BD402" s="52" t="str">
        <f>IFERROR(OLDBD[[#This Row],[Salida de almacén de retiro]]-OLDBD[[#This Row],[Ingreso Almacén de retiro]],"")</f>
        <v/>
      </c>
      <c r="BE402" s="52" t="str">
        <f>IFERROR(OLDBD[[#This Row],[Fin de Carga]]-OLDBD[[#This Row],[Inicio de Carga]],"")</f>
        <v/>
      </c>
    </row>
    <row r="403" spans="1:57" x14ac:dyDescent="0.35">
      <c r="A403" s="1"/>
      <c r="B403" s="1" t="str">
        <f>IFERROR(IF(MARÍTIMOS[[#This Row],[PP]]="","",MARÍTIMOS[[#This Row],[PP]]),"")</f>
        <v/>
      </c>
      <c r="C403" s="1" t="str">
        <f>IFERROR(IF(MARÍTIMOS[[#This Row],[Sede]]="","",MARÍTIMOS[[#This Row],[Sede]]),"")</f>
        <v/>
      </c>
      <c r="D403" s="1" t="str">
        <f>IFERROR(IF(MARÍTIMOS[[#This Row],[Instruction]]="","",MARÍTIMOS[[#This Row],[Instruction]]),"")</f>
        <v/>
      </c>
      <c r="E403" s="1"/>
      <c r="F403" s="2" t="str">
        <f>IFERROR(IF(MARÍTIMOS[[#This Row],[Transportista]]="","",MARÍTIMOS[[#This Row],[Transportista]]),"")</f>
        <v/>
      </c>
      <c r="G403" s="2" t="str">
        <f>IFERROR(IF(MARÍTIMOS[[#This Row],[Tercero]]="","",MARÍTIMOS[[#This Row],[Tercero]]),"")</f>
        <v/>
      </c>
      <c r="H403" s="2" t="str">
        <f>IFERROR(IF(MARÍTIMOS[[#This Row],[Razón Social]]="","",MARÍTIMOS[[#This Row],[Razón Social]]),"")</f>
        <v/>
      </c>
      <c r="I403" s="2" t="str">
        <f>IFERROR(IF(MARÍTIMOS[[#This Row],[RUC]]="","",MARÍTIMOS[[#This Row],[RUC]]),"")</f>
        <v/>
      </c>
      <c r="J403" s="2" t="str">
        <f>IFERROR(IF(MARÍTIMOS[[#This Row],[Placa Tracto]]="","",MARÍTIMOS[[#This Row],[Placa Tracto]]),"")</f>
        <v/>
      </c>
      <c r="K403" s="2" t="str">
        <f>IFERROR(IF(MARÍTIMOS[[#This Row],[Placa Carreta]]="","",MARÍTIMOS[[#This Row],[Placa Carreta]]),"")</f>
        <v/>
      </c>
      <c r="L403" s="46" t="str">
        <f>IFERROR(IF(MARÍTIMOS[[#This Row],[Conductor]]="","",MARÍTIMOS[[#This Row],[Conductor]]),"")</f>
        <v/>
      </c>
      <c r="M403" s="2" t="str">
        <f>IFERROR(IF(MARÍTIMOS[[#This Row],[Licencia]]="","",MARÍTIMOS[[#This Row],[Licencia]]),"")</f>
        <v/>
      </c>
      <c r="N403" s="2" t="str">
        <f>IFERROR(IF(MARÍTIMOS[[#This Row],[Número de Contacto]]="","",MARÍTIMOS[[#This Row],[Número de Contacto]]),"")</f>
        <v/>
      </c>
      <c r="O403" s="10" t="str">
        <f>IFERROR(IF(MARÍTIMOS[[#This Row],[Booking|AWB|CRT]]="","",MARÍTIMOS[[#This Row],[Booking|AWB|CRT]]),"")</f>
        <v/>
      </c>
      <c r="P403" s="2" t="str">
        <f>IFERROR(IF(MARÍTIMOS[[#This Row],[Contenedor]]="","",MARÍTIMOS[[#This Row],[Contenedor]]),"")</f>
        <v/>
      </c>
      <c r="Q403" s="2" t="str">
        <f>IFERROR(IF(MARÍTIMOS[[#This Row],[Puerto de Retiro]]="","",MARÍTIMOS[[#This Row],[Puerto de Retiro]]),"")</f>
        <v/>
      </c>
      <c r="R403" s="2" t="str">
        <f>IFERROR(IF(MARÍTIMOS[[#This Row],[Almacén de Retiro]]="","",MARÍTIMOS[[#This Row],[Almacén de Retiro]]),"")</f>
        <v/>
      </c>
      <c r="S403" s="11" t="str">
        <f>IFERROR(IF(MARÍTIMOS[[#This Row],[Etapa Retiro - Cita]]="","",MARÍTIMOS[[#This Row],[Etapa Retiro - Cita]]),"")</f>
        <v/>
      </c>
      <c r="T403" s="11" t="str">
        <f>IFERROR(IF(MARÍTIMOS[[#This Row],[Etapa Retiro - Llegada]]="","",MARÍTIMOS[[#This Row],[Etapa Retiro - Llegada]]),"")</f>
        <v/>
      </c>
      <c r="U403" s="11" t="str">
        <f>IFERROR(IF(MARÍTIMOS[[#This Row],[Etapa Retiro - Ingreso]]="","",MARÍTIMOS[[#This Row],[Etapa Retiro - Ingreso]]),"")</f>
        <v/>
      </c>
      <c r="V403" s="11" t="str">
        <f>IFERROR(IF(MARÍTIMOS[[#This Row],[Etapa Retiro - Atención]]="","",MARÍTIMOS[[#This Row],[Etapa Retiro - Atención]]),"")</f>
        <v/>
      </c>
      <c r="W403" s="11" t="str">
        <f>IFERROR(IF(MARÍTIMOS[[#This Row],[Etapa Retiro - Salida]]="","",MARÍTIMOS[[#This Row],[Etapa Retiro - Salida]]),"")</f>
        <v/>
      </c>
      <c r="X403" s="11" t="str">
        <f>IFERROR(IF(MARÍTIMOS[[#This Row],[Etapa Retiro - Inicio de Ruta]]="","",MARÍTIMOS[[#This Row],[Etapa Retiro - Inicio de Ruta]]),"")</f>
        <v/>
      </c>
      <c r="Y403" s="11" t="str">
        <f>IFERROR(IF(MARÍTIMOS[[#This Row],[Hora de Posicionamiento]]="","",MARÍTIMOS[[#This Row],[Hora de Carga]]+MARÍTIMOS[[#This Row],[Hora de Posicionamiento]]),"")</f>
        <v/>
      </c>
      <c r="Z403" s="11" t="str">
        <f>IFERROR(IF(MARÍTIMOS[[#This Row],[Etapa Despacho -  Llegada]]="","",MARÍTIMOS[[#This Row],[Etapa Despacho -  Llegada]]),"")</f>
        <v/>
      </c>
      <c r="AA403" s="11" t="str">
        <f>IFERROR(IF(MARÍTIMOS[[#This Row],[Etapa Despacho -  Registro]]="","",MARÍTIMOS[[#This Row],[Etapa Despacho -  Registro]]),"")</f>
        <v/>
      </c>
      <c r="AB403" s="11" t="str">
        <f>IFERROR(IF(MARÍTIMOS[[#This Row],[Inspección Externa]]="","",MARÍTIMOS[[#This Row],[Inspección Externa]]),"")</f>
        <v/>
      </c>
      <c r="AC403" s="11" t="str">
        <f>IFERROR(IF(MARÍTIMOS[[#This Row],[Etapa Despacho -  Inicio de Carga]]="","",MARÍTIMOS[[#This Row],[Etapa Despacho -  Inicio de Carga]]),"")</f>
        <v/>
      </c>
      <c r="AD403" s="11" t="str">
        <f>IFERROR(IF(MARÍTIMOS[[#This Row],[Etapa Despacho -  Fin de Carga]]="","",MARÍTIMOS[[#This Row],[Etapa Despacho -  Fin de Carga]]),"")</f>
        <v/>
      </c>
      <c r="AE403" s="11" t="str">
        <f>IFERROR(IF(MARÍTIMOS[[#This Row],[Etapa Despacho -  Salida]]="","",MARÍTIMOS[[#This Row],[Etapa Despacho -  Salida]]),"")</f>
        <v/>
      </c>
      <c r="AF403" s="2" t="str">
        <f>IFERROR(IF(MARÍTIMOS[[#This Row],[Puerto de Embarque]]="","",MARÍTIMOS[[#This Row],[Puerto de Embarque]]),"")</f>
        <v/>
      </c>
      <c r="AG403" s="2" t="str">
        <f>IFERROR(IF(MARÍTIMOS[[#This Row],[Almacén de Ingreso]]="","",MARÍTIMOS[[#This Row],[Almacén de Ingreso]]),"")</f>
        <v/>
      </c>
      <c r="AH403" s="11" t="str">
        <f>IFERROR(IF(MARÍTIMOS[[#This Row],[Etapa Ingreso - Cita]]="","",MARÍTIMOS[[#This Row],[Etapa Ingreso - Cita]]),"")</f>
        <v/>
      </c>
      <c r="AI403" s="11" t="str">
        <f>IFERROR(IF(MARÍTIMOS[[#This Row],[Etapa Ingreso - Llegada]]="","",MARÍTIMOS[[#This Row],[Etapa Ingreso - Llegada]]),"")</f>
        <v/>
      </c>
      <c r="AJ403" s="11" t="str">
        <f>IFERROR(IF(MARÍTIMOS[[#This Row],[Etapa Ingreso - Ingeso]]="","",MARÍTIMOS[[#This Row],[Etapa Ingreso - Ingeso]]),"")</f>
        <v/>
      </c>
      <c r="AK403" s="11" t="str">
        <f>IFERROR(IF(MARÍTIMOS[[#This Row],[Etapa Ingreso - Atención]]="","",MARÍTIMOS[[#This Row],[Etapa Ingreso - Atención]]),"")</f>
        <v/>
      </c>
      <c r="AL403" s="11" t="str">
        <f>IFERROR(IF(MARÍTIMOS[[#This Row],[Etapa Ingreso - Salida]]="","",MARÍTIMOS[[#This Row],[Etapa Ingreso - Salida]]),"")</f>
        <v/>
      </c>
      <c r="AM403" s="2" t="str">
        <f>IFERROR(IF(MARÍTIMOS[[#This Row],[FCL]]="","",MARÍTIMOS[[#This Row],[FCL]]),"")</f>
        <v/>
      </c>
      <c r="AN4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3" s="5" t="str">
        <f>IFERROR(OLDBD[[#This Row],[Llegada a packing]]-OLDBD[[#This Row],[Inicio de Ruta]],"")</f>
        <v/>
      </c>
      <c r="AQ403" s="6" t="str">
        <f>IFERROR(OLDBD[[#This Row],[Inicio de Ruta]]-OLDBD[[#This Row],[Salida de almacén de retiro]],"")</f>
        <v/>
      </c>
      <c r="AR4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5" t="str">
        <f>IFERROR(OLDBD[[#This Row],[Llegada Almacén de Ingreso]]-OLDBD[[#This Row],[Salida Packing]],"")</f>
        <v/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3" s="45" t="s">
        <v>181</v>
      </c>
      <c r="BB403" s="53" t="str">
        <f>IFERROR(IF(MARÍTIMOS[[#This Row],[Estatus]]="","",MARÍTIMOS[[#This Row],[Estatus]]),"")</f>
        <v/>
      </c>
      <c r="BC403" s="45"/>
      <c r="BD403" s="52" t="str">
        <f>IFERROR(OLDBD[[#This Row],[Salida de almacén de retiro]]-OLDBD[[#This Row],[Ingreso Almacén de retiro]],"")</f>
        <v/>
      </c>
      <c r="BE403" s="52" t="str">
        <f>IFERROR(OLDBD[[#This Row],[Fin de Carga]]-OLDBD[[#This Row],[Inicio de Carga]],"")</f>
        <v/>
      </c>
    </row>
    <row r="404" spans="1:57" x14ac:dyDescent="0.35">
      <c r="A404" s="1"/>
      <c r="B404" s="1" t="str">
        <f>IFERROR(IF(MARÍTIMOS[[#This Row],[PP]]="","",MARÍTIMOS[[#This Row],[PP]]),"")</f>
        <v/>
      </c>
      <c r="C404" s="1" t="str">
        <f>IFERROR(IF(MARÍTIMOS[[#This Row],[Sede]]="","",MARÍTIMOS[[#This Row],[Sede]]),"")</f>
        <v/>
      </c>
      <c r="D404" s="1" t="str">
        <f>IFERROR(IF(MARÍTIMOS[[#This Row],[Instruction]]="","",MARÍTIMOS[[#This Row],[Instruction]]),"")</f>
        <v/>
      </c>
      <c r="E404" s="1"/>
      <c r="F404" s="2" t="str">
        <f>IFERROR(IF(MARÍTIMOS[[#This Row],[Transportista]]="","",MARÍTIMOS[[#This Row],[Transportista]]),"")</f>
        <v/>
      </c>
      <c r="G404" s="2" t="str">
        <f>IFERROR(IF(MARÍTIMOS[[#This Row],[Tercero]]="","",MARÍTIMOS[[#This Row],[Tercero]]),"")</f>
        <v/>
      </c>
      <c r="H404" s="2" t="str">
        <f>IFERROR(IF(MARÍTIMOS[[#This Row],[Razón Social]]="","",MARÍTIMOS[[#This Row],[Razón Social]]),"")</f>
        <v/>
      </c>
      <c r="I404" s="2" t="str">
        <f>IFERROR(IF(MARÍTIMOS[[#This Row],[RUC]]="","",MARÍTIMOS[[#This Row],[RUC]]),"")</f>
        <v/>
      </c>
      <c r="J404" s="2" t="str">
        <f>IFERROR(IF(MARÍTIMOS[[#This Row],[Placa Tracto]]="","",MARÍTIMOS[[#This Row],[Placa Tracto]]),"")</f>
        <v/>
      </c>
      <c r="K404" s="2" t="str">
        <f>IFERROR(IF(MARÍTIMOS[[#This Row],[Placa Carreta]]="","",MARÍTIMOS[[#This Row],[Placa Carreta]]),"")</f>
        <v/>
      </c>
      <c r="L404" s="46" t="str">
        <f>IFERROR(IF(MARÍTIMOS[[#This Row],[Conductor]]="","",MARÍTIMOS[[#This Row],[Conductor]]),"")</f>
        <v/>
      </c>
      <c r="M404" s="2" t="str">
        <f>IFERROR(IF(MARÍTIMOS[[#This Row],[Licencia]]="","",MARÍTIMOS[[#This Row],[Licencia]]),"")</f>
        <v/>
      </c>
      <c r="N404" s="2" t="str">
        <f>IFERROR(IF(MARÍTIMOS[[#This Row],[Número de Contacto]]="","",MARÍTIMOS[[#This Row],[Número de Contacto]]),"")</f>
        <v/>
      </c>
      <c r="O404" s="10" t="str">
        <f>IFERROR(IF(MARÍTIMOS[[#This Row],[Booking|AWB|CRT]]="","",MARÍTIMOS[[#This Row],[Booking|AWB|CRT]]),"")</f>
        <v/>
      </c>
      <c r="P404" s="2" t="str">
        <f>IFERROR(IF(MARÍTIMOS[[#This Row],[Contenedor]]="","",MARÍTIMOS[[#This Row],[Contenedor]]),"")</f>
        <v/>
      </c>
      <c r="Q404" s="2" t="str">
        <f>IFERROR(IF(MARÍTIMOS[[#This Row],[Puerto de Retiro]]="","",MARÍTIMOS[[#This Row],[Puerto de Retiro]]),"")</f>
        <v/>
      </c>
      <c r="R404" s="2" t="str">
        <f>IFERROR(IF(MARÍTIMOS[[#This Row],[Almacén de Retiro]]="","",MARÍTIMOS[[#This Row],[Almacén de Retiro]]),"")</f>
        <v/>
      </c>
      <c r="S404" s="11" t="str">
        <f>IFERROR(IF(MARÍTIMOS[[#This Row],[Etapa Retiro - Cita]]="","",MARÍTIMOS[[#This Row],[Etapa Retiro - Cita]]),"")</f>
        <v/>
      </c>
      <c r="T404" s="11" t="str">
        <f>IFERROR(IF(MARÍTIMOS[[#This Row],[Etapa Retiro - Llegada]]="","",MARÍTIMOS[[#This Row],[Etapa Retiro - Llegada]]),"")</f>
        <v/>
      </c>
      <c r="U404" s="11" t="str">
        <f>IFERROR(IF(MARÍTIMOS[[#This Row],[Etapa Retiro - Ingreso]]="","",MARÍTIMOS[[#This Row],[Etapa Retiro - Ingreso]]),"")</f>
        <v/>
      </c>
      <c r="V404" s="11" t="str">
        <f>IFERROR(IF(MARÍTIMOS[[#This Row],[Etapa Retiro - Atención]]="","",MARÍTIMOS[[#This Row],[Etapa Retiro - Atención]]),"")</f>
        <v/>
      </c>
      <c r="W404" s="11" t="str">
        <f>IFERROR(IF(MARÍTIMOS[[#This Row],[Etapa Retiro - Salida]]="","",MARÍTIMOS[[#This Row],[Etapa Retiro - Salida]]),"")</f>
        <v/>
      </c>
      <c r="X404" s="11" t="str">
        <f>IFERROR(IF(MARÍTIMOS[[#This Row],[Etapa Retiro - Inicio de Ruta]]="","",MARÍTIMOS[[#This Row],[Etapa Retiro - Inicio de Ruta]]),"")</f>
        <v/>
      </c>
      <c r="Y404" s="11" t="str">
        <f>IFERROR(IF(MARÍTIMOS[[#This Row],[Hora de Posicionamiento]]="","",MARÍTIMOS[[#This Row],[Hora de Carga]]+MARÍTIMOS[[#This Row],[Hora de Posicionamiento]]),"")</f>
        <v/>
      </c>
      <c r="Z404" s="11" t="str">
        <f>IFERROR(IF(MARÍTIMOS[[#This Row],[Etapa Despacho -  Llegada]]="","",MARÍTIMOS[[#This Row],[Etapa Despacho -  Llegada]]),"")</f>
        <v/>
      </c>
      <c r="AA404" s="11" t="str">
        <f>IFERROR(IF(MARÍTIMOS[[#This Row],[Etapa Despacho -  Registro]]="","",MARÍTIMOS[[#This Row],[Etapa Despacho -  Registro]]),"")</f>
        <v/>
      </c>
      <c r="AB404" s="11" t="str">
        <f>IFERROR(IF(MARÍTIMOS[[#This Row],[Inspección Externa]]="","",MARÍTIMOS[[#This Row],[Inspección Externa]]),"")</f>
        <v/>
      </c>
      <c r="AC404" s="11" t="str">
        <f>IFERROR(IF(MARÍTIMOS[[#This Row],[Etapa Despacho -  Inicio de Carga]]="","",MARÍTIMOS[[#This Row],[Etapa Despacho -  Inicio de Carga]]),"")</f>
        <v/>
      </c>
      <c r="AD404" s="11" t="str">
        <f>IFERROR(IF(MARÍTIMOS[[#This Row],[Etapa Despacho -  Fin de Carga]]="","",MARÍTIMOS[[#This Row],[Etapa Despacho -  Fin de Carga]]),"")</f>
        <v/>
      </c>
      <c r="AE404" s="11" t="str">
        <f>IFERROR(IF(MARÍTIMOS[[#This Row],[Etapa Despacho -  Salida]]="","",MARÍTIMOS[[#This Row],[Etapa Despacho -  Salida]]),"")</f>
        <v/>
      </c>
      <c r="AF404" s="2" t="str">
        <f>IFERROR(IF(MARÍTIMOS[[#This Row],[Puerto de Embarque]]="","",MARÍTIMOS[[#This Row],[Puerto de Embarque]]),"")</f>
        <v/>
      </c>
      <c r="AG404" s="2" t="str">
        <f>IFERROR(IF(MARÍTIMOS[[#This Row],[Almacén de Ingreso]]="","",MARÍTIMOS[[#This Row],[Almacén de Ingreso]]),"")</f>
        <v/>
      </c>
      <c r="AH404" s="11" t="str">
        <f>IFERROR(IF(MARÍTIMOS[[#This Row],[Etapa Ingreso - Cita]]="","",MARÍTIMOS[[#This Row],[Etapa Ingreso - Cita]]),"")</f>
        <v/>
      </c>
      <c r="AI404" s="11" t="str">
        <f>IFERROR(IF(MARÍTIMOS[[#This Row],[Etapa Ingreso - Llegada]]="","",MARÍTIMOS[[#This Row],[Etapa Ingreso - Llegada]]),"")</f>
        <v/>
      </c>
      <c r="AJ404" s="11" t="str">
        <f>IFERROR(IF(MARÍTIMOS[[#This Row],[Etapa Ingreso - Ingeso]]="","",MARÍTIMOS[[#This Row],[Etapa Ingreso - Ingeso]]),"")</f>
        <v/>
      </c>
      <c r="AK404" s="11" t="str">
        <f>IFERROR(IF(MARÍTIMOS[[#This Row],[Etapa Ingreso - Atención]]="","",MARÍTIMOS[[#This Row],[Etapa Ingreso - Atención]]),"")</f>
        <v/>
      </c>
      <c r="AL404" s="11" t="str">
        <f>IFERROR(IF(MARÍTIMOS[[#This Row],[Etapa Ingreso - Salida]]="","",MARÍTIMOS[[#This Row],[Etapa Ingreso - Salida]]),"")</f>
        <v/>
      </c>
      <c r="AM404" s="2" t="str">
        <f>IFERROR(IF(MARÍTIMOS[[#This Row],[FCL]]="","",MARÍTIMOS[[#This Row],[FCL]]),"")</f>
        <v/>
      </c>
      <c r="AN4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4" s="5" t="str">
        <f>IFERROR(OLDBD[[#This Row],[Llegada a packing]]-OLDBD[[#This Row],[Inicio de Ruta]],"")</f>
        <v/>
      </c>
      <c r="AQ404" s="6" t="str">
        <f>IFERROR(OLDBD[[#This Row],[Inicio de Ruta]]-OLDBD[[#This Row],[Salida de almacén de retiro]],"")</f>
        <v/>
      </c>
      <c r="AR4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5" t="str">
        <f>IFERROR(OLDBD[[#This Row],[Llegada Almacén de Ingreso]]-OLDBD[[#This Row],[Salida Packing]],"")</f>
        <v/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4" s="45" t="s">
        <v>181</v>
      </c>
      <c r="BB404" s="53" t="str">
        <f>IFERROR(IF(MARÍTIMOS[[#This Row],[Estatus]]="","",MARÍTIMOS[[#This Row],[Estatus]]),"")</f>
        <v/>
      </c>
      <c r="BC404" s="45"/>
      <c r="BD404" s="52" t="str">
        <f>IFERROR(OLDBD[[#This Row],[Salida de almacén de retiro]]-OLDBD[[#This Row],[Ingreso Almacén de retiro]],"")</f>
        <v/>
      </c>
      <c r="BE404" s="52" t="str">
        <f>IFERROR(OLDBD[[#This Row],[Fin de Carga]]-OLDBD[[#This Row],[Inicio de Carga]],"")</f>
        <v/>
      </c>
    </row>
    <row r="405" spans="1:57" x14ac:dyDescent="0.35">
      <c r="A405" s="1"/>
      <c r="B405" s="1" t="str">
        <f>IFERROR(IF(MARÍTIMOS[[#This Row],[PP]]="","",MARÍTIMOS[[#This Row],[PP]]),"")</f>
        <v/>
      </c>
      <c r="C405" s="1" t="str">
        <f>IFERROR(IF(MARÍTIMOS[[#This Row],[Sede]]="","",MARÍTIMOS[[#This Row],[Sede]]),"")</f>
        <v/>
      </c>
      <c r="D405" s="1" t="str">
        <f>IFERROR(IF(MARÍTIMOS[[#This Row],[Instruction]]="","",MARÍTIMOS[[#This Row],[Instruction]]),"")</f>
        <v/>
      </c>
      <c r="E405" s="1"/>
      <c r="F405" s="2" t="str">
        <f>IFERROR(IF(MARÍTIMOS[[#This Row],[Transportista]]="","",MARÍTIMOS[[#This Row],[Transportista]]),"")</f>
        <v/>
      </c>
      <c r="G405" s="2" t="str">
        <f>IFERROR(IF(MARÍTIMOS[[#This Row],[Tercero]]="","",MARÍTIMOS[[#This Row],[Tercero]]),"")</f>
        <v/>
      </c>
      <c r="H405" s="2" t="str">
        <f>IFERROR(IF(MARÍTIMOS[[#This Row],[Razón Social]]="","",MARÍTIMOS[[#This Row],[Razón Social]]),"")</f>
        <v/>
      </c>
      <c r="I405" s="2" t="str">
        <f>IFERROR(IF(MARÍTIMOS[[#This Row],[RUC]]="","",MARÍTIMOS[[#This Row],[RUC]]),"")</f>
        <v/>
      </c>
      <c r="J405" s="2" t="str">
        <f>IFERROR(IF(MARÍTIMOS[[#This Row],[Placa Tracto]]="","",MARÍTIMOS[[#This Row],[Placa Tracto]]),"")</f>
        <v/>
      </c>
      <c r="K405" s="2" t="str">
        <f>IFERROR(IF(MARÍTIMOS[[#This Row],[Placa Carreta]]="","",MARÍTIMOS[[#This Row],[Placa Carreta]]),"")</f>
        <v/>
      </c>
      <c r="L405" s="46" t="str">
        <f>IFERROR(IF(MARÍTIMOS[[#This Row],[Conductor]]="","",MARÍTIMOS[[#This Row],[Conductor]]),"")</f>
        <v/>
      </c>
      <c r="M405" s="2" t="str">
        <f>IFERROR(IF(MARÍTIMOS[[#This Row],[Licencia]]="","",MARÍTIMOS[[#This Row],[Licencia]]),"")</f>
        <v/>
      </c>
      <c r="N405" s="2" t="str">
        <f>IFERROR(IF(MARÍTIMOS[[#This Row],[Número de Contacto]]="","",MARÍTIMOS[[#This Row],[Número de Contacto]]),"")</f>
        <v/>
      </c>
      <c r="O405" s="10" t="str">
        <f>IFERROR(IF(MARÍTIMOS[[#This Row],[Booking|AWB|CRT]]="","",MARÍTIMOS[[#This Row],[Booking|AWB|CRT]]),"")</f>
        <v/>
      </c>
      <c r="P405" s="2" t="str">
        <f>IFERROR(IF(MARÍTIMOS[[#This Row],[Contenedor]]="","",MARÍTIMOS[[#This Row],[Contenedor]]),"")</f>
        <v/>
      </c>
      <c r="Q405" s="2" t="str">
        <f>IFERROR(IF(MARÍTIMOS[[#This Row],[Puerto de Retiro]]="","",MARÍTIMOS[[#This Row],[Puerto de Retiro]]),"")</f>
        <v/>
      </c>
      <c r="R405" s="2" t="str">
        <f>IFERROR(IF(MARÍTIMOS[[#This Row],[Almacén de Retiro]]="","",MARÍTIMOS[[#This Row],[Almacén de Retiro]]),"")</f>
        <v/>
      </c>
      <c r="S405" s="11" t="str">
        <f>IFERROR(IF(MARÍTIMOS[[#This Row],[Etapa Retiro - Cita]]="","",MARÍTIMOS[[#This Row],[Etapa Retiro - Cita]]),"")</f>
        <v/>
      </c>
      <c r="T405" s="11" t="str">
        <f>IFERROR(IF(MARÍTIMOS[[#This Row],[Etapa Retiro - Llegada]]="","",MARÍTIMOS[[#This Row],[Etapa Retiro - Llegada]]),"")</f>
        <v/>
      </c>
      <c r="U405" s="11" t="str">
        <f>IFERROR(IF(MARÍTIMOS[[#This Row],[Etapa Retiro - Ingreso]]="","",MARÍTIMOS[[#This Row],[Etapa Retiro - Ingreso]]),"")</f>
        <v/>
      </c>
      <c r="V405" s="11" t="str">
        <f>IFERROR(IF(MARÍTIMOS[[#This Row],[Etapa Retiro - Atención]]="","",MARÍTIMOS[[#This Row],[Etapa Retiro - Atención]]),"")</f>
        <v/>
      </c>
      <c r="W405" s="11" t="str">
        <f>IFERROR(IF(MARÍTIMOS[[#This Row],[Etapa Retiro - Salida]]="","",MARÍTIMOS[[#This Row],[Etapa Retiro - Salida]]),"")</f>
        <v/>
      </c>
      <c r="X405" s="11" t="str">
        <f>IFERROR(IF(MARÍTIMOS[[#This Row],[Etapa Retiro - Inicio de Ruta]]="","",MARÍTIMOS[[#This Row],[Etapa Retiro - Inicio de Ruta]]),"")</f>
        <v/>
      </c>
      <c r="Y405" s="11" t="str">
        <f>IFERROR(IF(MARÍTIMOS[[#This Row],[Hora de Posicionamiento]]="","",MARÍTIMOS[[#This Row],[Hora de Carga]]+MARÍTIMOS[[#This Row],[Hora de Posicionamiento]]),"")</f>
        <v/>
      </c>
      <c r="Z405" s="11" t="str">
        <f>IFERROR(IF(MARÍTIMOS[[#This Row],[Etapa Despacho -  Llegada]]="","",MARÍTIMOS[[#This Row],[Etapa Despacho -  Llegada]]),"")</f>
        <v/>
      </c>
      <c r="AA405" s="11" t="str">
        <f>IFERROR(IF(MARÍTIMOS[[#This Row],[Etapa Despacho -  Registro]]="","",MARÍTIMOS[[#This Row],[Etapa Despacho -  Registro]]),"")</f>
        <v/>
      </c>
      <c r="AB405" s="11" t="str">
        <f>IFERROR(IF(MARÍTIMOS[[#This Row],[Inspección Externa]]="","",MARÍTIMOS[[#This Row],[Inspección Externa]]),"")</f>
        <v/>
      </c>
      <c r="AC405" s="11" t="str">
        <f>IFERROR(IF(MARÍTIMOS[[#This Row],[Etapa Despacho -  Inicio de Carga]]="","",MARÍTIMOS[[#This Row],[Etapa Despacho -  Inicio de Carga]]),"")</f>
        <v/>
      </c>
      <c r="AD405" s="11" t="str">
        <f>IFERROR(IF(MARÍTIMOS[[#This Row],[Etapa Despacho -  Fin de Carga]]="","",MARÍTIMOS[[#This Row],[Etapa Despacho -  Fin de Carga]]),"")</f>
        <v/>
      </c>
      <c r="AE405" s="11" t="str">
        <f>IFERROR(IF(MARÍTIMOS[[#This Row],[Etapa Despacho -  Salida]]="","",MARÍTIMOS[[#This Row],[Etapa Despacho -  Salida]]),"")</f>
        <v/>
      </c>
      <c r="AF405" s="2" t="str">
        <f>IFERROR(IF(MARÍTIMOS[[#This Row],[Puerto de Embarque]]="","",MARÍTIMOS[[#This Row],[Puerto de Embarque]]),"")</f>
        <v/>
      </c>
      <c r="AG405" s="2" t="str">
        <f>IFERROR(IF(MARÍTIMOS[[#This Row],[Almacén de Ingreso]]="","",MARÍTIMOS[[#This Row],[Almacén de Ingreso]]),"")</f>
        <v/>
      </c>
      <c r="AH405" s="11" t="str">
        <f>IFERROR(IF(MARÍTIMOS[[#This Row],[Etapa Ingreso - Cita]]="","",MARÍTIMOS[[#This Row],[Etapa Ingreso - Cita]]),"")</f>
        <v/>
      </c>
      <c r="AI405" s="11" t="str">
        <f>IFERROR(IF(MARÍTIMOS[[#This Row],[Etapa Ingreso - Llegada]]="","",MARÍTIMOS[[#This Row],[Etapa Ingreso - Llegada]]),"")</f>
        <v/>
      </c>
      <c r="AJ405" s="11" t="str">
        <f>IFERROR(IF(MARÍTIMOS[[#This Row],[Etapa Ingreso - Ingeso]]="","",MARÍTIMOS[[#This Row],[Etapa Ingreso - Ingeso]]),"")</f>
        <v/>
      </c>
      <c r="AK405" s="11" t="str">
        <f>IFERROR(IF(MARÍTIMOS[[#This Row],[Etapa Ingreso - Atención]]="","",MARÍTIMOS[[#This Row],[Etapa Ingreso - Atención]]),"")</f>
        <v/>
      </c>
      <c r="AL405" s="11" t="str">
        <f>IFERROR(IF(MARÍTIMOS[[#This Row],[Etapa Ingreso - Salida]]="","",MARÍTIMOS[[#This Row],[Etapa Ingreso - Salida]]),"")</f>
        <v/>
      </c>
      <c r="AM405" s="2" t="str">
        <f>IFERROR(IF(MARÍTIMOS[[#This Row],[FCL]]="","",MARÍTIMOS[[#This Row],[FCL]]),"")</f>
        <v/>
      </c>
      <c r="AN4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5" s="5" t="str">
        <f>IFERROR(OLDBD[[#This Row],[Llegada a packing]]-OLDBD[[#This Row],[Inicio de Ruta]],"")</f>
        <v/>
      </c>
      <c r="AQ405" s="6" t="str">
        <f>IFERROR(OLDBD[[#This Row],[Inicio de Ruta]]-OLDBD[[#This Row],[Salida de almacén de retiro]],"")</f>
        <v/>
      </c>
      <c r="AR4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5" t="str">
        <f>IFERROR(OLDBD[[#This Row],[Llegada Almacén de Ingreso]]-OLDBD[[#This Row],[Salida Packing]],"")</f>
        <v/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5" s="45" t="s">
        <v>181</v>
      </c>
      <c r="BB405" s="53" t="str">
        <f>IFERROR(IF(MARÍTIMOS[[#This Row],[Estatus]]="","",MARÍTIMOS[[#This Row],[Estatus]]),"")</f>
        <v/>
      </c>
      <c r="BC405" s="45"/>
      <c r="BD405" s="52" t="str">
        <f>IFERROR(OLDBD[[#This Row],[Salida de almacén de retiro]]-OLDBD[[#This Row],[Ingreso Almacén de retiro]],"")</f>
        <v/>
      </c>
      <c r="BE405" s="52" t="str">
        <f>IFERROR(OLDBD[[#This Row],[Fin de Carga]]-OLDBD[[#This Row],[Inicio de Carga]],"")</f>
        <v/>
      </c>
    </row>
    <row r="406" spans="1:57" x14ac:dyDescent="0.35">
      <c r="A406" s="1"/>
      <c r="B406" s="1" t="str">
        <f>IFERROR(IF(MARÍTIMOS[[#This Row],[PP]]="","",MARÍTIMOS[[#This Row],[PP]]),"")</f>
        <v/>
      </c>
      <c r="C406" s="1" t="str">
        <f>IFERROR(IF(MARÍTIMOS[[#This Row],[Sede]]="","",MARÍTIMOS[[#This Row],[Sede]]),"")</f>
        <v/>
      </c>
      <c r="D406" s="1" t="str">
        <f>IFERROR(IF(MARÍTIMOS[[#This Row],[Instruction]]="","",MARÍTIMOS[[#This Row],[Instruction]]),"")</f>
        <v/>
      </c>
      <c r="E406" s="1"/>
      <c r="F406" s="2" t="str">
        <f>IFERROR(IF(MARÍTIMOS[[#This Row],[Transportista]]="","",MARÍTIMOS[[#This Row],[Transportista]]),"")</f>
        <v/>
      </c>
      <c r="G406" s="2" t="str">
        <f>IFERROR(IF(MARÍTIMOS[[#This Row],[Tercero]]="","",MARÍTIMOS[[#This Row],[Tercero]]),"")</f>
        <v/>
      </c>
      <c r="H406" s="2" t="str">
        <f>IFERROR(IF(MARÍTIMOS[[#This Row],[Razón Social]]="","",MARÍTIMOS[[#This Row],[Razón Social]]),"")</f>
        <v/>
      </c>
      <c r="I406" s="2" t="str">
        <f>IFERROR(IF(MARÍTIMOS[[#This Row],[RUC]]="","",MARÍTIMOS[[#This Row],[RUC]]),"")</f>
        <v/>
      </c>
      <c r="J406" s="2" t="str">
        <f>IFERROR(IF(MARÍTIMOS[[#This Row],[Placa Tracto]]="","",MARÍTIMOS[[#This Row],[Placa Tracto]]),"")</f>
        <v/>
      </c>
      <c r="K406" s="2" t="str">
        <f>IFERROR(IF(MARÍTIMOS[[#This Row],[Placa Carreta]]="","",MARÍTIMOS[[#This Row],[Placa Carreta]]),"")</f>
        <v/>
      </c>
      <c r="L406" s="46" t="str">
        <f>IFERROR(IF(MARÍTIMOS[[#This Row],[Conductor]]="","",MARÍTIMOS[[#This Row],[Conductor]]),"")</f>
        <v/>
      </c>
      <c r="M406" s="2" t="str">
        <f>IFERROR(IF(MARÍTIMOS[[#This Row],[Licencia]]="","",MARÍTIMOS[[#This Row],[Licencia]]),"")</f>
        <v/>
      </c>
      <c r="N406" s="2" t="str">
        <f>IFERROR(IF(MARÍTIMOS[[#This Row],[Número de Contacto]]="","",MARÍTIMOS[[#This Row],[Número de Contacto]]),"")</f>
        <v/>
      </c>
      <c r="O406" s="10" t="str">
        <f>IFERROR(IF(MARÍTIMOS[[#This Row],[Booking|AWB|CRT]]="","",MARÍTIMOS[[#This Row],[Booking|AWB|CRT]]),"")</f>
        <v/>
      </c>
      <c r="P406" s="2" t="str">
        <f>IFERROR(IF(MARÍTIMOS[[#This Row],[Contenedor]]="","",MARÍTIMOS[[#This Row],[Contenedor]]),"")</f>
        <v/>
      </c>
      <c r="Q406" s="2" t="str">
        <f>IFERROR(IF(MARÍTIMOS[[#This Row],[Puerto de Retiro]]="","",MARÍTIMOS[[#This Row],[Puerto de Retiro]]),"")</f>
        <v/>
      </c>
      <c r="R406" s="2" t="str">
        <f>IFERROR(IF(MARÍTIMOS[[#This Row],[Almacén de Retiro]]="","",MARÍTIMOS[[#This Row],[Almacén de Retiro]]),"")</f>
        <v/>
      </c>
      <c r="S406" s="11" t="str">
        <f>IFERROR(IF(MARÍTIMOS[[#This Row],[Etapa Retiro - Cita]]="","",MARÍTIMOS[[#This Row],[Etapa Retiro - Cita]]),"")</f>
        <v/>
      </c>
      <c r="T406" s="11" t="str">
        <f>IFERROR(IF(MARÍTIMOS[[#This Row],[Etapa Retiro - Llegada]]="","",MARÍTIMOS[[#This Row],[Etapa Retiro - Llegada]]),"")</f>
        <v/>
      </c>
      <c r="U406" s="11" t="str">
        <f>IFERROR(IF(MARÍTIMOS[[#This Row],[Etapa Retiro - Ingreso]]="","",MARÍTIMOS[[#This Row],[Etapa Retiro - Ingreso]]),"")</f>
        <v/>
      </c>
      <c r="V406" s="11" t="str">
        <f>IFERROR(IF(MARÍTIMOS[[#This Row],[Etapa Retiro - Atención]]="","",MARÍTIMOS[[#This Row],[Etapa Retiro - Atención]]),"")</f>
        <v/>
      </c>
      <c r="W406" s="11" t="str">
        <f>IFERROR(IF(MARÍTIMOS[[#This Row],[Etapa Retiro - Salida]]="","",MARÍTIMOS[[#This Row],[Etapa Retiro - Salida]]),"")</f>
        <v/>
      </c>
      <c r="X406" s="11" t="str">
        <f>IFERROR(IF(MARÍTIMOS[[#This Row],[Etapa Retiro - Inicio de Ruta]]="","",MARÍTIMOS[[#This Row],[Etapa Retiro - Inicio de Ruta]]),"")</f>
        <v/>
      </c>
      <c r="Y406" s="11" t="str">
        <f>IFERROR(IF(MARÍTIMOS[[#This Row],[Hora de Posicionamiento]]="","",MARÍTIMOS[[#This Row],[Hora de Carga]]+MARÍTIMOS[[#This Row],[Hora de Posicionamiento]]),"")</f>
        <v/>
      </c>
      <c r="Z406" s="11" t="str">
        <f>IFERROR(IF(MARÍTIMOS[[#This Row],[Etapa Despacho -  Llegada]]="","",MARÍTIMOS[[#This Row],[Etapa Despacho -  Llegada]]),"")</f>
        <v/>
      </c>
      <c r="AA406" s="11" t="str">
        <f>IFERROR(IF(MARÍTIMOS[[#This Row],[Etapa Despacho -  Registro]]="","",MARÍTIMOS[[#This Row],[Etapa Despacho -  Registro]]),"")</f>
        <v/>
      </c>
      <c r="AB406" s="11" t="str">
        <f>IFERROR(IF(MARÍTIMOS[[#This Row],[Inspección Externa]]="","",MARÍTIMOS[[#This Row],[Inspección Externa]]),"")</f>
        <v/>
      </c>
      <c r="AC406" s="11" t="str">
        <f>IFERROR(IF(MARÍTIMOS[[#This Row],[Etapa Despacho -  Inicio de Carga]]="","",MARÍTIMOS[[#This Row],[Etapa Despacho -  Inicio de Carga]]),"")</f>
        <v/>
      </c>
      <c r="AD406" s="11" t="str">
        <f>IFERROR(IF(MARÍTIMOS[[#This Row],[Etapa Despacho -  Fin de Carga]]="","",MARÍTIMOS[[#This Row],[Etapa Despacho -  Fin de Carga]]),"")</f>
        <v/>
      </c>
      <c r="AE406" s="11" t="str">
        <f>IFERROR(IF(MARÍTIMOS[[#This Row],[Etapa Despacho -  Salida]]="","",MARÍTIMOS[[#This Row],[Etapa Despacho -  Salida]]),"")</f>
        <v/>
      </c>
      <c r="AF406" s="2" t="str">
        <f>IFERROR(IF(MARÍTIMOS[[#This Row],[Puerto de Embarque]]="","",MARÍTIMOS[[#This Row],[Puerto de Embarque]]),"")</f>
        <v/>
      </c>
      <c r="AG406" s="2" t="str">
        <f>IFERROR(IF(MARÍTIMOS[[#This Row],[Almacén de Ingreso]]="","",MARÍTIMOS[[#This Row],[Almacén de Ingreso]]),"")</f>
        <v/>
      </c>
      <c r="AH406" s="11" t="str">
        <f>IFERROR(IF(MARÍTIMOS[[#This Row],[Etapa Ingreso - Cita]]="","",MARÍTIMOS[[#This Row],[Etapa Ingreso - Cita]]),"")</f>
        <v/>
      </c>
      <c r="AI406" s="11" t="str">
        <f>IFERROR(IF(MARÍTIMOS[[#This Row],[Etapa Ingreso - Llegada]]="","",MARÍTIMOS[[#This Row],[Etapa Ingreso - Llegada]]),"")</f>
        <v/>
      </c>
      <c r="AJ406" s="11" t="str">
        <f>IFERROR(IF(MARÍTIMOS[[#This Row],[Etapa Ingreso - Ingeso]]="","",MARÍTIMOS[[#This Row],[Etapa Ingreso - Ingeso]]),"")</f>
        <v/>
      </c>
      <c r="AK406" s="11" t="str">
        <f>IFERROR(IF(MARÍTIMOS[[#This Row],[Etapa Ingreso - Atención]]="","",MARÍTIMOS[[#This Row],[Etapa Ingreso - Atención]]),"")</f>
        <v/>
      </c>
      <c r="AL406" s="11" t="str">
        <f>IFERROR(IF(MARÍTIMOS[[#This Row],[Etapa Ingreso - Salida]]="","",MARÍTIMOS[[#This Row],[Etapa Ingreso - Salida]]),"")</f>
        <v/>
      </c>
      <c r="AM406" s="2" t="str">
        <f>IFERROR(IF(MARÍTIMOS[[#This Row],[FCL]]="","",MARÍTIMOS[[#This Row],[FCL]]),"")</f>
        <v/>
      </c>
      <c r="AN4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6" s="5" t="str">
        <f>IFERROR(OLDBD[[#This Row],[Llegada a packing]]-OLDBD[[#This Row],[Inicio de Ruta]],"")</f>
        <v/>
      </c>
      <c r="AQ406" s="6" t="str">
        <f>IFERROR(OLDBD[[#This Row],[Inicio de Ruta]]-OLDBD[[#This Row],[Salida de almacén de retiro]],"")</f>
        <v/>
      </c>
      <c r="AR4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5" t="str">
        <f>IFERROR(OLDBD[[#This Row],[Llegada Almacén de Ingreso]]-OLDBD[[#This Row],[Salida Packing]],"")</f>
        <v/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6" s="45" t="s">
        <v>181</v>
      </c>
      <c r="BB406" s="53" t="str">
        <f>IFERROR(IF(MARÍTIMOS[[#This Row],[Estatus]]="","",MARÍTIMOS[[#This Row],[Estatus]]),"")</f>
        <v/>
      </c>
      <c r="BC406" s="45"/>
      <c r="BD406" s="52" t="str">
        <f>IFERROR(OLDBD[[#This Row],[Salida de almacén de retiro]]-OLDBD[[#This Row],[Ingreso Almacén de retiro]],"")</f>
        <v/>
      </c>
      <c r="BE406" s="52" t="str">
        <f>IFERROR(OLDBD[[#This Row],[Fin de Carga]]-OLDBD[[#This Row],[Inicio de Carga]],"")</f>
        <v/>
      </c>
    </row>
    <row r="407" spans="1:57" x14ac:dyDescent="0.35">
      <c r="A407" s="1"/>
      <c r="B407" s="1" t="str">
        <f>IFERROR(IF(MARÍTIMOS[[#This Row],[PP]]="","",MARÍTIMOS[[#This Row],[PP]]),"")</f>
        <v/>
      </c>
      <c r="C407" s="1" t="str">
        <f>IFERROR(IF(MARÍTIMOS[[#This Row],[Sede]]="","",MARÍTIMOS[[#This Row],[Sede]]),"")</f>
        <v/>
      </c>
      <c r="D407" s="1" t="str">
        <f>IFERROR(IF(MARÍTIMOS[[#This Row],[Instruction]]="","",MARÍTIMOS[[#This Row],[Instruction]]),"")</f>
        <v/>
      </c>
      <c r="E407" s="1"/>
      <c r="F407" s="2" t="str">
        <f>IFERROR(IF(MARÍTIMOS[[#This Row],[Transportista]]="","",MARÍTIMOS[[#This Row],[Transportista]]),"")</f>
        <v/>
      </c>
      <c r="G407" s="2" t="str">
        <f>IFERROR(IF(MARÍTIMOS[[#This Row],[Tercero]]="","",MARÍTIMOS[[#This Row],[Tercero]]),"")</f>
        <v/>
      </c>
      <c r="H407" s="2" t="str">
        <f>IFERROR(IF(MARÍTIMOS[[#This Row],[Razón Social]]="","",MARÍTIMOS[[#This Row],[Razón Social]]),"")</f>
        <v/>
      </c>
      <c r="I407" s="2" t="str">
        <f>IFERROR(IF(MARÍTIMOS[[#This Row],[RUC]]="","",MARÍTIMOS[[#This Row],[RUC]]),"")</f>
        <v/>
      </c>
      <c r="J407" s="2" t="str">
        <f>IFERROR(IF(MARÍTIMOS[[#This Row],[Placa Tracto]]="","",MARÍTIMOS[[#This Row],[Placa Tracto]]),"")</f>
        <v/>
      </c>
      <c r="K407" s="2" t="str">
        <f>IFERROR(IF(MARÍTIMOS[[#This Row],[Placa Carreta]]="","",MARÍTIMOS[[#This Row],[Placa Carreta]]),"")</f>
        <v/>
      </c>
      <c r="L407" s="46" t="str">
        <f>IFERROR(IF(MARÍTIMOS[[#This Row],[Conductor]]="","",MARÍTIMOS[[#This Row],[Conductor]]),"")</f>
        <v/>
      </c>
      <c r="M407" s="2" t="str">
        <f>IFERROR(IF(MARÍTIMOS[[#This Row],[Licencia]]="","",MARÍTIMOS[[#This Row],[Licencia]]),"")</f>
        <v/>
      </c>
      <c r="N407" s="2" t="str">
        <f>IFERROR(IF(MARÍTIMOS[[#This Row],[Número de Contacto]]="","",MARÍTIMOS[[#This Row],[Número de Contacto]]),"")</f>
        <v/>
      </c>
      <c r="O407" s="10" t="str">
        <f>IFERROR(IF(MARÍTIMOS[[#This Row],[Booking|AWB|CRT]]="","",MARÍTIMOS[[#This Row],[Booking|AWB|CRT]]),"")</f>
        <v/>
      </c>
      <c r="P407" s="2" t="str">
        <f>IFERROR(IF(MARÍTIMOS[[#This Row],[Contenedor]]="","",MARÍTIMOS[[#This Row],[Contenedor]]),"")</f>
        <v/>
      </c>
      <c r="Q407" s="2" t="str">
        <f>IFERROR(IF(MARÍTIMOS[[#This Row],[Puerto de Retiro]]="","",MARÍTIMOS[[#This Row],[Puerto de Retiro]]),"")</f>
        <v/>
      </c>
      <c r="R407" s="2" t="str">
        <f>IFERROR(IF(MARÍTIMOS[[#This Row],[Almacén de Retiro]]="","",MARÍTIMOS[[#This Row],[Almacén de Retiro]]),"")</f>
        <v/>
      </c>
      <c r="S407" s="11" t="str">
        <f>IFERROR(IF(MARÍTIMOS[[#This Row],[Etapa Retiro - Cita]]="","",MARÍTIMOS[[#This Row],[Etapa Retiro - Cita]]),"")</f>
        <v/>
      </c>
      <c r="T407" s="11" t="str">
        <f>IFERROR(IF(MARÍTIMOS[[#This Row],[Etapa Retiro - Llegada]]="","",MARÍTIMOS[[#This Row],[Etapa Retiro - Llegada]]),"")</f>
        <v/>
      </c>
      <c r="U407" s="11" t="str">
        <f>IFERROR(IF(MARÍTIMOS[[#This Row],[Etapa Retiro - Ingreso]]="","",MARÍTIMOS[[#This Row],[Etapa Retiro - Ingreso]]),"")</f>
        <v/>
      </c>
      <c r="V407" s="11" t="str">
        <f>IFERROR(IF(MARÍTIMOS[[#This Row],[Etapa Retiro - Atención]]="","",MARÍTIMOS[[#This Row],[Etapa Retiro - Atención]]),"")</f>
        <v/>
      </c>
      <c r="W407" s="11" t="str">
        <f>IFERROR(IF(MARÍTIMOS[[#This Row],[Etapa Retiro - Salida]]="","",MARÍTIMOS[[#This Row],[Etapa Retiro - Salida]]),"")</f>
        <v/>
      </c>
      <c r="X407" s="11" t="str">
        <f>IFERROR(IF(MARÍTIMOS[[#This Row],[Etapa Retiro - Inicio de Ruta]]="","",MARÍTIMOS[[#This Row],[Etapa Retiro - Inicio de Ruta]]),"")</f>
        <v/>
      </c>
      <c r="Y407" s="11" t="str">
        <f>IFERROR(IF(MARÍTIMOS[[#This Row],[Hora de Posicionamiento]]="","",MARÍTIMOS[[#This Row],[Hora de Carga]]+MARÍTIMOS[[#This Row],[Hora de Posicionamiento]]),"")</f>
        <v/>
      </c>
      <c r="Z407" s="11" t="str">
        <f>IFERROR(IF(MARÍTIMOS[[#This Row],[Etapa Despacho -  Llegada]]="","",MARÍTIMOS[[#This Row],[Etapa Despacho -  Llegada]]),"")</f>
        <v/>
      </c>
      <c r="AA407" s="11" t="str">
        <f>IFERROR(IF(MARÍTIMOS[[#This Row],[Etapa Despacho -  Registro]]="","",MARÍTIMOS[[#This Row],[Etapa Despacho -  Registro]]),"")</f>
        <v/>
      </c>
      <c r="AB407" s="11" t="str">
        <f>IFERROR(IF(MARÍTIMOS[[#This Row],[Inspección Externa]]="","",MARÍTIMOS[[#This Row],[Inspección Externa]]),"")</f>
        <v/>
      </c>
      <c r="AC407" s="11" t="str">
        <f>IFERROR(IF(MARÍTIMOS[[#This Row],[Etapa Despacho -  Inicio de Carga]]="","",MARÍTIMOS[[#This Row],[Etapa Despacho -  Inicio de Carga]]),"")</f>
        <v/>
      </c>
      <c r="AD407" s="11" t="str">
        <f>IFERROR(IF(MARÍTIMOS[[#This Row],[Etapa Despacho -  Fin de Carga]]="","",MARÍTIMOS[[#This Row],[Etapa Despacho -  Fin de Carga]]),"")</f>
        <v/>
      </c>
      <c r="AE407" s="11" t="str">
        <f>IFERROR(IF(MARÍTIMOS[[#This Row],[Etapa Despacho -  Salida]]="","",MARÍTIMOS[[#This Row],[Etapa Despacho -  Salida]]),"")</f>
        <v/>
      </c>
      <c r="AF407" s="2" t="str">
        <f>IFERROR(IF(MARÍTIMOS[[#This Row],[Puerto de Embarque]]="","",MARÍTIMOS[[#This Row],[Puerto de Embarque]]),"")</f>
        <v/>
      </c>
      <c r="AG407" s="2" t="str">
        <f>IFERROR(IF(MARÍTIMOS[[#This Row],[Almacén de Ingreso]]="","",MARÍTIMOS[[#This Row],[Almacén de Ingreso]]),"")</f>
        <v/>
      </c>
      <c r="AH407" s="11" t="str">
        <f>IFERROR(IF(MARÍTIMOS[[#This Row],[Etapa Ingreso - Cita]]="","",MARÍTIMOS[[#This Row],[Etapa Ingreso - Cita]]),"")</f>
        <v/>
      </c>
      <c r="AI407" s="11" t="str">
        <f>IFERROR(IF(MARÍTIMOS[[#This Row],[Etapa Ingreso - Llegada]]="","",MARÍTIMOS[[#This Row],[Etapa Ingreso - Llegada]]),"")</f>
        <v/>
      </c>
      <c r="AJ407" s="11" t="str">
        <f>IFERROR(IF(MARÍTIMOS[[#This Row],[Etapa Ingreso - Ingeso]]="","",MARÍTIMOS[[#This Row],[Etapa Ingreso - Ingeso]]),"")</f>
        <v/>
      </c>
      <c r="AK407" s="11" t="str">
        <f>IFERROR(IF(MARÍTIMOS[[#This Row],[Etapa Ingreso - Atención]]="","",MARÍTIMOS[[#This Row],[Etapa Ingreso - Atención]]),"")</f>
        <v/>
      </c>
      <c r="AL407" s="11" t="str">
        <f>IFERROR(IF(MARÍTIMOS[[#This Row],[Etapa Ingreso - Salida]]="","",MARÍTIMOS[[#This Row],[Etapa Ingreso - Salida]]),"")</f>
        <v/>
      </c>
      <c r="AM407" s="2" t="str">
        <f>IFERROR(IF(MARÍTIMOS[[#This Row],[FCL]]="","",MARÍTIMOS[[#This Row],[FCL]]),"")</f>
        <v/>
      </c>
      <c r="AN4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7" s="5" t="str">
        <f>IFERROR(OLDBD[[#This Row],[Llegada a packing]]-OLDBD[[#This Row],[Inicio de Ruta]],"")</f>
        <v/>
      </c>
      <c r="AQ407" s="6" t="str">
        <f>IFERROR(OLDBD[[#This Row],[Inicio de Ruta]]-OLDBD[[#This Row],[Salida de almacén de retiro]],"")</f>
        <v/>
      </c>
      <c r="AR4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5" t="str">
        <f>IFERROR(OLDBD[[#This Row],[Llegada Almacén de Ingreso]]-OLDBD[[#This Row],[Salida Packing]],"")</f>
        <v/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7" s="45" t="s">
        <v>181</v>
      </c>
      <c r="BB407" s="53" t="str">
        <f>IFERROR(IF(MARÍTIMOS[[#This Row],[Estatus]]="","",MARÍTIMOS[[#This Row],[Estatus]]),"")</f>
        <v/>
      </c>
      <c r="BC407" s="45"/>
      <c r="BD407" s="52" t="str">
        <f>IFERROR(OLDBD[[#This Row],[Salida de almacén de retiro]]-OLDBD[[#This Row],[Ingreso Almacén de retiro]],"")</f>
        <v/>
      </c>
      <c r="BE407" s="52" t="str">
        <f>IFERROR(OLDBD[[#This Row],[Fin de Carga]]-OLDBD[[#This Row],[Inicio de Carga]],"")</f>
        <v/>
      </c>
    </row>
    <row r="408" spans="1:57" x14ac:dyDescent="0.35">
      <c r="A408" s="1"/>
      <c r="B408" s="1" t="str">
        <f>IFERROR(IF(MARÍTIMOS[[#This Row],[PP]]="","",MARÍTIMOS[[#This Row],[PP]]),"")</f>
        <v/>
      </c>
      <c r="C408" s="1" t="str">
        <f>IFERROR(IF(MARÍTIMOS[[#This Row],[Sede]]="","",MARÍTIMOS[[#This Row],[Sede]]),"")</f>
        <v/>
      </c>
      <c r="D408" s="1" t="str">
        <f>IFERROR(IF(MARÍTIMOS[[#This Row],[Instruction]]="","",MARÍTIMOS[[#This Row],[Instruction]]),"")</f>
        <v/>
      </c>
      <c r="E408" s="1"/>
      <c r="F408" s="2" t="str">
        <f>IFERROR(IF(MARÍTIMOS[[#This Row],[Transportista]]="","",MARÍTIMOS[[#This Row],[Transportista]]),"")</f>
        <v/>
      </c>
      <c r="G408" s="2" t="str">
        <f>IFERROR(IF(MARÍTIMOS[[#This Row],[Tercero]]="","",MARÍTIMOS[[#This Row],[Tercero]]),"")</f>
        <v/>
      </c>
      <c r="H408" s="2" t="str">
        <f>IFERROR(IF(MARÍTIMOS[[#This Row],[Razón Social]]="","",MARÍTIMOS[[#This Row],[Razón Social]]),"")</f>
        <v/>
      </c>
      <c r="I408" s="2" t="str">
        <f>IFERROR(IF(MARÍTIMOS[[#This Row],[RUC]]="","",MARÍTIMOS[[#This Row],[RUC]]),"")</f>
        <v/>
      </c>
      <c r="J408" s="2" t="str">
        <f>IFERROR(IF(MARÍTIMOS[[#This Row],[Placa Tracto]]="","",MARÍTIMOS[[#This Row],[Placa Tracto]]),"")</f>
        <v/>
      </c>
      <c r="K408" s="2" t="str">
        <f>IFERROR(IF(MARÍTIMOS[[#This Row],[Placa Carreta]]="","",MARÍTIMOS[[#This Row],[Placa Carreta]]),"")</f>
        <v/>
      </c>
      <c r="L408" s="46" t="str">
        <f>IFERROR(IF(MARÍTIMOS[[#This Row],[Conductor]]="","",MARÍTIMOS[[#This Row],[Conductor]]),"")</f>
        <v/>
      </c>
      <c r="M408" s="2" t="str">
        <f>IFERROR(IF(MARÍTIMOS[[#This Row],[Licencia]]="","",MARÍTIMOS[[#This Row],[Licencia]]),"")</f>
        <v/>
      </c>
      <c r="N408" s="2" t="str">
        <f>IFERROR(IF(MARÍTIMOS[[#This Row],[Número de Contacto]]="","",MARÍTIMOS[[#This Row],[Número de Contacto]]),"")</f>
        <v/>
      </c>
      <c r="O408" s="10" t="str">
        <f>IFERROR(IF(MARÍTIMOS[[#This Row],[Booking|AWB|CRT]]="","",MARÍTIMOS[[#This Row],[Booking|AWB|CRT]]),"")</f>
        <v/>
      </c>
      <c r="P408" s="2" t="str">
        <f>IFERROR(IF(MARÍTIMOS[[#This Row],[Contenedor]]="","",MARÍTIMOS[[#This Row],[Contenedor]]),"")</f>
        <v/>
      </c>
      <c r="Q408" s="2" t="str">
        <f>IFERROR(IF(MARÍTIMOS[[#This Row],[Puerto de Retiro]]="","",MARÍTIMOS[[#This Row],[Puerto de Retiro]]),"")</f>
        <v/>
      </c>
      <c r="R408" s="2" t="str">
        <f>IFERROR(IF(MARÍTIMOS[[#This Row],[Almacén de Retiro]]="","",MARÍTIMOS[[#This Row],[Almacén de Retiro]]),"")</f>
        <v/>
      </c>
      <c r="S408" s="11" t="str">
        <f>IFERROR(IF(MARÍTIMOS[[#This Row],[Etapa Retiro - Cita]]="","",MARÍTIMOS[[#This Row],[Etapa Retiro - Cita]]),"")</f>
        <v/>
      </c>
      <c r="T408" s="11" t="str">
        <f>IFERROR(IF(MARÍTIMOS[[#This Row],[Etapa Retiro - Llegada]]="","",MARÍTIMOS[[#This Row],[Etapa Retiro - Llegada]]),"")</f>
        <v/>
      </c>
      <c r="U408" s="11" t="str">
        <f>IFERROR(IF(MARÍTIMOS[[#This Row],[Etapa Retiro - Ingreso]]="","",MARÍTIMOS[[#This Row],[Etapa Retiro - Ingreso]]),"")</f>
        <v/>
      </c>
      <c r="V408" s="11" t="str">
        <f>IFERROR(IF(MARÍTIMOS[[#This Row],[Etapa Retiro - Atención]]="","",MARÍTIMOS[[#This Row],[Etapa Retiro - Atención]]),"")</f>
        <v/>
      </c>
      <c r="W408" s="11" t="str">
        <f>IFERROR(IF(MARÍTIMOS[[#This Row],[Etapa Retiro - Salida]]="","",MARÍTIMOS[[#This Row],[Etapa Retiro - Salida]]),"")</f>
        <v/>
      </c>
      <c r="X408" s="11" t="str">
        <f>IFERROR(IF(MARÍTIMOS[[#This Row],[Etapa Retiro - Inicio de Ruta]]="","",MARÍTIMOS[[#This Row],[Etapa Retiro - Inicio de Ruta]]),"")</f>
        <v/>
      </c>
      <c r="Y408" s="11" t="str">
        <f>IFERROR(IF(MARÍTIMOS[[#This Row],[Hora de Posicionamiento]]="","",MARÍTIMOS[[#This Row],[Hora de Carga]]+MARÍTIMOS[[#This Row],[Hora de Posicionamiento]]),"")</f>
        <v/>
      </c>
      <c r="Z408" s="11" t="str">
        <f>IFERROR(IF(MARÍTIMOS[[#This Row],[Etapa Despacho -  Llegada]]="","",MARÍTIMOS[[#This Row],[Etapa Despacho -  Llegada]]),"")</f>
        <v/>
      </c>
      <c r="AA408" s="11" t="str">
        <f>IFERROR(IF(MARÍTIMOS[[#This Row],[Etapa Despacho -  Registro]]="","",MARÍTIMOS[[#This Row],[Etapa Despacho -  Registro]]),"")</f>
        <v/>
      </c>
      <c r="AB408" s="11" t="str">
        <f>IFERROR(IF(MARÍTIMOS[[#This Row],[Inspección Externa]]="","",MARÍTIMOS[[#This Row],[Inspección Externa]]),"")</f>
        <v/>
      </c>
      <c r="AC408" s="11" t="str">
        <f>IFERROR(IF(MARÍTIMOS[[#This Row],[Etapa Despacho -  Inicio de Carga]]="","",MARÍTIMOS[[#This Row],[Etapa Despacho -  Inicio de Carga]]),"")</f>
        <v/>
      </c>
      <c r="AD408" s="11" t="str">
        <f>IFERROR(IF(MARÍTIMOS[[#This Row],[Etapa Despacho -  Fin de Carga]]="","",MARÍTIMOS[[#This Row],[Etapa Despacho -  Fin de Carga]]),"")</f>
        <v/>
      </c>
      <c r="AE408" s="11" t="str">
        <f>IFERROR(IF(MARÍTIMOS[[#This Row],[Etapa Despacho -  Salida]]="","",MARÍTIMOS[[#This Row],[Etapa Despacho -  Salida]]),"")</f>
        <v/>
      </c>
      <c r="AF408" s="2" t="str">
        <f>IFERROR(IF(MARÍTIMOS[[#This Row],[Puerto de Embarque]]="","",MARÍTIMOS[[#This Row],[Puerto de Embarque]]),"")</f>
        <v/>
      </c>
      <c r="AG408" s="2" t="str">
        <f>IFERROR(IF(MARÍTIMOS[[#This Row],[Almacén de Ingreso]]="","",MARÍTIMOS[[#This Row],[Almacén de Ingreso]]),"")</f>
        <v/>
      </c>
      <c r="AH408" s="11" t="str">
        <f>IFERROR(IF(MARÍTIMOS[[#This Row],[Etapa Ingreso - Cita]]="","",MARÍTIMOS[[#This Row],[Etapa Ingreso - Cita]]),"")</f>
        <v/>
      </c>
      <c r="AI408" s="11" t="str">
        <f>IFERROR(IF(MARÍTIMOS[[#This Row],[Etapa Ingreso - Llegada]]="","",MARÍTIMOS[[#This Row],[Etapa Ingreso - Llegada]]),"")</f>
        <v/>
      </c>
      <c r="AJ408" s="11" t="str">
        <f>IFERROR(IF(MARÍTIMOS[[#This Row],[Etapa Ingreso - Ingeso]]="","",MARÍTIMOS[[#This Row],[Etapa Ingreso - Ingeso]]),"")</f>
        <v/>
      </c>
      <c r="AK408" s="11" t="str">
        <f>IFERROR(IF(MARÍTIMOS[[#This Row],[Etapa Ingreso - Atención]]="","",MARÍTIMOS[[#This Row],[Etapa Ingreso - Atención]]),"")</f>
        <v/>
      </c>
      <c r="AL408" s="11" t="str">
        <f>IFERROR(IF(MARÍTIMOS[[#This Row],[Etapa Ingreso - Salida]]="","",MARÍTIMOS[[#This Row],[Etapa Ingreso - Salida]]),"")</f>
        <v/>
      </c>
      <c r="AM408" s="2" t="str">
        <f>IFERROR(IF(MARÍTIMOS[[#This Row],[FCL]]="","",MARÍTIMOS[[#This Row],[FCL]]),"")</f>
        <v/>
      </c>
      <c r="AN4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8" s="5" t="str">
        <f>IFERROR(OLDBD[[#This Row],[Llegada a packing]]-OLDBD[[#This Row],[Inicio de Ruta]],"")</f>
        <v/>
      </c>
      <c r="AQ408" s="6" t="str">
        <f>IFERROR(OLDBD[[#This Row],[Inicio de Ruta]]-OLDBD[[#This Row],[Salida de almacén de retiro]],"")</f>
        <v/>
      </c>
      <c r="AR4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5" t="str">
        <f>IFERROR(OLDBD[[#This Row],[Llegada Almacén de Ingreso]]-OLDBD[[#This Row],[Salida Packing]],"")</f>
        <v/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8" s="45" t="s">
        <v>181</v>
      </c>
      <c r="BB408" s="53" t="str">
        <f>IFERROR(IF(MARÍTIMOS[[#This Row],[Estatus]]="","",MARÍTIMOS[[#This Row],[Estatus]]),"")</f>
        <v/>
      </c>
      <c r="BC408" s="45"/>
      <c r="BD408" s="52" t="str">
        <f>IFERROR(OLDBD[[#This Row],[Salida de almacén de retiro]]-OLDBD[[#This Row],[Ingreso Almacén de retiro]],"")</f>
        <v/>
      </c>
      <c r="BE408" s="52" t="str">
        <f>IFERROR(OLDBD[[#This Row],[Fin de Carga]]-OLDBD[[#This Row],[Inicio de Carga]],"")</f>
        <v/>
      </c>
    </row>
    <row r="409" spans="1:57" x14ac:dyDescent="0.35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6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Salida]]="","",MARÍTIMOS[[#This Row],[Etapa Retiro - Salida]]),"")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Row],[Hora de Carga]]+MARÍTIMOS[[#This Row],[Hora de Posicionamiento]]),"")</f>
        <v/>
      </c>
      <c r="Z409" s="11" t="str">
        <f>IFERROR(IF(MARÍTIMOS[[#This Row],[Etapa Despacho -  Llegada]]="","",MARÍTIMOS[[#This Row],[Etapa Despacho -  Llegada]]),"")</f>
        <v/>
      </c>
      <c r="AA409" s="11" t="str">
        <f>IFERROR(IF(MARÍTIMOS[[#This Row],[Etapa Despacho -  Registro]]="","",MARÍTIMOS[[#This Row],[Etapa Despacho - 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 Inicio de Carga]]="","",MARÍTIMOS[[#This Row],[Etapa Despacho -  Inicio de Carga]]),"")</f>
        <v/>
      </c>
      <c r="AD409" s="11" t="str">
        <f>IFERROR(IF(MARÍTIMOS[[#This Row],[Etapa Despacho -  Fin de Carga]]="","",MARÍTIMOS[[#This Row],[Etapa Despacho -  Fin de Carga]]),"")</f>
        <v/>
      </c>
      <c r="AE409" s="11" t="str">
        <f>IFERROR(IF(MARÍTIMOS[[#This Row],[Etapa Despacho -  Salida]]="","",MARÍTIMOS[[#This Row],[Etapa Despacho -  Salida]]),"")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5" t="s">
        <v>181</v>
      </c>
      <c r="BB409" s="53" t="str">
        <f>IFERROR(IF(MARÍTIMOS[[#This Row],[Estatus]]="","",MARÍTIMOS[[#This Row],[Estatus]]),"")</f>
        <v/>
      </c>
      <c r="BC409" s="45"/>
      <c r="BD409" s="52" t="str">
        <f>IFERROR(OLDBD[[#This Row],[Salida de almacén de retiro]]-OLDBD[[#This Row],[Ingreso Almacén de retiro]],"")</f>
        <v/>
      </c>
      <c r="BE409" s="52" t="str">
        <f>IFERROR(OLDBD[[#This Row],[Fin de Carga]]-OLDBD[[#This Row],[Inicio de Carga]],"")</f>
        <v/>
      </c>
    </row>
    <row r="410" spans="1:57" x14ac:dyDescent="0.35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6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Salida]]="","",MARÍTIMOS[[#This Row],[Etapa Retiro - Salida]]),"")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Row],[Hora de Carga]]+MARÍTIMOS[[#This Row],[Hora de Posicionamiento]]),"")</f>
        <v/>
      </c>
      <c r="Z410" s="11" t="str">
        <f>IFERROR(IF(MARÍTIMOS[[#This Row],[Etapa Despacho -  Llegada]]="","",MARÍTIMOS[[#This Row],[Etapa Despacho -  Llegada]]),"")</f>
        <v/>
      </c>
      <c r="AA410" s="11" t="str">
        <f>IFERROR(IF(MARÍTIMOS[[#This Row],[Etapa Despacho -  Registro]]="","",MARÍTIMOS[[#This Row],[Etapa Despacho - 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 Inicio de Carga]]="","",MARÍTIMOS[[#This Row],[Etapa Despacho -  Inicio de Carga]]),"")</f>
        <v/>
      </c>
      <c r="AD410" s="11" t="str">
        <f>IFERROR(IF(MARÍTIMOS[[#This Row],[Etapa Despacho -  Fin de Carga]]="","",MARÍTIMOS[[#This Row],[Etapa Despacho -  Fin de Carga]]),"")</f>
        <v/>
      </c>
      <c r="AE410" s="11" t="str">
        <f>IFERROR(IF(MARÍTIMOS[[#This Row],[Etapa Despacho -  Salida]]="","",MARÍTIMOS[[#This Row],[Etapa Despacho -  Salida]]),"")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5" t="s">
        <v>181</v>
      </c>
      <c r="BB410" s="53" t="str">
        <f>IFERROR(IF(MARÍTIMOS[[#This Row],[Estatus]]="","",MARÍTIMOS[[#This Row],[Estatus]]),"")</f>
        <v/>
      </c>
      <c r="BC410" s="45"/>
      <c r="BD410" s="52" t="str">
        <f>IFERROR(OLDBD[[#This Row],[Salida de almacén de retiro]]-OLDBD[[#This Row],[Ingreso Almacén de retiro]],"")</f>
        <v/>
      </c>
      <c r="BE410" s="52" t="str">
        <f>IFERROR(OLDBD[[#This Row],[Fin de Carga]]-OLDBD[[#This Row],[Inicio de Carga]],"")</f>
        <v/>
      </c>
    </row>
    <row r="411" spans="1:57" x14ac:dyDescent="0.35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6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Salida]]="","",MARÍTIMOS[[#This Row],[Etapa Retiro - Salida]]),"")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Row],[Hora de Carga]]+MARÍTIMOS[[#This Row],[Hora de Posicionamiento]]),"")</f>
        <v/>
      </c>
      <c r="Z411" s="11" t="str">
        <f>IFERROR(IF(MARÍTIMOS[[#This Row],[Etapa Despacho -  Llegada]]="","",MARÍTIMOS[[#This Row],[Etapa Despacho -  Llegada]]),"")</f>
        <v/>
      </c>
      <c r="AA411" s="11" t="str">
        <f>IFERROR(IF(MARÍTIMOS[[#This Row],[Etapa Despacho -  Registro]]="","",MARÍTIMOS[[#This Row],[Etapa Despacho - 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 Inicio de Carga]]="","",MARÍTIMOS[[#This Row],[Etapa Despacho -  Inicio de Carga]]),"")</f>
        <v/>
      </c>
      <c r="AD411" s="11" t="str">
        <f>IFERROR(IF(MARÍTIMOS[[#This Row],[Etapa Despacho -  Fin de Carga]]="","",MARÍTIMOS[[#This Row],[Etapa Despacho -  Fin de Carga]]),"")</f>
        <v/>
      </c>
      <c r="AE411" s="11" t="str">
        <f>IFERROR(IF(MARÍTIMOS[[#This Row],[Etapa Despacho -  Salida]]="","",MARÍTIMOS[[#This Row],[Etapa Despacho -  Salida]]),"")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5" t="s">
        <v>181</v>
      </c>
      <c r="BB411" s="53" t="str">
        <f>IFERROR(IF(MARÍTIMOS[[#This Row],[Estatus]]="","",MARÍTIMOS[[#This Row],[Estatus]]),"")</f>
        <v/>
      </c>
      <c r="BC411" s="45"/>
      <c r="BD411" s="52" t="str">
        <f>IFERROR(OLDBD[[#This Row],[Salida de almacén de retiro]]-OLDBD[[#This Row],[Ingreso Almacén de retiro]],"")</f>
        <v/>
      </c>
      <c r="BE411" s="52" t="str">
        <f>IFERROR(OLDBD[[#This Row],[Fin de Carga]]-OLDBD[[#This Row],[Inicio de Carga]],"")</f>
        <v/>
      </c>
    </row>
    <row r="412" spans="1:57" x14ac:dyDescent="0.35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6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Salida]]="","",MARÍTIMOS[[#This Row],[Etapa Retiro - Salida]]),"")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Row],[Hora de Carga]]+MARÍTIMOS[[#This Row],[Hora de Posicionamiento]]),"")</f>
        <v/>
      </c>
      <c r="Z412" s="11" t="str">
        <f>IFERROR(IF(MARÍTIMOS[[#This Row],[Etapa Despacho -  Llegada]]="","",MARÍTIMOS[[#This Row],[Etapa Despacho -  Llegada]]),"")</f>
        <v/>
      </c>
      <c r="AA412" s="11" t="str">
        <f>IFERROR(IF(MARÍTIMOS[[#This Row],[Etapa Despacho -  Registro]]="","",MARÍTIMOS[[#This Row],[Etapa Despacho - 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 Inicio de Carga]]="","",MARÍTIMOS[[#This Row],[Etapa Despacho -  Inicio de Carga]]),"")</f>
        <v/>
      </c>
      <c r="AD412" s="11" t="str">
        <f>IFERROR(IF(MARÍTIMOS[[#This Row],[Etapa Despacho -  Fin de Carga]]="","",MARÍTIMOS[[#This Row],[Etapa Despacho -  Fin de Carga]]),"")</f>
        <v/>
      </c>
      <c r="AE412" s="11" t="str">
        <f>IFERROR(IF(MARÍTIMOS[[#This Row],[Etapa Despacho -  Salida]]="","",MARÍTIMOS[[#This Row],[Etapa Despacho -  Salida]]),"")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5" t="s">
        <v>181</v>
      </c>
      <c r="BB412" s="53" t="str">
        <f>IFERROR(IF(MARÍTIMOS[[#This Row],[Estatus]]="","",MARÍTIMOS[[#This Row],[Estatus]]),"")</f>
        <v/>
      </c>
      <c r="BC412" s="45"/>
      <c r="BD412" s="52" t="str">
        <f>IFERROR(OLDBD[[#This Row],[Salida de almacén de retiro]]-OLDBD[[#This Row],[Ingreso Almacén de retiro]],"")</f>
        <v/>
      </c>
      <c r="BE412" s="52" t="str">
        <f>IFERROR(OLDBD[[#This Row],[Fin de Carga]]-OLDBD[[#This Row],[Inicio de Carga]],"")</f>
        <v/>
      </c>
    </row>
    <row r="413" spans="1:57" x14ac:dyDescent="0.35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6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Salida]]="","",MARÍTIMOS[[#This Row],[Etapa Retiro - Salida]]),"")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Row],[Hora de Carga]]+MARÍTIMOS[[#This Row],[Hora de Posicionamiento]]),"")</f>
        <v/>
      </c>
      <c r="Z413" s="11" t="str">
        <f>IFERROR(IF(MARÍTIMOS[[#This Row],[Etapa Despacho -  Llegada]]="","",MARÍTIMOS[[#This Row],[Etapa Despacho -  Llegada]]),"")</f>
        <v/>
      </c>
      <c r="AA413" s="11" t="str">
        <f>IFERROR(IF(MARÍTIMOS[[#This Row],[Etapa Despacho -  Registro]]="","",MARÍTIMOS[[#This Row],[Etapa Despacho - 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 Inicio de Carga]]="","",MARÍTIMOS[[#This Row],[Etapa Despacho -  Inicio de Carga]]),"")</f>
        <v/>
      </c>
      <c r="AD413" s="11" t="str">
        <f>IFERROR(IF(MARÍTIMOS[[#This Row],[Etapa Despacho -  Fin de Carga]]="","",MARÍTIMOS[[#This Row],[Etapa Despacho -  Fin de Carga]]),"")</f>
        <v/>
      </c>
      <c r="AE413" s="11" t="str">
        <f>IFERROR(IF(MARÍTIMOS[[#This Row],[Etapa Despacho -  Salida]]="","",MARÍTIMOS[[#This Row],[Etapa Despacho -  Salida]]),"")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5" t="s">
        <v>181</v>
      </c>
      <c r="BB413" s="53" t="str">
        <f>IFERROR(IF(MARÍTIMOS[[#This Row],[Estatus]]="","",MARÍTIMOS[[#This Row],[Estatus]]),"")</f>
        <v/>
      </c>
      <c r="BC413" s="45"/>
      <c r="BD413" s="52" t="str">
        <f>IFERROR(OLDBD[[#This Row],[Salida de almacén de retiro]]-OLDBD[[#This Row],[Ingreso Almacén de retiro]],"")</f>
        <v/>
      </c>
      <c r="BE413" s="52" t="str">
        <f>IFERROR(OLDBD[[#This Row],[Fin de Carga]]-OLDBD[[#This Row],[Inicio de Carga]],"")</f>
        <v/>
      </c>
    </row>
    <row r="414" spans="1:57" x14ac:dyDescent="0.35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6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Salida]]="","",MARÍTIMOS[[#This Row],[Etapa Retiro - Salida]]),"")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Row],[Hora de Carga]]+MARÍTIMOS[[#This Row],[Hora de Posicionamiento]]),"")</f>
        <v/>
      </c>
      <c r="Z414" s="11" t="str">
        <f>IFERROR(IF(MARÍTIMOS[[#This Row],[Etapa Despacho -  Llegada]]="","",MARÍTIMOS[[#This Row],[Etapa Despacho -  Llegada]]),"")</f>
        <v/>
      </c>
      <c r="AA414" s="11" t="str">
        <f>IFERROR(IF(MARÍTIMOS[[#This Row],[Etapa Despacho -  Registro]]="","",MARÍTIMOS[[#This Row],[Etapa Despacho - 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 Inicio de Carga]]="","",MARÍTIMOS[[#This Row],[Etapa Despacho -  Inicio de Carga]]),"")</f>
        <v/>
      </c>
      <c r="AD414" s="11" t="str">
        <f>IFERROR(IF(MARÍTIMOS[[#This Row],[Etapa Despacho -  Fin de Carga]]="","",MARÍTIMOS[[#This Row],[Etapa Despacho -  Fin de Carga]]),"")</f>
        <v/>
      </c>
      <c r="AE414" s="11" t="str">
        <f>IFERROR(IF(MARÍTIMOS[[#This Row],[Etapa Despacho -  Salida]]="","",MARÍTIMOS[[#This Row],[Etapa Despacho -  Salida]]),"")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5" t="s">
        <v>181</v>
      </c>
      <c r="BB414" s="53" t="str">
        <f>IFERROR(IF(MARÍTIMOS[[#This Row],[Estatus]]="","",MARÍTIMOS[[#This Row],[Estatus]]),"")</f>
        <v/>
      </c>
      <c r="BC414" s="45"/>
      <c r="BD414" s="52" t="str">
        <f>IFERROR(OLDBD[[#This Row],[Salida de almacén de retiro]]-OLDBD[[#This Row],[Ingreso Almacén de retiro]],"")</f>
        <v/>
      </c>
      <c r="BE414" s="52" t="str">
        <f>IFERROR(OLDBD[[#This Row],[Fin de Carga]]-OLDBD[[#This Row],[Inicio de Carga]],"")</f>
        <v/>
      </c>
    </row>
    <row r="415" spans="1:57" x14ac:dyDescent="0.35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6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Salida]]="","",MARÍTIMOS[[#This Row],[Etapa Retiro - Salida]]),"")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Row],[Hora de Carga]]+MARÍTIMOS[[#This Row],[Hora de Posicionamiento]]),"")</f>
        <v/>
      </c>
      <c r="Z415" s="11" t="str">
        <f>IFERROR(IF(MARÍTIMOS[[#This Row],[Etapa Despacho -  Llegada]]="","",MARÍTIMOS[[#This Row],[Etapa Despacho -  Llegada]]),"")</f>
        <v/>
      </c>
      <c r="AA415" s="11" t="str">
        <f>IFERROR(IF(MARÍTIMOS[[#This Row],[Etapa Despacho -  Registro]]="","",MARÍTIMOS[[#This Row],[Etapa Despacho - 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 Inicio de Carga]]="","",MARÍTIMOS[[#This Row],[Etapa Despacho -  Inicio de Carga]]),"")</f>
        <v/>
      </c>
      <c r="AD415" s="11" t="str">
        <f>IFERROR(IF(MARÍTIMOS[[#This Row],[Etapa Despacho -  Fin de Carga]]="","",MARÍTIMOS[[#This Row],[Etapa Despacho -  Fin de Carga]]),"")</f>
        <v/>
      </c>
      <c r="AE415" s="11" t="str">
        <f>IFERROR(IF(MARÍTIMOS[[#This Row],[Etapa Despacho -  Salida]]="","",MARÍTIMOS[[#This Row],[Etapa Despacho -  Salida]]),"")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5" t="s">
        <v>181</v>
      </c>
      <c r="BB415" s="53" t="str">
        <f>IFERROR(IF(MARÍTIMOS[[#This Row],[Estatus]]="","",MARÍTIMOS[[#This Row],[Estatus]]),"")</f>
        <v/>
      </c>
      <c r="BC415" s="45"/>
      <c r="BD415" s="52" t="str">
        <f>IFERROR(OLDBD[[#This Row],[Salida de almacén de retiro]]-OLDBD[[#This Row],[Ingreso Almacén de retiro]],"")</f>
        <v/>
      </c>
      <c r="BE415" s="52" t="str">
        <f>IFERROR(OLDBD[[#This Row],[Fin de Carga]]-OLDBD[[#This Row],[Inicio de Carga]],"")</f>
        <v/>
      </c>
    </row>
    <row r="416" spans="1:57" x14ac:dyDescent="0.35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6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Salida]]="","",MARÍTIMOS[[#This Row],[Etapa Retiro - Salida]]),"")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Row],[Hora de Carga]]+MARÍTIMOS[[#This Row],[Hora de Posicionamiento]]),"")</f>
        <v/>
      </c>
      <c r="Z416" s="11" t="str">
        <f>IFERROR(IF(MARÍTIMOS[[#This Row],[Etapa Despacho -  Llegada]]="","",MARÍTIMOS[[#This Row],[Etapa Despacho -  Llegada]]),"")</f>
        <v/>
      </c>
      <c r="AA416" s="11" t="str">
        <f>IFERROR(IF(MARÍTIMOS[[#This Row],[Etapa Despacho -  Registro]]="","",MARÍTIMOS[[#This Row],[Etapa Despacho - 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 Inicio de Carga]]="","",MARÍTIMOS[[#This Row],[Etapa Despacho -  Inicio de Carga]]),"")</f>
        <v/>
      </c>
      <c r="AD416" s="11" t="str">
        <f>IFERROR(IF(MARÍTIMOS[[#This Row],[Etapa Despacho -  Fin de Carga]]="","",MARÍTIMOS[[#This Row],[Etapa Despacho -  Fin de Carga]]),"")</f>
        <v/>
      </c>
      <c r="AE416" s="11" t="str">
        <f>IFERROR(IF(MARÍTIMOS[[#This Row],[Etapa Despacho -  Salida]]="","",MARÍTIMOS[[#This Row],[Etapa Despacho -  Salida]]),"")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5" t="s">
        <v>181</v>
      </c>
      <c r="BB416" s="53" t="str">
        <f>IFERROR(IF(MARÍTIMOS[[#This Row],[Estatus]]="","",MARÍTIMOS[[#This Row],[Estatus]]),"")</f>
        <v/>
      </c>
      <c r="BC416" s="45"/>
      <c r="BD416" s="52" t="str">
        <f>IFERROR(OLDBD[[#This Row],[Salida de almacén de retiro]]-OLDBD[[#This Row],[Ingreso Almacén de retiro]],"")</f>
        <v/>
      </c>
      <c r="BE416" s="52" t="str">
        <f>IFERROR(OLDBD[[#This Row],[Fin de Carga]]-OLDBD[[#This Row],[Inicio de Carga]],"")</f>
        <v/>
      </c>
    </row>
    <row r="417" spans="1:57" x14ac:dyDescent="0.35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6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Salida]]="","",MARÍTIMOS[[#This Row],[Etapa Retiro - Salida]]),"")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Row],[Hora de Carga]]+MARÍTIMOS[[#This Row],[Hora de Posicionamiento]]),"")</f>
        <v/>
      </c>
      <c r="Z417" s="11" t="str">
        <f>IFERROR(IF(MARÍTIMOS[[#This Row],[Etapa Despacho -  Llegada]]="","",MARÍTIMOS[[#This Row],[Etapa Despacho -  Llegada]]),"")</f>
        <v/>
      </c>
      <c r="AA417" s="11" t="str">
        <f>IFERROR(IF(MARÍTIMOS[[#This Row],[Etapa Despacho -  Registro]]="","",MARÍTIMOS[[#This Row],[Etapa Despacho - 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 Inicio de Carga]]="","",MARÍTIMOS[[#This Row],[Etapa Despacho -  Inicio de Carga]]),"")</f>
        <v/>
      </c>
      <c r="AD417" s="11" t="str">
        <f>IFERROR(IF(MARÍTIMOS[[#This Row],[Etapa Despacho -  Fin de Carga]]="","",MARÍTIMOS[[#This Row],[Etapa Despacho -  Fin de Carga]]),"")</f>
        <v/>
      </c>
      <c r="AE417" s="11" t="str">
        <f>IFERROR(IF(MARÍTIMOS[[#This Row],[Etapa Despacho -  Salida]]="","",MARÍTIMOS[[#This Row],[Etapa Despacho -  Salida]]),"")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5" t="s">
        <v>181</v>
      </c>
      <c r="BB417" s="53" t="str">
        <f>IFERROR(IF(MARÍTIMOS[[#This Row],[Estatus]]="","",MARÍTIMOS[[#This Row],[Estatus]]),"")</f>
        <v/>
      </c>
      <c r="BC417" s="45"/>
      <c r="BD417" s="52" t="str">
        <f>IFERROR(OLDBD[[#This Row],[Salida de almacén de retiro]]-OLDBD[[#This Row],[Ingreso Almacén de retiro]],"")</f>
        <v/>
      </c>
      <c r="BE417" s="52" t="str">
        <f>IFERROR(OLDBD[[#This Row],[Fin de Carga]]-OLDBD[[#This Row],[Inicio de Carga]],"")</f>
        <v/>
      </c>
    </row>
    <row r="418" spans="1:57" x14ac:dyDescent="0.35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6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Salida]]="","",MARÍTIMOS[[#This Row],[Etapa Retiro - Salida]]),"")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Row],[Hora de Carga]]+MARÍTIMOS[[#This Row],[Hora de Posicionamiento]]),"")</f>
        <v/>
      </c>
      <c r="Z418" s="11" t="str">
        <f>IFERROR(IF(MARÍTIMOS[[#This Row],[Etapa Despacho -  Llegada]]="","",MARÍTIMOS[[#This Row],[Etapa Despacho -  Llegada]]),"")</f>
        <v/>
      </c>
      <c r="AA418" s="11" t="str">
        <f>IFERROR(IF(MARÍTIMOS[[#This Row],[Etapa Despacho -  Registro]]="","",MARÍTIMOS[[#This Row],[Etapa Despacho - 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 Inicio de Carga]]="","",MARÍTIMOS[[#This Row],[Etapa Despacho -  Inicio de Carga]]),"")</f>
        <v/>
      </c>
      <c r="AD418" s="11" t="str">
        <f>IFERROR(IF(MARÍTIMOS[[#This Row],[Etapa Despacho -  Fin de Carga]]="","",MARÍTIMOS[[#This Row],[Etapa Despacho -  Fin de Carga]]),"")</f>
        <v/>
      </c>
      <c r="AE418" s="11" t="str">
        <f>IFERROR(IF(MARÍTIMOS[[#This Row],[Etapa Despacho -  Salida]]="","",MARÍTIMOS[[#This Row],[Etapa Despacho -  Salida]]),"")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5" t="s">
        <v>181</v>
      </c>
      <c r="BB418" s="53" t="str">
        <f>IFERROR(IF(MARÍTIMOS[[#This Row],[Estatus]]="","",MARÍTIMOS[[#This Row],[Estatus]]),"")</f>
        <v/>
      </c>
      <c r="BC418" s="45"/>
      <c r="BD418" s="52" t="str">
        <f>IFERROR(OLDBD[[#This Row],[Salida de almacén de retiro]]-OLDBD[[#This Row],[Ingreso Almacén de retiro]],"")</f>
        <v/>
      </c>
      <c r="BE418" s="52" t="str">
        <f>IFERROR(OLDBD[[#This Row],[Fin de Carga]]-OLDBD[[#This Row],[Inicio de Carga]],"")</f>
        <v/>
      </c>
    </row>
    <row r="419" spans="1:57" x14ac:dyDescent="0.35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6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Salida]]="","",MARÍTIMOS[[#This Row],[Etapa Retiro - Salida]]),"")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Row],[Hora de Carga]]+MARÍTIMOS[[#This Row],[Hora de Posicionamiento]]),"")</f>
        <v/>
      </c>
      <c r="Z419" s="11" t="str">
        <f>IFERROR(IF(MARÍTIMOS[[#This Row],[Etapa Despacho -  Llegada]]="","",MARÍTIMOS[[#This Row],[Etapa Despacho -  Llegada]]),"")</f>
        <v/>
      </c>
      <c r="AA419" s="11" t="str">
        <f>IFERROR(IF(MARÍTIMOS[[#This Row],[Etapa Despacho -  Registro]]="","",MARÍTIMOS[[#This Row],[Etapa Despacho - 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 Inicio de Carga]]="","",MARÍTIMOS[[#This Row],[Etapa Despacho -  Inicio de Carga]]),"")</f>
        <v/>
      </c>
      <c r="AD419" s="11" t="str">
        <f>IFERROR(IF(MARÍTIMOS[[#This Row],[Etapa Despacho -  Fin de Carga]]="","",MARÍTIMOS[[#This Row],[Etapa Despacho -  Fin de Carga]]),"")</f>
        <v/>
      </c>
      <c r="AE419" s="11" t="str">
        <f>IFERROR(IF(MARÍTIMOS[[#This Row],[Etapa Despacho -  Salida]]="","",MARÍTIMOS[[#This Row],[Etapa Despacho -  Salida]]),"")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5" t="s">
        <v>181</v>
      </c>
      <c r="BB419" s="53" t="str">
        <f>IFERROR(IF(MARÍTIMOS[[#This Row],[Estatus]]="","",MARÍTIMOS[[#This Row],[Estatus]]),"")</f>
        <v/>
      </c>
      <c r="BC419" s="45"/>
      <c r="BD419" s="52" t="str">
        <f>IFERROR(OLDBD[[#This Row],[Salida de almacén de retiro]]-OLDBD[[#This Row],[Ingreso Almacén de retiro]],"")</f>
        <v/>
      </c>
      <c r="BE419" s="52" t="str">
        <f>IFERROR(OLDBD[[#This Row],[Fin de Carga]]-OLDBD[[#This Row],[Inicio de Carga]],"")</f>
        <v/>
      </c>
    </row>
    <row r="420" spans="1:57" x14ac:dyDescent="0.35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6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Salida]]="","",MARÍTIMOS[[#This Row],[Etapa Retiro - Salida]]),"")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Row],[Hora de Carga]]+MARÍTIMOS[[#This Row],[Hora de Posicionamiento]]),"")</f>
        <v/>
      </c>
      <c r="Z420" s="11" t="str">
        <f>IFERROR(IF(MARÍTIMOS[[#This Row],[Etapa Despacho -  Llegada]]="","",MARÍTIMOS[[#This Row],[Etapa Despacho -  Llegada]]),"")</f>
        <v/>
      </c>
      <c r="AA420" s="11" t="str">
        <f>IFERROR(IF(MARÍTIMOS[[#This Row],[Etapa Despacho -  Registro]]="","",MARÍTIMOS[[#This Row],[Etapa Despacho - 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 Inicio de Carga]]="","",MARÍTIMOS[[#This Row],[Etapa Despacho -  Inicio de Carga]]),"")</f>
        <v/>
      </c>
      <c r="AD420" s="11" t="str">
        <f>IFERROR(IF(MARÍTIMOS[[#This Row],[Etapa Despacho -  Fin de Carga]]="","",MARÍTIMOS[[#This Row],[Etapa Despacho -  Fin de Carga]]),"")</f>
        <v/>
      </c>
      <c r="AE420" s="11" t="str">
        <f>IFERROR(IF(MARÍTIMOS[[#This Row],[Etapa Despacho -  Salida]]="","",MARÍTIMOS[[#This Row],[Etapa Despacho -  Salida]]),"")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5" t="s">
        <v>181</v>
      </c>
      <c r="BB420" s="53" t="str">
        <f>IFERROR(IF(MARÍTIMOS[[#This Row],[Estatus]]="","",MARÍTIMOS[[#This Row],[Estatus]]),"")</f>
        <v/>
      </c>
      <c r="BC420" s="45"/>
      <c r="BD420" s="52" t="str">
        <f>IFERROR(OLDBD[[#This Row],[Salida de almacén de retiro]]-OLDBD[[#This Row],[Ingreso Almacén de retiro]],"")</f>
        <v/>
      </c>
      <c r="BE420" s="52" t="str">
        <f>IFERROR(OLDBD[[#This Row],[Fin de Carga]]-OLDBD[[#This Row],[Inicio de Carga]],"")</f>
        <v/>
      </c>
    </row>
    <row r="421" spans="1:57" x14ac:dyDescent="0.35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6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Salida]]="","",MARÍTIMOS[[#This Row],[Etapa Retiro - Salida]]),"")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Row],[Hora de Carga]]+MARÍTIMOS[[#This Row],[Hora de Posicionamiento]]),"")</f>
        <v/>
      </c>
      <c r="Z421" s="11" t="str">
        <f>IFERROR(IF(MARÍTIMOS[[#This Row],[Etapa Despacho -  Llegada]]="","",MARÍTIMOS[[#This Row],[Etapa Despacho -  Llegada]]),"")</f>
        <v/>
      </c>
      <c r="AA421" s="11" t="str">
        <f>IFERROR(IF(MARÍTIMOS[[#This Row],[Etapa Despacho -  Registro]]="","",MARÍTIMOS[[#This Row],[Etapa Despacho - 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 Inicio de Carga]]="","",MARÍTIMOS[[#This Row],[Etapa Despacho -  Inicio de Carga]]),"")</f>
        <v/>
      </c>
      <c r="AD421" s="11" t="str">
        <f>IFERROR(IF(MARÍTIMOS[[#This Row],[Etapa Despacho -  Fin de Carga]]="","",MARÍTIMOS[[#This Row],[Etapa Despacho -  Fin de Carga]]),"")</f>
        <v/>
      </c>
      <c r="AE421" s="11" t="str">
        <f>IFERROR(IF(MARÍTIMOS[[#This Row],[Etapa Despacho -  Salida]]="","",MARÍTIMOS[[#This Row],[Etapa Despacho -  Salida]]),"")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5" t="s">
        <v>181</v>
      </c>
      <c r="BB421" s="53" t="str">
        <f>IFERROR(IF(MARÍTIMOS[[#This Row],[Estatus]]="","",MARÍTIMOS[[#This Row],[Estatus]]),"")</f>
        <v/>
      </c>
      <c r="BC421" s="45"/>
      <c r="BD421" s="52" t="str">
        <f>IFERROR(OLDBD[[#This Row],[Salida de almacén de retiro]]-OLDBD[[#This Row],[Ingreso Almacén de retiro]],"")</f>
        <v/>
      </c>
      <c r="BE421" s="52" t="str">
        <f>IFERROR(OLDBD[[#This Row],[Fin de Carga]]-OLDBD[[#This Row],[Inicio de Carga]],"")</f>
        <v/>
      </c>
    </row>
    <row r="422" spans="1:57" x14ac:dyDescent="0.35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6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Salida]]="","",MARÍTIMOS[[#This Row],[Etapa Retiro - Salida]]),"")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Row],[Hora de Carga]]+MARÍTIMOS[[#This Row],[Hora de Posicionamiento]]),"")</f>
        <v/>
      </c>
      <c r="Z422" s="11" t="str">
        <f>IFERROR(IF(MARÍTIMOS[[#This Row],[Etapa Despacho -  Llegada]]="","",MARÍTIMOS[[#This Row],[Etapa Despacho -  Llegada]]),"")</f>
        <v/>
      </c>
      <c r="AA422" s="11" t="str">
        <f>IFERROR(IF(MARÍTIMOS[[#This Row],[Etapa Despacho -  Registro]]="","",MARÍTIMOS[[#This Row],[Etapa Despacho - 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 Inicio de Carga]]="","",MARÍTIMOS[[#This Row],[Etapa Despacho -  Inicio de Carga]]),"")</f>
        <v/>
      </c>
      <c r="AD422" s="11" t="str">
        <f>IFERROR(IF(MARÍTIMOS[[#This Row],[Etapa Despacho -  Fin de Carga]]="","",MARÍTIMOS[[#This Row],[Etapa Despacho -  Fin de Carga]]),"")</f>
        <v/>
      </c>
      <c r="AE422" s="11" t="str">
        <f>IFERROR(IF(MARÍTIMOS[[#This Row],[Etapa Despacho -  Salida]]="","",MARÍTIMOS[[#This Row],[Etapa Despacho -  Salida]]),"")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5" t="s">
        <v>181</v>
      </c>
      <c r="BB422" s="53" t="str">
        <f>IFERROR(IF(MARÍTIMOS[[#This Row],[Estatus]]="","",MARÍTIMOS[[#This Row],[Estatus]]),"")</f>
        <v/>
      </c>
      <c r="BC422" s="45"/>
      <c r="BD422" s="52" t="str">
        <f>IFERROR(OLDBD[[#This Row],[Salida de almacén de retiro]]-OLDBD[[#This Row],[Ingreso Almacén de retiro]],"")</f>
        <v/>
      </c>
      <c r="BE422" s="52" t="str">
        <f>IFERROR(OLDBD[[#This Row],[Fin de Carga]]-OLDBD[[#This Row],[Inicio de Carga]],"")</f>
        <v/>
      </c>
    </row>
    <row r="423" spans="1:57" x14ac:dyDescent="0.35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6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Salida]]="","",MARÍTIMOS[[#This Row],[Etapa Retiro - Salida]]),"")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Row],[Hora de Carga]]+MARÍTIMOS[[#This Row],[Hora de Posicionamiento]]),"")</f>
        <v/>
      </c>
      <c r="Z423" s="11" t="str">
        <f>IFERROR(IF(MARÍTIMOS[[#This Row],[Etapa Despacho -  Llegada]]="","",MARÍTIMOS[[#This Row],[Etapa Despacho -  Llegada]]),"")</f>
        <v/>
      </c>
      <c r="AA423" s="11" t="str">
        <f>IFERROR(IF(MARÍTIMOS[[#This Row],[Etapa Despacho -  Registro]]="","",MARÍTIMOS[[#This Row],[Etapa Despacho - 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 Inicio de Carga]]="","",MARÍTIMOS[[#This Row],[Etapa Despacho -  Inicio de Carga]]),"")</f>
        <v/>
      </c>
      <c r="AD423" s="11" t="str">
        <f>IFERROR(IF(MARÍTIMOS[[#This Row],[Etapa Despacho -  Fin de Carga]]="","",MARÍTIMOS[[#This Row],[Etapa Despacho -  Fin de Carga]]),"")</f>
        <v/>
      </c>
      <c r="AE423" s="11" t="str">
        <f>IFERROR(IF(MARÍTIMOS[[#This Row],[Etapa Despacho -  Salida]]="","",MARÍTIMOS[[#This Row],[Etapa Despacho -  Salida]]),"")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5" t="s">
        <v>181</v>
      </c>
      <c r="BB423" s="53" t="str">
        <f>IFERROR(IF(MARÍTIMOS[[#This Row],[Estatus]]="","",MARÍTIMOS[[#This Row],[Estatus]]),"")</f>
        <v/>
      </c>
      <c r="BC423" s="45"/>
      <c r="BD423" s="52" t="str">
        <f>IFERROR(OLDBD[[#This Row],[Salida de almacén de retiro]]-OLDBD[[#This Row],[Ingreso Almacén de retiro]],"")</f>
        <v/>
      </c>
      <c r="BE423" s="52" t="str">
        <f>IFERROR(OLDBD[[#This Row],[Fin de Carga]]-OLDBD[[#This Row],[Inicio de Carga]],"")</f>
        <v/>
      </c>
    </row>
    <row r="424" spans="1:57" x14ac:dyDescent="0.35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6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Salida]]="","",MARÍTIMOS[[#This Row],[Etapa Retiro - Salida]]),"")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Row],[Hora de Carga]]+MARÍTIMOS[[#This Row],[Hora de Posicionamiento]]),"")</f>
        <v/>
      </c>
      <c r="Z424" s="11" t="str">
        <f>IFERROR(IF(MARÍTIMOS[[#This Row],[Etapa Despacho -  Llegada]]="","",MARÍTIMOS[[#This Row],[Etapa Despacho -  Llegada]]),"")</f>
        <v/>
      </c>
      <c r="AA424" s="11" t="str">
        <f>IFERROR(IF(MARÍTIMOS[[#This Row],[Etapa Despacho -  Registro]]="","",MARÍTIMOS[[#This Row],[Etapa Despacho - 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 Inicio de Carga]]="","",MARÍTIMOS[[#This Row],[Etapa Despacho -  Inicio de Carga]]),"")</f>
        <v/>
      </c>
      <c r="AD424" s="11" t="str">
        <f>IFERROR(IF(MARÍTIMOS[[#This Row],[Etapa Despacho -  Fin de Carga]]="","",MARÍTIMOS[[#This Row],[Etapa Despacho -  Fin de Carga]]),"")</f>
        <v/>
      </c>
      <c r="AE424" s="11" t="str">
        <f>IFERROR(IF(MARÍTIMOS[[#This Row],[Etapa Despacho -  Salida]]="","",MARÍTIMOS[[#This Row],[Etapa Despacho -  Salida]]),"")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5" t="s">
        <v>181</v>
      </c>
      <c r="BB424" s="53" t="str">
        <f>IFERROR(IF(MARÍTIMOS[[#This Row],[Estatus]]="","",MARÍTIMOS[[#This Row],[Estatus]]),"")</f>
        <v/>
      </c>
      <c r="BC424" s="45"/>
      <c r="BD424" s="52" t="str">
        <f>IFERROR(OLDBD[[#This Row],[Salida de almacén de retiro]]-OLDBD[[#This Row],[Ingreso Almacén de retiro]],"")</f>
        <v/>
      </c>
      <c r="BE424" s="52" t="str">
        <f>IFERROR(OLDBD[[#This Row],[Fin de Carga]]-OLDBD[[#This Row],[Inicio de Carga]],"")</f>
        <v/>
      </c>
    </row>
    <row r="425" spans="1:57" x14ac:dyDescent="0.35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6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Salida]]="","",MARÍTIMOS[[#This Row],[Etapa Retiro - Salida]]),"")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Row],[Hora de Carga]]+MARÍTIMOS[[#This Row],[Hora de Posicionamiento]]),"")</f>
        <v/>
      </c>
      <c r="Z425" s="11" t="str">
        <f>IFERROR(IF(MARÍTIMOS[[#This Row],[Etapa Despacho -  Llegada]]="","",MARÍTIMOS[[#This Row],[Etapa Despacho -  Llegada]]),"")</f>
        <v/>
      </c>
      <c r="AA425" s="11" t="str">
        <f>IFERROR(IF(MARÍTIMOS[[#This Row],[Etapa Despacho -  Registro]]="","",MARÍTIMOS[[#This Row],[Etapa Despacho - 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 Inicio de Carga]]="","",MARÍTIMOS[[#This Row],[Etapa Despacho -  Inicio de Carga]]),"")</f>
        <v/>
      </c>
      <c r="AD425" s="11" t="str">
        <f>IFERROR(IF(MARÍTIMOS[[#This Row],[Etapa Despacho -  Fin de Carga]]="","",MARÍTIMOS[[#This Row],[Etapa Despacho -  Fin de Carga]]),"")</f>
        <v/>
      </c>
      <c r="AE425" s="11" t="str">
        <f>IFERROR(IF(MARÍTIMOS[[#This Row],[Etapa Despacho -  Salida]]="","",MARÍTIMOS[[#This Row],[Etapa Despacho -  Salida]]),"")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5" t="s">
        <v>181</v>
      </c>
      <c r="BB425" s="53" t="str">
        <f>IFERROR(IF(MARÍTIMOS[[#This Row],[Estatus]]="","",MARÍTIMOS[[#This Row],[Estatus]]),"")</f>
        <v/>
      </c>
      <c r="BC425" s="45"/>
      <c r="BD425" s="52" t="str">
        <f>IFERROR(OLDBD[[#This Row],[Salida de almacén de retiro]]-OLDBD[[#This Row],[Ingreso Almacén de retiro]],"")</f>
        <v/>
      </c>
      <c r="BE425" s="52" t="str">
        <f>IFERROR(OLDBD[[#This Row],[Fin de Carga]]-OLDBD[[#This Row],[Inicio de Carga]],"")</f>
        <v/>
      </c>
    </row>
    <row r="426" spans="1:57" x14ac:dyDescent="0.35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6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Salida]]="","",MARÍTIMOS[[#This Row],[Etapa Retiro - Salida]]),"")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Row],[Hora de Carga]]+MARÍTIMOS[[#This Row],[Hora de Posicionamiento]]),"")</f>
        <v/>
      </c>
      <c r="Z426" s="11" t="str">
        <f>IFERROR(IF(MARÍTIMOS[[#This Row],[Etapa Despacho -  Llegada]]="","",MARÍTIMOS[[#This Row],[Etapa Despacho -  Llegada]]),"")</f>
        <v/>
      </c>
      <c r="AA426" s="11" t="str">
        <f>IFERROR(IF(MARÍTIMOS[[#This Row],[Etapa Despacho -  Registro]]="","",MARÍTIMOS[[#This Row],[Etapa Despacho - 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 Inicio de Carga]]="","",MARÍTIMOS[[#This Row],[Etapa Despacho -  Inicio de Carga]]),"")</f>
        <v/>
      </c>
      <c r="AD426" s="11" t="str">
        <f>IFERROR(IF(MARÍTIMOS[[#This Row],[Etapa Despacho -  Fin de Carga]]="","",MARÍTIMOS[[#This Row],[Etapa Despacho -  Fin de Carga]]),"")</f>
        <v/>
      </c>
      <c r="AE426" s="11" t="str">
        <f>IFERROR(IF(MARÍTIMOS[[#This Row],[Etapa Despacho -  Salida]]="","",MARÍTIMOS[[#This Row],[Etapa Despacho -  Salida]]),"")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5" t="s">
        <v>181</v>
      </c>
      <c r="BB426" s="53" t="str">
        <f>IFERROR(IF(MARÍTIMOS[[#This Row],[Estatus]]="","",MARÍTIMOS[[#This Row],[Estatus]]),"")</f>
        <v/>
      </c>
      <c r="BC426" s="45"/>
      <c r="BD426" s="52" t="str">
        <f>IFERROR(OLDBD[[#This Row],[Salida de almacén de retiro]]-OLDBD[[#This Row],[Ingreso Almacén de retiro]],"")</f>
        <v/>
      </c>
      <c r="BE426" s="52" t="str">
        <f>IFERROR(OLDBD[[#This Row],[Fin de Carga]]-OLDBD[[#This Row],[Inicio de Carga]],"")</f>
        <v/>
      </c>
    </row>
    <row r="427" spans="1:57" x14ac:dyDescent="0.35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6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Salida]]="","",MARÍTIMOS[[#This Row],[Etapa Retiro - Salida]]),"")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Row],[Hora de Carga]]+MARÍTIMOS[[#This Row],[Hora de Posicionamiento]]),"")</f>
        <v/>
      </c>
      <c r="Z427" s="11" t="str">
        <f>IFERROR(IF(MARÍTIMOS[[#This Row],[Etapa Despacho -  Llegada]]="","",MARÍTIMOS[[#This Row],[Etapa Despacho -  Llegada]]),"")</f>
        <v/>
      </c>
      <c r="AA427" s="11" t="str">
        <f>IFERROR(IF(MARÍTIMOS[[#This Row],[Etapa Despacho -  Registro]]="","",MARÍTIMOS[[#This Row],[Etapa Despacho - 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 Inicio de Carga]]="","",MARÍTIMOS[[#This Row],[Etapa Despacho -  Inicio de Carga]]),"")</f>
        <v/>
      </c>
      <c r="AD427" s="11" t="str">
        <f>IFERROR(IF(MARÍTIMOS[[#This Row],[Etapa Despacho -  Fin de Carga]]="","",MARÍTIMOS[[#This Row],[Etapa Despacho -  Fin de Carga]]),"")</f>
        <v/>
      </c>
      <c r="AE427" s="11" t="str">
        <f>IFERROR(IF(MARÍTIMOS[[#This Row],[Etapa Despacho -  Salida]]="","",MARÍTIMOS[[#This Row],[Etapa Despacho -  Salida]]),"")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5" t="s">
        <v>181</v>
      </c>
      <c r="BB427" s="53" t="str">
        <f>IFERROR(IF(MARÍTIMOS[[#This Row],[Estatus]]="","",MARÍTIMOS[[#This Row],[Estatus]]),"")</f>
        <v/>
      </c>
      <c r="BC427" s="45"/>
      <c r="BD427" s="52" t="str">
        <f>IFERROR(OLDBD[[#This Row],[Salida de almacén de retiro]]-OLDBD[[#This Row],[Ingreso Almacén de retiro]],"")</f>
        <v/>
      </c>
      <c r="BE427" s="52" t="str">
        <f>IFERROR(OLDBD[[#This Row],[Fin de Carga]]-OLDBD[[#This Row],[Inicio de Carga]],"")</f>
        <v/>
      </c>
    </row>
    <row r="428" spans="1:57" x14ac:dyDescent="0.35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6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Salida]]="","",MARÍTIMOS[[#This Row],[Etapa Retiro - Salida]]),"")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Row],[Hora de Carga]]+MARÍTIMOS[[#This Row],[Hora de Posicionamiento]]),"")</f>
        <v/>
      </c>
      <c r="Z428" s="11" t="str">
        <f>IFERROR(IF(MARÍTIMOS[[#This Row],[Etapa Despacho -  Llegada]]="","",MARÍTIMOS[[#This Row],[Etapa Despacho -  Llegada]]),"")</f>
        <v/>
      </c>
      <c r="AA428" s="11" t="str">
        <f>IFERROR(IF(MARÍTIMOS[[#This Row],[Etapa Despacho -  Registro]]="","",MARÍTIMOS[[#This Row],[Etapa Despacho - 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 Inicio de Carga]]="","",MARÍTIMOS[[#This Row],[Etapa Despacho -  Inicio de Carga]]),"")</f>
        <v/>
      </c>
      <c r="AD428" s="11" t="str">
        <f>IFERROR(IF(MARÍTIMOS[[#This Row],[Etapa Despacho -  Fin de Carga]]="","",MARÍTIMOS[[#This Row],[Etapa Despacho -  Fin de Carga]]),"")</f>
        <v/>
      </c>
      <c r="AE428" s="11" t="str">
        <f>IFERROR(IF(MARÍTIMOS[[#This Row],[Etapa Despacho -  Salida]]="","",MARÍTIMOS[[#This Row],[Etapa Despacho -  Salida]]),"")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5" t="s">
        <v>181</v>
      </c>
      <c r="BB428" s="53" t="str">
        <f>IFERROR(IF(MARÍTIMOS[[#This Row],[Estatus]]="","",MARÍTIMOS[[#This Row],[Estatus]]),"")</f>
        <v/>
      </c>
      <c r="BC428" s="45"/>
      <c r="BD428" s="52" t="str">
        <f>IFERROR(OLDBD[[#This Row],[Salida de almacén de retiro]]-OLDBD[[#This Row],[Ingreso Almacén de retiro]],"")</f>
        <v/>
      </c>
      <c r="BE428" s="52" t="str">
        <f>IFERROR(OLDBD[[#This Row],[Fin de Carga]]-OLDBD[[#This Row],[Inicio de Carga]],"")</f>
        <v/>
      </c>
    </row>
    <row r="429" spans="1:57" x14ac:dyDescent="0.35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6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Salida]]="","",MARÍTIMOS[[#This Row],[Etapa Retiro - Salida]]),"")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Row],[Hora de Carga]]+MARÍTIMOS[[#This Row],[Hora de Posicionamiento]]),"")</f>
        <v/>
      </c>
      <c r="Z429" s="11" t="str">
        <f>IFERROR(IF(MARÍTIMOS[[#This Row],[Etapa Despacho -  Llegada]]="","",MARÍTIMOS[[#This Row],[Etapa Despacho -  Llegada]]),"")</f>
        <v/>
      </c>
      <c r="AA429" s="11" t="str">
        <f>IFERROR(IF(MARÍTIMOS[[#This Row],[Etapa Despacho -  Registro]]="","",MARÍTIMOS[[#This Row],[Etapa Despacho - 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 Inicio de Carga]]="","",MARÍTIMOS[[#This Row],[Etapa Despacho -  Inicio de Carga]]),"")</f>
        <v/>
      </c>
      <c r="AD429" s="11" t="str">
        <f>IFERROR(IF(MARÍTIMOS[[#This Row],[Etapa Despacho -  Fin de Carga]]="","",MARÍTIMOS[[#This Row],[Etapa Despacho -  Fin de Carga]]),"")</f>
        <v/>
      </c>
      <c r="AE429" s="11" t="str">
        <f>IFERROR(IF(MARÍTIMOS[[#This Row],[Etapa Despacho -  Salida]]="","",MARÍTIMOS[[#This Row],[Etapa Despacho -  Salida]]),"")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5" t="s">
        <v>181</v>
      </c>
      <c r="BB429" s="53" t="str">
        <f>IFERROR(IF(MARÍTIMOS[[#This Row],[Estatus]]="","",MARÍTIMOS[[#This Row],[Estatus]]),"")</f>
        <v/>
      </c>
      <c r="BC429" s="45"/>
      <c r="BD429" s="52" t="str">
        <f>IFERROR(OLDBD[[#This Row],[Salida de almacén de retiro]]-OLDBD[[#This Row],[Ingreso Almacén de retiro]],"")</f>
        <v/>
      </c>
      <c r="BE429" s="52" t="str">
        <f>IFERROR(OLDBD[[#This Row],[Fin de Carga]]-OLDBD[[#This Row],[Inicio de Carga]],"")</f>
        <v/>
      </c>
    </row>
    <row r="430" spans="1:57" x14ac:dyDescent="0.35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6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Salida]]="","",MARÍTIMOS[[#This Row],[Etapa Retiro - Salida]]),"")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Row],[Hora de Carga]]+MARÍTIMOS[[#This Row],[Hora de Posicionamiento]]),"")</f>
        <v/>
      </c>
      <c r="Z430" s="11" t="str">
        <f>IFERROR(IF(MARÍTIMOS[[#This Row],[Etapa Despacho -  Llegada]]="","",MARÍTIMOS[[#This Row],[Etapa Despacho -  Llegada]]),"")</f>
        <v/>
      </c>
      <c r="AA430" s="11" t="str">
        <f>IFERROR(IF(MARÍTIMOS[[#This Row],[Etapa Despacho -  Registro]]="","",MARÍTIMOS[[#This Row],[Etapa Despacho - 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 Inicio de Carga]]="","",MARÍTIMOS[[#This Row],[Etapa Despacho -  Inicio de Carga]]),"")</f>
        <v/>
      </c>
      <c r="AD430" s="11" t="str">
        <f>IFERROR(IF(MARÍTIMOS[[#This Row],[Etapa Despacho -  Fin de Carga]]="","",MARÍTIMOS[[#This Row],[Etapa Despacho -  Fin de Carga]]),"")</f>
        <v/>
      </c>
      <c r="AE430" s="11" t="str">
        <f>IFERROR(IF(MARÍTIMOS[[#This Row],[Etapa Despacho -  Salida]]="","",MARÍTIMOS[[#This Row],[Etapa Despacho -  Salida]]),"")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5" t="s">
        <v>181</v>
      </c>
      <c r="BB430" s="53" t="str">
        <f>IFERROR(IF(MARÍTIMOS[[#This Row],[Estatus]]="","",MARÍTIMOS[[#This Row],[Estatus]]),"")</f>
        <v/>
      </c>
      <c r="BC430" s="45"/>
      <c r="BD430" s="52" t="str">
        <f>IFERROR(OLDBD[[#This Row],[Salida de almacén de retiro]]-OLDBD[[#This Row],[Ingreso Almacén de retiro]],"")</f>
        <v/>
      </c>
      <c r="BE430" s="52" t="str">
        <f>IFERROR(OLDBD[[#This Row],[Fin de Carga]]-OLDBD[[#This Row],[Inicio de Carga]],"")</f>
        <v/>
      </c>
    </row>
    <row r="431" spans="1:57" x14ac:dyDescent="0.35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6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Salida]]="","",MARÍTIMOS[[#This Row],[Etapa Retiro - Salida]]),"")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Row],[Hora de Carga]]+MARÍTIMOS[[#This Row],[Hora de Posicionamiento]]),"")</f>
        <v/>
      </c>
      <c r="Z431" s="11" t="str">
        <f>IFERROR(IF(MARÍTIMOS[[#This Row],[Etapa Despacho -  Llegada]]="","",MARÍTIMOS[[#This Row],[Etapa Despacho -  Llegada]]),"")</f>
        <v/>
      </c>
      <c r="AA431" s="11" t="str">
        <f>IFERROR(IF(MARÍTIMOS[[#This Row],[Etapa Despacho -  Registro]]="","",MARÍTIMOS[[#This Row],[Etapa Despacho - 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 Inicio de Carga]]="","",MARÍTIMOS[[#This Row],[Etapa Despacho -  Inicio de Carga]]),"")</f>
        <v/>
      </c>
      <c r="AD431" s="11" t="str">
        <f>IFERROR(IF(MARÍTIMOS[[#This Row],[Etapa Despacho -  Fin de Carga]]="","",MARÍTIMOS[[#This Row],[Etapa Despacho -  Fin de Carga]]),"")</f>
        <v/>
      </c>
      <c r="AE431" s="11" t="str">
        <f>IFERROR(IF(MARÍTIMOS[[#This Row],[Etapa Despacho -  Salida]]="","",MARÍTIMOS[[#This Row],[Etapa Despacho -  Salida]]),"")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5" t="s">
        <v>181</v>
      </c>
      <c r="BB431" s="53" t="str">
        <f>IFERROR(IF(MARÍTIMOS[[#This Row],[Estatus]]="","",MARÍTIMOS[[#This Row],[Estatus]]),"")</f>
        <v/>
      </c>
      <c r="BC431" s="45"/>
      <c r="BD431" s="52" t="str">
        <f>IFERROR(OLDBD[[#This Row],[Salida de almacén de retiro]]-OLDBD[[#This Row],[Ingreso Almacén de retiro]],"")</f>
        <v/>
      </c>
      <c r="BE431" s="52" t="str">
        <f>IFERROR(OLDBD[[#This Row],[Fin de Carga]]-OLDBD[[#This Row],[Inicio de Carga]],"")</f>
        <v/>
      </c>
    </row>
    <row r="432" spans="1:57" x14ac:dyDescent="0.35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6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Salida]]="","",MARÍTIMOS[[#This Row],[Etapa Retiro - Salida]]),"")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Row],[Hora de Carga]]+MARÍTIMOS[[#This Row],[Hora de Posicionamiento]]),"")</f>
        <v/>
      </c>
      <c r="Z432" s="11" t="str">
        <f>IFERROR(IF(MARÍTIMOS[[#This Row],[Etapa Despacho -  Llegada]]="","",MARÍTIMOS[[#This Row],[Etapa Despacho -  Llegada]]),"")</f>
        <v/>
      </c>
      <c r="AA432" s="11" t="str">
        <f>IFERROR(IF(MARÍTIMOS[[#This Row],[Etapa Despacho -  Registro]]="","",MARÍTIMOS[[#This Row],[Etapa Despacho - 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 Inicio de Carga]]="","",MARÍTIMOS[[#This Row],[Etapa Despacho -  Inicio de Carga]]),"")</f>
        <v/>
      </c>
      <c r="AD432" s="11" t="str">
        <f>IFERROR(IF(MARÍTIMOS[[#This Row],[Etapa Despacho -  Fin de Carga]]="","",MARÍTIMOS[[#This Row],[Etapa Despacho -  Fin de Carga]]),"")</f>
        <v/>
      </c>
      <c r="AE432" s="11" t="str">
        <f>IFERROR(IF(MARÍTIMOS[[#This Row],[Etapa Despacho -  Salida]]="","",MARÍTIMOS[[#This Row],[Etapa Despacho -  Salida]]),"")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5" t="s">
        <v>181</v>
      </c>
      <c r="BB432" s="53" t="str">
        <f>IFERROR(IF(MARÍTIMOS[[#This Row],[Estatus]]="","",MARÍTIMOS[[#This Row],[Estatus]]),"")</f>
        <v/>
      </c>
      <c r="BC432" s="45"/>
      <c r="BD432" s="52" t="str">
        <f>IFERROR(OLDBD[[#This Row],[Salida de almacén de retiro]]-OLDBD[[#This Row],[Ingreso Almacén de retiro]],"")</f>
        <v/>
      </c>
      <c r="BE432" s="52" t="str">
        <f>IFERROR(OLDBD[[#This Row],[Fin de Carga]]-OLDBD[[#This Row],[Inicio de Carga]],"")</f>
        <v/>
      </c>
    </row>
    <row r="433" spans="1:57" x14ac:dyDescent="0.35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6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Salida]]="","",MARÍTIMOS[[#This Row],[Etapa Retiro - Salida]]),"")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Row],[Hora de Carga]]+MARÍTIMOS[[#This Row],[Hora de Posicionamiento]]),"")</f>
        <v/>
      </c>
      <c r="Z433" s="11" t="str">
        <f>IFERROR(IF(MARÍTIMOS[[#This Row],[Etapa Despacho -  Llegada]]="","",MARÍTIMOS[[#This Row],[Etapa Despacho -  Llegada]]),"")</f>
        <v/>
      </c>
      <c r="AA433" s="11" t="str">
        <f>IFERROR(IF(MARÍTIMOS[[#This Row],[Etapa Despacho -  Registro]]="","",MARÍTIMOS[[#This Row],[Etapa Despacho - 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 Inicio de Carga]]="","",MARÍTIMOS[[#This Row],[Etapa Despacho -  Inicio de Carga]]),"")</f>
        <v/>
      </c>
      <c r="AD433" s="11" t="str">
        <f>IFERROR(IF(MARÍTIMOS[[#This Row],[Etapa Despacho -  Fin de Carga]]="","",MARÍTIMOS[[#This Row],[Etapa Despacho -  Fin de Carga]]),"")</f>
        <v/>
      </c>
      <c r="AE433" s="11" t="str">
        <f>IFERROR(IF(MARÍTIMOS[[#This Row],[Etapa Despacho -  Salida]]="","",MARÍTIMOS[[#This Row],[Etapa Despacho -  Salida]]),"")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5" t="s">
        <v>181</v>
      </c>
      <c r="BB433" s="53" t="str">
        <f>IFERROR(IF(MARÍTIMOS[[#This Row],[Estatus]]="","",MARÍTIMOS[[#This Row],[Estatus]]),"")</f>
        <v/>
      </c>
      <c r="BC433" s="45"/>
      <c r="BD433" s="52" t="str">
        <f>IFERROR(OLDBD[[#This Row],[Salida de almacén de retiro]]-OLDBD[[#This Row],[Ingreso Almacén de retiro]],"")</f>
        <v/>
      </c>
      <c r="BE433" s="52" t="str">
        <f>IFERROR(OLDBD[[#This Row],[Fin de Carga]]-OLDBD[[#This Row],[Inicio de Carga]],"")</f>
        <v/>
      </c>
    </row>
    <row r="434" spans="1:57" x14ac:dyDescent="0.35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6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Salida]]="","",MARÍTIMOS[[#This Row],[Etapa Retiro - Salida]]),"")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Row],[Hora de Carga]]+MARÍTIMOS[[#This Row],[Hora de Posicionamiento]]),"")</f>
        <v/>
      </c>
      <c r="Z434" s="11" t="str">
        <f>IFERROR(IF(MARÍTIMOS[[#This Row],[Etapa Despacho -  Llegada]]="","",MARÍTIMOS[[#This Row],[Etapa Despacho -  Llegada]]),"")</f>
        <v/>
      </c>
      <c r="AA434" s="11" t="str">
        <f>IFERROR(IF(MARÍTIMOS[[#This Row],[Etapa Despacho -  Registro]]="","",MARÍTIMOS[[#This Row],[Etapa Despacho - 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 Inicio de Carga]]="","",MARÍTIMOS[[#This Row],[Etapa Despacho -  Inicio de Carga]]),"")</f>
        <v/>
      </c>
      <c r="AD434" s="11" t="str">
        <f>IFERROR(IF(MARÍTIMOS[[#This Row],[Etapa Despacho -  Fin de Carga]]="","",MARÍTIMOS[[#This Row],[Etapa Despacho -  Fin de Carga]]),"")</f>
        <v/>
      </c>
      <c r="AE434" s="11" t="str">
        <f>IFERROR(IF(MARÍTIMOS[[#This Row],[Etapa Despacho -  Salida]]="","",MARÍTIMOS[[#This Row],[Etapa Despacho -  Salida]]),"")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5" t="s">
        <v>181</v>
      </c>
      <c r="BB434" s="53" t="str">
        <f>IFERROR(IF(MARÍTIMOS[[#This Row],[Estatus]]="","",MARÍTIMOS[[#This Row],[Estatus]]),"")</f>
        <v/>
      </c>
      <c r="BC434" s="45"/>
      <c r="BD434" s="52" t="str">
        <f>IFERROR(OLDBD[[#This Row],[Salida de almacén de retiro]]-OLDBD[[#This Row],[Ingreso Almacén de retiro]],"")</f>
        <v/>
      </c>
      <c r="BE434" s="52" t="str">
        <f>IFERROR(OLDBD[[#This Row],[Fin de Carga]]-OLDBD[[#This Row],[Inicio de Carga]],"")</f>
        <v/>
      </c>
    </row>
    <row r="435" spans="1:57" x14ac:dyDescent="0.35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6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Salida]]="","",MARÍTIMOS[[#This Row],[Etapa Retiro - Salida]]),"")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Row],[Hora de Carga]]+MARÍTIMOS[[#This Row],[Hora de Posicionamiento]]),"")</f>
        <v/>
      </c>
      <c r="Z435" s="11" t="str">
        <f>IFERROR(IF(MARÍTIMOS[[#This Row],[Etapa Despacho -  Llegada]]="","",MARÍTIMOS[[#This Row],[Etapa Despacho -  Llegada]]),"")</f>
        <v/>
      </c>
      <c r="AA435" s="11" t="str">
        <f>IFERROR(IF(MARÍTIMOS[[#This Row],[Etapa Despacho -  Registro]]="","",MARÍTIMOS[[#This Row],[Etapa Despacho - 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 Inicio de Carga]]="","",MARÍTIMOS[[#This Row],[Etapa Despacho -  Inicio de Carga]]),"")</f>
        <v/>
      </c>
      <c r="AD435" s="11" t="str">
        <f>IFERROR(IF(MARÍTIMOS[[#This Row],[Etapa Despacho -  Fin de Carga]]="","",MARÍTIMOS[[#This Row],[Etapa Despacho -  Fin de Carga]]),"")</f>
        <v/>
      </c>
      <c r="AE435" s="11" t="str">
        <f>IFERROR(IF(MARÍTIMOS[[#This Row],[Etapa Despacho -  Salida]]="","",MARÍTIMOS[[#This Row],[Etapa Despacho -  Salida]]),"")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5" t="s">
        <v>181</v>
      </c>
      <c r="BB435" s="53" t="str">
        <f>IFERROR(IF(MARÍTIMOS[[#This Row],[Estatus]]="","",MARÍTIMOS[[#This Row],[Estatus]]),"")</f>
        <v/>
      </c>
      <c r="BC435" s="45"/>
      <c r="BD435" s="52" t="str">
        <f>IFERROR(OLDBD[[#This Row],[Salida de almacén de retiro]]-OLDBD[[#This Row],[Ingreso Almacén de retiro]],"")</f>
        <v/>
      </c>
      <c r="BE435" s="52" t="str">
        <f>IFERROR(OLDBD[[#This Row],[Fin de Carga]]-OLDBD[[#This Row],[Inicio de Carga]],"")</f>
        <v/>
      </c>
    </row>
    <row r="436" spans="1:57" x14ac:dyDescent="0.35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6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Salida]]="","",MARÍTIMOS[[#This Row],[Etapa Retiro - Salida]]),"")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Row],[Hora de Carga]]+MARÍTIMOS[[#This Row],[Hora de Posicionamiento]]),"")</f>
        <v/>
      </c>
      <c r="Z436" s="11" t="str">
        <f>IFERROR(IF(MARÍTIMOS[[#This Row],[Etapa Despacho -  Llegada]]="","",MARÍTIMOS[[#This Row],[Etapa Despacho -  Llegada]]),"")</f>
        <v/>
      </c>
      <c r="AA436" s="11" t="str">
        <f>IFERROR(IF(MARÍTIMOS[[#This Row],[Etapa Despacho -  Registro]]="","",MARÍTIMOS[[#This Row],[Etapa Despacho - 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 Inicio de Carga]]="","",MARÍTIMOS[[#This Row],[Etapa Despacho -  Inicio de Carga]]),"")</f>
        <v/>
      </c>
      <c r="AD436" s="11" t="str">
        <f>IFERROR(IF(MARÍTIMOS[[#This Row],[Etapa Despacho -  Fin de Carga]]="","",MARÍTIMOS[[#This Row],[Etapa Despacho -  Fin de Carga]]),"")</f>
        <v/>
      </c>
      <c r="AE436" s="11" t="str">
        <f>IFERROR(IF(MARÍTIMOS[[#This Row],[Etapa Despacho -  Salida]]="","",MARÍTIMOS[[#This Row],[Etapa Despacho -  Salida]]),"")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5" t="s">
        <v>181</v>
      </c>
      <c r="BB436" s="53" t="str">
        <f>IFERROR(IF(MARÍTIMOS[[#This Row],[Estatus]]="","",MARÍTIMOS[[#This Row],[Estatus]]),"")</f>
        <v/>
      </c>
      <c r="BC436" s="45"/>
      <c r="BD436" s="52" t="str">
        <f>IFERROR(OLDBD[[#This Row],[Salida de almacén de retiro]]-OLDBD[[#This Row],[Ingreso Almacén de retiro]],"")</f>
        <v/>
      </c>
      <c r="BE436" s="52" t="str">
        <f>IFERROR(OLDBD[[#This Row],[Fin de Carga]]-OLDBD[[#This Row],[Inicio de Carga]],"")</f>
        <v/>
      </c>
    </row>
    <row r="437" spans="1:57" x14ac:dyDescent="0.35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6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Salida]]="","",MARÍTIMOS[[#This Row],[Etapa Retiro - Salida]]),"")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Row],[Hora de Carga]]+MARÍTIMOS[[#This Row],[Hora de Posicionamiento]]),"")</f>
        <v/>
      </c>
      <c r="Z437" s="11" t="str">
        <f>IFERROR(IF(MARÍTIMOS[[#This Row],[Etapa Despacho -  Llegada]]="","",MARÍTIMOS[[#This Row],[Etapa Despacho -  Llegada]]),"")</f>
        <v/>
      </c>
      <c r="AA437" s="11" t="str">
        <f>IFERROR(IF(MARÍTIMOS[[#This Row],[Etapa Despacho -  Registro]]="","",MARÍTIMOS[[#This Row],[Etapa Despacho - 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 Inicio de Carga]]="","",MARÍTIMOS[[#This Row],[Etapa Despacho -  Inicio de Carga]]),"")</f>
        <v/>
      </c>
      <c r="AD437" s="11" t="str">
        <f>IFERROR(IF(MARÍTIMOS[[#This Row],[Etapa Despacho -  Fin de Carga]]="","",MARÍTIMOS[[#This Row],[Etapa Despacho -  Fin de Carga]]),"")</f>
        <v/>
      </c>
      <c r="AE437" s="11" t="str">
        <f>IFERROR(IF(MARÍTIMOS[[#This Row],[Etapa Despacho -  Salida]]="","",MARÍTIMOS[[#This Row],[Etapa Despacho -  Salida]]),"")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5" t="s">
        <v>181</v>
      </c>
      <c r="BB437" s="53" t="str">
        <f>IFERROR(IF(MARÍTIMOS[[#This Row],[Estatus]]="","",MARÍTIMOS[[#This Row],[Estatus]]),"")</f>
        <v/>
      </c>
      <c r="BC437" s="45"/>
      <c r="BD437" s="52" t="str">
        <f>IFERROR(OLDBD[[#This Row],[Salida de almacén de retiro]]-OLDBD[[#This Row],[Ingreso Almacén de retiro]],"")</f>
        <v/>
      </c>
      <c r="BE437" s="52" t="str">
        <f>IFERROR(OLDBD[[#This Row],[Fin de Carga]]-OLDBD[[#This Row],[Inicio de Carga]],"")</f>
        <v/>
      </c>
    </row>
    <row r="438" spans="1:57" x14ac:dyDescent="0.35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6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Salida]]="","",MARÍTIMOS[[#This Row],[Etapa Retiro - Salida]]),"")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Row],[Hora de Carga]]+MARÍTIMOS[[#This Row],[Hora de Posicionamiento]]),"")</f>
        <v/>
      </c>
      <c r="Z438" s="11" t="str">
        <f>IFERROR(IF(MARÍTIMOS[[#This Row],[Etapa Despacho -  Llegada]]="","",MARÍTIMOS[[#This Row],[Etapa Despacho -  Llegada]]),"")</f>
        <v/>
      </c>
      <c r="AA438" s="11" t="str">
        <f>IFERROR(IF(MARÍTIMOS[[#This Row],[Etapa Despacho -  Registro]]="","",MARÍTIMOS[[#This Row],[Etapa Despacho - 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 Inicio de Carga]]="","",MARÍTIMOS[[#This Row],[Etapa Despacho -  Inicio de Carga]]),"")</f>
        <v/>
      </c>
      <c r="AD438" s="11" t="str">
        <f>IFERROR(IF(MARÍTIMOS[[#This Row],[Etapa Despacho -  Fin de Carga]]="","",MARÍTIMOS[[#This Row],[Etapa Despacho -  Fin de Carga]]),"")</f>
        <v/>
      </c>
      <c r="AE438" s="11" t="str">
        <f>IFERROR(IF(MARÍTIMOS[[#This Row],[Etapa Despacho -  Salida]]="","",MARÍTIMOS[[#This Row],[Etapa Despacho -  Salida]]),"")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5" t="s">
        <v>181</v>
      </c>
      <c r="BB438" s="53" t="str">
        <f>IFERROR(IF(MARÍTIMOS[[#This Row],[Estatus]]="","",MARÍTIMOS[[#This Row],[Estatus]]),"")</f>
        <v/>
      </c>
      <c r="BC438" s="45"/>
      <c r="BD438" s="52" t="str">
        <f>IFERROR(OLDBD[[#This Row],[Salida de almacén de retiro]]-OLDBD[[#This Row],[Ingreso Almacén de retiro]],"")</f>
        <v/>
      </c>
      <c r="BE438" s="52" t="str">
        <f>IFERROR(OLDBD[[#This Row],[Fin de Carga]]-OLDBD[[#This Row],[Inicio de Carga]],"")</f>
        <v/>
      </c>
    </row>
    <row r="439" spans="1:57" x14ac:dyDescent="0.35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6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Salida]]="","",MARÍTIMOS[[#This Row],[Etapa Retiro - Salida]]),"")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Row],[Hora de Carga]]+MARÍTIMOS[[#This Row],[Hora de Posicionamiento]]),"")</f>
        <v/>
      </c>
      <c r="Z439" s="11" t="str">
        <f>IFERROR(IF(MARÍTIMOS[[#This Row],[Etapa Despacho -  Llegada]]="","",MARÍTIMOS[[#This Row],[Etapa Despacho -  Llegada]]),"")</f>
        <v/>
      </c>
      <c r="AA439" s="11" t="str">
        <f>IFERROR(IF(MARÍTIMOS[[#This Row],[Etapa Despacho -  Registro]]="","",MARÍTIMOS[[#This Row],[Etapa Despacho - 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 Inicio de Carga]]="","",MARÍTIMOS[[#This Row],[Etapa Despacho -  Inicio de Carga]]),"")</f>
        <v/>
      </c>
      <c r="AD439" s="11" t="str">
        <f>IFERROR(IF(MARÍTIMOS[[#This Row],[Etapa Despacho -  Fin de Carga]]="","",MARÍTIMOS[[#This Row],[Etapa Despacho -  Fin de Carga]]),"")</f>
        <v/>
      </c>
      <c r="AE439" s="11" t="str">
        <f>IFERROR(IF(MARÍTIMOS[[#This Row],[Etapa Despacho -  Salida]]="","",MARÍTIMOS[[#This Row],[Etapa Despacho -  Salida]]),"")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5" t="s">
        <v>181</v>
      </c>
      <c r="BB439" s="53" t="str">
        <f>IFERROR(IF(MARÍTIMOS[[#This Row],[Estatus]]="","",MARÍTIMOS[[#This Row],[Estatus]]),"")</f>
        <v/>
      </c>
      <c r="BC439" s="45"/>
      <c r="BD439" s="52" t="str">
        <f>IFERROR(OLDBD[[#This Row],[Salida de almacén de retiro]]-OLDBD[[#This Row],[Ingreso Almacén de retiro]],"")</f>
        <v/>
      </c>
      <c r="BE439" s="52" t="str">
        <f>IFERROR(OLDBD[[#This Row],[Fin de Carga]]-OLDBD[[#This Row],[Inicio de Carga]],"")</f>
        <v/>
      </c>
    </row>
    <row r="440" spans="1:57" x14ac:dyDescent="0.35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6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Salida]]="","",MARÍTIMOS[[#This Row],[Etapa Retiro - Salida]]),"")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Row],[Hora de Carga]]+MARÍTIMOS[[#This Row],[Hora de Posicionamiento]]),"")</f>
        <v/>
      </c>
      <c r="Z440" s="11" t="str">
        <f>IFERROR(IF(MARÍTIMOS[[#This Row],[Etapa Despacho -  Llegada]]="","",MARÍTIMOS[[#This Row],[Etapa Despacho -  Llegada]]),"")</f>
        <v/>
      </c>
      <c r="AA440" s="11" t="str">
        <f>IFERROR(IF(MARÍTIMOS[[#This Row],[Etapa Despacho -  Registro]]="","",MARÍTIMOS[[#This Row],[Etapa Despacho - 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 Inicio de Carga]]="","",MARÍTIMOS[[#This Row],[Etapa Despacho -  Inicio de Carga]]),"")</f>
        <v/>
      </c>
      <c r="AD440" s="11" t="str">
        <f>IFERROR(IF(MARÍTIMOS[[#This Row],[Etapa Despacho -  Fin de Carga]]="","",MARÍTIMOS[[#This Row],[Etapa Despacho -  Fin de Carga]]),"")</f>
        <v/>
      </c>
      <c r="AE440" s="11" t="str">
        <f>IFERROR(IF(MARÍTIMOS[[#This Row],[Etapa Despacho -  Salida]]="","",MARÍTIMOS[[#This Row],[Etapa Despacho -  Salida]]),"")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5" t="s">
        <v>181</v>
      </c>
      <c r="BB440" s="53" t="str">
        <f>IFERROR(IF(MARÍTIMOS[[#This Row],[Estatus]]="","",MARÍTIMOS[[#This Row],[Estatus]]),"")</f>
        <v/>
      </c>
      <c r="BC440" s="45"/>
      <c r="BD440" s="52" t="str">
        <f>IFERROR(OLDBD[[#This Row],[Salida de almacén de retiro]]-OLDBD[[#This Row],[Ingreso Almacén de retiro]],"")</f>
        <v/>
      </c>
      <c r="BE440" s="52" t="str">
        <f>IFERROR(OLDBD[[#This Row],[Fin de Carga]]-OLDBD[[#This Row],[Inicio de Carga]],"")</f>
        <v/>
      </c>
    </row>
    <row r="441" spans="1:57" x14ac:dyDescent="0.35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6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Salida]]="","",MARÍTIMOS[[#This Row],[Etapa Retiro - Salida]]),"")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Row],[Hora de Carga]]+MARÍTIMOS[[#This Row],[Hora de Posicionamiento]]),"")</f>
        <v/>
      </c>
      <c r="Z441" s="11" t="str">
        <f>IFERROR(IF(MARÍTIMOS[[#This Row],[Etapa Despacho -  Llegada]]="","",MARÍTIMOS[[#This Row],[Etapa Despacho -  Llegada]]),"")</f>
        <v/>
      </c>
      <c r="AA441" s="11" t="str">
        <f>IFERROR(IF(MARÍTIMOS[[#This Row],[Etapa Despacho -  Registro]]="","",MARÍTIMOS[[#This Row],[Etapa Despacho - 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 Inicio de Carga]]="","",MARÍTIMOS[[#This Row],[Etapa Despacho -  Inicio de Carga]]),"")</f>
        <v/>
      </c>
      <c r="AD441" s="11" t="str">
        <f>IFERROR(IF(MARÍTIMOS[[#This Row],[Etapa Despacho -  Fin de Carga]]="","",MARÍTIMOS[[#This Row],[Etapa Despacho -  Fin de Carga]]),"")</f>
        <v/>
      </c>
      <c r="AE441" s="11" t="str">
        <f>IFERROR(IF(MARÍTIMOS[[#This Row],[Etapa Despacho -  Salida]]="","",MARÍTIMOS[[#This Row],[Etapa Despacho -  Salida]]),"")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5" t="s">
        <v>181</v>
      </c>
      <c r="BB441" s="53" t="str">
        <f>IFERROR(IF(MARÍTIMOS[[#This Row],[Estatus]]="","",MARÍTIMOS[[#This Row],[Estatus]]),"")</f>
        <v/>
      </c>
      <c r="BC441" s="45"/>
      <c r="BD441" s="52" t="str">
        <f>IFERROR(OLDBD[[#This Row],[Salida de almacén de retiro]]-OLDBD[[#This Row],[Ingreso Almacén de retiro]],"")</f>
        <v/>
      </c>
      <c r="BE441" s="52" t="str">
        <f>IFERROR(OLDBD[[#This Row],[Fin de Carga]]-OLDBD[[#This Row],[Inicio de Carga]],"")</f>
        <v/>
      </c>
    </row>
    <row r="442" spans="1:57" x14ac:dyDescent="0.35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6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Salida]]="","",MARÍTIMOS[[#This Row],[Etapa Retiro - Salida]]),"")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Row],[Hora de Carga]]+MARÍTIMOS[[#This Row],[Hora de Posicionamiento]]),"")</f>
        <v/>
      </c>
      <c r="Z442" s="11" t="str">
        <f>IFERROR(IF(MARÍTIMOS[[#This Row],[Etapa Despacho -  Llegada]]="","",MARÍTIMOS[[#This Row],[Etapa Despacho -  Llegada]]),"")</f>
        <v/>
      </c>
      <c r="AA442" s="11" t="str">
        <f>IFERROR(IF(MARÍTIMOS[[#This Row],[Etapa Despacho -  Registro]]="","",MARÍTIMOS[[#This Row],[Etapa Despacho - 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 Inicio de Carga]]="","",MARÍTIMOS[[#This Row],[Etapa Despacho -  Inicio de Carga]]),"")</f>
        <v/>
      </c>
      <c r="AD442" s="11" t="str">
        <f>IFERROR(IF(MARÍTIMOS[[#This Row],[Etapa Despacho -  Fin de Carga]]="","",MARÍTIMOS[[#This Row],[Etapa Despacho -  Fin de Carga]]),"")</f>
        <v/>
      </c>
      <c r="AE442" s="11" t="str">
        <f>IFERROR(IF(MARÍTIMOS[[#This Row],[Etapa Despacho -  Salida]]="","",MARÍTIMOS[[#This Row],[Etapa Despacho -  Salida]]),"")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5" t="s">
        <v>181</v>
      </c>
      <c r="BB442" s="53" t="str">
        <f>IFERROR(IF(MARÍTIMOS[[#This Row],[Estatus]]="","",MARÍTIMOS[[#This Row],[Estatus]]),"")</f>
        <v/>
      </c>
      <c r="BC442" s="45"/>
      <c r="BD442" s="52" t="str">
        <f>IFERROR(OLDBD[[#This Row],[Salida de almacén de retiro]]-OLDBD[[#This Row],[Ingreso Almacén de retiro]],"")</f>
        <v/>
      </c>
      <c r="BE442" s="52" t="str">
        <f>IFERROR(OLDBD[[#This Row],[Fin de Carga]]-OLDBD[[#This Row],[Inicio de Carga]],"")</f>
        <v/>
      </c>
    </row>
    <row r="443" spans="1:57" x14ac:dyDescent="0.35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6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Salida]]="","",MARÍTIMOS[[#This Row],[Etapa Retiro - Salida]]),"")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Row],[Hora de Carga]]+MARÍTIMOS[[#This Row],[Hora de Posicionamiento]]),"")</f>
        <v/>
      </c>
      <c r="Z443" s="11" t="str">
        <f>IFERROR(IF(MARÍTIMOS[[#This Row],[Etapa Despacho -  Llegada]]="","",MARÍTIMOS[[#This Row],[Etapa Despacho -  Llegada]]),"")</f>
        <v/>
      </c>
      <c r="AA443" s="11" t="str">
        <f>IFERROR(IF(MARÍTIMOS[[#This Row],[Etapa Despacho -  Registro]]="","",MARÍTIMOS[[#This Row],[Etapa Despacho - 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 Inicio de Carga]]="","",MARÍTIMOS[[#This Row],[Etapa Despacho -  Inicio de Carga]]),"")</f>
        <v/>
      </c>
      <c r="AD443" s="11" t="str">
        <f>IFERROR(IF(MARÍTIMOS[[#This Row],[Etapa Despacho -  Fin de Carga]]="","",MARÍTIMOS[[#This Row],[Etapa Despacho -  Fin de Carga]]),"")</f>
        <v/>
      </c>
      <c r="AE443" s="11" t="str">
        <f>IFERROR(IF(MARÍTIMOS[[#This Row],[Etapa Despacho -  Salida]]="","",MARÍTIMOS[[#This Row],[Etapa Despacho -  Salida]]),"")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5" t="s">
        <v>181</v>
      </c>
      <c r="BB443" s="53" t="str">
        <f>IFERROR(IF(MARÍTIMOS[[#This Row],[Estatus]]="","",MARÍTIMOS[[#This Row],[Estatus]]),"")</f>
        <v/>
      </c>
      <c r="BC443" s="45"/>
      <c r="BD443" s="52" t="str">
        <f>IFERROR(OLDBD[[#This Row],[Salida de almacén de retiro]]-OLDBD[[#This Row],[Ingreso Almacén de retiro]],"")</f>
        <v/>
      </c>
      <c r="BE443" s="52" t="str">
        <f>IFERROR(OLDBD[[#This Row],[Fin de Carga]]-OLDBD[[#This Row],[Inicio de Carga]],"")</f>
        <v/>
      </c>
    </row>
    <row r="444" spans="1:57" x14ac:dyDescent="0.35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6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Salida]]="","",MARÍTIMOS[[#This Row],[Etapa Retiro - Salida]]),"")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Row],[Hora de Carga]]+MARÍTIMOS[[#This Row],[Hora de Posicionamiento]]),"")</f>
        <v/>
      </c>
      <c r="Z444" s="11" t="str">
        <f>IFERROR(IF(MARÍTIMOS[[#This Row],[Etapa Despacho -  Llegada]]="","",MARÍTIMOS[[#This Row],[Etapa Despacho -  Llegada]]),"")</f>
        <v/>
      </c>
      <c r="AA444" s="11" t="str">
        <f>IFERROR(IF(MARÍTIMOS[[#This Row],[Etapa Despacho -  Registro]]="","",MARÍTIMOS[[#This Row],[Etapa Despacho - 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 Inicio de Carga]]="","",MARÍTIMOS[[#This Row],[Etapa Despacho -  Inicio de Carga]]),"")</f>
        <v/>
      </c>
      <c r="AD444" s="11" t="str">
        <f>IFERROR(IF(MARÍTIMOS[[#This Row],[Etapa Despacho -  Fin de Carga]]="","",MARÍTIMOS[[#This Row],[Etapa Despacho -  Fin de Carga]]),"")</f>
        <v/>
      </c>
      <c r="AE444" s="11" t="str">
        <f>IFERROR(IF(MARÍTIMOS[[#This Row],[Etapa Despacho -  Salida]]="","",MARÍTIMOS[[#This Row],[Etapa Despacho -  Salida]]),"")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5" t="s">
        <v>181</v>
      </c>
      <c r="BB444" s="53" t="str">
        <f>IFERROR(IF(MARÍTIMOS[[#This Row],[Estatus]]="","",MARÍTIMOS[[#This Row],[Estatus]]),"")</f>
        <v/>
      </c>
      <c r="BC444" s="45"/>
      <c r="BD444" s="52" t="str">
        <f>IFERROR(OLDBD[[#This Row],[Salida de almacén de retiro]]-OLDBD[[#This Row],[Ingreso Almacén de retiro]],"")</f>
        <v/>
      </c>
      <c r="BE444" s="52" t="str">
        <f>IFERROR(OLDBD[[#This Row],[Fin de Carga]]-OLDBD[[#This Row],[Inicio de Carga]],"")</f>
        <v/>
      </c>
    </row>
    <row r="445" spans="1:57" x14ac:dyDescent="0.35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6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Salida]]="","",MARÍTIMOS[[#This Row],[Etapa Retiro - Salida]]),"")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Row],[Hora de Carga]]+MARÍTIMOS[[#This Row],[Hora de Posicionamiento]]),"")</f>
        <v/>
      </c>
      <c r="Z445" s="11" t="str">
        <f>IFERROR(IF(MARÍTIMOS[[#This Row],[Etapa Despacho -  Llegada]]="","",MARÍTIMOS[[#This Row],[Etapa Despacho -  Llegada]]),"")</f>
        <v/>
      </c>
      <c r="AA445" s="11" t="str">
        <f>IFERROR(IF(MARÍTIMOS[[#This Row],[Etapa Despacho -  Registro]]="","",MARÍTIMOS[[#This Row],[Etapa Despacho - 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 Inicio de Carga]]="","",MARÍTIMOS[[#This Row],[Etapa Despacho -  Inicio de Carga]]),"")</f>
        <v/>
      </c>
      <c r="AD445" s="11" t="str">
        <f>IFERROR(IF(MARÍTIMOS[[#This Row],[Etapa Despacho -  Fin de Carga]]="","",MARÍTIMOS[[#This Row],[Etapa Despacho -  Fin de Carga]]),"")</f>
        <v/>
      </c>
      <c r="AE445" s="11" t="str">
        <f>IFERROR(IF(MARÍTIMOS[[#This Row],[Etapa Despacho -  Salida]]="","",MARÍTIMOS[[#This Row],[Etapa Despacho -  Salida]]),"")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5" t="s">
        <v>181</v>
      </c>
      <c r="BB445" s="53" t="str">
        <f>IFERROR(IF(MARÍTIMOS[[#This Row],[Estatus]]="","",MARÍTIMOS[[#This Row],[Estatus]]),"")</f>
        <v/>
      </c>
      <c r="BC445" s="45"/>
      <c r="BD445" s="52" t="str">
        <f>IFERROR(OLDBD[[#This Row],[Salida de almacén de retiro]]-OLDBD[[#This Row],[Ingreso Almacén de retiro]],"")</f>
        <v/>
      </c>
      <c r="BE445" s="52" t="str">
        <f>IFERROR(OLDBD[[#This Row],[Fin de Carga]]-OLDBD[[#This Row],[Inicio de Carga]],"")</f>
        <v/>
      </c>
    </row>
    <row r="446" spans="1:57" x14ac:dyDescent="0.35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6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Salida]]="","",MARÍTIMOS[[#This Row],[Etapa Retiro - Salida]]),"")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Row],[Hora de Carga]]+MARÍTIMOS[[#This Row],[Hora de Posicionamiento]]),"")</f>
        <v/>
      </c>
      <c r="Z446" s="11" t="str">
        <f>IFERROR(IF(MARÍTIMOS[[#This Row],[Etapa Despacho -  Llegada]]="","",MARÍTIMOS[[#This Row],[Etapa Despacho -  Llegada]]),"")</f>
        <v/>
      </c>
      <c r="AA446" s="11" t="str">
        <f>IFERROR(IF(MARÍTIMOS[[#This Row],[Etapa Despacho -  Registro]]="","",MARÍTIMOS[[#This Row],[Etapa Despacho - 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 Inicio de Carga]]="","",MARÍTIMOS[[#This Row],[Etapa Despacho -  Inicio de Carga]]),"")</f>
        <v/>
      </c>
      <c r="AD446" s="11" t="str">
        <f>IFERROR(IF(MARÍTIMOS[[#This Row],[Etapa Despacho -  Fin de Carga]]="","",MARÍTIMOS[[#This Row],[Etapa Despacho -  Fin de Carga]]),"")</f>
        <v/>
      </c>
      <c r="AE446" s="11" t="str">
        <f>IFERROR(IF(MARÍTIMOS[[#This Row],[Etapa Despacho -  Salida]]="","",MARÍTIMOS[[#This Row],[Etapa Despacho -  Salida]]),"")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5" t="s">
        <v>181</v>
      </c>
      <c r="BB446" s="53" t="str">
        <f>IFERROR(IF(MARÍTIMOS[[#This Row],[Estatus]]="","",MARÍTIMOS[[#This Row],[Estatus]]),"")</f>
        <v/>
      </c>
      <c r="BC446" s="45"/>
      <c r="BD446" s="52" t="str">
        <f>IFERROR(OLDBD[[#This Row],[Salida de almacén de retiro]]-OLDBD[[#This Row],[Ingreso Almacén de retiro]],"")</f>
        <v/>
      </c>
      <c r="BE446" s="52" t="str">
        <f>IFERROR(OLDBD[[#This Row],[Fin de Carga]]-OLDBD[[#This Row],[Inicio de Carga]],"")</f>
        <v/>
      </c>
    </row>
    <row r="447" spans="1:57" x14ac:dyDescent="0.35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6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Salida]]="","",MARÍTIMOS[[#This Row],[Etapa Retiro - Salida]]),"")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Row],[Hora de Carga]]+MARÍTIMOS[[#This Row],[Hora de Posicionamiento]]),"")</f>
        <v/>
      </c>
      <c r="Z447" s="11" t="str">
        <f>IFERROR(IF(MARÍTIMOS[[#This Row],[Etapa Despacho -  Llegada]]="","",MARÍTIMOS[[#This Row],[Etapa Despacho -  Llegada]]),"")</f>
        <v/>
      </c>
      <c r="AA447" s="11" t="str">
        <f>IFERROR(IF(MARÍTIMOS[[#This Row],[Etapa Despacho -  Registro]]="","",MARÍTIMOS[[#This Row],[Etapa Despacho - 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 Inicio de Carga]]="","",MARÍTIMOS[[#This Row],[Etapa Despacho -  Inicio de Carga]]),"")</f>
        <v/>
      </c>
      <c r="AD447" s="11" t="str">
        <f>IFERROR(IF(MARÍTIMOS[[#This Row],[Etapa Despacho -  Fin de Carga]]="","",MARÍTIMOS[[#This Row],[Etapa Despacho -  Fin de Carga]]),"")</f>
        <v/>
      </c>
      <c r="AE447" s="11" t="str">
        <f>IFERROR(IF(MARÍTIMOS[[#This Row],[Etapa Despacho -  Salida]]="","",MARÍTIMOS[[#This Row],[Etapa Despacho -  Salida]]),"")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5" t="s">
        <v>181</v>
      </c>
      <c r="BB447" s="53" t="str">
        <f>IFERROR(IF(MARÍTIMOS[[#This Row],[Estatus]]="","",MARÍTIMOS[[#This Row],[Estatus]]),"")</f>
        <v/>
      </c>
      <c r="BC447" s="45"/>
      <c r="BD447" s="52" t="str">
        <f>IFERROR(OLDBD[[#This Row],[Salida de almacén de retiro]]-OLDBD[[#This Row],[Ingreso Almacén de retiro]],"")</f>
        <v/>
      </c>
      <c r="BE447" s="52" t="str">
        <f>IFERROR(OLDBD[[#This Row],[Fin de Carga]]-OLDBD[[#This Row],[Inicio de Carga]],"")</f>
        <v/>
      </c>
    </row>
    <row r="448" spans="1:57" x14ac:dyDescent="0.35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6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Salida]]="","",MARÍTIMOS[[#This Row],[Etapa Retiro - Salida]]),"")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Row],[Hora de Carga]]+MARÍTIMOS[[#This Row],[Hora de Posicionamiento]]),"")</f>
        <v/>
      </c>
      <c r="Z448" s="11" t="str">
        <f>IFERROR(IF(MARÍTIMOS[[#This Row],[Etapa Despacho -  Llegada]]="","",MARÍTIMOS[[#This Row],[Etapa Despacho -  Llegada]]),"")</f>
        <v/>
      </c>
      <c r="AA448" s="11" t="str">
        <f>IFERROR(IF(MARÍTIMOS[[#This Row],[Etapa Despacho -  Registro]]="","",MARÍTIMOS[[#This Row],[Etapa Despacho - 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 Inicio de Carga]]="","",MARÍTIMOS[[#This Row],[Etapa Despacho -  Inicio de Carga]]),"")</f>
        <v/>
      </c>
      <c r="AD448" s="11" t="str">
        <f>IFERROR(IF(MARÍTIMOS[[#This Row],[Etapa Despacho -  Fin de Carga]]="","",MARÍTIMOS[[#This Row],[Etapa Despacho -  Fin de Carga]]),"")</f>
        <v/>
      </c>
      <c r="AE448" s="11" t="str">
        <f>IFERROR(IF(MARÍTIMOS[[#This Row],[Etapa Despacho -  Salida]]="","",MARÍTIMOS[[#This Row],[Etapa Despacho -  Salida]]),"")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5" t="s">
        <v>181</v>
      </c>
      <c r="BB448" s="53" t="str">
        <f>IFERROR(IF(MARÍTIMOS[[#This Row],[Estatus]]="","",MARÍTIMOS[[#This Row],[Estatus]]),"")</f>
        <v/>
      </c>
      <c r="BC448" s="45"/>
      <c r="BD448" s="52" t="str">
        <f>IFERROR(OLDBD[[#This Row],[Salida de almacén de retiro]]-OLDBD[[#This Row],[Ingreso Almacén de retiro]],"")</f>
        <v/>
      </c>
      <c r="BE448" s="52" t="str">
        <f>IFERROR(OLDBD[[#This Row],[Fin de Carga]]-OLDBD[[#This Row],[Inicio de Carga]],"")</f>
        <v/>
      </c>
    </row>
    <row r="449" spans="1:57" x14ac:dyDescent="0.35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6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Salida]]="","",MARÍTIMOS[[#This Row],[Etapa Retiro - Salida]]),"")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Row],[Hora de Carga]]+MARÍTIMOS[[#This Row],[Hora de Posicionamiento]]),"")</f>
        <v/>
      </c>
      <c r="Z449" s="11" t="str">
        <f>IFERROR(IF(MARÍTIMOS[[#This Row],[Etapa Despacho -  Llegada]]="","",MARÍTIMOS[[#This Row],[Etapa Despacho -  Llegada]]),"")</f>
        <v/>
      </c>
      <c r="AA449" s="11" t="str">
        <f>IFERROR(IF(MARÍTIMOS[[#This Row],[Etapa Despacho -  Registro]]="","",MARÍTIMOS[[#This Row],[Etapa Despacho - 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 Inicio de Carga]]="","",MARÍTIMOS[[#This Row],[Etapa Despacho -  Inicio de Carga]]),"")</f>
        <v/>
      </c>
      <c r="AD449" s="11" t="str">
        <f>IFERROR(IF(MARÍTIMOS[[#This Row],[Etapa Despacho -  Fin de Carga]]="","",MARÍTIMOS[[#This Row],[Etapa Despacho -  Fin de Carga]]),"")</f>
        <v/>
      </c>
      <c r="AE449" s="11" t="str">
        <f>IFERROR(IF(MARÍTIMOS[[#This Row],[Etapa Despacho -  Salida]]="","",MARÍTIMOS[[#This Row],[Etapa Despacho -  Salida]]),"")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5" t="s">
        <v>181</v>
      </c>
      <c r="BB449" s="53" t="str">
        <f>IFERROR(IF(MARÍTIMOS[[#This Row],[Estatus]]="","",MARÍTIMOS[[#This Row],[Estatus]]),"")</f>
        <v/>
      </c>
      <c r="BC449" s="45"/>
      <c r="BD449" s="52" t="str">
        <f>IFERROR(OLDBD[[#This Row],[Salida de almacén de retiro]]-OLDBD[[#This Row],[Ingreso Almacén de retiro]],"")</f>
        <v/>
      </c>
      <c r="BE449" s="52" t="str">
        <f>IFERROR(OLDBD[[#This Row],[Fin de Carga]]-OLDBD[[#This Row],[Inicio de Carga]],"")</f>
        <v/>
      </c>
    </row>
    <row r="450" spans="1:57" x14ac:dyDescent="0.35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6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Salida]]="","",MARÍTIMOS[[#This Row],[Etapa Retiro - Salida]]),"")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Row],[Hora de Carga]]+MARÍTIMOS[[#This Row],[Hora de Posicionamiento]]),"")</f>
        <v/>
      </c>
      <c r="Z450" s="11" t="str">
        <f>IFERROR(IF(MARÍTIMOS[[#This Row],[Etapa Despacho -  Llegada]]="","",MARÍTIMOS[[#This Row],[Etapa Despacho -  Llegada]]),"")</f>
        <v/>
      </c>
      <c r="AA450" s="11" t="str">
        <f>IFERROR(IF(MARÍTIMOS[[#This Row],[Etapa Despacho -  Registro]]="","",MARÍTIMOS[[#This Row],[Etapa Despacho - 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 Inicio de Carga]]="","",MARÍTIMOS[[#This Row],[Etapa Despacho -  Inicio de Carga]]),"")</f>
        <v/>
      </c>
      <c r="AD450" s="11" t="str">
        <f>IFERROR(IF(MARÍTIMOS[[#This Row],[Etapa Despacho -  Fin de Carga]]="","",MARÍTIMOS[[#This Row],[Etapa Despacho -  Fin de Carga]]),"")</f>
        <v/>
      </c>
      <c r="AE450" s="11" t="str">
        <f>IFERROR(IF(MARÍTIMOS[[#This Row],[Etapa Despacho -  Salida]]="","",MARÍTIMOS[[#This Row],[Etapa Despacho -  Salida]]),"")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5" t="s">
        <v>181</v>
      </c>
      <c r="BB450" s="53" t="str">
        <f>IFERROR(IF(MARÍTIMOS[[#This Row],[Estatus]]="","",MARÍTIMOS[[#This Row],[Estatus]]),"")</f>
        <v/>
      </c>
      <c r="BC450" s="45"/>
      <c r="BD450" s="52" t="str">
        <f>IFERROR(OLDBD[[#This Row],[Salida de almacén de retiro]]-OLDBD[[#This Row],[Ingreso Almacén de retiro]],"")</f>
        <v/>
      </c>
      <c r="BE450" s="52" t="str">
        <f>IFERROR(OLDBD[[#This Row],[Fin de Carga]]-OLDBD[[#This Row],[Inicio de Carga]],"")</f>
        <v/>
      </c>
    </row>
    <row r="451" spans="1:57" x14ac:dyDescent="0.35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6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Salida]]="","",MARÍTIMOS[[#This Row],[Etapa Retiro - Salida]]),"")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Row],[Hora de Carga]]+MARÍTIMOS[[#This Row],[Hora de Posicionamiento]]),"")</f>
        <v/>
      </c>
      <c r="Z451" s="11" t="str">
        <f>IFERROR(IF(MARÍTIMOS[[#This Row],[Etapa Despacho -  Llegada]]="","",MARÍTIMOS[[#This Row],[Etapa Despacho -  Llegada]]),"")</f>
        <v/>
      </c>
      <c r="AA451" s="11" t="str">
        <f>IFERROR(IF(MARÍTIMOS[[#This Row],[Etapa Despacho -  Registro]]="","",MARÍTIMOS[[#This Row],[Etapa Despacho - 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 Inicio de Carga]]="","",MARÍTIMOS[[#This Row],[Etapa Despacho -  Inicio de Carga]]),"")</f>
        <v/>
      </c>
      <c r="AD451" s="11" t="str">
        <f>IFERROR(IF(MARÍTIMOS[[#This Row],[Etapa Despacho -  Fin de Carga]]="","",MARÍTIMOS[[#This Row],[Etapa Despacho -  Fin de Carga]]),"")</f>
        <v/>
      </c>
      <c r="AE451" s="11" t="str">
        <f>IFERROR(IF(MARÍTIMOS[[#This Row],[Etapa Despacho -  Salida]]="","",MARÍTIMOS[[#This Row],[Etapa Despacho -  Salida]]),"")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5" t="s">
        <v>181</v>
      </c>
      <c r="BB451" s="53" t="str">
        <f>IFERROR(IF(MARÍTIMOS[[#This Row],[Estatus]]="","",MARÍTIMOS[[#This Row],[Estatus]]),"")</f>
        <v/>
      </c>
      <c r="BC451" s="45"/>
      <c r="BD451" s="52" t="str">
        <f>IFERROR(OLDBD[[#This Row],[Salida de almacén de retiro]]-OLDBD[[#This Row],[Ingreso Almacén de retiro]],"")</f>
        <v/>
      </c>
      <c r="BE451" s="52" t="str">
        <f>IFERROR(OLDBD[[#This Row],[Fin de Carga]]-OLDBD[[#This Row],[Inicio de Carga]],"")</f>
        <v/>
      </c>
    </row>
    <row r="452" spans="1:57" x14ac:dyDescent="0.35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6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Salida]]="","",MARÍTIMOS[[#This Row],[Etapa Retiro - Salida]]),"")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Row],[Hora de Carga]]+MARÍTIMOS[[#This Row],[Hora de Posicionamiento]]),"")</f>
        <v/>
      </c>
      <c r="Z452" s="11" t="str">
        <f>IFERROR(IF(MARÍTIMOS[[#This Row],[Etapa Despacho -  Llegada]]="","",MARÍTIMOS[[#This Row],[Etapa Despacho -  Llegada]]),"")</f>
        <v/>
      </c>
      <c r="AA452" s="11" t="str">
        <f>IFERROR(IF(MARÍTIMOS[[#This Row],[Etapa Despacho -  Registro]]="","",MARÍTIMOS[[#This Row],[Etapa Despacho - 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 Inicio de Carga]]="","",MARÍTIMOS[[#This Row],[Etapa Despacho -  Inicio de Carga]]),"")</f>
        <v/>
      </c>
      <c r="AD452" s="11" t="str">
        <f>IFERROR(IF(MARÍTIMOS[[#This Row],[Etapa Despacho -  Fin de Carga]]="","",MARÍTIMOS[[#This Row],[Etapa Despacho -  Fin de Carga]]),"")</f>
        <v/>
      </c>
      <c r="AE452" s="11" t="str">
        <f>IFERROR(IF(MARÍTIMOS[[#This Row],[Etapa Despacho -  Salida]]="","",MARÍTIMOS[[#This Row],[Etapa Despacho -  Salida]]),"")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5" t="s">
        <v>181</v>
      </c>
      <c r="BB452" s="53" t="str">
        <f>IFERROR(IF(MARÍTIMOS[[#This Row],[Estatus]]="","",MARÍTIMOS[[#This Row],[Estatus]]),"")</f>
        <v/>
      </c>
      <c r="BC452" s="45"/>
      <c r="BD452" s="52" t="str">
        <f>IFERROR(OLDBD[[#This Row],[Salida de almacén de retiro]]-OLDBD[[#This Row],[Ingreso Almacén de retiro]],"")</f>
        <v/>
      </c>
      <c r="BE452" s="52" t="str">
        <f>IFERROR(OLDBD[[#This Row],[Fin de Carga]]-OLDBD[[#This Row],[Inicio de Carga]],"")</f>
        <v/>
      </c>
    </row>
    <row r="453" spans="1:57" x14ac:dyDescent="0.35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6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Salida]]="","",MARÍTIMOS[[#This Row],[Etapa Retiro - Salida]]),"")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Row],[Hora de Carga]]+MARÍTIMOS[[#This Row],[Hora de Posicionamiento]]),"")</f>
        <v/>
      </c>
      <c r="Z453" s="11" t="str">
        <f>IFERROR(IF(MARÍTIMOS[[#This Row],[Etapa Despacho -  Llegada]]="","",MARÍTIMOS[[#This Row],[Etapa Despacho -  Llegada]]),"")</f>
        <v/>
      </c>
      <c r="AA453" s="11" t="str">
        <f>IFERROR(IF(MARÍTIMOS[[#This Row],[Etapa Despacho -  Registro]]="","",MARÍTIMOS[[#This Row],[Etapa Despacho - 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 Inicio de Carga]]="","",MARÍTIMOS[[#This Row],[Etapa Despacho -  Inicio de Carga]]),"")</f>
        <v/>
      </c>
      <c r="AD453" s="11" t="str">
        <f>IFERROR(IF(MARÍTIMOS[[#This Row],[Etapa Despacho -  Fin de Carga]]="","",MARÍTIMOS[[#This Row],[Etapa Despacho -  Fin de Carga]]),"")</f>
        <v/>
      </c>
      <c r="AE453" s="11" t="str">
        <f>IFERROR(IF(MARÍTIMOS[[#This Row],[Etapa Despacho -  Salida]]="","",MARÍTIMOS[[#This Row],[Etapa Despacho -  Salida]]),"")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5" t="s">
        <v>181</v>
      </c>
      <c r="BB453" s="53" t="str">
        <f>IFERROR(IF(MARÍTIMOS[[#This Row],[Estatus]]="","",MARÍTIMOS[[#This Row],[Estatus]]),"")</f>
        <v/>
      </c>
      <c r="BC453" s="45"/>
      <c r="BD453" s="52" t="str">
        <f>IFERROR(OLDBD[[#This Row],[Salida de almacén de retiro]]-OLDBD[[#This Row],[Ingreso Almacén de retiro]],"")</f>
        <v/>
      </c>
      <c r="BE453" s="52" t="str">
        <f>IFERROR(OLDBD[[#This Row],[Fin de Carga]]-OLDBD[[#This Row],[Inicio de Carga]],"")</f>
        <v/>
      </c>
    </row>
    <row r="454" spans="1:57" x14ac:dyDescent="0.35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6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Salida]]="","",MARÍTIMOS[[#This Row],[Etapa Retiro - Salida]]),"")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Row],[Hora de Carga]]+MARÍTIMOS[[#This Row],[Hora de Posicionamiento]]),"")</f>
        <v/>
      </c>
      <c r="Z454" s="11" t="str">
        <f>IFERROR(IF(MARÍTIMOS[[#This Row],[Etapa Despacho -  Llegada]]="","",MARÍTIMOS[[#This Row],[Etapa Despacho -  Llegada]]),"")</f>
        <v/>
      </c>
      <c r="AA454" s="11" t="str">
        <f>IFERROR(IF(MARÍTIMOS[[#This Row],[Etapa Despacho -  Registro]]="","",MARÍTIMOS[[#This Row],[Etapa Despacho - 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 Inicio de Carga]]="","",MARÍTIMOS[[#This Row],[Etapa Despacho -  Inicio de Carga]]),"")</f>
        <v/>
      </c>
      <c r="AD454" s="11" t="str">
        <f>IFERROR(IF(MARÍTIMOS[[#This Row],[Etapa Despacho -  Fin de Carga]]="","",MARÍTIMOS[[#This Row],[Etapa Despacho -  Fin de Carga]]),"")</f>
        <v/>
      </c>
      <c r="AE454" s="11" t="str">
        <f>IFERROR(IF(MARÍTIMOS[[#This Row],[Etapa Despacho -  Salida]]="","",MARÍTIMOS[[#This Row],[Etapa Despacho -  Salida]]),"")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5" t="s">
        <v>181</v>
      </c>
      <c r="BB454" s="53" t="str">
        <f>IFERROR(IF(MARÍTIMOS[[#This Row],[Estatus]]="","",MARÍTIMOS[[#This Row],[Estatus]]),"")</f>
        <v/>
      </c>
      <c r="BC454" s="45"/>
      <c r="BD454" s="52" t="str">
        <f>IFERROR(OLDBD[[#This Row],[Salida de almacén de retiro]]-OLDBD[[#This Row],[Ingreso Almacén de retiro]],"")</f>
        <v/>
      </c>
      <c r="BE454" s="52" t="str">
        <f>IFERROR(OLDBD[[#This Row],[Fin de Carga]]-OLDBD[[#This Row],[Inicio de Carga]],"")</f>
        <v/>
      </c>
    </row>
    <row r="455" spans="1:57" x14ac:dyDescent="0.35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6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Salida]]="","",MARÍTIMOS[[#This Row],[Etapa Retiro - Salida]]),"")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Row],[Hora de Carga]]+MARÍTIMOS[[#This Row],[Hora de Posicionamiento]]),"")</f>
        <v/>
      </c>
      <c r="Z455" s="11" t="str">
        <f>IFERROR(IF(MARÍTIMOS[[#This Row],[Etapa Despacho -  Llegada]]="","",MARÍTIMOS[[#This Row],[Etapa Despacho -  Llegada]]),"")</f>
        <v/>
      </c>
      <c r="AA455" s="11" t="str">
        <f>IFERROR(IF(MARÍTIMOS[[#This Row],[Etapa Despacho -  Registro]]="","",MARÍTIMOS[[#This Row],[Etapa Despacho - 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 Inicio de Carga]]="","",MARÍTIMOS[[#This Row],[Etapa Despacho -  Inicio de Carga]]),"")</f>
        <v/>
      </c>
      <c r="AD455" s="11" t="str">
        <f>IFERROR(IF(MARÍTIMOS[[#This Row],[Etapa Despacho -  Fin de Carga]]="","",MARÍTIMOS[[#This Row],[Etapa Despacho -  Fin de Carga]]),"")</f>
        <v/>
      </c>
      <c r="AE455" s="11" t="str">
        <f>IFERROR(IF(MARÍTIMOS[[#This Row],[Etapa Despacho -  Salida]]="","",MARÍTIMOS[[#This Row],[Etapa Despacho -  Salida]]),"")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5" t="s">
        <v>181</v>
      </c>
      <c r="BB455" s="53" t="str">
        <f>IFERROR(IF(MARÍTIMOS[[#This Row],[Estatus]]="","",MARÍTIMOS[[#This Row],[Estatus]]),"")</f>
        <v/>
      </c>
      <c r="BC455" s="45"/>
      <c r="BD455" s="52" t="str">
        <f>IFERROR(OLDBD[[#This Row],[Salida de almacén de retiro]]-OLDBD[[#This Row],[Ingreso Almacén de retiro]],"")</f>
        <v/>
      </c>
      <c r="BE455" s="52" t="str">
        <f>IFERROR(OLDBD[[#This Row],[Fin de Carga]]-OLDBD[[#This Row],[Inicio de Carga]],"")</f>
        <v/>
      </c>
    </row>
    <row r="456" spans="1:57" x14ac:dyDescent="0.35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6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Salida]]="","",MARÍTIMOS[[#This Row],[Etapa Retiro - Salida]]),"")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Row],[Hora de Carga]]+MARÍTIMOS[[#This Row],[Hora de Posicionamiento]]),"")</f>
        <v/>
      </c>
      <c r="Z456" s="11" t="str">
        <f>IFERROR(IF(MARÍTIMOS[[#This Row],[Etapa Despacho -  Llegada]]="","",MARÍTIMOS[[#This Row],[Etapa Despacho -  Llegada]]),"")</f>
        <v/>
      </c>
      <c r="AA456" s="11" t="str">
        <f>IFERROR(IF(MARÍTIMOS[[#This Row],[Etapa Despacho -  Registro]]="","",MARÍTIMOS[[#This Row],[Etapa Despacho - 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 Inicio de Carga]]="","",MARÍTIMOS[[#This Row],[Etapa Despacho -  Inicio de Carga]]),"")</f>
        <v/>
      </c>
      <c r="AD456" s="11" t="str">
        <f>IFERROR(IF(MARÍTIMOS[[#This Row],[Etapa Despacho -  Fin de Carga]]="","",MARÍTIMOS[[#This Row],[Etapa Despacho -  Fin de Carga]]),"")</f>
        <v/>
      </c>
      <c r="AE456" s="11" t="str">
        <f>IFERROR(IF(MARÍTIMOS[[#This Row],[Etapa Despacho -  Salida]]="","",MARÍTIMOS[[#This Row],[Etapa Despacho -  Salida]]),"")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5" t="s">
        <v>181</v>
      </c>
      <c r="BB456" s="53" t="str">
        <f>IFERROR(IF(MARÍTIMOS[[#This Row],[Estatus]]="","",MARÍTIMOS[[#This Row],[Estatus]]),"")</f>
        <v/>
      </c>
      <c r="BC456" s="45"/>
      <c r="BD456" s="52" t="str">
        <f>IFERROR(OLDBD[[#This Row],[Salida de almacén de retiro]]-OLDBD[[#This Row],[Ingreso Almacén de retiro]],"")</f>
        <v/>
      </c>
      <c r="BE456" s="52" t="str">
        <f>IFERROR(OLDBD[[#This Row],[Fin de Carga]]-OLDBD[[#This Row],[Inicio de Carga]],"")</f>
        <v/>
      </c>
    </row>
    <row r="457" spans="1:57" x14ac:dyDescent="0.35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6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Salida]]="","",MARÍTIMOS[[#This Row],[Etapa Retiro - Salida]]),"")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Row],[Hora de Carga]]+MARÍTIMOS[[#This Row],[Hora de Posicionamiento]]),"")</f>
        <v/>
      </c>
      <c r="Z457" s="11" t="str">
        <f>IFERROR(IF(MARÍTIMOS[[#This Row],[Etapa Despacho -  Llegada]]="","",MARÍTIMOS[[#This Row],[Etapa Despacho -  Llegada]]),"")</f>
        <v/>
      </c>
      <c r="AA457" s="11" t="str">
        <f>IFERROR(IF(MARÍTIMOS[[#This Row],[Etapa Despacho -  Registro]]="","",MARÍTIMOS[[#This Row],[Etapa Despacho - 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 Inicio de Carga]]="","",MARÍTIMOS[[#This Row],[Etapa Despacho -  Inicio de Carga]]),"")</f>
        <v/>
      </c>
      <c r="AD457" s="11" t="str">
        <f>IFERROR(IF(MARÍTIMOS[[#This Row],[Etapa Despacho -  Fin de Carga]]="","",MARÍTIMOS[[#This Row],[Etapa Despacho -  Fin de Carga]]),"")</f>
        <v/>
      </c>
      <c r="AE457" s="11" t="str">
        <f>IFERROR(IF(MARÍTIMOS[[#This Row],[Etapa Despacho -  Salida]]="","",MARÍTIMOS[[#This Row],[Etapa Despacho -  Salida]]),"")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5" t="s">
        <v>181</v>
      </c>
      <c r="BB457" s="53" t="str">
        <f>IFERROR(IF(MARÍTIMOS[[#This Row],[Estatus]]="","",MARÍTIMOS[[#This Row],[Estatus]]),"")</f>
        <v/>
      </c>
      <c r="BC457" s="45"/>
      <c r="BD457" s="52" t="str">
        <f>IFERROR(OLDBD[[#This Row],[Salida de almacén de retiro]]-OLDBD[[#This Row],[Ingreso Almacén de retiro]],"")</f>
        <v/>
      </c>
      <c r="BE457" s="52" t="str">
        <f>IFERROR(OLDBD[[#This Row],[Fin de Carga]]-OLDBD[[#This Row],[Inicio de Carga]],"")</f>
        <v/>
      </c>
    </row>
    <row r="458" spans="1:57" x14ac:dyDescent="0.35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6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Salida]]="","",MARÍTIMOS[[#This Row],[Etapa Retiro - Salida]]),"")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Row],[Hora de Carga]]+MARÍTIMOS[[#This Row],[Hora de Posicionamiento]]),"")</f>
        <v/>
      </c>
      <c r="Z458" s="11" t="str">
        <f>IFERROR(IF(MARÍTIMOS[[#This Row],[Etapa Despacho -  Llegada]]="","",MARÍTIMOS[[#This Row],[Etapa Despacho -  Llegada]]),"")</f>
        <v/>
      </c>
      <c r="AA458" s="11" t="str">
        <f>IFERROR(IF(MARÍTIMOS[[#This Row],[Etapa Despacho -  Registro]]="","",MARÍTIMOS[[#This Row],[Etapa Despacho - 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 Inicio de Carga]]="","",MARÍTIMOS[[#This Row],[Etapa Despacho -  Inicio de Carga]]),"")</f>
        <v/>
      </c>
      <c r="AD458" s="11" t="str">
        <f>IFERROR(IF(MARÍTIMOS[[#This Row],[Etapa Despacho -  Fin de Carga]]="","",MARÍTIMOS[[#This Row],[Etapa Despacho -  Fin de Carga]]),"")</f>
        <v/>
      </c>
      <c r="AE458" s="11" t="str">
        <f>IFERROR(IF(MARÍTIMOS[[#This Row],[Etapa Despacho -  Salida]]="","",MARÍTIMOS[[#This Row],[Etapa Despacho -  Salida]]),"")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5" t="s">
        <v>181</v>
      </c>
      <c r="BB458" s="53" t="str">
        <f>IFERROR(IF(MARÍTIMOS[[#This Row],[Estatus]]="","",MARÍTIMOS[[#This Row],[Estatus]]),"")</f>
        <v/>
      </c>
      <c r="BC458" s="45"/>
      <c r="BD458" s="52" t="str">
        <f>IFERROR(OLDBD[[#This Row],[Salida de almacén de retiro]]-OLDBD[[#This Row],[Ingreso Almacén de retiro]],"")</f>
        <v/>
      </c>
      <c r="BE458" s="52" t="str">
        <f>IFERROR(OLDBD[[#This Row],[Fin de Carga]]-OLDBD[[#This Row],[Inicio de Carga]],"")</f>
        <v/>
      </c>
    </row>
    <row r="459" spans="1:57" x14ac:dyDescent="0.35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6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Salida]]="","",MARÍTIMOS[[#This Row],[Etapa Retiro - Salida]]),"")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Row],[Hora de Carga]]+MARÍTIMOS[[#This Row],[Hora de Posicionamiento]]),"")</f>
        <v/>
      </c>
      <c r="Z459" s="11" t="str">
        <f>IFERROR(IF(MARÍTIMOS[[#This Row],[Etapa Despacho -  Llegada]]="","",MARÍTIMOS[[#This Row],[Etapa Despacho -  Llegada]]),"")</f>
        <v/>
      </c>
      <c r="AA459" s="11" t="str">
        <f>IFERROR(IF(MARÍTIMOS[[#This Row],[Etapa Despacho -  Registro]]="","",MARÍTIMOS[[#This Row],[Etapa Despacho - 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 Inicio de Carga]]="","",MARÍTIMOS[[#This Row],[Etapa Despacho -  Inicio de Carga]]),"")</f>
        <v/>
      </c>
      <c r="AD459" s="11" t="str">
        <f>IFERROR(IF(MARÍTIMOS[[#This Row],[Etapa Despacho -  Fin de Carga]]="","",MARÍTIMOS[[#This Row],[Etapa Despacho -  Fin de Carga]]),"")</f>
        <v/>
      </c>
      <c r="AE459" s="11" t="str">
        <f>IFERROR(IF(MARÍTIMOS[[#This Row],[Etapa Despacho -  Salida]]="","",MARÍTIMOS[[#This Row],[Etapa Despacho -  Salida]]),"")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5" t="s">
        <v>181</v>
      </c>
      <c r="BB459" s="53" t="str">
        <f>IFERROR(IF(MARÍTIMOS[[#This Row],[Estatus]]="","",MARÍTIMOS[[#This Row],[Estatus]]),"")</f>
        <v/>
      </c>
      <c r="BC459" s="45"/>
      <c r="BD459" s="52" t="str">
        <f>IFERROR(OLDBD[[#This Row],[Salida de almacén de retiro]]-OLDBD[[#This Row],[Ingreso Almacén de retiro]],"")</f>
        <v/>
      </c>
      <c r="BE459" s="52" t="str">
        <f>IFERROR(OLDBD[[#This Row],[Fin de Carga]]-OLDBD[[#This Row],[Inicio de Carga]],"")</f>
        <v/>
      </c>
    </row>
    <row r="460" spans="1:57" x14ac:dyDescent="0.35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6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Salida]]="","",MARÍTIMOS[[#This Row],[Etapa Retiro - Salida]]),"")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Row],[Hora de Carga]]+MARÍTIMOS[[#This Row],[Hora de Posicionamiento]]),"")</f>
        <v/>
      </c>
      <c r="Z460" s="11" t="str">
        <f>IFERROR(IF(MARÍTIMOS[[#This Row],[Etapa Despacho -  Llegada]]="","",MARÍTIMOS[[#This Row],[Etapa Despacho -  Llegada]]),"")</f>
        <v/>
      </c>
      <c r="AA460" s="11" t="str">
        <f>IFERROR(IF(MARÍTIMOS[[#This Row],[Etapa Despacho -  Registro]]="","",MARÍTIMOS[[#This Row],[Etapa Despacho - 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 Inicio de Carga]]="","",MARÍTIMOS[[#This Row],[Etapa Despacho -  Inicio de Carga]]),"")</f>
        <v/>
      </c>
      <c r="AD460" s="11" t="str">
        <f>IFERROR(IF(MARÍTIMOS[[#This Row],[Etapa Despacho -  Fin de Carga]]="","",MARÍTIMOS[[#This Row],[Etapa Despacho -  Fin de Carga]]),"")</f>
        <v/>
      </c>
      <c r="AE460" s="11" t="str">
        <f>IFERROR(IF(MARÍTIMOS[[#This Row],[Etapa Despacho -  Salida]]="","",MARÍTIMOS[[#This Row],[Etapa Despacho -  Salida]]),"")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5" t="s">
        <v>181</v>
      </c>
      <c r="BB460" s="53" t="str">
        <f>IFERROR(IF(MARÍTIMOS[[#This Row],[Estatus]]="","",MARÍTIMOS[[#This Row],[Estatus]]),"")</f>
        <v/>
      </c>
      <c r="BC460" s="45"/>
      <c r="BD460" s="52" t="str">
        <f>IFERROR(OLDBD[[#This Row],[Salida de almacén de retiro]]-OLDBD[[#This Row],[Ingreso Almacén de retiro]],"")</f>
        <v/>
      </c>
      <c r="BE460" s="52" t="str">
        <f>IFERROR(OLDBD[[#This Row],[Fin de Carga]]-OLDBD[[#This Row],[Inicio de Carga]],"")</f>
        <v/>
      </c>
    </row>
    <row r="461" spans="1:57" x14ac:dyDescent="0.35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6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Salida]]="","",MARÍTIMOS[[#This Row],[Etapa Retiro - Salida]]),"")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Row],[Hora de Carga]]+MARÍTIMOS[[#This Row],[Hora de Posicionamiento]]),"")</f>
        <v/>
      </c>
      <c r="Z461" s="11" t="str">
        <f>IFERROR(IF(MARÍTIMOS[[#This Row],[Etapa Despacho -  Llegada]]="","",MARÍTIMOS[[#This Row],[Etapa Despacho -  Llegada]]),"")</f>
        <v/>
      </c>
      <c r="AA461" s="11" t="str">
        <f>IFERROR(IF(MARÍTIMOS[[#This Row],[Etapa Despacho -  Registro]]="","",MARÍTIMOS[[#This Row],[Etapa Despacho - 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 Inicio de Carga]]="","",MARÍTIMOS[[#This Row],[Etapa Despacho -  Inicio de Carga]]),"")</f>
        <v/>
      </c>
      <c r="AD461" s="11" t="str">
        <f>IFERROR(IF(MARÍTIMOS[[#This Row],[Etapa Despacho -  Fin de Carga]]="","",MARÍTIMOS[[#This Row],[Etapa Despacho -  Fin de Carga]]),"")</f>
        <v/>
      </c>
      <c r="AE461" s="11" t="str">
        <f>IFERROR(IF(MARÍTIMOS[[#This Row],[Etapa Despacho -  Salida]]="","",MARÍTIMOS[[#This Row],[Etapa Despacho -  Salida]]),"")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5" t="s">
        <v>181</v>
      </c>
      <c r="BB461" s="53" t="str">
        <f>IFERROR(IF(MARÍTIMOS[[#This Row],[Estatus]]="","",MARÍTIMOS[[#This Row],[Estatus]]),"")</f>
        <v/>
      </c>
      <c r="BC461" s="45"/>
      <c r="BD461" s="52" t="str">
        <f>IFERROR(OLDBD[[#This Row],[Salida de almacén de retiro]]-OLDBD[[#This Row],[Ingreso Almacén de retiro]],"")</f>
        <v/>
      </c>
      <c r="BE461" s="52" t="str">
        <f>IFERROR(OLDBD[[#This Row],[Fin de Carga]]-OLDBD[[#This Row],[Inicio de Carga]],"")</f>
        <v/>
      </c>
    </row>
    <row r="462" spans="1:57" x14ac:dyDescent="0.35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6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Salida]]="","",MARÍTIMOS[[#This Row],[Etapa Retiro - Salida]]),"")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Row],[Hora de Carga]]+MARÍTIMOS[[#This Row],[Hora de Posicionamiento]]),"")</f>
        <v/>
      </c>
      <c r="Z462" s="11" t="str">
        <f>IFERROR(IF(MARÍTIMOS[[#This Row],[Etapa Despacho -  Llegada]]="","",MARÍTIMOS[[#This Row],[Etapa Despacho -  Llegada]]),"")</f>
        <v/>
      </c>
      <c r="AA462" s="11" t="str">
        <f>IFERROR(IF(MARÍTIMOS[[#This Row],[Etapa Despacho -  Registro]]="","",MARÍTIMOS[[#This Row],[Etapa Despacho - 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 Inicio de Carga]]="","",MARÍTIMOS[[#This Row],[Etapa Despacho -  Inicio de Carga]]),"")</f>
        <v/>
      </c>
      <c r="AD462" s="11" t="str">
        <f>IFERROR(IF(MARÍTIMOS[[#This Row],[Etapa Despacho -  Fin de Carga]]="","",MARÍTIMOS[[#This Row],[Etapa Despacho -  Fin de Carga]]),"")</f>
        <v/>
      </c>
      <c r="AE462" s="11" t="str">
        <f>IFERROR(IF(MARÍTIMOS[[#This Row],[Etapa Despacho -  Salida]]="","",MARÍTIMOS[[#This Row],[Etapa Despacho -  Salida]]),"")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5" t="s">
        <v>181</v>
      </c>
      <c r="BB462" s="53" t="str">
        <f>IFERROR(IF(MARÍTIMOS[[#This Row],[Estatus]]="","",MARÍTIMOS[[#This Row],[Estatus]]),"")</f>
        <v/>
      </c>
      <c r="BC462" s="45"/>
      <c r="BD462" s="52" t="str">
        <f>IFERROR(OLDBD[[#This Row],[Salida de almacén de retiro]]-OLDBD[[#This Row],[Ingreso Almacén de retiro]],"")</f>
        <v/>
      </c>
      <c r="BE462" s="52" t="str">
        <f>IFERROR(OLDBD[[#This Row],[Fin de Carga]]-OLDBD[[#This Row],[Inicio de Carga]],"")</f>
        <v/>
      </c>
    </row>
    <row r="463" spans="1:57" x14ac:dyDescent="0.35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6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Salida]]="","",MARÍTIMOS[[#This Row],[Etapa Retiro - Salida]]),"")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Row],[Hora de Carga]]+MARÍTIMOS[[#This Row],[Hora de Posicionamiento]]),"")</f>
        <v/>
      </c>
      <c r="Z463" s="11" t="str">
        <f>IFERROR(IF(MARÍTIMOS[[#This Row],[Etapa Despacho -  Llegada]]="","",MARÍTIMOS[[#This Row],[Etapa Despacho -  Llegada]]),"")</f>
        <v/>
      </c>
      <c r="AA463" s="11" t="str">
        <f>IFERROR(IF(MARÍTIMOS[[#This Row],[Etapa Despacho -  Registro]]="","",MARÍTIMOS[[#This Row],[Etapa Despacho - 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 Inicio de Carga]]="","",MARÍTIMOS[[#This Row],[Etapa Despacho -  Inicio de Carga]]),"")</f>
        <v/>
      </c>
      <c r="AD463" s="11" t="str">
        <f>IFERROR(IF(MARÍTIMOS[[#This Row],[Etapa Despacho -  Fin de Carga]]="","",MARÍTIMOS[[#This Row],[Etapa Despacho -  Fin de Carga]]),"")</f>
        <v/>
      </c>
      <c r="AE463" s="11" t="str">
        <f>IFERROR(IF(MARÍTIMOS[[#This Row],[Etapa Despacho -  Salida]]="","",MARÍTIMOS[[#This Row],[Etapa Despacho -  Salida]]),"")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5" t="s">
        <v>181</v>
      </c>
      <c r="BB463" s="53" t="str">
        <f>IFERROR(IF(MARÍTIMOS[[#This Row],[Estatus]]="","",MARÍTIMOS[[#This Row],[Estatus]]),"")</f>
        <v/>
      </c>
      <c r="BC463" s="45"/>
      <c r="BD463" s="52" t="str">
        <f>IFERROR(OLDBD[[#This Row],[Salida de almacén de retiro]]-OLDBD[[#This Row],[Ingreso Almacén de retiro]],"")</f>
        <v/>
      </c>
      <c r="BE463" s="52" t="str">
        <f>IFERROR(OLDBD[[#This Row],[Fin de Carga]]-OLDBD[[#This Row],[Inicio de Carga]],"")</f>
        <v/>
      </c>
    </row>
    <row r="464" spans="1:57" x14ac:dyDescent="0.35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6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Salida]]="","",MARÍTIMOS[[#This Row],[Etapa Retiro - Salida]]),"")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Row],[Hora de Carga]]+MARÍTIMOS[[#This Row],[Hora de Posicionamiento]]),"")</f>
        <v/>
      </c>
      <c r="Z464" s="11" t="str">
        <f>IFERROR(IF(MARÍTIMOS[[#This Row],[Etapa Despacho -  Llegada]]="","",MARÍTIMOS[[#This Row],[Etapa Despacho -  Llegada]]),"")</f>
        <v/>
      </c>
      <c r="AA464" s="11" t="str">
        <f>IFERROR(IF(MARÍTIMOS[[#This Row],[Etapa Despacho -  Registro]]="","",MARÍTIMOS[[#This Row],[Etapa Despacho - 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 Inicio de Carga]]="","",MARÍTIMOS[[#This Row],[Etapa Despacho -  Inicio de Carga]]),"")</f>
        <v/>
      </c>
      <c r="AD464" s="11" t="str">
        <f>IFERROR(IF(MARÍTIMOS[[#This Row],[Etapa Despacho -  Fin de Carga]]="","",MARÍTIMOS[[#This Row],[Etapa Despacho -  Fin de Carga]]),"")</f>
        <v/>
      </c>
      <c r="AE464" s="11" t="str">
        <f>IFERROR(IF(MARÍTIMOS[[#This Row],[Etapa Despacho -  Salida]]="","",MARÍTIMOS[[#This Row],[Etapa Despacho -  Salida]]),"")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5" t="s">
        <v>181</v>
      </c>
      <c r="BB464" s="53" t="str">
        <f>IFERROR(IF(MARÍTIMOS[[#This Row],[Estatus]]="","",MARÍTIMOS[[#This Row],[Estatus]]),"")</f>
        <v/>
      </c>
      <c r="BC464" s="45"/>
      <c r="BD464" s="52" t="str">
        <f>IFERROR(OLDBD[[#This Row],[Salida de almacén de retiro]]-OLDBD[[#This Row],[Ingreso Almacén de retiro]],"")</f>
        <v/>
      </c>
      <c r="BE464" s="52" t="str">
        <f>IFERROR(OLDBD[[#This Row],[Fin de Carga]]-OLDBD[[#This Row],[Inicio de Carga]],"")</f>
        <v/>
      </c>
    </row>
    <row r="465" spans="1:57" x14ac:dyDescent="0.35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6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Salida]]="","",MARÍTIMOS[[#This Row],[Etapa Retiro - Salida]]),"")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Row],[Hora de Carga]]+MARÍTIMOS[[#This Row],[Hora de Posicionamiento]]),"")</f>
        <v/>
      </c>
      <c r="Z465" s="11" t="str">
        <f>IFERROR(IF(MARÍTIMOS[[#This Row],[Etapa Despacho -  Llegada]]="","",MARÍTIMOS[[#This Row],[Etapa Despacho -  Llegada]]),"")</f>
        <v/>
      </c>
      <c r="AA465" s="11" t="str">
        <f>IFERROR(IF(MARÍTIMOS[[#This Row],[Etapa Despacho -  Registro]]="","",MARÍTIMOS[[#This Row],[Etapa Despacho - 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 Inicio de Carga]]="","",MARÍTIMOS[[#This Row],[Etapa Despacho -  Inicio de Carga]]),"")</f>
        <v/>
      </c>
      <c r="AD465" s="11" t="str">
        <f>IFERROR(IF(MARÍTIMOS[[#This Row],[Etapa Despacho -  Fin de Carga]]="","",MARÍTIMOS[[#This Row],[Etapa Despacho -  Fin de Carga]]),"")</f>
        <v/>
      </c>
      <c r="AE465" s="11" t="str">
        <f>IFERROR(IF(MARÍTIMOS[[#This Row],[Etapa Despacho -  Salida]]="","",MARÍTIMOS[[#This Row],[Etapa Despacho -  Salida]]),"")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5" t="s">
        <v>181</v>
      </c>
      <c r="BB465" s="53" t="str">
        <f>IFERROR(IF(MARÍTIMOS[[#This Row],[Estatus]]="","",MARÍTIMOS[[#This Row],[Estatus]]),"")</f>
        <v/>
      </c>
      <c r="BC465" s="45"/>
      <c r="BD465" s="52" t="str">
        <f>IFERROR(OLDBD[[#This Row],[Salida de almacén de retiro]]-OLDBD[[#This Row],[Ingreso Almacén de retiro]],"")</f>
        <v/>
      </c>
      <c r="BE465" s="52" t="str">
        <f>IFERROR(OLDBD[[#This Row],[Fin de Carga]]-OLDBD[[#This Row],[Inicio de Carga]],"")</f>
        <v/>
      </c>
    </row>
    <row r="466" spans="1:57" x14ac:dyDescent="0.35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6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Salida]]="","",MARÍTIMOS[[#This Row],[Etapa Retiro - Salida]]),"")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Row],[Hora de Carga]]+MARÍTIMOS[[#This Row],[Hora de Posicionamiento]]),"")</f>
        <v/>
      </c>
      <c r="Z466" s="11" t="str">
        <f>IFERROR(IF(MARÍTIMOS[[#This Row],[Etapa Despacho -  Llegada]]="","",MARÍTIMOS[[#This Row],[Etapa Despacho -  Llegada]]),"")</f>
        <v/>
      </c>
      <c r="AA466" s="11" t="str">
        <f>IFERROR(IF(MARÍTIMOS[[#This Row],[Etapa Despacho -  Registro]]="","",MARÍTIMOS[[#This Row],[Etapa Despacho - 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 Inicio de Carga]]="","",MARÍTIMOS[[#This Row],[Etapa Despacho -  Inicio de Carga]]),"")</f>
        <v/>
      </c>
      <c r="AD466" s="11" t="str">
        <f>IFERROR(IF(MARÍTIMOS[[#This Row],[Etapa Despacho -  Fin de Carga]]="","",MARÍTIMOS[[#This Row],[Etapa Despacho -  Fin de Carga]]),"")</f>
        <v/>
      </c>
      <c r="AE466" s="11" t="str">
        <f>IFERROR(IF(MARÍTIMOS[[#This Row],[Etapa Despacho -  Salida]]="","",MARÍTIMOS[[#This Row],[Etapa Despacho -  Salida]]),"")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5" t="s">
        <v>181</v>
      </c>
      <c r="BB466" s="53" t="str">
        <f>IFERROR(IF(MARÍTIMOS[[#This Row],[Estatus]]="","",MARÍTIMOS[[#This Row],[Estatus]]),"")</f>
        <v/>
      </c>
      <c r="BC466" s="45"/>
      <c r="BD466" s="52" t="str">
        <f>IFERROR(OLDBD[[#This Row],[Salida de almacén de retiro]]-OLDBD[[#This Row],[Ingreso Almacén de retiro]],"")</f>
        <v/>
      </c>
      <c r="BE466" s="52" t="str">
        <f>IFERROR(OLDBD[[#This Row],[Fin de Carga]]-OLDBD[[#This Row],[Inicio de Carga]],"")</f>
        <v/>
      </c>
    </row>
    <row r="467" spans="1:57" x14ac:dyDescent="0.35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6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Salida]]="","",MARÍTIMOS[[#This Row],[Etapa Retiro - Salida]]),"")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Row],[Hora de Carga]]+MARÍTIMOS[[#This Row],[Hora de Posicionamiento]]),"")</f>
        <v/>
      </c>
      <c r="Z467" s="11" t="str">
        <f>IFERROR(IF(MARÍTIMOS[[#This Row],[Etapa Despacho -  Llegada]]="","",MARÍTIMOS[[#This Row],[Etapa Despacho -  Llegada]]),"")</f>
        <v/>
      </c>
      <c r="AA467" s="11" t="str">
        <f>IFERROR(IF(MARÍTIMOS[[#This Row],[Etapa Despacho -  Registro]]="","",MARÍTIMOS[[#This Row],[Etapa Despacho - 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 Inicio de Carga]]="","",MARÍTIMOS[[#This Row],[Etapa Despacho -  Inicio de Carga]]),"")</f>
        <v/>
      </c>
      <c r="AD467" s="11" t="str">
        <f>IFERROR(IF(MARÍTIMOS[[#This Row],[Etapa Despacho -  Fin de Carga]]="","",MARÍTIMOS[[#This Row],[Etapa Despacho -  Fin de Carga]]),"")</f>
        <v/>
      </c>
      <c r="AE467" s="11" t="str">
        <f>IFERROR(IF(MARÍTIMOS[[#This Row],[Etapa Despacho -  Salida]]="","",MARÍTIMOS[[#This Row],[Etapa Despacho -  Salida]]),"")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5" t="s">
        <v>181</v>
      </c>
      <c r="BB467" s="53" t="str">
        <f>IFERROR(IF(MARÍTIMOS[[#This Row],[Estatus]]="","",MARÍTIMOS[[#This Row],[Estatus]]),"")</f>
        <v/>
      </c>
      <c r="BC467" s="45"/>
      <c r="BD467" s="52" t="str">
        <f>IFERROR(OLDBD[[#This Row],[Salida de almacén de retiro]]-OLDBD[[#This Row],[Ingreso Almacén de retiro]],"")</f>
        <v/>
      </c>
      <c r="BE467" s="52" t="str">
        <f>IFERROR(OLDBD[[#This Row],[Fin de Carga]]-OLDBD[[#This Row],[Inicio de Carga]],"")</f>
        <v/>
      </c>
    </row>
    <row r="468" spans="1:57" x14ac:dyDescent="0.35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6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Salida]]="","",MARÍTIMOS[[#This Row],[Etapa Retiro - Salida]]),"")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Row],[Hora de Carga]]+MARÍTIMOS[[#This Row],[Hora de Posicionamiento]]),"")</f>
        <v/>
      </c>
      <c r="Z468" s="11" t="str">
        <f>IFERROR(IF(MARÍTIMOS[[#This Row],[Etapa Despacho -  Llegada]]="","",MARÍTIMOS[[#This Row],[Etapa Despacho -  Llegada]]),"")</f>
        <v/>
      </c>
      <c r="AA468" s="11" t="str">
        <f>IFERROR(IF(MARÍTIMOS[[#This Row],[Etapa Despacho -  Registro]]="","",MARÍTIMOS[[#This Row],[Etapa Despacho - 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 Inicio de Carga]]="","",MARÍTIMOS[[#This Row],[Etapa Despacho -  Inicio de Carga]]),"")</f>
        <v/>
      </c>
      <c r="AD468" s="11" t="str">
        <f>IFERROR(IF(MARÍTIMOS[[#This Row],[Etapa Despacho -  Fin de Carga]]="","",MARÍTIMOS[[#This Row],[Etapa Despacho -  Fin de Carga]]),"")</f>
        <v/>
      </c>
      <c r="AE468" s="11" t="str">
        <f>IFERROR(IF(MARÍTIMOS[[#This Row],[Etapa Despacho -  Salida]]="","",MARÍTIMOS[[#This Row],[Etapa Despacho -  Salida]]),"")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5" t="s">
        <v>181</v>
      </c>
      <c r="BB468" s="53" t="str">
        <f>IFERROR(IF(MARÍTIMOS[[#This Row],[Estatus]]="","",MARÍTIMOS[[#This Row],[Estatus]]),"")</f>
        <v/>
      </c>
      <c r="BC468" s="45"/>
      <c r="BD468" s="52" t="str">
        <f>IFERROR(OLDBD[[#This Row],[Salida de almacén de retiro]]-OLDBD[[#This Row],[Ingreso Almacén de retiro]],"")</f>
        <v/>
      </c>
      <c r="BE468" s="52" t="str">
        <f>IFERROR(OLDBD[[#This Row],[Fin de Carga]]-OLDBD[[#This Row],[Inicio de Carga]],"")</f>
        <v/>
      </c>
    </row>
    <row r="469" spans="1:57" x14ac:dyDescent="0.35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6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Salida]]="","",MARÍTIMOS[[#This Row],[Etapa Retiro - Salida]]),"")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Row],[Hora de Carga]]+MARÍTIMOS[[#This Row],[Hora de Posicionamiento]]),"")</f>
        <v/>
      </c>
      <c r="Z469" s="11" t="str">
        <f>IFERROR(IF(MARÍTIMOS[[#This Row],[Etapa Despacho -  Llegada]]="","",MARÍTIMOS[[#This Row],[Etapa Despacho -  Llegada]]),"")</f>
        <v/>
      </c>
      <c r="AA469" s="11" t="str">
        <f>IFERROR(IF(MARÍTIMOS[[#This Row],[Etapa Despacho -  Registro]]="","",MARÍTIMOS[[#This Row],[Etapa Despacho - 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 Inicio de Carga]]="","",MARÍTIMOS[[#This Row],[Etapa Despacho -  Inicio de Carga]]),"")</f>
        <v/>
      </c>
      <c r="AD469" s="11" t="str">
        <f>IFERROR(IF(MARÍTIMOS[[#This Row],[Etapa Despacho -  Fin de Carga]]="","",MARÍTIMOS[[#This Row],[Etapa Despacho -  Fin de Carga]]),"")</f>
        <v/>
      </c>
      <c r="AE469" s="11" t="str">
        <f>IFERROR(IF(MARÍTIMOS[[#This Row],[Etapa Despacho -  Salida]]="","",MARÍTIMOS[[#This Row],[Etapa Despacho -  Salida]]),"")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5" t="s">
        <v>181</v>
      </c>
      <c r="BB469" s="53" t="str">
        <f>IFERROR(IF(MARÍTIMOS[[#This Row],[Estatus]]="","",MARÍTIMOS[[#This Row],[Estatus]]),"")</f>
        <v/>
      </c>
      <c r="BC469" s="45"/>
      <c r="BD469" s="52" t="str">
        <f>IFERROR(OLDBD[[#This Row],[Salida de almacén de retiro]]-OLDBD[[#This Row],[Ingreso Almacén de retiro]],"")</f>
        <v/>
      </c>
      <c r="BE469" s="52" t="str">
        <f>IFERROR(OLDBD[[#This Row],[Fin de Carga]]-OLDBD[[#This Row],[Inicio de Carga]],"")</f>
        <v/>
      </c>
    </row>
    <row r="470" spans="1:57" x14ac:dyDescent="0.35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6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Salida]]="","",MARÍTIMOS[[#This Row],[Etapa Retiro - Salida]]),"")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Row],[Hora de Carga]]+MARÍTIMOS[[#This Row],[Hora de Posicionamiento]]),"")</f>
        <v/>
      </c>
      <c r="Z470" s="11" t="str">
        <f>IFERROR(IF(MARÍTIMOS[[#This Row],[Etapa Despacho -  Llegada]]="","",MARÍTIMOS[[#This Row],[Etapa Despacho -  Llegada]]),"")</f>
        <v/>
      </c>
      <c r="AA470" s="11" t="str">
        <f>IFERROR(IF(MARÍTIMOS[[#This Row],[Etapa Despacho -  Registro]]="","",MARÍTIMOS[[#This Row],[Etapa Despacho - 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 Inicio de Carga]]="","",MARÍTIMOS[[#This Row],[Etapa Despacho -  Inicio de Carga]]),"")</f>
        <v/>
      </c>
      <c r="AD470" s="11" t="str">
        <f>IFERROR(IF(MARÍTIMOS[[#This Row],[Etapa Despacho -  Fin de Carga]]="","",MARÍTIMOS[[#This Row],[Etapa Despacho -  Fin de Carga]]),"")</f>
        <v/>
      </c>
      <c r="AE470" s="11" t="str">
        <f>IFERROR(IF(MARÍTIMOS[[#This Row],[Etapa Despacho -  Salida]]="","",MARÍTIMOS[[#This Row],[Etapa Despacho -  Salida]]),"")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5" t="s">
        <v>181</v>
      </c>
      <c r="BB470" s="53" t="str">
        <f>IFERROR(IF(MARÍTIMOS[[#This Row],[Estatus]]="","",MARÍTIMOS[[#This Row],[Estatus]]),"")</f>
        <v/>
      </c>
      <c r="BC470" s="45"/>
      <c r="BD470" s="52" t="str">
        <f>IFERROR(OLDBD[[#This Row],[Salida de almacén de retiro]]-OLDBD[[#This Row],[Ingreso Almacén de retiro]],"")</f>
        <v/>
      </c>
      <c r="BE470" s="52" t="str">
        <f>IFERROR(OLDBD[[#This Row],[Fin de Carga]]-OLDBD[[#This Row],[Inicio de Carga]],"")</f>
        <v/>
      </c>
    </row>
    <row r="471" spans="1:57" x14ac:dyDescent="0.35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6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Salida]]="","",MARÍTIMOS[[#This Row],[Etapa Retiro - Salida]]),"")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Row],[Hora de Carga]]+MARÍTIMOS[[#This Row],[Hora de Posicionamiento]]),"")</f>
        <v/>
      </c>
      <c r="Z471" s="11" t="str">
        <f>IFERROR(IF(MARÍTIMOS[[#This Row],[Etapa Despacho -  Llegada]]="","",MARÍTIMOS[[#This Row],[Etapa Despacho -  Llegada]]),"")</f>
        <v/>
      </c>
      <c r="AA471" s="11" t="str">
        <f>IFERROR(IF(MARÍTIMOS[[#This Row],[Etapa Despacho -  Registro]]="","",MARÍTIMOS[[#This Row],[Etapa Despacho - 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 Inicio de Carga]]="","",MARÍTIMOS[[#This Row],[Etapa Despacho -  Inicio de Carga]]),"")</f>
        <v/>
      </c>
      <c r="AD471" s="11" t="str">
        <f>IFERROR(IF(MARÍTIMOS[[#This Row],[Etapa Despacho -  Fin de Carga]]="","",MARÍTIMOS[[#This Row],[Etapa Despacho -  Fin de Carga]]),"")</f>
        <v/>
      </c>
      <c r="AE471" s="11" t="str">
        <f>IFERROR(IF(MARÍTIMOS[[#This Row],[Etapa Despacho -  Salida]]="","",MARÍTIMOS[[#This Row],[Etapa Despacho -  Salida]]),"")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5" t="s">
        <v>181</v>
      </c>
      <c r="BB471" s="53" t="str">
        <f>IFERROR(IF(MARÍTIMOS[[#This Row],[Estatus]]="","",MARÍTIMOS[[#This Row],[Estatus]]),"")</f>
        <v/>
      </c>
      <c r="BC471" s="45"/>
      <c r="BD471" s="52" t="str">
        <f>IFERROR(OLDBD[[#This Row],[Salida de almacén de retiro]]-OLDBD[[#This Row],[Ingreso Almacén de retiro]],"")</f>
        <v/>
      </c>
      <c r="BE471" s="52" t="str">
        <f>IFERROR(OLDBD[[#This Row],[Fin de Carga]]-OLDBD[[#This Row],[Inicio de Carga]],"")</f>
        <v/>
      </c>
    </row>
    <row r="472" spans="1:57" x14ac:dyDescent="0.35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6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Salida]]="","",MARÍTIMOS[[#This Row],[Etapa Retiro - Salida]]),"")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Row],[Hora de Carga]]+MARÍTIMOS[[#This Row],[Hora de Posicionamiento]]),"")</f>
        <v/>
      </c>
      <c r="Z472" s="11" t="str">
        <f>IFERROR(IF(MARÍTIMOS[[#This Row],[Etapa Despacho -  Llegada]]="","",MARÍTIMOS[[#This Row],[Etapa Despacho -  Llegada]]),"")</f>
        <v/>
      </c>
      <c r="AA472" s="11" t="str">
        <f>IFERROR(IF(MARÍTIMOS[[#This Row],[Etapa Despacho -  Registro]]="","",MARÍTIMOS[[#This Row],[Etapa Despacho - 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 Inicio de Carga]]="","",MARÍTIMOS[[#This Row],[Etapa Despacho -  Inicio de Carga]]),"")</f>
        <v/>
      </c>
      <c r="AD472" s="11" t="str">
        <f>IFERROR(IF(MARÍTIMOS[[#This Row],[Etapa Despacho -  Fin de Carga]]="","",MARÍTIMOS[[#This Row],[Etapa Despacho -  Fin de Carga]]),"")</f>
        <v/>
      </c>
      <c r="AE472" s="11" t="str">
        <f>IFERROR(IF(MARÍTIMOS[[#This Row],[Etapa Despacho -  Salida]]="","",MARÍTIMOS[[#This Row],[Etapa Despacho -  Salida]]),"")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5" t="s">
        <v>181</v>
      </c>
      <c r="BB472" s="53" t="str">
        <f>IFERROR(IF(MARÍTIMOS[[#This Row],[Estatus]]="","",MARÍTIMOS[[#This Row],[Estatus]]),"")</f>
        <v/>
      </c>
      <c r="BC472" s="45"/>
      <c r="BD472" s="52" t="str">
        <f>IFERROR(OLDBD[[#This Row],[Salida de almacén de retiro]]-OLDBD[[#This Row],[Ingreso Almacén de retiro]],"")</f>
        <v/>
      </c>
      <c r="BE472" s="52" t="str">
        <f>IFERROR(OLDBD[[#This Row],[Fin de Carga]]-OLDBD[[#This Row],[Inicio de Carga]],"")</f>
        <v/>
      </c>
    </row>
    <row r="473" spans="1:57" x14ac:dyDescent="0.35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6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Salida]]="","",MARÍTIMOS[[#This Row],[Etapa Retiro - Salida]]),"")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Row],[Hora de Carga]]+MARÍTIMOS[[#This Row],[Hora de Posicionamiento]]),"")</f>
        <v/>
      </c>
      <c r="Z473" s="11" t="str">
        <f>IFERROR(IF(MARÍTIMOS[[#This Row],[Etapa Despacho -  Llegada]]="","",MARÍTIMOS[[#This Row],[Etapa Despacho -  Llegada]]),"")</f>
        <v/>
      </c>
      <c r="AA473" s="11" t="str">
        <f>IFERROR(IF(MARÍTIMOS[[#This Row],[Etapa Despacho -  Registro]]="","",MARÍTIMOS[[#This Row],[Etapa Despacho - 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 Inicio de Carga]]="","",MARÍTIMOS[[#This Row],[Etapa Despacho -  Inicio de Carga]]),"")</f>
        <v/>
      </c>
      <c r="AD473" s="11" t="str">
        <f>IFERROR(IF(MARÍTIMOS[[#This Row],[Etapa Despacho -  Fin de Carga]]="","",MARÍTIMOS[[#This Row],[Etapa Despacho -  Fin de Carga]]),"")</f>
        <v/>
      </c>
      <c r="AE473" s="11" t="str">
        <f>IFERROR(IF(MARÍTIMOS[[#This Row],[Etapa Despacho -  Salida]]="","",MARÍTIMOS[[#This Row],[Etapa Despacho -  Salida]]),"")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5" t="s">
        <v>181</v>
      </c>
      <c r="BB473" s="53" t="str">
        <f>IFERROR(IF(MARÍTIMOS[[#This Row],[Estatus]]="","",MARÍTIMOS[[#This Row],[Estatus]]),"")</f>
        <v/>
      </c>
      <c r="BC473" s="45"/>
      <c r="BD473" s="52" t="str">
        <f>IFERROR(OLDBD[[#This Row],[Salida de almacén de retiro]]-OLDBD[[#This Row],[Ingreso Almacén de retiro]],"")</f>
        <v/>
      </c>
      <c r="BE473" s="52" t="str">
        <f>IFERROR(OLDBD[[#This Row],[Fin de Carga]]-OLDBD[[#This Row],[Inicio de Carga]],"")</f>
        <v/>
      </c>
    </row>
    <row r="474" spans="1:57" x14ac:dyDescent="0.35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6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Salida]]="","",MARÍTIMOS[[#This Row],[Etapa Retiro - Salida]]),"")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Row],[Hora de Carga]]+MARÍTIMOS[[#This Row],[Hora de Posicionamiento]]),"")</f>
        <v/>
      </c>
      <c r="Z474" s="11" t="str">
        <f>IFERROR(IF(MARÍTIMOS[[#This Row],[Etapa Despacho -  Llegada]]="","",MARÍTIMOS[[#This Row],[Etapa Despacho -  Llegada]]),"")</f>
        <v/>
      </c>
      <c r="AA474" s="11" t="str">
        <f>IFERROR(IF(MARÍTIMOS[[#This Row],[Etapa Despacho -  Registro]]="","",MARÍTIMOS[[#This Row],[Etapa Despacho - 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 Inicio de Carga]]="","",MARÍTIMOS[[#This Row],[Etapa Despacho -  Inicio de Carga]]),"")</f>
        <v/>
      </c>
      <c r="AD474" s="11" t="str">
        <f>IFERROR(IF(MARÍTIMOS[[#This Row],[Etapa Despacho -  Fin de Carga]]="","",MARÍTIMOS[[#This Row],[Etapa Despacho -  Fin de Carga]]),"")</f>
        <v/>
      </c>
      <c r="AE474" s="11" t="str">
        <f>IFERROR(IF(MARÍTIMOS[[#This Row],[Etapa Despacho -  Salida]]="","",MARÍTIMOS[[#This Row],[Etapa Despacho -  Salida]]),"")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5" t="s">
        <v>181</v>
      </c>
      <c r="BB474" s="53" t="str">
        <f>IFERROR(IF(MARÍTIMOS[[#This Row],[Estatus]]="","",MARÍTIMOS[[#This Row],[Estatus]]),"")</f>
        <v/>
      </c>
      <c r="BC474" s="45"/>
      <c r="BD474" s="52" t="str">
        <f>IFERROR(OLDBD[[#This Row],[Salida de almacén de retiro]]-OLDBD[[#This Row],[Ingreso Almacén de retiro]],"")</f>
        <v/>
      </c>
      <c r="BE474" s="52" t="str">
        <f>IFERROR(OLDBD[[#This Row],[Fin de Carga]]-OLDBD[[#This Row],[Inicio de Carga]],"")</f>
        <v/>
      </c>
    </row>
    <row r="475" spans="1:57" x14ac:dyDescent="0.35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6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Salida]]="","",MARÍTIMOS[[#This Row],[Etapa Retiro - Salida]]),"")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Row],[Hora de Carga]]+MARÍTIMOS[[#This Row],[Hora de Posicionamiento]]),"")</f>
        <v/>
      </c>
      <c r="Z475" s="11" t="str">
        <f>IFERROR(IF(MARÍTIMOS[[#This Row],[Etapa Despacho -  Llegada]]="","",MARÍTIMOS[[#This Row],[Etapa Despacho -  Llegada]]),"")</f>
        <v/>
      </c>
      <c r="AA475" s="11" t="str">
        <f>IFERROR(IF(MARÍTIMOS[[#This Row],[Etapa Despacho -  Registro]]="","",MARÍTIMOS[[#This Row],[Etapa Despacho - 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 Inicio de Carga]]="","",MARÍTIMOS[[#This Row],[Etapa Despacho -  Inicio de Carga]]),"")</f>
        <v/>
      </c>
      <c r="AD475" s="11" t="str">
        <f>IFERROR(IF(MARÍTIMOS[[#This Row],[Etapa Despacho -  Fin de Carga]]="","",MARÍTIMOS[[#This Row],[Etapa Despacho -  Fin de Carga]]),"")</f>
        <v/>
      </c>
      <c r="AE475" s="11" t="str">
        <f>IFERROR(IF(MARÍTIMOS[[#This Row],[Etapa Despacho -  Salida]]="","",MARÍTIMOS[[#This Row],[Etapa Despacho -  Salida]]),"")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5" t="s">
        <v>181</v>
      </c>
      <c r="BB475" s="53" t="str">
        <f>IFERROR(IF(MARÍTIMOS[[#This Row],[Estatus]]="","",MARÍTIMOS[[#This Row],[Estatus]]),"")</f>
        <v/>
      </c>
      <c r="BC475" s="45"/>
      <c r="BD475" s="52" t="str">
        <f>IFERROR(OLDBD[[#This Row],[Salida de almacén de retiro]]-OLDBD[[#This Row],[Ingreso Almacén de retiro]],"")</f>
        <v/>
      </c>
      <c r="BE475" s="52" t="str">
        <f>IFERROR(OLDBD[[#This Row],[Fin de Carga]]-OLDBD[[#This Row],[Inicio de Carga]],"")</f>
        <v/>
      </c>
    </row>
    <row r="476" spans="1:57" x14ac:dyDescent="0.35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6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Salida]]="","",MARÍTIMOS[[#This Row],[Etapa Retiro - Salida]]),"")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Row],[Hora de Carga]]+MARÍTIMOS[[#This Row],[Hora de Posicionamiento]]),"")</f>
        <v/>
      </c>
      <c r="Z476" s="11" t="str">
        <f>IFERROR(IF(MARÍTIMOS[[#This Row],[Etapa Despacho -  Llegada]]="","",MARÍTIMOS[[#This Row],[Etapa Despacho -  Llegada]]),"")</f>
        <v/>
      </c>
      <c r="AA476" s="11" t="str">
        <f>IFERROR(IF(MARÍTIMOS[[#This Row],[Etapa Despacho -  Registro]]="","",MARÍTIMOS[[#This Row],[Etapa Despacho - 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 Inicio de Carga]]="","",MARÍTIMOS[[#This Row],[Etapa Despacho -  Inicio de Carga]]),"")</f>
        <v/>
      </c>
      <c r="AD476" s="11" t="str">
        <f>IFERROR(IF(MARÍTIMOS[[#This Row],[Etapa Despacho -  Fin de Carga]]="","",MARÍTIMOS[[#This Row],[Etapa Despacho -  Fin de Carga]]),"")</f>
        <v/>
      </c>
      <c r="AE476" s="11" t="str">
        <f>IFERROR(IF(MARÍTIMOS[[#This Row],[Etapa Despacho -  Salida]]="","",MARÍTIMOS[[#This Row],[Etapa Despacho -  Salida]]),"")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5" t="s">
        <v>181</v>
      </c>
      <c r="BB476" s="53" t="str">
        <f>IFERROR(IF(MARÍTIMOS[[#This Row],[Estatus]]="","",MARÍTIMOS[[#This Row],[Estatus]]),"")</f>
        <v/>
      </c>
      <c r="BC476" s="45"/>
      <c r="BD476" s="52" t="str">
        <f>IFERROR(OLDBD[[#This Row],[Salida de almacén de retiro]]-OLDBD[[#This Row],[Ingreso Almacén de retiro]],"")</f>
        <v/>
      </c>
      <c r="BE476" s="52" t="str">
        <f>IFERROR(OLDBD[[#This Row],[Fin de Carga]]-OLDBD[[#This Row],[Inicio de Carga]],"")</f>
        <v/>
      </c>
    </row>
    <row r="477" spans="1:57" x14ac:dyDescent="0.35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6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Salida]]="","",MARÍTIMOS[[#This Row],[Etapa Retiro - Salida]]),"")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Row],[Hora de Carga]]+MARÍTIMOS[[#This Row],[Hora de Posicionamiento]]),"")</f>
        <v/>
      </c>
      <c r="Z477" s="11" t="str">
        <f>IFERROR(IF(MARÍTIMOS[[#This Row],[Etapa Despacho -  Llegada]]="","",MARÍTIMOS[[#This Row],[Etapa Despacho -  Llegada]]),"")</f>
        <v/>
      </c>
      <c r="AA477" s="11" t="str">
        <f>IFERROR(IF(MARÍTIMOS[[#This Row],[Etapa Despacho -  Registro]]="","",MARÍTIMOS[[#This Row],[Etapa Despacho - 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 Inicio de Carga]]="","",MARÍTIMOS[[#This Row],[Etapa Despacho -  Inicio de Carga]]),"")</f>
        <v/>
      </c>
      <c r="AD477" s="11" t="str">
        <f>IFERROR(IF(MARÍTIMOS[[#This Row],[Etapa Despacho -  Fin de Carga]]="","",MARÍTIMOS[[#This Row],[Etapa Despacho -  Fin de Carga]]),"")</f>
        <v/>
      </c>
      <c r="AE477" s="11" t="str">
        <f>IFERROR(IF(MARÍTIMOS[[#This Row],[Etapa Despacho -  Salida]]="","",MARÍTIMOS[[#This Row],[Etapa Despacho -  Salida]]),"")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5" t="s">
        <v>181</v>
      </c>
      <c r="BB477" s="53" t="str">
        <f>IFERROR(IF(MARÍTIMOS[[#This Row],[Estatus]]="","",MARÍTIMOS[[#This Row],[Estatus]]),"")</f>
        <v/>
      </c>
      <c r="BC477" s="45"/>
      <c r="BD477" s="52" t="str">
        <f>IFERROR(OLDBD[[#This Row],[Salida de almacén de retiro]]-OLDBD[[#This Row],[Ingreso Almacén de retiro]],"")</f>
        <v/>
      </c>
      <c r="BE477" s="52" t="str">
        <f>IFERROR(OLDBD[[#This Row],[Fin de Carga]]-OLDBD[[#This Row],[Inicio de Carga]],"")</f>
        <v/>
      </c>
    </row>
    <row r="478" spans="1:57" x14ac:dyDescent="0.35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6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Salida]]="","",MARÍTIMOS[[#This Row],[Etapa Retiro - Salida]]),"")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Row],[Hora de Carga]]+MARÍTIMOS[[#This Row],[Hora de Posicionamiento]]),"")</f>
        <v/>
      </c>
      <c r="Z478" s="11" t="str">
        <f>IFERROR(IF(MARÍTIMOS[[#This Row],[Etapa Despacho -  Llegada]]="","",MARÍTIMOS[[#This Row],[Etapa Despacho -  Llegada]]),"")</f>
        <v/>
      </c>
      <c r="AA478" s="11" t="str">
        <f>IFERROR(IF(MARÍTIMOS[[#This Row],[Etapa Despacho -  Registro]]="","",MARÍTIMOS[[#This Row],[Etapa Despacho - 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 Inicio de Carga]]="","",MARÍTIMOS[[#This Row],[Etapa Despacho -  Inicio de Carga]]),"")</f>
        <v/>
      </c>
      <c r="AD478" s="11" t="str">
        <f>IFERROR(IF(MARÍTIMOS[[#This Row],[Etapa Despacho -  Fin de Carga]]="","",MARÍTIMOS[[#This Row],[Etapa Despacho -  Fin de Carga]]),"")</f>
        <v/>
      </c>
      <c r="AE478" s="11" t="str">
        <f>IFERROR(IF(MARÍTIMOS[[#This Row],[Etapa Despacho -  Salida]]="","",MARÍTIMOS[[#This Row],[Etapa Despacho -  Salida]]),"")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5" t="s">
        <v>181</v>
      </c>
      <c r="BB478" s="53" t="str">
        <f>IFERROR(IF(MARÍTIMOS[[#This Row],[Estatus]]="","",MARÍTIMOS[[#This Row],[Estatus]]),"")</f>
        <v/>
      </c>
      <c r="BC478" s="45"/>
      <c r="BD478" s="52" t="str">
        <f>IFERROR(OLDBD[[#This Row],[Salida de almacén de retiro]]-OLDBD[[#This Row],[Ingreso Almacén de retiro]],"")</f>
        <v/>
      </c>
      <c r="BE478" s="52" t="str">
        <f>IFERROR(OLDBD[[#This Row],[Fin de Carga]]-OLDBD[[#This Row],[Inicio de Carga]],"")</f>
        <v/>
      </c>
    </row>
    <row r="479" spans="1:57" x14ac:dyDescent="0.35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6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Salida]]="","",MARÍTIMOS[[#This Row],[Etapa Retiro - Salida]]),"")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Row],[Hora de Carga]]+MARÍTIMOS[[#This Row],[Hora de Posicionamiento]]),"")</f>
        <v/>
      </c>
      <c r="Z479" s="11" t="str">
        <f>IFERROR(IF(MARÍTIMOS[[#This Row],[Etapa Despacho -  Llegada]]="","",MARÍTIMOS[[#This Row],[Etapa Despacho -  Llegada]]),"")</f>
        <v/>
      </c>
      <c r="AA479" s="11" t="str">
        <f>IFERROR(IF(MARÍTIMOS[[#This Row],[Etapa Despacho -  Registro]]="","",MARÍTIMOS[[#This Row],[Etapa Despacho - 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 Inicio de Carga]]="","",MARÍTIMOS[[#This Row],[Etapa Despacho -  Inicio de Carga]]),"")</f>
        <v/>
      </c>
      <c r="AD479" s="11" t="str">
        <f>IFERROR(IF(MARÍTIMOS[[#This Row],[Etapa Despacho -  Fin de Carga]]="","",MARÍTIMOS[[#This Row],[Etapa Despacho -  Fin de Carga]]),"")</f>
        <v/>
      </c>
      <c r="AE479" s="11" t="str">
        <f>IFERROR(IF(MARÍTIMOS[[#This Row],[Etapa Despacho -  Salida]]="","",MARÍTIMOS[[#This Row],[Etapa Despacho -  Salida]]),"")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5" t="s">
        <v>181</v>
      </c>
      <c r="BB479" s="53" t="str">
        <f>IFERROR(IF(MARÍTIMOS[[#This Row],[Estatus]]="","",MARÍTIMOS[[#This Row],[Estatus]]),"")</f>
        <v/>
      </c>
      <c r="BC479" s="45"/>
      <c r="BD479" s="52" t="str">
        <f>IFERROR(OLDBD[[#This Row],[Salida de almacén de retiro]]-OLDBD[[#This Row],[Ingreso Almacén de retiro]],"")</f>
        <v/>
      </c>
      <c r="BE479" s="52" t="str">
        <f>IFERROR(OLDBD[[#This Row],[Fin de Carga]]-OLDBD[[#This Row],[Inicio de Carga]],"")</f>
        <v/>
      </c>
    </row>
    <row r="480" spans="1:57" x14ac:dyDescent="0.35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6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Salida]]="","",MARÍTIMOS[[#This Row],[Etapa Retiro - Salida]]),"")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Row],[Hora de Carga]]+MARÍTIMOS[[#This Row],[Hora de Posicionamiento]]),"")</f>
        <v/>
      </c>
      <c r="Z480" s="11" t="str">
        <f>IFERROR(IF(MARÍTIMOS[[#This Row],[Etapa Despacho -  Llegada]]="","",MARÍTIMOS[[#This Row],[Etapa Despacho -  Llegada]]),"")</f>
        <v/>
      </c>
      <c r="AA480" s="11" t="str">
        <f>IFERROR(IF(MARÍTIMOS[[#This Row],[Etapa Despacho -  Registro]]="","",MARÍTIMOS[[#This Row],[Etapa Despacho - 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 Inicio de Carga]]="","",MARÍTIMOS[[#This Row],[Etapa Despacho -  Inicio de Carga]]),"")</f>
        <v/>
      </c>
      <c r="AD480" s="11" t="str">
        <f>IFERROR(IF(MARÍTIMOS[[#This Row],[Etapa Despacho -  Fin de Carga]]="","",MARÍTIMOS[[#This Row],[Etapa Despacho -  Fin de Carga]]),"")</f>
        <v/>
      </c>
      <c r="AE480" s="11" t="str">
        <f>IFERROR(IF(MARÍTIMOS[[#This Row],[Etapa Despacho -  Salida]]="","",MARÍTIMOS[[#This Row],[Etapa Despacho -  Salida]]),"")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5" t="s">
        <v>181</v>
      </c>
      <c r="BB480" s="53" t="str">
        <f>IFERROR(IF(MARÍTIMOS[[#This Row],[Estatus]]="","",MARÍTIMOS[[#This Row],[Estatus]]),"")</f>
        <v/>
      </c>
      <c r="BC480" s="45"/>
      <c r="BD480" s="52" t="str">
        <f>IFERROR(OLDBD[[#This Row],[Salida de almacén de retiro]]-OLDBD[[#This Row],[Ingreso Almacén de retiro]],"")</f>
        <v/>
      </c>
      <c r="BE480" s="52" t="str">
        <f>IFERROR(OLDBD[[#This Row],[Fin de Carga]]-OLDBD[[#This Row],[Inicio de Carga]],"")</f>
        <v/>
      </c>
    </row>
    <row r="481" spans="1:57" x14ac:dyDescent="0.35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6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Salida]]="","",MARÍTIMOS[[#This Row],[Etapa Retiro - Salida]]),"")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Row],[Hora de Carga]]+MARÍTIMOS[[#This Row],[Hora de Posicionamiento]]),"")</f>
        <v/>
      </c>
      <c r="Z481" s="11" t="str">
        <f>IFERROR(IF(MARÍTIMOS[[#This Row],[Etapa Despacho -  Llegada]]="","",MARÍTIMOS[[#This Row],[Etapa Despacho -  Llegada]]),"")</f>
        <v/>
      </c>
      <c r="AA481" s="11" t="str">
        <f>IFERROR(IF(MARÍTIMOS[[#This Row],[Etapa Despacho -  Registro]]="","",MARÍTIMOS[[#This Row],[Etapa Despacho - 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 Inicio de Carga]]="","",MARÍTIMOS[[#This Row],[Etapa Despacho -  Inicio de Carga]]),"")</f>
        <v/>
      </c>
      <c r="AD481" s="11" t="str">
        <f>IFERROR(IF(MARÍTIMOS[[#This Row],[Etapa Despacho -  Fin de Carga]]="","",MARÍTIMOS[[#This Row],[Etapa Despacho -  Fin de Carga]]),"")</f>
        <v/>
      </c>
      <c r="AE481" s="11" t="str">
        <f>IFERROR(IF(MARÍTIMOS[[#This Row],[Etapa Despacho -  Salida]]="","",MARÍTIMOS[[#This Row],[Etapa Despacho -  Salida]]),"")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5" t="s">
        <v>181</v>
      </c>
      <c r="BB481" s="53" t="str">
        <f>IFERROR(IF(MARÍTIMOS[[#This Row],[Estatus]]="","",MARÍTIMOS[[#This Row],[Estatus]]),"")</f>
        <v/>
      </c>
      <c r="BC481" s="45"/>
      <c r="BD481" s="52" t="str">
        <f>IFERROR(OLDBD[[#This Row],[Salida de almacén de retiro]]-OLDBD[[#This Row],[Ingreso Almacén de retiro]],"")</f>
        <v/>
      </c>
      <c r="BE481" s="52" t="str">
        <f>IFERROR(OLDBD[[#This Row],[Fin de Carga]]-OLDBD[[#This Row],[Inicio de Carga]],"")</f>
        <v/>
      </c>
    </row>
    <row r="482" spans="1:57" x14ac:dyDescent="0.35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6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Salida]]="","",MARÍTIMOS[[#This Row],[Etapa Retiro - Salida]]),"")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Row],[Hora de Carga]]+MARÍTIMOS[[#This Row],[Hora de Posicionamiento]]),"")</f>
        <v/>
      </c>
      <c r="Z482" s="11" t="str">
        <f>IFERROR(IF(MARÍTIMOS[[#This Row],[Etapa Despacho -  Llegada]]="","",MARÍTIMOS[[#This Row],[Etapa Despacho -  Llegada]]),"")</f>
        <v/>
      </c>
      <c r="AA482" s="11" t="str">
        <f>IFERROR(IF(MARÍTIMOS[[#This Row],[Etapa Despacho -  Registro]]="","",MARÍTIMOS[[#This Row],[Etapa Despacho - 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 Inicio de Carga]]="","",MARÍTIMOS[[#This Row],[Etapa Despacho -  Inicio de Carga]]),"")</f>
        <v/>
      </c>
      <c r="AD482" s="11" t="str">
        <f>IFERROR(IF(MARÍTIMOS[[#This Row],[Etapa Despacho -  Fin de Carga]]="","",MARÍTIMOS[[#This Row],[Etapa Despacho -  Fin de Carga]]),"")</f>
        <v/>
      </c>
      <c r="AE482" s="11" t="str">
        <f>IFERROR(IF(MARÍTIMOS[[#This Row],[Etapa Despacho -  Salida]]="","",MARÍTIMOS[[#This Row],[Etapa Despacho -  Salida]]),"")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5" t="s">
        <v>181</v>
      </c>
      <c r="BB482" s="53" t="str">
        <f>IFERROR(IF(MARÍTIMOS[[#This Row],[Estatus]]="","",MARÍTIMOS[[#This Row],[Estatus]]),"")</f>
        <v/>
      </c>
      <c r="BC482" s="45"/>
      <c r="BD482" s="52" t="str">
        <f>IFERROR(OLDBD[[#This Row],[Salida de almacén de retiro]]-OLDBD[[#This Row],[Ingreso Almacén de retiro]],"")</f>
        <v/>
      </c>
      <c r="BE482" s="52" t="str">
        <f>IFERROR(OLDBD[[#This Row],[Fin de Carga]]-OLDBD[[#This Row],[Inicio de Carga]],"")</f>
        <v/>
      </c>
    </row>
    <row r="483" spans="1:57" x14ac:dyDescent="0.35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6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Salida]]="","",MARÍTIMOS[[#This Row],[Etapa Retiro - Salida]]),"")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Row],[Hora de Carga]]+MARÍTIMOS[[#This Row],[Hora de Posicionamiento]]),"")</f>
        <v/>
      </c>
      <c r="Z483" s="11" t="str">
        <f>IFERROR(IF(MARÍTIMOS[[#This Row],[Etapa Despacho -  Llegada]]="","",MARÍTIMOS[[#This Row],[Etapa Despacho -  Llegada]]),"")</f>
        <v/>
      </c>
      <c r="AA483" s="11" t="str">
        <f>IFERROR(IF(MARÍTIMOS[[#This Row],[Etapa Despacho -  Registro]]="","",MARÍTIMOS[[#This Row],[Etapa Despacho - 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 Inicio de Carga]]="","",MARÍTIMOS[[#This Row],[Etapa Despacho -  Inicio de Carga]]),"")</f>
        <v/>
      </c>
      <c r="AD483" s="11" t="str">
        <f>IFERROR(IF(MARÍTIMOS[[#This Row],[Etapa Despacho -  Fin de Carga]]="","",MARÍTIMOS[[#This Row],[Etapa Despacho -  Fin de Carga]]),"")</f>
        <v/>
      </c>
      <c r="AE483" s="11" t="str">
        <f>IFERROR(IF(MARÍTIMOS[[#This Row],[Etapa Despacho -  Salida]]="","",MARÍTIMOS[[#This Row],[Etapa Despacho -  Salida]]),"")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5" t="s">
        <v>181</v>
      </c>
      <c r="BB483" s="53" t="str">
        <f>IFERROR(IF(MARÍTIMOS[[#This Row],[Estatus]]="","",MARÍTIMOS[[#This Row],[Estatus]]),"")</f>
        <v/>
      </c>
      <c r="BC483" s="45"/>
      <c r="BD483" s="52" t="str">
        <f>IFERROR(OLDBD[[#This Row],[Salida de almacén de retiro]]-OLDBD[[#This Row],[Ingreso Almacén de retiro]],"")</f>
        <v/>
      </c>
      <c r="BE483" s="52" t="str">
        <f>IFERROR(OLDBD[[#This Row],[Fin de Carga]]-OLDBD[[#This Row],[Inicio de Carga]],"")</f>
        <v/>
      </c>
    </row>
    <row r="484" spans="1:57" x14ac:dyDescent="0.35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6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Salida]]="","",MARÍTIMOS[[#This Row],[Etapa Retiro - Salida]]),"")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Row],[Hora de Carga]]+MARÍTIMOS[[#This Row],[Hora de Posicionamiento]]),"")</f>
        <v/>
      </c>
      <c r="Z484" s="11" t="str">
        <f>IFERROR(IF(MARÍTIMOS[[#This Row],[Etapa Despacho -  Llegada]]="","",MARÍTIMOS[[#This Row],[Etapa Despacho -  Llegada]]),"")</f>
        <v/>
      </c>
      <c r="AA484" s="11" t="str">
        <f>IFERROR(IF(MARÍTIMOS[[#This Row],[Etapa Despacho -  Registro]]="","",MARÍTIMOS[[#This Row],[Etapa Despacho - 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 Inicio de Carga]]="","",MARÍTIMOS[[#This Row],[Etapa Despacho -  Inicio de Carga]]),"")</f>
        <v/>
      </c>
      <c r="AD484" s="11" t="str">
        <f>IFERROR(IF(MARÍTIMOS[[#This Row],[Etapa Despacho -  Fin de Carga]]="","",MARÍTIMOS[[#This Row],[Etapa Despacho -  Fin de Carga]]),"")</f>
        <v/>
      </c>
      <c r="AE484" s="11" t="str">
        <f>IFERROR(IF(MARÍTIMOS[[#This Row],[Etapa Despacho -  Salida]]="","",MARÍTIMOS[[#This Row],[Etapa Despacho -  Salida]]),"")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5" t="s">
        <v>181</v>
      </c>
      <c r="BB484" s="53" t="str">
        <f>IFERROR(IF(MARÍTIMOS[[#This Row],[Estatus]]="","",MARÍTIMOS[[#This Row],[Estatus]]),"")</f>
        <v/>
      </c>
      <c r="BC484" s="45"/>
      <c r="BD484" s="52" t="str">
        <f>IFERROR(OLDBD[[#This Row],[Salida de almacén de retiro]]-OLDBD[[#This Row],[Ingreso Almacén de retiro]],"")</f>
        <v/>
      </c>
      <c r="BE484" s="52" t="str">
        <f>IFERROR(OLDBD[[#This Row],[Fin de Carga]]-OLDBD[[#This Row],[Inicio de Carga]],"")</f>
        <v/>
      </c>
    </row>
    <row r="485" spans="1:57" x14ac:dyDescent="0.35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6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Salida]]="","",MARÍTIMOS[[#This Row],[Etapa Retiro - Salida]]),"")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Row],[Hora de Carga]]+MARÍTIMOS[[#This Row],[Hora de Posicionamiento]]),"")</f>
        <v/>
      </c>
      <c r="Z485" s="11" t="str">
        <f>IFERROR(IF(MARÍTIMOS[[#This Row],[Etapa Despacho -  Llegada]]="","",MARÍTIMOS[[#This Row],[Etapa Despacho -  Llegada]]),"")</f>
        <v/>
      </c>
      <c r="AA485" s="11" t="str">
        <f>IFERROR(IF(MARÍTIMOS[[#This Row],[Etapa Despacho -  Registro]]="","",MARÍTIMOS[[#This Row],[Etapa Despacho - 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 Inicio de Carga]]="","",MARÍTIMOS[[#This Row],[Etapa Despacho -  Inicio de Carga]]),"")</f>
        <v/>
      </c>
      <c r="AD485" s="11" t="str">
        <f>IFERROR(IF(MARÍTIMOS[[#This Row],[Etapa Despacho -  Fin de Carga]]="","",MARÍTIMOS[[#This Row],[Etapa Despacho -  Fin de Carga]]),"")</f>
        <v/>
      </c>
      <c r="AE485" s="11" t="str">
        <f>IFERROR(IF(MARÍTIMOS[[#This Row],[Etapa Despacho -  Salida]]="","",MARÍTIMOS[[#This Row],[Etapa Despacho -  Salida]]),"")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5" t="s">
        <v>181</v>
      </c>
      <c r="BB485" s="53" t="str">
        <f>IFERROR(IF(MARÍTIMOS[[#This Row],[Estatus]]="","",MARÍTIMOS[[#This Row],[Estatus]]),"")</f>
        <v/>
      </c>
      <c r="BC485" s="45"/>
      <c r="BD485" s="52" t="str">
        <f>IFERROR(OLDBD[[#This Row],[Salida de almacén de retiro]]-OLDBD[[#This Row],[Ingreso Almacén de retiro]],"")</f>
        <v/>
      </c>
      <c r="BE485" s="52" t="str">
        <f>IFERROR(OLDBD[[#This Row],[Fin de Carga]]-OLDBD[[#This Row],[Inicio de Carga]],"")</f>
        <v/>
      </c>
    </row>
    <row r="486" spans="1:57" x14ac:dyDescent="0.35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6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Salida]]="","",MARÍTIMOS[[#This Row],[Etapa Retiro - Salida]]),"")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Row],[Hora de Carga]]+MARÍTIMOS[[#This Row],[Hora de Posicionamiento]]),"")</f>
        <v/>
      </c>
      <c r="Z486" s="11" t="str">
        <f>IFERROR(IF(MARÍTIMOS[[#This Row],[Etapa Despacho -  Llegada]]="","",MARÍTIMOS[[#This Row],[Etapa Despacho -  Llegada]]),"")</f>
        <v/>
      </c>
      <c r="AA486" s="11" t="str">
        <f>IFERROR(IF(MARÍTIMOS[[#This Row],[Etapa Despacho -  Registro]]="","",MARÍTIMOS[[#This Row],[Etapa Despacho - 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 Inicio de Carga]]="","",MARÍTIMOS[[#This Row],[Etapa Despacho -  Inicio de Carga]]),"")</f>
        <v/>
      </c>
      <c r="AD486" s="11" t="str">
        <f>IFERROR(IF(MARÍTIMOS[[#This Row],[Etapa Despacho -  Fin de Carga]]="","",MARÍTIMOS[[#This Row],[Etapa Despacho -  Fin de Carga]]),"")</f>
        <v/>
      </c>
      <c r="AE486" s="11" t="str">
        <f>IFERROR(IF(MARÍTIMOS[[#This Row],[Etapa Despacho -  Salida]]="","",MARÍTIMOS[[#This Row],[Etapa Despacho -  Salida]]),"")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5" t="s">
        <v>181</v>
      </c>
      <c r="BB486" s="53" t="str">
        <f>IFERROR(IF(MARÍTIMOS[[#This Row],[Estatus]]="","",MARÍTIMOS[[#This Row],[Estatus]]),"")</f>
        <v/>
      </c>
      <c r="BC486" s="45"/>
      <c r="BD486" s="52" t="str">
        <f>IFERROR(OLDBD[[#This Row],[Salida de almacén de retiro]]-OLDBD[[#This Row],[Ingreso Almacén de retiro]],"")</f>
        <v/>
      </c>
      <c r="BE486" s="52" t="str">
        <f>IFERROR(OLDBD[[#This Row],[Fin de Carga]]-OLDBD[[#This Row],[Inicio de Carga]],"")</f>
        <v/>
      </c>
    </row>
    <row r="487" spans="1:57" x14ac:dyDescent="0.35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6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Salida]]="","",MARÍTIMOS[[#This Row],[Etapa Retiro - Salida]]),"")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Row],[Hora de Carga]]+MARÍTIMOS[[#This Row],[Hora de Posicionamiento]]),"")</f>
        <v/>
      </c>
      <c r="Z487" s="11" t="str">
        <f>IFERROR(IF(MARÍTIMOS[[#This Row],[Etapa Despacho -  Llegada]]="","",MARÍTIMOS[[#This Row],[Etapa Despacho -  Llegada]]),"")</f>
        <v/>
      </c>
      <c r="AA487" s="11" t="str">
        <f>IFERROR(IF(MARÍTIMOS[[#This Row],[Etapa Despacho -  Registro]]="","",MARÍTIMOS[[#This Row],[Etapa Despacho - 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 Inicio de Carga]]="","",MARÍTIMOS[[#This Row],[Etapa Despacho -  Inicio de Carga]]),"")</f>
        <v/>
      </c>
      <c r="AD487" s="11" t="str">
        <f>IFERROR(IF(MARÍTIMOS[[#This Row],[Etapa Despacho -  Fin de Carga]]="","",MARÍTIMOS[[#This Row],[Etapa Despacho -  Fin de Carga]]),"")</f>
        <v/>
      </c>
      <c r="AE487" s="11" t="str">
        <f>IFERROR(IF(MARÍTIMOS[[#This Row],[Etapa Despacho -  Salida]]="","",MARÍTIMOS[[#This Row],[Etapa Despacho -  Salida]]),"")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5" t="s">
        <v>181</v>
      </c>
      <c r="BB487" s="53" t="str">
        <f>IFERROR(IF(MARÍTIMOS[[#This Row],[Estatus]]="","",MARÍTIMOS[[#This Row],[Estatus]]),"")</f>
        <v/>
      </c>
      <c r="BC487" s="45"/>
      <c r="BD487" s="52" t="str">
        <f>IFERROR(OLDBD[[#This Row],[Salida de almacén de retiro]]-OLDBD[[#This Row],[Ingreso Almacén de retiro]],"")</f>
        <v/>
      </c>
      <c r="BE487" s="52" t="str">
        <f>IFERROR(OLDBD[[#This Row],[Fin de Carga]]-OLDBD[[#This Row],[Inicio de Carga]],"")</f>
        <v/>
      </c>
    </row>
    <row r="488" spans="1:57" x14ac:dyDescent="0.35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6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Salida]]="","",MARÍTIMOS[[#This Row],[Etapa Retiro - Salida]]),"")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Row],[Hora de Carga]]+MARÍTIMOS[[#This Row],[Hora de Posicionamiento]]),"")</f>
        <v/>
      </c>
      <c r="Z488" s="11" t="str">
        <f>IFERROR(IF(MARÍTIMOS[[#This Row],[Etapa Despacho -  Llegada]]="","",MARÍTIMOS[[#This Row],[Etapa Despacho -  Llegada]]),"")</f>
        <v/>
      </c>
      <c r="AA488" s="11" t="str">
        <f>IFERROR(IF(MARÍTIMOS[[#This Row],[Etapa Despacho -  Registro]]="","",MARÍTIMOS[[#This Row],[Etapa Despacho - 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 Inicio de Carga]]="","",MARÍTIMOS[[#This Row],[Etapa Despacho -  Inicio de Carga]]),"")</f>
        <v/>
      </c>
      <c r="AD488" s="11" t="str">
        <f>IFERROR(IF(MARÍTIMOS[[#This Row],[Etapa Despacho -  Fin de Carga]]="","",MARÍTIMOS[[#This Row],[Etapa Despacho -  Fin de Carga]]),"")</f>
        <v/>
      </c>
      <c r="AE488" s="11" t="str">
        <f>IFERROR(IF(MARÍTIMOS[[#This Row],[Etapa Despacho -  Salida]]="","",MARÍTIMOS[[#This Row],[Etapa Despacho -  Salida]]),"")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5" t="s">
        <v>181</v>
      </c>
      <c r="BB488" s="53" t="str">
        <f>IFERROR(IF(MARÍTIMOS[[#This Row],[Estatus]]="","",MARÍTIMOS[[#This Row],[Estatus]]),"")</f>
        <v/>
      </c>
      <c r="BC488" s="45"/>
      <c r="BD488" s="52" t="str">
        <f>IFERROR(OLDBD[[#This Row],[Salida de almacén de retiro]]-OLDBD[[#This Row],[Ingreso Almacén de retiro]],"")</f>
        <v/>
      </c>
      <c r="BE488" s="52" t="str">
        <f>IFERROR(OLDBD[[#This Row],[Fin de Carga]]-OLDBD[[#This Row],[Inicio de Carga]],"")</f>
        <v/>
      </c>
    </row>
    <row r="489" spans="1:57" x14ac:dyDescent="0.35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6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Salida]]="","",MARÍTIMOS[[#This Row],[Etapa Retiro - Salida]]),"")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Row],[Hora de Carga]]+MARÍTIMOS[[#This Row],[Hora de Posicionamiento]]),"")</f>
        <v/>
      </c>
      <c r="Z489" s="11" t="str">
        <f>IFERROR(IF(MARÍTIMOS[[#This Row],[Etapa Despacho -  Llegada]]="","",MARÍTIMOS[[#This Row],[Etapa Despacho -  Llegada]]),"")</f>
        <v/>
      </c>
      <c r="AA489" s="11" t="str">
        <f>IFERROR(IF(MARÍTIMOS[[#This Row],[Etapa Despacho -  Registro]]="","",MARÍTIMOS[[#This Row],[Etapa Despacho - 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 Inicio de Carga]]="","",MARÍTIMOS[[#This Row],[Etapa Despacho -  Inicio de Carga]]),"")</f>
        <v/>
      </c>
      <c r="AD489" s="11" t="str">
        <f>IFERROR(IF(MARÍTIMOS[[#This Row],[Etapa Despacho -  Fin de Carga]]="","",MARÍTIMOS[[#This Row],[Etapa Despacho -  Fin de Carga]]),"")</f>
        <v/>
      </c>
      <c r="AE489" s="11" t="str">
        <f>IFERROR(IF(MARÍTIMOS[[#This Row],[Etapa Despacho -  Salida]]="","",MARÍTIMOS[[#This Row],[Etapa Despacho -  Salida]]),"")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5" t="s">
        <v>181</v>
      </c>
      <c r="BB489" s="53" t="str">
        <f>IFERROR(IF(MARÍTIMOS[[#This Row],[Estatus]]="","",MARÍTIMOS[[#This Row],[Estatus]]),"")</f>
        <v/>
      </c>
      <c r="BC489" s="45"/>
      <c r="BD489" s="52" t="str">
        <f>IFERROR(OLDBD[[#This Row],[Salida de almacén de retiro]]-OLDBD[[#This Row],[Ingreso Almacén de retiro]],"")</f>
        <v/>
      </c>
      <c r="BE489" s="52" t="str">
        <f>IFERROR(OLDBD[[#This Row],[Fin de Carga]]-OLDBD[[#This Row],[Inicio de Carga]],"")</f>
        <v/>
      </c>
    </row>
    <row r="490" spans="1:57" x14ac:dyDescent="0.35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6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Salida]]="","",MARÍTIMOS[[#This Row],[Etapa Retiro - Salida]]),"")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Row],[Hora de Carga]]+MARÍTIMOS[[#This Row],[Hora de Posicionamiento]]),"")</f>
        <v/>
      </c>
      <c r="Z490" s="11" t="str">
        <f>IFERROR(IF(MARÍTIMOS[[#This Row],[Etapa Despacho -  Llegada]]="","",MARÍTIMOS[[#This Row],[Etapa Despacho -  Llegada]]),"")</f>
        <v/>
      </c>
      <c r="AA490" s="11" t="str">
        <f>IFERROR(IF(MARÍTIMOS[[#This Row],[Etapa Despacho -  Registro]]="","",MARÍTIMOS[[#This Row],[Etapa Despacho - 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 Inicio de Carga]]="","",MARÍTIMOS[[#This Row],[Etapa Despacho -  Inicio de Carga]]),"")</f>
        <v/>
      </c>
      <c r="AD490" s="11" t="str">
        <f>IFERROR(IF(MARÍTIMOS[[#This Row],[Etapa Despacho -  Fin de Carga]]="","",MARÍTIMOS[[#This Row],[Etapa Despacho -  Fin de Carga]]),"")</f>
        <v/>
      </c>
      <c r="AE490" s="11" t="str">
        <f>IFERROR(IF(MARÍTIMOS[[#This Row],[Etapa Despacho -  Salida]]="","",MARÍTIMOS[[#This Row],[Etapa Despacho -  Salida]]),"")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5" t="s">
        <v>181</v>
      </c>
      <c r="BB490" s="53" t="str">
        <f>IFERROR(IF(MARÍTIMOS[[#This Row],[Estatus]]="","",MARÍTIMOS[[#This Row],[Estatus]]),"")</f>
        <v/>
      </c>
      <c r="BC490" s="45"/>
      <c r="BD490" s="52" t="str">
        <f>IFERROR(OLDBD[[#This Row],[Salida de almacén de retiro]]-OLDBD[[#This Row],[Ingreso Almacén de retiro]],"")</f>
        <v/>
      </c>
      <c r="BE490" s="52" t="str">
        <f>IFERROR(OLDBD[[#This Row],[Fin de Carga]]-OLDBD[[#This Row],[Inicio de Carga]],"")</f>
        <v/>
      </c>
    </row>
    <row r="491" spans="1:57" x14ac:dyDescent="0.35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6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Salida]]="","",MARÍTIMOS[[#This Row],[Etapa Retiro - Salida]]),"")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Row],[Hora de Carga]]+MARÍTIMOS[[#This Row],[Hora de Posicionamiento]]),"")</f>
        <v/>
      </c>
      <c r="Z491" s="11" t="str">
        <f>IFERROR(IF(MARÍTIMOS[[#This Row],[Etapa Despacho -  Llegada]]="","",MARÍTIMOS[[#This Row],[Etapa Despacho -  Llegada]]),"")</f>
        <v/>
      </c>
      <c r="AA491" s="11" t="str">
        <f>IFERROR(IF(MARÍTIMOS[[#This Row],[Etapa Despacho -  Registro]]="","",MARÍTIMOS[[#This Row],[Etapa Despacho - 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 Inicio de Carga]]="","",MARÍTIMOS[[#This Row],[Etapa Despacho -  Inicio de Carga]]),"")</f>
        <v/>
      </c>
      <c r="AD491" s="11" t="str">
        <f>IFERROR(IF(MARÍTIMOS[[#This Row],[Etapa Despacho -  Fin de Carga]]="","",MARÍTIMOS[[#This Row],[Etapa Despacho -  Fin de Carga]]),"")</f>
        <v/>
      </c>
      <c r="AE491" s="11" t="str">
        <f>IFERROR(IF(MARÍTIMOS[[#This Row],[Etapa Despacho -  Salida]]="","",MARÍTIMOS[[#This Row],[Etapa Despacho -  Salida]]),"")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5" t="s">
        <v>181</v>
      </c>
      <c r="BB491" s="53" t="str">
        <f>IFERROR(IF(MARÍTIMOS[[#This Row],[Estatus]]="","",MARÍTIMOS[[#This Row],[Estatus]]),"")</f>
        <v/>
      </c>
      <c r="BC491" s="45"/>
      <c r="BD491" s="52" t="str">
        <f>IFERROR(OLDBD[[#This Row],[Salida de almacén de retiro]]-OLDBD[[#This Row],[Ingreso Almacén de retiro]],"")</f>
        <v/>
      </c>
      <c r="BE491" s="52" t="str">
        <f>IFERROR(OLDBD[[#This Row],[Fin de Carga]]-OLDBD[[#This Row],[Inicio de Carga]],"")</f>
        <v/>
      </c>
    </row>
    <row r="492" spans="1:57" x14ac:dyDescent="0.35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6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Salida]]="","",MARÍTIMOS[[#This Row],[Etapa Retiro - Salida]]),"")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Row],[Hora de Carga]]+MARÍTIMOS[[#This Row],[Hora de Posicionamiento]]),"")</f>
        <v/>
      </c>
      <c r="Z492" s="11" t="str">
        <f>IFERROR(IF(MARÍTIMOS[[#This Row],[Etapa Despacho -  Llegada]]="","",MARÍTIMOS[[#This Row],[Etapa Despacho -  Llegada]]),"")</f>
        <v/>
      </c>
      <c r="AA492" s="11" t="str">
        <f>IFERROR(IF(MARÍTIMOS[[#This Row],[Etapa Despacho -  Registro]]="","",MARÍTIMOS[[#This Row],[Etapa Despacho - 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 Inicio de Carga]]="","",MARÍTIMOS[[#This Row],[Etapa Despacho -  Inicio de Carga]]),"")</f>
        <v/>
      </c>
      <c r="AD492" s="11" t="str">
        <f>IFERROR(IF(MARÍTIMOS[[#This Row],[Etapa Despacho -  Fin de Carga]]="","",MARÍTIMOS[[#This Row],[Etapa Despacho -  Fin de Carga]]),"")</f>
        <v/>
      </c>
      <c r="AE492" s="11" t="str">
        <f>IFERROR(IF(MARÍTIMOS[[#This Row],[Etapa Despacho -  Salida]]="","",MARÍTIMOS[[#This Row],[Etapa Despacho -  Salida]]),"")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5" t="s">
        <v>181</v>
      </c>
      <c r="BB492" s="53" t="str">
        <f>IFERROR(IF(MARÍTIMOS[[#This Row],[Estatus]]="","",MARÍTIMOS[[#This Row],[Estatus]]),"")</f>
        <v/>
      </c>
      <c r="BC492" s="45"/>
      <c r="BD492" s="52" t="str">
        <f>IFERROR(OLDBD[[#This Row],[Salida de almacén de retiro]]-OLDBD[[#This Row],[Ingreso Almacén de retiro]],"")</f>
        <v/>
      </c>
      <c r="BE492" s="52" t="str">
        <f>IFERROR(OLDBD[[#This Row],[Fin de Carga]]-OLDBD[[#This Row],[Inicio de Carga]],"")</f>
        <v/>
      </c>
    </row>
    <row r="493" spans="1:57" x14ac:dyDescent="0.35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6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Salida]]="","",MARÍTIMOS[[#This Row],[Etapa Retiro - Salida]]),"")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Row],[Hora de Carga]]+MARÍTIMOS[[#This Row],[Hora de Posicionamiento]]),"")</f>
        <v/>
      </c>
      <c r="Z493" s="11" t="str">
        <f>IFERROR(IF(MARÍTIMOS[[#This Row],[Etapa Despacho -  Llegada]]="","",MARÍTIMOS[[#This Row],[Etapa Despacho -  Llegada]]),"")</f>
        <v/>
      </c>
      <c r="AA493" s="11" t="str">
        <f>IFERROR(IF(MARÍTIMOS[[#This Row],[Etapa Despacho -  Registro]]="","",MARÍTIMOS[[#This Row],[Etapa Despacho - 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 Inicio de Carga]]="","",MARÍTIMOS[[#This Row],[Etapa Despacho -  Inicio de Carga]]),"")</f>
        <v/>
      </c>
      <c r="AD493" s="11" t="str">
        <f>IFERROR(IF(MARÍTIMOS[[#This Row],[Etapa Despacho -  Fin de Carga]]="","",MARÍTIMOS[[#This Row],[Etapa Despacho -  Fin de Carga]]),"")</f>
        <v/>
      </c>
      <c r="AE493" s="11" t="str">
        <f>IFERROR(IF(MARÍTIMOS[[#This Row],[Etapa Despacho -  Salida]]="","",MARÍTIMOS[[#This Row],[Etapa Despacho -  Salida]]),"")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5" t="s">
        <v>181</v>
      </c>
      <c r="BB493" s="53" t="str">
        <f>IFERROR(IF(MARÍTIMOS[[#This Row],[Estatus]]="","",MARÍTIMOS[[#This Row],[Estatus]]),"")</f>
        <v/>
      </c>
      <c r="BC493" s="45"/>
      <c r="BD493" s="52" t="str">
        <f>IFERROR(OLDBD[[#This Row],[Salida de almacén de retiro]]-OLDBD[[#This Row],[Ingreso Almacén de retiro]],"")</f>
        <v/>
      </c>
      <c r="BE493" s="52" t="str">
        <f>IFERROR(OLDBD[[#This Row],[Fin de Carga]]-OLDBD[[#This Row],[Inicio de Carga]],"")</f>
        <v/>
      </c>
    </row>
    <row r="494" spans="1:57" x14ac:dyDescent="0.35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6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Salida]]="","",MARÍTIMOS[[#This Row],[Etapa Retiro - Salida]]),"")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Row],[Hora de Carga]]+MARÍTIMOS[[#This Row],[Hora de Posicionamiento]]),"")</f>
        <v/>
      </c>
      <c r="Z494" s="11" t="str">
        <f>IFERROR(IF(MARÍTIMOS[[#This Row],[Etapa Despacho -  Llegada]]="","",MARÍTIMOS[[#This Row],[Etapa Despacho -  Llegada]]),"")</f>
        <v/>
      </c>
      <c r="AA494" s="11" t="str">
        <f>IFERROR(IF(MARÍTIMOS[[#This Row],[Etapa Despacho -  Registro]]="","",MARÍTIMOS[[#This Row],[Etapa Despacho - 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 Inicio de Carga]]="","",MARÍTIMOS[[#This Row],[Etapa Despacho -  Inicio de Carga]]),"")</f>
        <v/>
      </c>
      <c r="AD494" s="11" t="str">
        <f>IFERROR(IF(MARÍTIMOS[[#This Row],[Etapa Despacho -  Fin de Carga]]="","",MARÍTIMOS[[#This Row],[Etapa Despacho -  Fin de Carga]]),"")</f>
        <v/>
      </c>
      <c r="AE494" s="11" t="str">
        <f>IFERROR(IF(MARÍTIMOS[[#This Row],[Etapa Despacho -  Salida]]="","",MARÍTIMOS[[#This Row],[Etapa Despacho -  Salida]]),"")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5" t="s">
        <v>181</v>
      </c>
      <c r="BB494" s="53" t="str">
        <f>IFERROR(IF(MARÍTIMOS[[#This Row],[Estatus]]="","",MARÍTIMOS[[#This Row],[Estatus]]),"")</f>
        <v/>
      </c>
      <c r="BC494" s="45"/>
      <c r="BD494" s="52" t="str">
        <f>IFERROR(OLDBD[[#This Row],[Salida de almacén de retiro]]-OLDBD[[#This Row],[Ingreso Almacén de retiro]],"")</f>
        <v/>
      </c>
      <c r="BE494" s="52" t="str">
        <f>IFERROR(OLDBD[[#This Row],[Fin de Carga]]-OLDBD[[#This Row],[Inicio de Carga]],"")</f>
        <v/>
      </c>
    </row>
    <row r="495" spans="1:57" x14ac:dyDescent="0.35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6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Salida]]="","",MARÍTIMOS[[#This Row],[Etapa Retiro - Salida]]),"")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Row],[Hora de Carga]]+MARÍTIMOS[[#This Row],[Hora de Posicionamiento]]),"")</f>
        <v/>
      </c>
      <c r="Z495" s="11" t="str">
        <f>IFERROR(IF(MARÍTIMOS[[#This Row],[Etapa Despacho -  Llegada]]="","",MARÍTIMOS[[#This Row],[Etapa Despacho -  Llegada]]),"")</f>
        <v/>
      </c>
      <c r="AA495" s="11" t="str">
        <f>IFERROR(IF(MARÍTIMOS[[#This Row],[Etapa Despacho -  Registro]]="","",MARÍTIMOS[[#This Row],[Etapa Despacho - 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 Inicio de Carga]]="","",MARÍTIMOS[[#This Row],[Etapa Despacho -  Inicio de Carga]]),"")</f>
        <v/>
      </c>
      <c r="AD495" s="11" t="str">
        <f>IFERROR(IF(MARÍTIMOS[[#This Row],[Etapa Despacho -  Fin de Carga]]="","",MARÍTIMOS[[#This Row],[Etapa Despacho -  Fin de Carga]]),"")</f>
        <v/>
      </c>
      <c r="AE495" s="11" t="str">
        <f>IFERROR(IF(MARÍTIMOS[[#This Row],[Etapa Despacho -  Salida]]="","",MARÍTIMOS[[#This Row],[Etapa Despacho -  Salida]]),"")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5" t="s">
        <v>181</v>
      </c>
      <c r="BB495" s="53" t="str">
        <f>IFERROR(IF(MARÍTIMOS[[#This Row],[Estatus]]="","",MARÍTIMOS[[#This Row],[Estatus]]),"")</f>
        <v/>
      </c>
      <c r="BC495" s="45"/>
      <c r="BD495" s="52" t="str">
        <f>IFERROR(OLDBD[[#This Row],[Salida de almacén de retiro]]-OLDBD[[#This Row],[Ingreso Almacén de retiro]],"")</f>
        <v/>
      </c>
      <c r="BE495" s="52" t="str">
        <f>IFERROR(OLDBD[[#This Row],[Fin de Carga]]-OLDBD[[#This Row],[Inicio de Carga]],"")</f>
        <v/>
      </c>
    </row>
    <row r="496" spans="1:57" x14ac:dyDescent="0.35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6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Salida]]="","",MARÍTIMOS[[#This Row],[Etapa Retiro - Salida]]),"")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Row],[Hora de Carga]]+MARÍTIMOS[[#This Row],[Hora de Posicionamiento]]),"")</f>
        <v/>
      </c>
      <c r="Z496" s="11" t="str">
        <f>IFERROR(IF(MARÍTIMOS[[#This Row],[Etapa Despacho -  Llegada]]="","",MARÍTIMOS[[#This Row],[Etapa Despacho -  Llegada]]),"")</f>
        <v/>
      </c>
      <c r="AA496" s="11" t="str">
        <f>IFERROR(IF(MARÍTIMOS[[#This Row],[Etapa Despacho -  Registro]]="","",MARÍTIMOS[[#This Row],[Etapa Despacho - 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 Inicio de Carga]]="","",MARÍTIMOS[[#This Row],[Etapa Despacho -  Inicio de Carga]]),"")</f>
        <v/>
      </c>
      <c r="AD496" s="11" t="str">
        <f>IFERROR(IF(MARÍTIMOS[[#This Row],[Etapa Despacho -  Fin de Carga]]="","",MARÍTIMOS[[#This Row],[Etapa Despacho -  Fin de Carga]]),"")</f>
        <v/>
      </c>
      <c r="AE496" s="11" t="str">
        <f>IFERROR(IF(MARÍTIMOS[[#This Row],[Etapa Despacho -  Salida]]="","",MARÍTIMOS[[#This Row],[Etapa Despacho -  Salida]]),"")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5" t="s">
        <v>181</v>
      </c>
      <c r="BB496" s="53" t="str">
        <f>IFERROR(IF(MARÍTIMOS[[#This Row],[Estatus]]="","",MARÍTIMOS[[#This Row],[Estatus]]),"")</f>
        <v/>
      </c>
      <c r="BC496" s="45"/>
      <c r="BD496" s="52" t="str">
        <f>IFERROR(OLDBD[[#This Row],[Salida de almacén de retiro]]-OLDBD[[#This Row],[Ingreso Almacén de retiro]],"")</f>
        <v/>
      </c>
      <c r="BE496" s="52" t="str">
        <f>IFERROR(OLDBD[[#This Row],[Fin de Carga]]-OLDBD[[#This Row],[Inicio de Carga]],"")</f>
        <v/>
      </c>
    </row>
    <row r="497" spans="1:57" x14ac:dyDescent="0.35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6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Salida]]="","",MARÍTIMOS[[#This Row],[Etapa Retiro - Salida]]),"")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Row],[Hora de Carga]]+MARÍTIMOS[[#This Row],[Hora de Posicionamiento]]),"")</f>
        <v/>
      </c>
      <c r="Z497" s="11" t="str">
        <f>IFERROR(IF(MARÍTIMOS[[#This Row],[Etapa Despacho -  Llegada]]="","",MARÍTIMOS[[#This Row],[Etapa Despacho -  Llegada]]),"")</f>
        <v/>
      </c>
      <c r="AA497" s="11" t="str">
        <f>IFERROR(IF(MARÍTIMOS[[#This Row],[Etapa Despacho -  Registro]]="","",MARÍTIMOS[[#This Row],[Etapa Despacho - 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 Inicio de Carga]]="","",MARÍTIMOS[[#This Row],[Etapa Despacho -  Inicio de Carga]]),"")</f>
        <v/>
      </c>
      <c r="AD497" s="11" t="str">
        <f>IFERROR(IF(MARÍTIMOS[[#This Row],[Etapa Despacho -  Fin de Carga]]="","",MARÍTIMOS[[#This Row],[Etapa Despacho -  Fin de Carga]]),"")</f>
        <v/>
      </c>
      <c r="AE497" s="11" t="str">
        <f>IFERROR(IF(MARÍTIMOS[[#This Row],[Etapa Despacho -  Salida]]="","",MARÍTIMOS[[#This Row],[Etapa Despacho -  Salida]]),"")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5" t="s">
        <v>181</v>
      </c>
      <c r="BB497" s="53" t="str">
        <f>IFERROR(IF(MARÍTIMOS[[#This Row],[Estatus]]="","",MARÍTIMOS[[#This Row],[Estatus]]),"")</f>
        <v/>
      </c>
      <c r="BC497" s="45"/>
      <c r="BD497" s="52" t="str">
        <f>IFERROR(OLDBD[[#This Row],[Salida de almacén de retiro]]-OLDBD[[#This Row],[Ingreso Almacén de retiro]],"")</f>
        <v/>
      </c>
      <c r="BE497" s="52" t="str">
        <f>IFERROR(OLDBD[[#This Row],[Fin de Carga]]-OLDBD[[#This Row],[Inicio de Carga]],"")</f>
        <v/>
      </c>
    </row>
    <row r="498" spans="1:57" x14ac:dyDescent="0.35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6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Salida]]="","",MARÍTIMOS[[#This Row],[Etapa Retiro - Salida]]),"")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Row],[Hora de Carga]]+MARÍTIMOS[[#This Row],[Hora de Posicionamiento]]),"")</f>
        <v/>
      </c>
      <c r="Z498" s="11" t="str">
        <f>IFERROR(IF(MARÍTIMOS[[#This Row],[Etapa Despacho -  Llegada]]="","",MARÍTIMOS[[#This Row],[Etapa Despacho -  Llegada]]),"")</f>
        <v/>
      </c>
      <c r="AA498" s="11" t="str">
        <f>IFERROR(IF(MARÍTIMOS[[#This Row],[Etapa Despacho -  Registro]]="","",MARÍTIMOS[[#This Row],[Etapa Despacho - 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 Inicio de Carga]]="","",MARÍTIMOS[[#This Row],[Etapa Despacho -  Inicio de Carga]]),"")</f>
        <v/>
      </c>
      <c r="AD498" s="11" t="str">
        <f>IFERROR(IF(MARÍTIMOS[[#This Row],[Etapa Despacho -  Fin de Carga]]="","",MARÍTIMOS[[#This Row],[Etapa Despacho -  Fin de Carga]]),"")</f>
        <v/>
      </c>
      <c r="AE498" s="11" t="str">
        <f>IFERROR(IF(MARÍTIMOS[[#This Row],[Etapa Despacho -  Salida]]="","",MARÍTIMOS[[#This Row],[Etapa Despacho -  Salida]]),"")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5" t="s">
        <v>181</v>
      </c>
      <c r="BB498" s="53" t="str">
        <f>IFERROR(IF(MARÍTIMOS[[#This Row],[Estatus]]="","",MARÍTIMOS[[#This Row],[Estatus]]),"")</f>
        <v/>
      </c>
      <c r="BC498" s="45"/>
      <c r="BD498" s="52" t="str">
        <f>IFERROR(OLDBD[[#This Row],[Salida de almacén de retiro]]-OLDBD[[#This Row],[Ingreso Almacén de retiro]],"")</f>
        <v/>
      </c>
      <c r="BE498" s="52" t="str">
        <f>IFERROR(OLDBD[[#This Row],[Fin de Carga]]-OLDBD[[#This Row],[Inicio de Carga]],"")</f>
        <v/>
      </c>
    </row>
    <row r="499" spans="1:57" x14ac:dyDescent="0.35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6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Salida]]="","",MARÍTIMOS[[#This Row],[Etapa Retiro - Salida]]),"")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Row],[Hora de Carga]]+MARÍTIMOS[[#This Row],[Hora de Posicionamiento]]),"")</f>
        <v/>
      </c>
      <c r="Z499" s="11" t="str">
        <f>IFERROR(IF(MARÍTIMOS[[#This Row],[Etapa Despacho -  Llegada]]="","",MARÍTIMOS[[#This Row],[Etapa Despacho -  Llegada]]),"")</f>
        <v/>
      </c>
      <c r="AA499" s="11" t="str">
        <f>IFERROR(IF(MARÍTIMOS[[#This Row],[Etapa Despacho -  Registro]]="","",MARÍTIMOS[[#This Row],[Etapa Despacho - 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 Inicio de Carga]]="","",MARÍTIMOS[[#This Row],[Etapa Despacho -  Inicio de Carga]]),"")</f>
        <v/>
      </c>
      <c r="AD499" s="11" t="str">
        <f>IFERROR(IF(MARÍTIMOS[[#This Row],[Etapa Despacho -  Fin de Carga]]="","",MARÍTIMOS[[#This Row],[Etapa Despacho -  Fin de Carga]]),"")</f>
        <v/>
      </c>
      <c r="AE499" s="11" t="str">
        <f>IFERROR(IF(MARÍTIMOS[[#This Row],[Etapa Despacho -  Salida]]="","",MARÍTIMOS[[#This Row],[Etapa Despacho -  Salida]]),"")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5" t="s">
        <v>181</v>
      </c>
      <c r="BB499" s="53" t="str">
        <f>IFERROR(IF(MARÍTIMOS[[#This Row],[Estatus]]="","",MARÍTIMOS[[#This Row],[Estatus]]),"")</f>
        <v/>
      </c>
      <c r="BC499" s="45"/>
      <c r="BD499" s="52" t="str">
        <f>IFERROR(OLDBD[[#This Row],[Salida de almacén de retiro]]-OLDBD[[#This Row],[Ingreso Almacén de retiro]],"")</f>
        <v/>
      </c>
      <c r="BE499" s="52" t="str">
        <f>IFERROR(OLDBD[[#This Row],[Fin de Carga]]-OLDBD[[#This Row],[Inicio de Carga]],"")</f>
        <v/>
      </c>
    </row>
    <row r="500" spans="1:57" x14ac:dyDescent="0.35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6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Salida]]="","",MARÍTIMOS[[#This Row],[Etapa Retiro - Salida]]),"")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Row],[Hora de Carga]]+MARÍTIMOS[[#This Row],[Hora de Posicionamiento]]),"")</f>
        <v/>
      </c>
      <c r="Z500" s="11" t="str">
        <f>IFERROR(IF(MARÍTIMOS[[#This Row],[Etapa Despacho -  Llegada]]="","",MARÍTIMOS[[#This Row],[Etapa Despacho -  Llegada]]),"")</f>
        <v/>
      </c>
      <c r="AA500" s="11" t="str">
        <f>IFERROR(IF(MARÍTIMOS[[#This Row],[Etapa Despacho -  Registro]]="","",MARÍTIMOS[[#This Row],[Etapa Despacho - 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 Inicio de Carga]]="","",MARÍTIMOS[[#This Row],[Etapa Despacho -  Inicio de Carga]]),"")</f>
        <v/>
      </c>
      <c r="AD500" s="11" t="str">
        <f>IFERROR(IF(MARÍTIMOS[[#This Row],[Etapa Despacho -  Fin de Carga]]="","",MARÍTIMOS[[#This Row],[Etapa Despacho -  Fin de Carga]]),"")</f>
        <v/>
      </c>
      <c r="AE500" s="11" t="str">
        <f>IFERROR(IF(MARÍTIMOS[[#This Row],[Etapa Despacho -  Salida]]="","",MARÍTIMOS[[#This Row],[Etapa Despacho -  Salida]]),"")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5" t="s">
        <v>181</v>
      </c>
      <c r="BB500" s="53" t="str">
        <f>IFERROR(IF(MARÍTIMOS[[#This Row],[Estatus]]="","",MARÍTIMOS[[#This Row],[Estatus]]),"")</f>
        <v/>
      </c>
      <c r="BC500" s="45"/>
      <c r="BD500" s="52" t="str">
        <f>IFERROR(OLDBD[[#This Row],[Salida de almacén de retiro]]-OLDBD[[#This Row],[Ingreso Almacén de retiro]],"")</f>
        <v/>
      </c>
      <c r="BE500" s="52" t="str">
        <f>IFERROR(OLDBD[[#This Row],[Fin de Carga]]-OLDBD[[#This Row],[Inicio de Carga]],"")</f>
        <v/>
      </c>
    </row>
    <row r="501" spans="1:57" x14ac:dyDescent="0.35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6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Salida]]="","",MARÍTIMOS[[#This Row],[Etapa Retiro - Salida]]),"")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Row],[Hora de Carga]]+MARÍTIMOS[[#This Row],[Hora de Posicionamiento]]),"")</f>
        <v/>
      </c>
      <c r="Z501" s="11" t="str">
        <f>IFERROR(IF(MARÍTIMOS[[#This Row],[Etapa Despacho -  Llegada]]="","",MARÍTIMOS[[#This Row],[Etapa Despacho -  Llegada]]),"")</f>
        <v/>
      </c>
      <c r="AA501" s="11" t="str">
        <f>IFERROR(IF(MARÍTIMOS[[#This Row],[Etapa Despacho -  Registro]]="","",MARÍTIMOS[[#This Row],[Etapa Despacho - 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 Inicio de Carga]]="","",MARÍTIMOS[[#This Row],[Etapa Despacho -  Inicio de Carga]]),"")</f>
        <v/>
      </c>
      <c r="AD501" s="11" t="str">
        <f>IFERROR(IF(MARÍTIMOS[[#This Row],[Etapa Despacho -  Fin de Carga]]="","",MARÍTIMOS[[#This Row],[Etapa Despacho -  Fin de Carga]]),"")</f>
        <v/>
      </c>
      <c r="AE501" s="11" t="str">
        <f>IFERROR(IF(MARÍTIMOS[[#This Row],[Etapa Despacho -  Salida]]="","",MARÍTIMOS[[#This Row],[Etapa Despacho -  Salida]]),"")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5" t="s">
        <v>181</v>
      </c>
      <c r="BB501" s="53" t="str">
        <f>IFERROR(IF(MARÍTIMOS[[#This Row],[Estatus]]="","",MARÍTIMOS[[#This Row],[Estatus]]),"")</f>
        <v/>
      </c>
      <c r="BC501" s="45"/>
      <c r="BD501" s="52" t="str">
        <f>IFERROR(OLDBD[[#This Row],[Salida de almacén de retiro]]-OLDBD[[#This Row],[Ingreso Almacén de retiro]],"")</f>
        <v/>
      </c>
      <c r="BE501" s="52" t="str">
        <f>IFERROR(OLDBD[[#This Row],[Fin de Carga]]-OLDBD[[#This Row],[Inicio de Carga]],"")</f>
        <v/>
      </c>
    </row>
    <row r="502" spans="1:57" x14ac:dyDescent="0.35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6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Salida]]="","",MARÍTIMOS[[#This Row],[Etapa Retiro - Salida]]),"")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Row],[Hora de Carga]]+MARÍTIMOS[[#This Row],[Hora de Posicionamiento]]),"")</f>
        <v/>
      </c>
      <c r="Z502" s="11" t="str">
        <f>IFERROR(IF(MARÍTIMOS[[#This Row],[Etapa Despacho -  Llegada]]="","",MARÍTIMOS[[#This Row],[Etapa Despacho -  Llegada]]),"")</f>
        <v/>
      </c>
      <c r="AA502" s="11" t="str">
        <f>IFERROR(IF(MARÍTIMOS[[#This Row],[Etapa Despacho -  Registro]]="","",MARÍTIMOS[[#This Row],[Etapa Despacho - 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 Inicio de Carga]]="","",MARÍTIMOS[[#This Row],[Etapa Despacho -  Inicio de Carga]]),"")</f>
        <v/>
      </c>
      <c r="AD502" s="11" t="str">
        <f>IFERROR(IF(MARÍTIMOS[[#This Row],[Etapa Despacho -  Fin de Carga]]="","",MARÍTIMOS[[#This Row],[Etapa Despacho -  Fin de Carga]]),"")</f>
        <v/>
      </c>
      <c r="AE502" s="11" t="str">
        <f>IFERROR(IF(MARÍTIMOS[[#This Row],[Etapa Despacho -  Salida]]="","",MARÍTIMOS[[#This Row],[Etapa Despacho -  Salida]]),"")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5" t="s">
        <v>181</v>
      </c>
      <c r="BB502" s="53" t="str">
        <f>IFERROR(IF(MARÍTIMOS[[#This Row],[Estatus]]="","",MARÍTIMOS[[#This Row],[Estatus]]),"")</f>
        <v/>
      </c>
      <c r="BC502" s="45"/>
      <c r="BD502" s="52" t="str">
        <f>IFERROR(OLDBD[[#This Row],[Salida de almacén de retiro]]-OLDBD[[#This Row],[Ingreso Almacén de retiro]],"")</f>
        <v/>
      </c>
      <c r="BE502" s="52" t="str">
        <f>IFERROR(OLDBD[[#This Row],[Fin de Carga]]-OLDBD[[#This Row],[Inicio de Carga]],"")</f>
        <v/>
      </c>
    </row>
    <row r="503" spans="1:57" x14ac:dyDescent="0.35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6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Salida]]="","",MARÍTIMOS[[#This Row],[Etapa Retiro - Salida]]),"")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Row],[Hora de Carga]]+MARÍTIMOS[[#This Row],[Hora de Posicionamiento]]),"")</f>
        <v/>
      </c>
      <c r="Z503" s="11" t="str">
        <f>IFERROR(IF(MARÍTIMOS[[#This Row],[Etapa Despacho -  Llegada]]="","",MARÍTIMOS[[#This Row],[Etapa Despacho -  Llegada]]),"")</f>
        <v/>
      </c>
      <c r="AA503" s="11" t="str">
        <f>IFERROR(IF(MARÍTIMOS[[#This Row],[Etapa Despacho -  Registro]]="","",MARÍTIMOS[[#This Row],[Etapa Despacho - 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 Inicio de Carga]]="","",MARÍTIMOS[[#This Row],[Etapa Despacho -  Inicio de Carga]]),"")</f>
        <v/>
      </c>
      <c r="AD503" s="11" t="str">
        <f>IFERROR(IF(MARÍTIMOS[[#This Row],[Etapa Despacho -  Fin de Carga]]="","",MARÍTIMOS[[#This Row],[Etapa Despacho -  Fin de Carga]]),"")</f>
        <v/>
      </c>
      <c r="AE503" s="11" t="str">
        <f>IFERROR(IF(MARÍTIMOS[[#This Row],[Etapa Despacho -  Salida]]="","",MARÍTIMOS[[#This Row],[Etapa Despacho -  Salida]]),"")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5" t="s">
        <v>181</v>
      </c>
      <c r="BB503" s="53" t="str">
        <f>IFERROR(IF(MARÍTIMOS[[#This Row],[Estatus]]="","",MARÍTIMOS[[#This Row],[Estatus]]),"")</f>
        <v/>
      </c>
      <c r="BC503" s="45"/>
      <c r="BD503" s="52" t="str">
        <f>IFERROR(OLDBD[[#This Row],[Salida de almacén de retiro]]-OLDBD[[#This Row],[Ingreso Almacén de retiro]],"")</f>
        <v/>
      </c>
      <c r="BE503" s="52" t="str">
        <f>IFERROR(OLDBD[[#This Row],[Fin de Carga]]-OLDBD[[#This Row],[Inicio de Carga]],"")</f>
        <v/>
      </c>
    </row>
    <row r="504" spans="1:57" x14ac:dyDescent="0.35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6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Salida]]="","",MARÍTIMOS[[#This Row],[Etapa Retiro - Salida]]),"")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Row],[Hora de Carga]]+MARÍTIMOS[[#This Row],[Hora de Posicionamiento]]),"")</f>
        <v/>
      </c>
      <c r="Z504" s="11" t="str">
        <f>IFERROR(IF(MARÍTIMOS[[#This Row],[Etapa Despacho -  Llegada]]="","",MARÍTIMOS[[#This Row],[Etapa Despacho -  Llegada]]),"")</f>
        <v/>
      </c>
      <c r="AA504" s="11" t="str">
        <f>IFERROR(IF(MARÍTIMOS[[#This Row],[Etapa Despacho -  Registro]]="","",MARÍTIMOS[[#This Row],[Etapa Despacho - 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 Inicio de Carga]]="","",MARÍTIMOS[[#This Row],[Etapa Despacho -  Inicio de Carga]]),"")</f>
        <v/>
      </c>
      <c r="AD504" s="11" t="str">
        <f>IFERROR(IF(MARÍTIMOS[[#This Row],[Etapa Despacho -  Fin de Carga]]="","",MARÍTIMOS[[#This Row],[Etapa Despacho -  Fin de Carga]]),"")</f>
        <v/>
      </c>
      <c r="AE504" s="11" t="str">
        <f>IFERROR(IF(MARÍTIMOS[[#This Row],[Etapa Despacho -  Salida]]="","",MARÍTIMOS[[#This Row],[Etapa Despacho -  Salida]]),"")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5" t="s">
        <v>181</v>
      </c>
      <c r="BB504" s="53" t="str">
        <f>IFERROR(IF(MARÍTIMOS[[#This Row],[Estatus]]="","",MARÍTIMOS[[#This Row],[Estatus]]),"")</f>
        <v/>
      </c>
      <c r="BC504" s="45"/>
      <c r="BD504" s="52" t="str">
        <f>IFERROR(OLDBD[[#This Row],[Salida de almacén de retiro]]-OLDBD[[#This Row],[Ingreso Almacén de retiro]],"")</f>
        <v/>
      </c>
      <c r="BE504" s="52" t="str">
        <f>IFERROR(OLDBD[[#This Row],[Fin de Carga]]-OLDBD[[#This Row],[Inicio de Carga]],"")</f>
        <v/>
      </c>
    </row>
    <row r="505" spans="1:57" x14ac:dyDescent="0.35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6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Salida]]="","",MARÍTIMOS[[#This Row],[Etapa Retiro - Salida]]),"")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Row],[Hora de Carga]]+MARÍTIMOS[[#This Row],[Hora de Posicionamiento]]),"")</f>
        <v/>
      </c>
      <c r="Z505" s="11" t="str">
        <f>IFERROR(IF(MARÍTIMOS[[#This Row],[Etapa Despacho -  Llegada]]="","",MARÍTIMOS[[#This Row],[Etapa Despacho -  Llegada]]),"")</f>
        <v/>
      </c>
      <c r="AA505" s="11" t="str">
        <f>IFERROR(IF(MARÍTIMOS[[#This Row],[Etapa Despacho -  Registro]]="","",MARÍTIMOS[[#This Row],[Etapa Despacho - 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 Inicio de Carga]]="","",MARÍTIMOS[[#This Row],[Etapa Despacho -  Inicio de Carga]]),"")</f>
        <v/>
      </c>
      <c r="AD505" s="11" t="str">
        <f>IFERROR(IF(MARÍTIMOS[[#This Row],[Etapa Despacho -  Fin de Carga]]="","",MARÍTIMOS[[#This Row],[Etapa Despacho -  Fin de Carga]]),"")</f>
        <v/>
      </c>
      <c r="AE505" s="11" t="str">
        <f>IFERROR(IF(MARÍTIMOS[[#This Row],[Etapa Despacho -  Salida]]="","",MARÍTIMOS[[#This Row],[Etapa Despacho -  Salida]]),"")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5" t="s">
        <v>181</v>
      </c>
      <c r="BB505" s="53" t="str">
        <f>IFERROR(IF(MARÍTIMOS[[#This Row],[Estatus]]="","",MARÍTIMOS[[#This Row],[Estatus]]),"")</f>
        <v/>
      </c>
      <c r="BC505" s="45"/>
      <c r="BD505" s="52" t="str">
        <f>IFERROR(OLDBD[[#This Row],[Salida de almacén de retiro]]-OLDBD[[#This Row],[Ingreso Almacén de retiro]],"")</f>
        <v/>
      </c>
      <c r="BE505" s="52" t="str">
        <f>IFERROR(OLDBD[[#This Row],[Fin de Carga]]-OLDBD[[#This Row],[Inicio de Carga]],"")</f>
        <v/>
      </c>
    </row>
    <row r="506" spans="1:57" x14ac:dyDescent="0.35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6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Salida]]="","",MARÍTIMOS[[#This Row],[Etapa Retiro - Salida]]),"")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Row],[Hora de Carga]]+MARÍTIMOS[[#This Row],[Hora de Posicionamiento]]),"")</f>
        <v/>
      </c>
      <c r="Z506" s="11" t="str">
        <f>IFERROR(IF(MARÍTIMOS[[#This Row],[Etapa Despacho -  Llegada]]="","",MARÍTIMOS[[#This Row],[Etapa Despacho -  Llegada]]),"")</f>
        <v/>
      </c>
      <c r="AA506" s="11" t="str">
        <f>IFERROR(IF(MARÍTIMOS[[#This Row],[Etapa Despacho -  Registro]]="","",MARÍTIMOS[[#This Row],[Etapa Despacho - 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 Inicio de Carga]]="","",MARÍTIMOS[[#This Row],[Etapa Despacho -  Inicio de Carga]]),"")</f>
        <v/>
      </c>
      <c r="AD506" s="11" t="str">
        <f>IFERROR(IF(MARÍTIMOS[[#This Row],[Etapa Despacho -  Fin de Carga]]="","",MARÍTIMOS[[#This Row],[Etapa Despacho -  Fin de Carga]]),"")</f>
        <v/>
      </c>
      <c r="AE506" s="11" t="str">
        <f>IFERROR(IF(MARÍTIMOS[[#This Row],[Etapa Despacho -  Salida]]="","",MARÍTIMOS[[#This Row],[Etapa Despacho -  Salida]]),"")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5" t="s">
        <v>181</v>
      </c>
      <c r="BB506" s="53" t="str">
        <f>IFERROR(IF(MARÍTIMOS[[#This Row],[Estatus]]="","",MARÍTIMOS[[#This Row],[Estatus]]),"")</f>
        <v/>
      </c>
      <c r="BC506" s="45"/>
      <c r="BD506" s="52" t="str">
        <f>IFERROR(OLDBD[[#This Row],[Salida de almacén de retiro]]-OLDBD[[#This Row],[Ingreso Almacén de retiro]],"")</f>
        <v/>
      </c>
      <c r="BE506" s="52" t="str">
        <f>IFERROR(OLDBD[[#This Row],[Fin de Carga]]-OLDBD[[#This Row],[Inicio de Carga]],"")</f>
        <v/>
      </c>
    </row>
    <row r="507" spans="1:57" x14ac:dyDescent="0.35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6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Salida]]="","",MARÍTIMOS[[#This Row],[Etapa Retiro - Salida]]),"")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Row],[Hora de Carga]]+MARÍTIMOS[[#This Row],[Hora de Posicionamiento]]),"")</f>
        <v/>
      </c>
      <c r="Z507" s="11" t="str">
        <f>IFERROR(IF(MARÍTIMOS[[#This Row],[Etapa Despacho -  Llegada]]="","",MARÍTIMOS[[#This Row],[Etapa Despacho -  Llegada]]),"")</f>
        <v/>
      </c>
      <c r="AA507" s="11" t="str">
        <f>IFERROR(IF(MARÍTIMOS[[#This Row],[Etapa Despacho -  Registro]]="","",MARÍTIMOS[[#This Row],[Etapa Despacho - 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 Inicio de Carga]]="","",MARÍTIMOS[[#This Row],[Etapa Despacho -  Inicio de Carga]]),"")</f>
        <v/>
      </c>
      <c r="AD507" s="11" t="str">
        <f>IFERROR(IF(MARÍTIMOS[[#This Row],[Etapa Despacho -  Fin de Carga]]="","",MARÍTIMOS[[#This Row],[Etapa Despacho -  Fin de Carga]]),"")</f>
        <v/>
      </c>
      <c r="AE507" s="11" t="str">
        <f>IFERROR(IF(MARÍTIMOS[[#This Row],[Etapa Despacho -  Salida]]="","",MARÍTIMOS[[#This Row],[Etapa Despacho -  Salida]]),"")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5" t="s">
        <v>181</v>
      </c>
      <c r="BB507" s="53" t="str">
        <f>IFERROR(IF(MARÍTIMOS[[#This Row],[Estatus]]="","",MARÍTIMOS[[#This Row],[Estatus]]),"")</f>
        <v/>
      </c>
      <c r="BC507" s="45"/>
      <c r="BD507" s="52" t="str">
        <f>IFERROR(OLDBD[[#This Row],[Salida de almacén de retiro]]-OLDBD[[#This Row],[Ingreso Almacén de retiro]],"")</f>
        <v/>
      </c>
      <c r="BE507" s="52" t="str">
        <f>IFERROR(OLDBD[[#This Row],[Fin de Carga]]-OLDBD[[#This Row],[Inicio de Carga]],"")</f>
        <v/>
      </c>
    </row>
    <row r="508" spans="1:57" x14ac:dyDescent="0.35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6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Salida]]="","",MARÍTIMOS[[#This Row],[Etapa Retiro - Salida]]),"")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Row],[Hora de Carga]]+MARÍTIMOS[[#This Row],[Hora de Posicionamiento]]),"")</f>
        <v/>
      </c>
      <c r="Z508" s="11" t="str">
        <f>IFERROR(IF(MARÍTIMOS[[#This Row],[Etapa Despacho -  Llegada]]="","",MARÍTIMOS[[#This Row],[Etapa Despacho -  Llegada]]),"")</f>
        <v/>
      </c>
      <c r="AA508" s="11" t="str">
        <f>IFERROR(IF(MARÍTIMOS[[#This Row],[Etapa Despacho -  Registro]]="","",MARÍTIMOS[[#This Row],[Etapa Despacho - 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 Inicio de Carga]]="","",MARÍTIMOS[[#This Row],[Etapa Despacho -  Inicio de Carga]]),"")</f>
        <v/>
      </c>
      <c r="AD508" s="11" t="str">
        <f>IFERROR(IF(MARÍTIMOS[[#This Row],[Etapa Despacho -  Fin de Carga]]="","",MARÍTIMOS[[#This Row],[Etapa Despacho -  Fin de Carga]]),"")</f>
        <v/>
      </c>
      <c r="AE508" s="11" t="str">
        <f>IFERROR(IF(MARÍTIMOS[[#This Row],[Etapa Despacho -  Salida]]="","",MARÍTIMOS[[#This Row],[Etapa Despacho -  Salida]]),"")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5" t="s">
        <v>181</v>
      </c>
      <c r="BB508" s="53" t="str">
        <f>IFERROR(IF(MARÍTIMOS[[#This Row],[Estatus]]="","",MARÍTIMOS[[#This Row],[Estatus]]),"")</f>
        <v/>
      </c>
      <c r="BC508" s="45"/>
      <c r="BD508" s="52" t="str">
        <f>IFERROR(OLDBD[[#This Row],[Salida de almacén de retiro]]-OLDBD[[#This Row],[Ingreso Almacén de retiro]],"")</f>
        <v/>
      </c>
      <c r="BE508" s="52" t="str">
        <f>IFERROR(OLDBD[[#This Row],[Fin de Carga]]-OLDBD[[#This Row],[Inicio de Carga]],"")</f>
        <v/>
      </c>
    </row>
    <row r="509" spans="1:57" x14ac:dyDescent="0.35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6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Salida]]="","",MARÍTIMOS[[#This Row],[Etapa Retiro - Salida]]),"")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Row],[Hora de Carga]]+MARÍTIMOS[[#This Row],[Hora de Posicionamiento]]),"")</f>
        <v/>
      </c>
      <c r="Z509" s="11" t="str">
        <f>IFERROR(IF(MARÍTIMOS[[#This Row],[Etapa Despacho -  Llegada]]="","",MARÍTIMOS[[#This Row],[Etapa Despacho -  Llegada]]),"")</f>
        <v/>
      </c>
      <c r="AA509" s="11" t="str">
        <f>IFERROR(IF(MARÍTIMOS[[#This Row],[Etapa Despacho -  Registro]]="","",MARÍTIMOS[[#This Row],[Etapa Despacho - 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 Inicio de Carga]]="","",MARÍTIMOS[[#This Row],[Etapa Despacho -  Inicio de Carga]]),"")</f>
        <v/>
      </c>
      <c r="AD509" s="11" t="str">
        <f>IFERROR(IF(MARÍTIMOS[[#This Row],[Etapa Despacho -  Fin de Carga]]="","",MARÍTIMOS[[#This Row],[Etapa Despacho -  Fin de Carga]]),"")</f>
        <v/>
      </c>
      <c r="AE509" s="11" t="str">
        <f>IFERROR(IF(MARÍTIMOS[[#This Row],[Etapa Despacho -  Salida]]="","",MARÍTIMOS[[#This Row],[Etapa Despacho -  Salida]]),"")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5" t="s">
        <v>181</v>
      </c>
      <c r="BB509" s="53" t="str">
        <f>IFERROR(IF(MARÍTIMOS[[#This Row],[Estatus]]="","",MARÍTIMOS[[#This Row],[Estatus]]),"")</f>
        <v/>
      </c>
      <c r="BC509" s="45"/>
      <c r="BD509" s="52" t="str">
        <f>IFERROR(OLDBD[[#This Row],[Salida de almacén de retiro]]-OLDBD[[#This Row],[Ingreso Almacén de retiro]],"")</f>
        <v/>
      </c>
      <c r="BE509" s="52" t="str">
        <f>IFERROR(OLDBD[[#This Row],[Fin de Carga]]-OLDBD[[#This Row],[Inicio de Carga]],"")</f>
        <v/>
      </c>
    </row>
    <row r="510" spans="1:57" x14ac:dyDescent="0.35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6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Salida]]="","",MARÍTIMOS[[#This Row],[Etapa Retiro - Salida]]),"")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Row],[Hora de Carga]]+MARÍTIMOS[[#This Row],[Hora de Posicionamiento]]),"")</f>
        <v/>
      </c>
      <c r="Z510" s="11" t="str">
        <f>IFERROR(IF(MARÍTIMOS[[#This Row],[Etapa Despacho -  Llegada]]="","",MARÍTIMOS[[#This Row],[Etapa Despacho -  Llegada]]),"")</f>
        <v/>
      </c>
      <c r="AA510" s="11" t="str">
        <f>IFERROR(IF(MARÍTIMOS[[#This Row],[Etapa Despacho -  Registro]]="","",MARÍTIMOS[[#This Row],[Etapa Despacho - 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 Inicio de Carga]]="","",MARÍTIMOS[[#This Row],[Etapa Despacho -  Inicio de Carga]]),"")</f>
        <v/>
      </c>
      <c r="AD510" s="11" t="str">
        <f>IFERROR(IF(MARÍTIMOS[[#This Row],[Etapa Despacho -  Fin de Carga]]="","",MARÍTIMOS[[#This Row],[Etapa Despacho -  Fin de Carga]]),"")</f>
        <v/>
      </c>
      <c r="AE510" s="11" t="str">
        <f>IFERROR(IF(MARÍTIMOS[[#This Row],[Etapa Despacho -  Salida]]="","",MARÍTIMOS[[#This Row],[Etapa Despacho -  Salida]]),"")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5" t="s">
        <v>181</v>
      </c>
      <c r="BB510" s="53" t="str">
        <f>IFERROR(IF(MARÍTIMOS[[#This Row],[Estatus]]="","",MARÍTIMOS[[#This Row],[Estatus]]),"")</f>
        <v/>
      </c>
      <c r="BC510" s="45"/>
      <c r="BD510" s="52" t="str">
        <f>IFERROR(OLDBD[[#This Row],[Salida de almacén de retiro]]-OLDBD[[#This Row],[Ingreso Almacén de retiro]],"")</f>
        <v/>
      </c>
      <c r="BE510" s="52" t="str">
        <f>IFERROR(OLDBD[[#This Row],[Fin de Carga]]-OLDBD[[#This Row],[Inicio de Carga]],"")</f>
        <v/>
      </c>
    </row>
    <row r="511" spans="1:57" x14ac:dyDescent="0.35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6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Salida]]="","",MARÍTIMOS[[#This Row],[Etapa Retiro - Salida]]),"")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Row],[Hora de Carga]]+MARÍTIMOS[[#This Row],[Hora de Posicionamiento]]),"")</f>
        <v/>
      </c>
      <c r="Z511" s="11" t="str">
        <f>IFERROR(IF(MARÍTIMOS[[#This Row],[Etapa Despacho -  Llegada]]="","",MARÍTIMOS[[#This Row],[Etapa Despacho -  Llegada]]),"")</f>
        <v/>
      </c>
      <c r="AA511" s="11" t="str">
        <f>IFERROR(IF(MARÍTIMOS[[#This Row],[Etapa Despacho -  Registro]]="","",MARÍTIMOS[[#This Row],[Etapa Despacho - 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 Inicio de Carga]]="","",MARÍTIMOS[[#This Row],[Etapa Despacho -  Inicio de Carga]]),"")</f>
        <v/>
      </c>
      <c r="AD511" s="11" t="str">
        <f>IFERROR(IF(MARÍTIMOS[[#This Row],[Etapa Despacho -  Fin de Carga]]="","",MARÍTIMOS[[#This Row],[Etapa Despacho -  Fin de Carga]]),"")</f>
        <v/>
      </c>
      <c r="AE511" s="11" t="str">
        <f>IFERROR(IF(MARÍTIMOS[[#This Row],[Etapa Despacho -  Salida]]="","",MARÍTIMOS[[#This Row],[Etapa Despacho -  Salida]]),"")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5" t="s">
        <v>181</v>
      </c>
      <c r="BB511" s="53" t="str">
        <f>IFERROR(IF(MARÍTIMOS[[#This Row],[Estatus]]="","",MARÍTIMOS[[#This Row],[Estatus]]),"")</f>
        <v/>
      </c>
      <c r="BC511" s="45"/>
      <c r="BD511" s="52" t="str">
        <f>IFERROR(OLDBD[[#This Row],[Salida de almacén de retiro]]-OLDBD[[#This Row],[Ingreso Almacén de retiro]],"")</f>
        <v/>
      </c>
      <c r="BE511" s="52" t="str">
        <f>IFERROR(OLDBD[[#This Row],[Fin de Carga]]-OLDBD[[#This Row],[Inicio de Carga]],"")</f>
        <v/>
      </c>
    </row>
    <row r="512" spans="1:57" x14ac:dyDescent="0.35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6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Salida]]="","",MARÍTIMOS[[#This Row],[Etapa Retiro - Salida]]),"")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Row],[Hora de Carga]]+MARÍTIMOS[[#This Row],[Hora de Posicionamiento]]),"")</f>
        <v/>
      </c>
      <c r="Z512" s="11" t="str">
        <f>IFERROR(IF(MARÍTIMOS[[#This Row],[Etapa Despacho -  Llegada]]="","",MARÍTIMOS[[#This Row],[Etapa Despacho -  Llegada]]),"")</f>
        <v/>
      </c>
      <c r="AA512" s="11" t="str">
        <f>IFERROR(IF(MARÍTIMOS[[#This Row],[Etapa Despacho -  Registro]]="","",MARÍTIMOS[[#This Row],[Etapa Despacho - 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 Inicio de Carga]]="","",MARÍTIMOS[[#This Row],[Etapa Despacho -  Inicio de Carga]]),"")</f>
        <v/>
      </c>
      <c r="AD512" s="11" t="str">
        <f>IFERROR(IF(MARÍTIMOS[[#This Row],[Etapa Despacho -  Fin de Carga]]="","",MARÍTIMOS[[#This Row],[Etapa Despacho -  Fin de Carga]]),"")</f>
        <v/>
      </c>
      <c r="AE512" s="11" t="str">
        <f>IFERROR(IF(MARÍTIMOS[[#This Row],[Etapa Despacho -  Salida]]="","",MARÍTIMOS[[#This Row],[Etapa Despacho -  Salida]]),"")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5" t="s">
        <v>181</v>
      </c>
      <c r="BB512" s="53" t="str">
        <f>IFERROR(IF(MARÍTIMOS[[#This Row],[Estatus]]="","",MARÍTIMOS[[#This Row],[Estatus]]),"")</f>
        <v/>
      </c>
      <c r="BC512" s="45"/>
      <c r="BD512" s="52" t="str">
        <f>IFERROR(OLDBD[[#This Row],[Salida de almacén de retiro]]-OLDBD[[#This Row],[Ingreso Almacén de retiro]],"")</f>
        <v/>
      </c>
      <c r="BE512" s="52" t="str">
        <f>IFERROR(OLDBD[[#This Row],[Fin de Carga]]-OLDBD[[#This Row],[Inicio de Carga]],"")</f>
        <v/>
      </c>
    </row>
    <row r="513" spans="1:57" x14ac:dyDescent="0.35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6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Salida]]="","",MARÍTIMOS[[#This Row],[Etapa Retiro - Salida]]),"")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Row],[Hora de Carga]]+MARÍTIMOS[[#This Row],[Hora de Posicionamiento]]),"")</f>
        <v/>
      </c>
      <c r="Z513" s="11" t="str">
        <f>IFERROR(IF(MARÍTIMOS[[#This Row],[Etapa Despacho -  Llegada]]="","",MARÍTIMOS[[#This Row],[Etapa Despacho -  Llegada]]),"")</f>
        <v/>
      </c>
      <c r="AA513" s="11" t="str">
        <f>IFERROR(IF(MARÍTIMOS[[#This Row],[Etapa Despacho -  Registro]]="","",MARÍTIMOS[[#This Row],[Etapa Despacho - 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 Inicio de Carga]]="","",MARÍTIMOS[[#This Row],[Etapa Despacho -  Inicio de Carga]]),"")</f>
        <v/>
      </c>
      <c r="AD513" s="11" t="str">
        <f>IFERROR(IF(MARÍTIMOS[[#This Row],[Etapa Despacho -  Fin de Carga]]="","",MARÍTIMOS[[#This Row],[Etapa Despacho -  Fin de Carga]]),"")</f>
        <v/>
      </c>
      <c r="AE513" s="11" t="str">
        <f>IFERROR(IF(MARÍTIMOS[[#This Row],[Etapa Despacho -  Salida]]="","",MARÍTIMOS[[#This Row],[Etapa Despacho -  Salida]]),"")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5" t="s">
        <v>181</v>
      </c>
      <c r="BB513" s="53" t="str">
        <f>IFERROR(IF(MARÍTIMOS[[#This Row],[Estatus]]="","",MARÍTIMOS[[#This Row],[Estatus]]),"")</f>
        <v/>
      </c>
      <c r="BC513" s="45"/>
      <c r="BD513" s="52" t="str">
        <f>IFERROR(OLDBD[[#This Row],[Salida de almacén de retiro]]-OLDBD[[#This Row],[Ingreso Almacén de retiro]],"")</f>
        <v/>
      </c>
      <c r="BE513" s="52" t="str">
        <f>IFERROR(OLDBD[[#This Row],[Fin de Carga]]-OLDBD[[#This Row],[Inicio de Carga]],"")</f>
        <v/>
      </c>
    </row>
    <row r="514" spans="1:57" x14ac:dyDescent="0.35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6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Salida]]="","",MARÍTIMOS[[#This Row],[Etapa Retiro - Salida]]),"")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Row],[Hora de Carga]]+MARÍTIMOS[[#This Row],[Hora de Posicionamiento]]),"")</f>
        <v/>
      </c>
      <c r="Z514" s="11" t="str">
        <f>IFERROR(IF(MARÍTIMOS[[#This Row],[Etapa Despacho -  Llegada]]="","",MARÍTIMOS[[#This Row],[Etapa Despacho -  Llegada]]),"")</f>
        <v/>
      </c>
      <c r="AA514" s="11" t="str">
        <f>IFERROR(IF(MARÍTIMOS[[#This Row],[Etapa Despacho -  Registro]]="","",MARÍTIMOS[[#This Row],[Etapa Despacho - 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 Inicio de Carga]]="","",MARÍTIMOS[[#This Row],[Etapa Despacho -  Inicio de Carga]]),"")</f>
        <v/>
      </c>
      <c r="AD514" s="11" t="str">
        <f>IFERROR(IF(MARÍTIMOS[[#This Row],[Etapa Despacho -  Fin de Carga]]="","",MARÍTIMOS[[#This Row],[Etapa Despacho -  Fin de Carga]]),"")</f>
        <v/>
      </c>
      <c r="AE514" s="11" t="str">
        <f>IFERROR(IF(MARÍTIMOS[[#This Row],[Etapa Despacho -  Salida]]="","",MARÍTIMOS[[#This Row],[Etapa Despacho -  Salida]]),"")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5" t="s">
        <v>181</v>
      </c>
      <c r="BB514" s="53" t="str">
        <f>IFERROR(IF(MARÍTIMOS[[#This Row],[Estatus]]="","",MARÍTIMOS[[#This Row],[Estatus]]),"")</f>
        <v/>
      </c>
      <c r="BC514" s="45"/>
      <c r="BD514" s="52" t="str">
        <f>IFERROR(OLDBD[[#This Row],[Salida de almacén de retiro]]-OLDBD[[#This Row],[Ingreso Almacén de retiro]],"")</f>
        <v/>
      </c>
      <c r="BE514" s="52" t="str">
        <f>IFERROR(OLDBD[[#This Row],[Fin de Carga]]-OLDBD[[#This Row],[Inicio de Carga]],"")</f>
        <v/>
      </c>
    </row>
    <row r="515" spans="1:57" x14ac:dyDescent="0.35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6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Salida]]="","",MARÍTIMOS[[#This Row],[Etapa Retiro - Salida]]),"")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Row],[Hora de Carga]]+MARÍTIMOS[[#This Row],[Hora de Posicionamiento]]),"")</f>
        <v/>
      </c>
      <c r="Z515" s="11" t="str">
        <f>IFERROR(IF(MARÍTIMOS[[#This Row],[Etapa Despacho -  Llegada]]="","",MARÍTIMOS[[#This Row],[Etapa Despacho -  Llegada]]),"")</f>
        <v/>
      </c>
      <c r="AA515" s="11" t="str">
        <f>IFERROR(IF(MARÍTIMOS[[#This Row],[Etapa Despacho -  Registro]]="","",MARÍTIMOS[[#This Row],[Etapa Despacho - 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 Inicio de Carga]]="","",MARÍTIMOS[[#This Row],[Etapa Despacho -  Inicio de Carga]]),"")</f>
        <v/>
      </c>
      <c r="AD515" s="11" t="str">
        <f>IFERROR(IF(MARÍTIMOS[[#This Row],[Etapa Despacho -  Fin de Carga]]="","",MARÍTIMOS[[#This Row],[Etapa Despacho -  Fin de Carga]]),"")</f>
        <v/>
      </c>
      <c r="AE515" s="11" t="str">
        <f>IFERROR(IF(MARÍTIMOS[[#This Row],[Etapa Despacho -  Salida]]="","",MARÍTIMOS[[#This Row],[Etapa Despacho -  Salida]]),"")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5" t="s">
        <v>181</v>
      </c>
      <c r="BB515" s="53" t="str">
        <f>IFERROR(IF(MARÍTIMOS[[#This Row],[Estatus]]="","",MARÍTIMOS[[#This Row],[Estatus]]),"")</f>
        <v/>
      </c>
      <c r="BC515" s="45"/>
      <c r="BD515" s="52" t="str">
        <f>IFERROR(OLDBD[[#This Row],[Salida de almacén de retiro]]-OLDBD[[#This Row],[Ingreso Almacén de retiro]],"")</f>
        <v/>
      </c>
      <c r="BE515" s="52" t="str">
        <f>IFERROR(OLDBD[[#This Row],[Fin de Carga]]-OLDBD[[#This Row],[Inicio de Carga]],"")</f>
        <v/>
      </c>
    </row>
    <row r="516" spans="1:57" x14ac:dyDescent="0.35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6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Salida]]="","",MARÍTIMOS[[#This Row],[Etapa Retiro - Salida]]),"")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Row],[Hora de Carga]]+MARÍTIMOS[[#This Row],[Hora de Posicionamiento]]),"")</f>
        <v/>
      </c>
      <c r="Z516" s="11" t="str">
        <f>IFERROR(IF(MARÍTIMOS[[#This Row],[Etapa Despacho -  Llegada]]="","",MARÍTIMOS[[#This Row],[Etapa Despacho -  Llegada]]),"")</f>
        <v/>
      </c>
      <c r="AA516" s="11" t="str">
        <f>IFERROR(IF(MARÍTIMOS[[#This Row],[Etapa Despacho -  Registro]]="","",MARÍTIMOS[[#This Row],[Etapa Despacho - 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 Inicio de Carga]]="","",MARÍTIMOS[[#This Row],[Etapa Despacho -  Inicio de Carga]]),"")</f>
        <v/>
      </c>
      <c r="AD516" s="11" t="str">
        <f>IFERROR(IF(MARÍTIMOS[[#This Row],[Etapa Despacho -  Fin de Carga]]="","",MARÍTIMOS[[#This Row],[Etapa Despacho -  Fin de Carga]]),"")</f>
        <v/>
      </c>
      <c r="AE516" s="11" t="str">
        <f>IFERROR(IF(MARÍTIMOS[[#This Row],[Etapa Despacho -  Salida]]="","",MARÍTIMOS[[#This Row],[Etapa Despacho -  Salida]]),"")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5" t="s">
        <v>181</v>
      </c>
      <c r="BB516" s="53" t="str">
        <f>IFERROR(IF(MARÍTIMOS[[#This Row],[Estatus]]="","",MARÍTIMOS[[#This Row],[Estatus]]),"")</f>
        <v/>
      </c>
      <c r="BC516" s="45"/>
      <c r="BD516" s="52" t="str">
        <f>IFERROR(OLDBD[[#This Row],[Salida de almacén de retiro]]-OLDBD[[#This Row],[Ingreso Almacén de retiro]],"")</f>
        <v/>
      </c>
      <c r="BE516" s="52" t="str">
        <f>IFERROR(OLDBD[[#This Row],[Fin de Carga]]-OLDBD[[#This Row],[Inicio de Carga]],"")</f>
        <v/>
      </c>
    </row>
    <row r="517" spans="1:57" x14ac:dyDescent="0.35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6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Salida]]="","",MARÍTIMOS[[#This Row],[Etapa Retiro - Salida]]),"")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Row],[Hora de Carga]]+MARÍTIMOS[[#This Row],[Hora de Posicionamiento]]),"")</f>
        <v/>
      </c>
      <c r="Z517" s="11" t="str">
        <f>IFERROR(IF(MARÍTIMOS[[#This Row],[Etapa Despacho -  Llegada]]="","",MARÍTIMOS[[#This Row],[Etapa Despacho -  Llegada]]),"")</f>
        <v/>
      </c>
      <c r="AA517" s="11" t="str">
        <f>IFERROR(IF(MARÍTIMOS[[#This Row],[Etapa Despacho -  Registro]]="","",MARÍTIMOS[[#This Row],[Etapa Despacho - 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 Inicio de Carga]]="","",MARÍTIMOS[[#This Row],[Etapa Despacho -  Inicio de Carga]]),"")</f>
        <v/>
      </c>
      <c r="AD517" s="11" t="str">
        <f>IFERROR(IF(MARÍTIMOS[[#This Row],[Etapa Despacho -  Fin de Carga]]="","",MARÍTIMOS[[#This Row],[Etapa Despacho -  Fin de Carga]]),"")</f>
        <v/>
      </c>
      <c r="AE517" s="11" t="str">
        <f>IFERROR(IF(MARÍTIMOS[[#This Row],[Etapa Despacho -  Salida]]="","",MARÍTIMOS[[#This Row],[Etapa Despacho -  Salida]]),"")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5" t="s">
        <v>181</v>
      </c>
      <c r="BB517" s="53" t="str">
        <f>IFERROR(IF(MARÍTIMOS[[#This Row],[Estatus]]="","",MARÍTIMOS[[#This Row],[Estatus]]),"")</f>
        <v/>
      </c>
      <c r="BC517" s="45"/>
      <c r="BD517" s="52" t="str">
        <f>IFERROR(OLDBD[[#This Row],[Salida de almacén de retiro]]-OLDBD[[#This Row],[Ingreso Almacén de retiro]],"")</f>
        <v/>
      </c>
      <c r="BE517" s="52" t="str">
        <f>IFERROR(OLDBD[[#This Row],[Fin de Carga]]-OLDBD[[#This Row],[Inicio de Carga]],"")</f>
        <v/>
      </c>
    </row>
    <row r="518" spans="1:57" x14ac:dyDescent="0.35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6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Salida]]="","",MARÍTIMOS[[#This Row],[Etapa Retiro - Salida]]),"")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Row],[Hora de Carga]]+MARÍTIMOS[[#This Row],[Hora de Posicionamiento]]),"")</f>
        <v/>
      </c>
      <c r="Z518" s="11" t="str">
        <f>IFERROR(IF(MARÍTIMOS[[#This Row],[Etapa Despacho -  Llegada]]="","",MARÍTIMOS[[#This Row],[Etapa Despacho -  Llegada]]),"")</f>
        <v/>
      </c>
      <c r="AA518" s="11" t="str">
        <f>IFERROR(IF(MARÍTIMOS[[#This Row],[Etapa Despacho -  Registro]]="","",MARÍTIMOS[[#This Row],[Etapa Despacho - 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 Inicio de Carga]]="","",MARÍTIMOS[[#This Row],[Etapa Despacho -  Inicio de Carga]]),"")</f>
        <v/>
      </c>
      <c r="AD518" s="11" t="str">
        <f>IFERROR(IF(MARÍTIMOS[[#This Row],[Etapa Despacho -  Fin de Carga]]="","",MARÍTIMOS[[#This Row],[Etapa Despacho -  Fin de Carga]]),"")</f>
        <v/>
      </c>
      <c r="AE518" s="11" t="str">
        <f>IFERROR(IF(MARÍTIMOS[[#This Row],[Etapa Despacho -  Salida]]="","",MARÍTIMOS[[#This Row],[Etapa Despacho -  Salida]]),"")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5" t="s">
        <v>181</v>
      </c>
      <c r="BB518" s="53" t="str">
        <f>IFERROR(IF(MARÍTIMOS[[#This Row],[Estatus]]="","",MARÍTIMOS[[#This Row],[Estatus]]),"")</f>
        <v/>
      </c>
      <c r="BC518" s="45"/>
      <c r="BD518" s="52" t="str">
        <f>IFERROR(OLDBD[[#This Row],[Salida de almacén de retiro]]-OLDBD[[#This Row],[Ingreso Almacén de retiro]],"")</f>
        <v/>
      </c>
      <c r="BE518" s="52" t="str">
        <f>IFERROR(OLDBD[[#This Row],[Fin de Carga]]-OLDBD[[#This Row],[Inicio de Carga]],"")</f>
        <v/>
      </c>
    </row>
    <row r="519" spans="1:57" x14ac:dyDescent="0.35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6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Salida]]="","",MARÍTIMOS[[#This Row],[Etapa Retiro - Salida]]),"")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Row],[Hora de Carga]]+MARÍTIMOS[[#This Row],[Hora de Posicionamiento]]),"")</f>
        <v/>
      </c>
      <c r="Z519" s="11" t="str">
        <f>IFERROR(IF(MARÍTIMOS[[#This Row],[Etapa Despacho -  Llegada]]="","",MARÍTIMOS[[#This Row],[Etapa Despacho -  Llegada]]),"")</f>
        <v/>
      </c>
      <c r="AA519" s="11" t="str">
        <f>IFERROR(IF(MARÍTIMOS[[#This Row],[Etapa Despacho -  Registro]]="","",MARÍTIMOS[[#This Row],[Etapa Despacho - 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 Inicio de Carga]]="","",MARÍTIMOS[[#This Row],[Etapa Despacho -  Inicio de Carga]]),"")</f>
        <v/>
      </c>
      <c r="AD519" s="11" t="str">
        <f>IFERROR(IF(MARÍTIMOS[[#This Row],[Etapa Despacho -  Fin de Carga]]="","",MARÍTIMOS[[#This Row],[Etapa Despacho -  Fin de Carga]]),"")</f>
        <v/>
      </c>
      <c r="AE519" s="11" t="str">
        <f>IFERROR(IF(MARÍTIMOS[[#This Row],[Etapa Despacho -  Salida]]="","",MARÍTIMOS[[#This Row],[Etapa Despacho -  Salida]]),"")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5" t="s">
        <v>181</v>
      </c>
      <c r="BB519" s="53" t="str">
        <f>IFERROR(IF(MARÍTIMOS[[#This Row],[Estatus]]="","",MARÍTIMOS[[#This Row],[Estatus]]),"")</f>
        <v/>
      </c>
      <c r="BC519" s="45"/>
      <c r="BD519" s="52" t="str">
        <f>IFERROR(OLDBD[[#This Row],[Salida de almacén de retiro]]-OLDBD[[#This Row],[Ingreso Almacén de retiro]],"")</f>
        <v/>
      </c>
      <c r="BE519" s="52" t="str">
        <f>IFERROR(OLDBD[[#This Row],[Fin de Carga]]-OLDBD[[#This Row],[Inicio de Carga]],"")</f>
        <v/>
      </c>
    </row>
    <row r="520" spans="1:57" x14ac:dyDescent="0.35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6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Salida]]="","",MARÍTIMOS[[#This Row],[Etapa Retiro - Salida]]),"")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Row],[Hora de Carga]]+MARÍTIMOS[[#This Row],[Hora de Posicionamiento]]),"")</f>
        <v/>
      </c>
      <c r="Z520" s="11" t="str">
        <f>IFERROR(IF(MARÍTIMOS[[#This Row],[Etapa Despacho -  Llegada]]="","",MARÍTIMOS[[#This Row],[Etapa Despacho -  Llegada]]),"")</f>
        <v/>
      </c>
      <c r="AA520" s="11" t="str">
        <f>IFERROR(IF(MARÍTIMOS[[#This Row],[Etapa Despacho -  Registro]]="","",MARÍTIMOS[[#This Row],[Etapa Despacho - 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 Inicio de Carga]]="","",MARÍTIMOS[[#This Row],[Etapa Despacho -  Inicio de Carga]]),"")</f>
        <v/>
      </c>
      <c r="AD520" s="11" t="str">
        <f>IFERROR(IF(MARÍTIMOS[[#This Row],[Etapa Despacho -  Fin de Carga]]="","",MARÍTIMOS[[#This Row],[Etapa Despacho -  Fin de Carga]]),"")</f>
        <v/>
      </c>
      <c r="AE520" s="11" t="str">
        <f>IFERROR(IF(MARÍTIMOS[[#This Row],[Etapa Despacho -  Salida]]="","",MARÍTIMOS[[#This Row],[Etapa Despacho -  Salida]]),"")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5" t="s">
        <v>181</v>
      </c>
      <c r="BB520" s="53" t="str">
        <f>IFERROR(IF(MARÍTIMOS[[#This Row],[Estatus]]="","",MARÍTIMOS[[#This Row],[Estatus]]),"")</f>
        <v/>
      </c>
      <c r="BC520" s="45"/>
      <c r="BD520" s="52" t="str">
        <f>IFERROR(OLDBD[[#This Row],[Salida de almacén de retiro]]-OLDBD[[#This Row],[Ingreso Almacén de retiro]],"")</f>
        <v/>
      </c>
      <c r="BE520" s="52" t="str">
        <f>IFERROR(OLDBD[[#This Row],[Fin de Carga]]-OLDBD[[#This Row],[Inicio de Carga]],"")</f>
        <v/>
      </c>
    </row>
    <row r="521" spans="1:57" x14ac:dyDescent="0.35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6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Salida]]="","",MARÍTIMOS[[#This Row],[Etapa Retiro - Salida]]),"")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Row],[Hora de Carga]]+MARÍTIMOS[[#This Row],[Hora de Posicionamiento]]),"")</f>
        <v/>
      </c>
      <c r="Z521" s="11" t="str">
        <f>IFERROR(IF(MARÍTIMOS[[#This Row],[Etapa Despacho -  Llegada]]="","",MARÍTIMOS[[#This Row],[Etapa Despacho -  Llegada]]),"")</f>
        <v/>
      </c>
      <c r="AA521" s="11" t="str">
        <f>IFERROR(IF(MARÍTIMOS[[#This Row],[Etapa Despacho -  Registro]]="","",MARÍTIMOS[[#This Row],[Etapa Despacho - 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 Inicio de Carga]]="","",MARÍTIMOS[[#This Row],[Etapa Despacho -  Inicio de Carga]]),"")</f>
        <v/>
      </c>
      <c r="AD521" s="11" t="str">
        <f>IFERROR(IF(MARÍTIMOS[[#This Row],[Etapa Despacho -  Fin de Carga]]="","",MARÍTIMOS[[#This Row],[Etapa Despacho -  Fin de Carga]]),"")</f>
        <v/>
      </c>
      <c r="AE521" s="11" t="str">
        <f>IFERROR(IF(MARÍTIMOS[[#This Row],[Etapa Despacho -  Salida]]="","",MARÍTIMOS[[#This Row],[Etapa Despacho -  Salida]]),"")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5" t="s">
        <v>181</v>
      </c>
      <c r="BB521" s="53" t="str">
        <f>IFERROR(IF(MARÍTIMOS[[#This Row],[Estatus]]="","",MARÍTIMOS[[#This Row],[Estatus]]),"")</f>
        <v/>
      </c>
      <c r="BC521" s="45"/>
      <c r="BD521" s="52" t="str">
        <f>IFERROR(OLDBD[[#This Row],[Salida de almacén de retiro]]-OLDBD[[#This Row],[Ingreso Almacén de retiro]],"")</f>
        <v/>
      </c>
      <c r="BE521" s="52" t="str">
        <f>IFERROR(OLDBD[[#This Row],[Fin de Carga]]-OLDBD[[#This Row],[Inicio de Carga]],"")</f>
        <v/>
      </c>
    </row>
    <row r="522" spans="1:57" x14ac:dyDescent="0.35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6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Salida]]="","",MARÍTIMOS[[#This Row],[Etapa Retiro - Salida]]),"")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Row],[Hora de Carga]]+MARÍTIMOS[[#This Row],[Hora de Posicionamiento]]),"")</f>
        <v/>
      </c>
      <c r="Z522" s="11" t="str">
        <f>IFERROR(IF(MARÍTIMOS[[#This Row],[Etapa Despacho -  Llegada]]="","",MARÍTIMOS[[#This Row],[Etapa Despacho -  Llegada]]),"")</f>
        <v/>
      </c>
      <c r="AA522" s="11" t="str">
        <f>IFERROR(IF(MARÍTIMOS[[#This Row],[Etapa Despacho -  Registro]]="","",MARÍTIMOS[[#This Row],[Etapa Despacho - 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 Inicio de Carga]]="","",MARÍTIMOS[[#This Row],[Etapa Despacho -  Inicio de Carga]]),"")</f>
        <v/>
      </c>
      <c r="AD522" s="11" t="str">
        <f>IFERROR(IF(MARÍTIMOS[[#This Row],[Etapa Despacho -  Fin de Carga]]="","",MARÍTIMOS[[#This Row],[Etapa Despacho -  Fin de Carga]]),"")</f>
        <v/>
      </c>
      <c r="AE522" s="11" t="str">
        <f>IFERROR(IF(MARÍTIMOS[[#This Row],[Etapa Despacho -  Salida]]="","",MARÍTIMOS[[#This Row],[Etapa Despacho -  Salida]]),"")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5" t="s">
        <v>181</v>
      </c>
      <c r="BB522" s="53" t="str">
        <f>IFERROR(IF(MARÍTIMOS[[#This Row],[Estatus]]="","",MARÍTIMOS[[#This Row],[Estatus]]),"")</f>
        <v/>
      </c>
      <c r="BC522" s="45"/>
      <c r="BD522" s="52" t="str">
        <f>IFERROR(OLDBD[[#This Row],[Salida de almacén de retiro]]-OLDBD[[#This Row],[Ingreso Almacén de retiro]],"")</f>
        <v/>
      </c>
      <c r="BE522" s="52" t="str">
        <f>IFERROR(OLDBD[[#This Row],[Fin de Carga]]-OLDBD[[#This Row],[Inicio de Carga]],"")</f>
        <v/>
      </c>
    </row>
    <row r="523" spans="1:57" x14ac:dyDescent="0.35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6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Salida]]="","",MARÍTIMOS[[#This Row],[Etapa Retiro - Salida]]),"")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Row],[Hora de Carga]]+MARÍTIMOS[[#This Row],[Hora de Posicionamiento]]),"")</f>
        <v/>
      </c>
      <c r="Z523" s="11" t="str">
        <f>IFERROR(IF(MARÍTIMOS[[#This Row],[Etapa Despacho -  Llegada]]="","",MARÍTIMOS[[#This Row],[Etapa Despacho -  Llegada]]),"")</f>
        <v/>
      </c>
      <c r="AA523" s="11" t="str">
        <f>IFERROR(IF(MARÍTIMOS[[#This Row],[Etapa Despacho -  Registro]]="","",MARÍTIMOS[[#This Row],[Etapa Despacho - 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 Inicio de Carga]]="","",MARÍTIMOS[[#This Row],[Etapa Despacho -  Inicio de Carga]]),"")</f>
        <v/>
      </c>
      <c r="AD523" s="11" t="str">
        <f>IFERROR(IF(MARÍTIMOS[[#This Row],[Etapa Despacho -  Fin de Carga]]="","",MARÍTIMOS[[#This Row],[Etapa Despacho -  Fin de Carga]]),"")</f>
        <v/>
      </c>
      <c r="AE523" s="11" t="str">
        <f>IFERROR(IF(MARÍTIMOS[[#This Row],[Etapa Despacho -  Salida]]="","",MARÍTIMOS[[#This Row],[Etapa Despacho -  Salida]]),"")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5" t="s">
        <v>181</v>
      </c>
      <c r="BB523" s="53" t="str">
        <f>IFERROR(IF(MARÍTIMOS[[#This Row],[Estatus]]="","",MARÍTIMOS[[#This Row],[Estatus]]),"")</f>
        <v/>
      </c>
      <c r="BC523" s="45"/>
      <c r="BD523" s="52" t="str">
        <f>IFERROR(OLDBD[[#This Row],[Salida de almacén de retiro]]-OLDBD[[#This Row],[Ingreso Almacén de retiro]],"")</f>
        <v/>
      </c>
      <c r="BE523" s="52" t="str">
        <f>IFERROR(OLDBD[[#This Row],[Fin de Carga]]-OLDBD[[#This Row],[Inicio de Carga]],"")</f>
        <v/>
      </c>
    </row>
    <row r="524" spans="1:57" x14ac:dyDescent="0.35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6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Salida]]="","",MARÍTIMOS[[#This Row],[Etapa Retiro - Salida]]),"")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Row],[Hora de Carga]]+MARÍTIMOS[[#This Row],[Hora de Posicionamiento]]),"")</f>
        <v/>
      </c>
      <c r="Z524" s="11" t="str">
        <f>IFERROR(IF(MARÍTIMOS[[#This Row],[Etapa Despacho -  Llegada]]="","",MARÍTIMOS[[#This Row],[Etapa Despacho -  Llegada]]),"")</f>
        <v/>
      </c>
      <c r="AA524" s="11" t="str">
        <f>IFERROR(IF(MARÍTIMOS[[#This Row],[Etapa Despacho -  Registro]]="","",MARÍTIMOS[[#This Row],[Etapa Despacho - 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 Inicio de Carga]]="","",MARÍTIMOS[[#This Row],[Etapa Despacho -  Inicio de Carga]]),"")</f>
        <v/>
      </c>
      <c r="AD524" s="11" t="str">
        <f>IFERROR(IF(MARÍTIMOS[[#This Row],[Etapa Despacho -  Fin de Carga]]="","",MARÍTIMOS[[#This Row],[Etapa Despacho -  Fin de Carga]]),"")</f>
        <v/>
      </c>
      <c r="AE524" s="11" t="str">
        <f>IFERROR(IF(MARÍTIMOS[[#This Row],[Etapa Despacho -  Salida]]="","",MARÍTIMOS[[#This Row],[Etapa Despacho -  Salida]]),"")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5" t="s">
        <v>181</v>
      </c>
      <c r="BB524" s="53" t="str">
        <f>IFERROR(IF(MARÍTIMOS[[#This Row],[Estatus]]="","",MARÍTIMOS[[#This Row],[Estatus]]),"")</f>
        <v/>
      </c>
      <c r="BC524" s="45"/>
      <c r="BD524" s="52" t="str">
        <f>IFERROR(OLDBD[[#This Row],[Salida de almacén de retiro]]-OLDBD[[#This Row],[Ingreso Almacén de retiro]],"")</f>
        <v/>
      </c>
      <c r="BE524" s="52" t="str">
        <f>IFERROR(OLDBD[[#This Row],[Fin de Carga]]-OLDBD[[#This Row],[Inicio de Carga]],"")</f>
        <v/>
      </c>
    </row>
    <row r="525" spans="1:57" x14ac:dyDescent="0.35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6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Salida]]="","",MARÍTIMOS[[#This Row],[Etapa Retiro - Salida]]),"")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Row],[Hora de Carga]]+MARÍTIMOS[[#This Row],[Hora de Posicionamiento]]),"")</f>
        <v/>
      </c>
      <c r="Z525" s="11" t="str">
        <f>IFERROR(IF(MARÍTIMOS[[#This Row],[Etapa Despacho -  Llegada]]="","",MARÍTIMOS[[#This Row],[Etapa Despacho -  Llegada]]),"")</f>
        <v/>
      </c>
      <c r="AA525" s="11" t="str">
        <f>IFERROR(IF(MARÍTIMOS[[#This Row],[Etapa Despacho -  Registro]]="","",MARÍTIMOS[[#This Row],[Etapa Despacho - 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 Inicio de Carga]]="","",MARÍTIMOS[[#This Row],[Etapa Despacho -  Inicio de Carga]]),"")</f>
        <v/>
      </c>
      <c r="AD525" s="11" t="str">
        <f>IFERROR(IF(MARÍTIMOS[[#This Row],[Etapa Despacho -  Fin de Carga]]="","",MARÍTIMOS[[#This Row],[Etapa Despacho -  Fin de Carga]]),"")</f>
        <v/>
      </c>
      <c r="AE525" s="11" t="str">
        <f>IFERROR(IF(MARÍTIMOS[[#This Row],[Etapa Despacho -  Salida]]="","",MARÍTIMOS[[#This Row],[Etapa Despacho -  Salida]]),"")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5" t="s">
        <v>181</v>
      </c>
      <c r="BB525" s="53" t="str">
        <f>IFERROR(IF(MARÍTIMOS[[#This Row],[Estatus]]="","",MARÍTIMOS[[#This Row],[Estatus]]),"")</f>
        <v/>
      </c>
      <c r="BC525" s="45"/>
      <c r="BD525" s="52" t="str">
        <f>IFERROR(OLDBD[[#This Row],[Salida de almacén de retiro]]-OLDBD[[#This Row],[Ingreso Almacén de retiro]],"")</f>
        <v/>
      </c>
      <c r="BE525" s="52" t="str">
        <f>IFERROR(OLDBD[[#This Row],[Fin de Carga]]-OLDBD[[#This Row],[Inicio de Carga]],"")</f>
        <v/>
      </c>
    </row>
    <row r="526" spans="1:57" x14ac:dyDescent="0.35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6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Salida]]="","",MARÍTIMOS[[#This Row],[Etapa Retiro - Salida]]),"")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Row],[Hora de Carga]]+MARÍTIMOS[[#This Row],[Hora de Posicionamiento]]),"")</f>
        <v/>
      </c>
      <c r="Z526" s="11" t="str">
        <f>IFERROR(IF(MARÍTIMOS[[#This Row],[Etapa Despacho -  Llegada]]="","",MARÍTIMOS[[#This Row],[Etapa Despacho -  Llegada]]),"")</f>
        <v/>
      </c>
      <c r="AA526" s="11" t="str">
        <f>IFERROR(IF(MARÍTIMOS[[#This Row],[Etapa Despacho -  Registro]]="","",MARÍTIMOS[[#This Row],[Etapa Despacho - 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 Inicio de Carga]]="","",MARÍTIMOS[[#This Row],[Etapa Despacho -  Inicio de Carga]]),"")</f>
        <v/>
      </c>
      <c r="AD526" s="11" t="str">
        <f>IFERROR(IF(MARÍTIMOS[[#This Row],[Etapa Despacho -  Fin de Carga]]="","",MARÍTIMOS[[#This Row],[Etapa Despacho -  Fin de Carga]]),"")</f>
        <v/>
      </c>
      <c r="AE526" s="11" t="str">
        <f>IFERROR(IF(MARÍTIMOS[[#This Row],[Etapa Despacho -  Salida]]="","",MARÍTIMOS[[#This Row],[Etapa Despacho -  Salida]]),"")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5" t="s">
        <v>181</v>
      </c>
      <c r="BB526" s="53" t="str">
        <f>IFERROR(IF(MARÍTIMOS[[#This Row],[Estatus]]="","",MARÍTIMOS[[#This Row],[Estatus]]),"")</f>
        <v/>
      </c>
      <c r="BC526" s="45"/>
      <c r="BD526" s="52" t="str">
        <f>IFERROR(OLDBD[[#This Row],[Salida de almacén de retiro]]-OLDBD[[#This Row],[Ingreso Almacén de retiro]],"")</f>
        <v/>
      </c>
      <c r="BE526" s="52" t="str">
        <f>IFERROR(OLDBD[[#This Row],[Fin de Carga]]-OLDBD[[#This Row],[Inicio de Carga]],"")</f>
        <v/>
      </c>
    </row>
    <row r="527" spans="1:57" x14ac:dyDescent="0.35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6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Salida]]="","",MARÍTIMOS[[#This Row],[Etapa Retiro - Salida]]),"")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Row],[Hora de Carga]]+MARÍTIMOS[[#This Row],[Hora de Posicionamiento]]),"")</f>
        <v/>
      </c>
      <c r="Z527" s="11" t="str">
        <f>IFERROR(IF(MARÍTIMOS[[#This Row],[Etapa Despacho -  Llegada]]="","",MARÍTIMOS[[#This Row],[Etapa Despacho -  Llegada]]),"")</f>
        <v/>
      </c>
      <c r="AA527" s="11" t="str">
        <f>IFERROR(IF(MARÍTIMOS[[#This Row],[Etapa Despacho -  Registro]]="","",MARÍTIMOS[[#This Row],[Etapa Despacho - 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 Inicio de Carga]]="","",MARÍTIMOS[[#This Row],[Etapa Despacho -  Inicio de Carga]]),"")</f>
        <v/>
      </c>
      <c r="AD527" s="11" t="str">
        <f>IFERROR(IF(MARÍTIMOS[[#This Row],[Etapa Despacho -  Fin de Carga]]="","",MARÍTIMOS[[#This Row],[Etapa Despacho -  Fin de Carga]]),"")</f>
        <v/>
      </c>
      <c r="AE527" s="11" t="str">
        <f>IFERROR(IF(MARÍTIMOS[[#This Row],[Etapa Despacho -  Salida]]="","",MARÍTIMOS[[#This Row],[Etapa Despacho -  Salida]]),"")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5" t="s">
        <v>181</v>
      </c>
      <c r="BB527" s="53" t="str">
        <f>IFERROR(IF(MARÍTIMOS[[#This Row],[Estatus]]="","",MARÍTIMOS[[#This Row],[Estatus]]),"")</f>
        <v/>
      </c>
      <c r="BC527" s="45"/>
      <c r="BD527" s="52" t="str">
        <f>IFERROR(OLDBD[[#This Row],[Salida de almacén de retiro]]-OLDBD[[#This Row],[Ingreso Almacén de retiro]],"")</f>
        <v/>
      </c>
      <c r="BE527" s="52" t="str">
        <f>IFERROR(OLDBD[[#This Row],[Fin de Carga]]-OLDBD[[#This Row],[Inicio de Carga]],"")</f>
        <v/>
      </c>
    </row>
    <row r="528" spans="1:57" x14ac:dyDescent="0.35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6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Salida]]="","",MARÍTIMOS[[#This Row],[Etapa Retiro - Salida]]),"")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Row],[Hora de Carga]]+MARÍTIMOS[[#This Row],[Hora de Posicionamiento]]),"")</f>
        <v/>
      </c>
      <c r="Z528" s="11" t="str">
        <f>IFERROR(IF(MARÍTIMOS[[#This Row],[Etapa Despacho -  Llegada]]="","",MARÍTIMOS[[#This Row],[Etapa Despacho -  Llegada]]),"")</f>
        <v/>
      </c>
      <c r="AA528" s="11" t="str">
        <f>IFERROR(IF(MARÍTIMOS[[#This Row],[Etapa Despacho -  Registro]]="","",MARÍTIMOS[[#This Row],[Etapa Despacho - 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 Inicio de Carga]]="","",MARÍTIMOS[[#This Row],[Etapa Despacho -  Inicio de Carga]]),"")</f>
        <v/>
      </c>
      <c r="AD528" s="11" t="str">
        <f>IFERROR(IF(MARÍTIMOS[[#This Row],[Etapa Despacho -  Fin de Carga]]="","",MARÍTIMOS[[#This Row],[Etapa Despacho -  Fin de Carga]]),"")</f>
        <v/>
      </c>
      <c r="AE528" s="11" t="str">
        <f>IFERROR(IF(MARÍTIMOS[[#This Row],[Etapa Despacho -  Salida]]="","",MARÍTIMOS[[#This Row],[Etapa Despacho -  Salida]]),"")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5" t="s">
        <v>181</v>
      </c>
      <c r="BB528" s="53" t="str">
        <f>IFERROR(IF(MARÍTIMOS[[#This Row],[Estatus]]="","",MARÍTIMOS[[#This Row],[Estatus]]),"")</f>
        <v/>
      </c>
      <c r="BC528" s="45"/>
      <c r="BD528" s="52" t="str">
        <f>IFERROR(OLDBD[[#This Row],[Salida de almacén de retiro]]-OLDBD[[#This Row],[Ingreso Almacén de retiro]],"")</f>
        <v/>
      </c>
      <c r="BE528" s="52" t="str">
        <f>IFERROR(OLDBD[[#This Row],[Fin de Carga]]-OLDBD[[#This Row],[Inicio de Carga]],"")</f>
        <v/>
      </c>
    </row>
    <row r="529" spans="1:57" x14ac:dyDescent="0.35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6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Salida]]="","",MARÍTIMOS[[#This Row],[Etapa Retiro - Salida]]),"")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Row],[Hora de Carga]]+MARÍTIMOS[[#This Row],[Hora de Posicionamiento]]),"")</f>
        <v/>
      </c>
      <c r="Z529" s="11" t="str">
        <f>IFERROR(IF(MARÍTIMOS[[#This Row],[Etapa Despacho -  Llegada]]="","",MARÍTIMOS[[#This Row],[Etapa Despacho -  Llegada]]),"")</f>
        <v/>
      </c>
      <c r="AA529" s="11" t="str">
        <f>IFERROR(IF(MARÍTIMOS[[#This Row],[Etapa Despacho -  Registro]]="","",MARÍTIMOS[[#This Row],[Etapa Despacho - 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 Inicio de Carga]]="","",MARÍTIMOS[[#This Row],[Etapa Despacho -  Inicio de Carga]]),"")</f>
        <v/>
      </c>
      <c r="AD529" s="11" t="str">
        <f>IFERROR(IF(MARÍTIMOS[[#This Row],[Etapa Despacho -  Fin de Carga]]="","",MARÍTIMOS[[#This Row],[Etapa Despacho -  Fin de Carga]]),"")</f>
        <v/>
      </c>
      <c r="AE529" s="11" t="str">
        <f>IFERROR(IF(MARÍTIMOS[[#This Row],[Etapa Despacho -  Salida]]="","",MARÍTIMOS[[#This Row],[Etapa Despacho -  Salida]]),"")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5" t="s">
        <v>181</v>
      </c>
      <c r="BB529" s="53" t="str">
        <f>IFERROR(IF(MARÍTIMOS[[#This Row],[Estatus]]="","",MARÍTIMOS[[#This Row],[Estatus]]),"")</f>
        <v/>
      </c>
      <c r="BC529" s="45"/>
      <c r="BD529" s="52" t="str">
        <f>IFERROR(OLDBD[[#This Row],[Salida de almacén de retiro]]-OLDBD[[#This Row],[Ingreso Almacén de retiro]],"")</f>
        <v/>
      </c>
      <c r="BE529" s="52" t="str">
        <f>IFERROR(OLDBD[[#This Row],[Fin de Carga]]-OLDBD[[#This Row],[Inicio de Carga]],"")</f>
        <v/>
      </c>
    </row>
    <row r="530" spans="1:57" x14ac:dyDescent="0.35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6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Salida]]="","",MARÍTIMOS[[#This Row],[Etapa Retiro - Salida]]),"")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Row],[Hora de Carga]]+MARÍTIMOS[[#This Row],[Hora de Posicionamiento]]),"")</f>
        <v/>
      </c>
      <c r="Z530" s="11" t="str">
        <f>IFERROR(IF(MARÍTIMOS[[#This Row],[Etapa Despacho -  Llegada]]="","",MARÍTIMOS[[#This Row],[Etapa Despacho -  Llegada]]),"")</f>
        <v/>
      </c>
      <c r="AA530" s="11" t="str">
        <f>IFERROR(IF(MARÍTIMOS[[#This Row],[Etapa Despacho -  Registro]]="","",MARÍTIMOS[[#This Row],[Etapa Despacho - 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 Inicio de Carga]]="","",MARÍTIMOS[[#This Row],[Etapa Despacho -  Inicio de Carga]]),"")</f>
        <v/>
      </c>
      <c r="AD530" s="11" t="str">
        <f>IFERROR(IF(MARÍTIMOS[[#This Row],[Etapa Despacho -  Fin de Carga]]="","",MARÍTIMOS[[#This Row],[Etapa Despacho -  Fin de Carga]]),"")</f>
        <v/>
      </c>
      <c r="AE530" s="11" t="str">
        <f>IFERROR(IF(MARÍTIMOS[[#This Row],[Etapa Despacho -  Salida]]="","",MARÍTIMOS[[#This Row],[Etapa Despacho -  Salida]]),"")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5" t="s">
        <v>181</v>
      </c>
      <c r="BB530" s="53" t="str">
        <f>IFERROR(IF(MARÍTIMOS[[#This Row],[Estatus]]="","",MARÍTIMOS[[#This Row],[Estatus]]),"")</f>
        <v/>
      </c>
      <c r="BC530" s="45"/>
      <c r="BD530" s="52" t="str">
        <f>IFERROR(OLDBD[[#This Row],[Salida de almacén de retiro]]-OLDBD[[#This Row],[Ingreso Almacén de retiro]],"")</f>
        <v/>
      </c>
      <c r="BE530" s="52" t="str">
        <f>IFERROR(OLDBD[[#This Row],[Fin de Carga]]-OLDBD[[#This Row],[Inicio de Carga]],"")</f>
        <v/>
      </c>
    </row>
    <row r="531" spans="1:57" x14ac:dyDescent="0.35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6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Salida]]="","",MARÍTIMOS[[#This Row],[Etapa Retiro - Salida]]),"")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Row],[Hora de Carga]]+MARÍTIMOS[[#This Row],[Hora de Posicionamiento]]),"")</f>
        <v/>
      </c>
      <c r="Z531" s="11" t="str">
        <f>IFERROR(IF(MARÍTIMOS[[#This Row],[Etapa Despacho -  Llegada]]="","",MARÍTIMOS[[#This Row],[Etapa Despacho -  Llegada]]),"")</f>
        <v/>
      </c>
      <c r="AA531" s="11" t="str">
        <f>IFERROR(IF(MARÍTIMOS[[#This Row],[Etapa Despacho -  Registro]]="","",MARÍTIMOS[[#This Row],[Etapa Despacho - 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 Inicio de Carga]]="","",MARÍTIMOS[[#This Row],[Etapa Despacho -  Inicio de Carga]]),"")</f>
        <v/>
      </c>
      <c r="AD531" s="11" t="str">
        <f>IFERROR(IF(MARÍTIMOS[[#This Row],[Etapa Despacho -  Fin de Carga]]="","",MARÍTIMOS[[#This Row],[Etapa Despacho -  Fin de Carga]]),"")</f>
        <v/>
      </c>
      <c r="AE531" s="11" t="str">
        <f>IFERROR(IF(MARÍTIMOS[[#This Row],[Etapa Despacho -  Salida]]="","",MARÍTIMOS[[#This Row],[Etapa Despacho -  Salida]]),"")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5" t="s">
        <v>181</v>
      </c>
      <c r="BB531" s="53" t="str">
        <f>IFERROR(IF(MARÍTIMOS[[#This Row],[Estatus]]="","",MARÍTIMOS[[#This Row],[Estatus]]),"")</f>
        <v/>
      </c>
      <c r="BC531" s="45"/>
      <c r="BD531" s="52" t="str">
        <f>IFERROR(OLDBD[[#This Row],[Salida de almacén de retiro]]-OLDBD[[#This Row],[Ingreso Almacén de retiro]],"")</f>
        <v/>
      </c>
      <c r="BE531" s="52" t="str">
        <f>IFERROR(OLDBD[[#This Row],[Fin de Carga]]-OLDBD[[#This Row],[Inicio de Carga]],"")</f>
        <v/>
      </c>
    </row>
    <row r="532" spans="1:57" x14ac:dyDescent="0.35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6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Salida]]="","",MARÍTIMOS[[#This Row],[Etapa Retiro - Salida]]),"")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Row],[Hora de Carga]]+MARÍTIMOS[[#This Row],[Hora de Posicionamiento]]),"")</f>
        <v/>
      </c>
      <c r="Z532" s="11" t="str">
        <f>IFERROR(IF(MARÍTIMOS[[#This Row],[Etapa Despacho -  Llegada]]="","",MARÍTIMOS[[#This Row],[Etapa Despacho -  Llegada]]),"")</f>
        <v/>
      </c>
      <c r="AA532" s="11" t="str">
        <f>IFERROR(IF(MARÍTIMOS[[#This Row],[Etapa Despacho -  Registro]]="","",MARÍTIMOS[[#This Row],[Etapa Despacho - 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 Inicio de Carga]]="","",MARÍTIMOS[[#This Row],[Etapa Despacho -  Inicio de Carga]]),"")</f>
        <v/>
      </c>
      <c r="AD532" s="11" t="str">
        <f>IFERROR(IF(MARÍTIMOS[[#This Row],[Etapa Despacho -  Fin de Carga]]="","",MARÍTIMOS[[#This Row],[Etapa Despacho -  Fin de Carga]]),"")</f>
        <v/>
      </c>
      <c r="AE532" s="11" t="str">
        <f>IFERROR(IF(MARÍTIMOS[[#This Row],[Etapa Despacho -  Salida]]="","",MARÍTIMOS[[#This Row],[Etapa Despacho -  Salida]]),"")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5" t="s">
        <v>181</v>
      </c>
      <c r="BB532" s="53" t="str">
        <f>IFERROR(IF(MARÍTIMOS[[#This Row],[Estatus]]="","",MARÍTIMOS[[#This Row],[Estatus]]),"")</f>
        <v/>
      </c>
      <c r="BC532" s="45"/>
      <c r="BD532" s="52" t="str">
        <f>IFERROR(OLDBD[[#This Row],[Salida de almacén de retiro]]-OLDBD[[#This Row],[Ingreso Almacén de retiro]],"")</f>
        <v/>
      </c>
      <c r="BE532" s="52" t="str">
        <f>IFERROR(OLDBD[[#This Row],[Fin de Carga]]-OLDBD[[#This Row],[Inicio de Carga]],"")</f>
        <v/>
      </c>
    </row>
    <row r="533" spans="1:57" x14ac:dyDescent="0.35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6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Salida]]="","",MARÍTIMOS[[#This Row],[Etapa Retiro - Salida]]),"")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Row],[Hora de Carga]]+MARÍTIMOS[[#This Row],[Hora de Posicionamiento]]),"")</f>
        <v/>
      </c>
      <c r="Z533" s="11" t="str">
        <f>IFERROR(IF(MARÍTIMOS[[#This Row],[Etapa Despacho -  Llegada]]="","",MARÍTIMOS[[#This Row],[Etapa Despacho -  Llegada]]),"")</f>
        <v/>
      </c>
      <c r="AA533" s="11" t="str">
        <f>IFERROR(IF(MARÍTIMOS[[#This Row],[Etapa Despacho -  Registro]]="","",MARÍTIMOS[[#This Row],[Etapa Despacho - 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 Inicio de Carga]]="","",MARÍTIMOS[[#This Row],[Etapa Despacho -  Inicio de Carga]]),"")</f>
        <v/>
      </c>
      <c r="AD533" s="11" t="str">
        <f>IFERROR(IF(MARÍTIMOS[[#This Row],[Etapa Despacho -  Fin de Carga]]="","",MARÍTIMOS[[#This Row],[Etapa Despacho -  Fin de Carga]]),"")</f>
        <v/>
      </c>
      <c r="AE533" s="11" t="str">
        <f>IFERROR(IF(MARÍTIMOS[[#This Row],[Etapa Despacho -  Salida]]="","",MARÍTIMOS[[#This Row],[Etapa Despacho -  Salida]]),"")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5" t="s">
        <v>181</v>
      </c>
      <c r="BB533" s="53" t="str">
        <f>IFERROR(IF(MARÍTIMOS[[#This Row],[Estatus]]="","",MARÍTIMOS[[#This Row],[Estatus]]),"")</f>
        <v/>
      </c>
      <c r="BC533" s="45"/>
      <c r="BD533" s="52" t="str">
        <f>IFERROR(OLDBD[[#This Row],[Salida de almacén de retiro]]-OLDBD[[#This Row],[Ingreso Almacén de retiro]],"")</f>
        <v/>
      </c>
      <c r="BE533" s="52" t="str">
        <f>IFERROR(OLDBD[[#This Row],[Fin de Carga]]-OLDBD[[#This Row],[Inicio de Carga]],"")</f>
        <v/>
      </c>
    </row>
    <row r="534" spans="1:57" x14ac:dyDescent="0.35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6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Salida]]="","",MARÍTIMOS[[#This Row],[Etapa Retiro - Salida]]),"")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Row],[Hora de Carga]]+MARÍTIMOS[[#This Row],[Hora de Posicionamiento]]),"")</f>
        <v/>
      </c>
      <c r="Z534" s="11" t="str">
        <f>IFERROR(IF(MARÍTIMOS[[#This Row],[Etapa Despacho -  Llegada]]="","",MARÍTIMOS[[#This Row],[Etapa Despacho -  Llegada]]),"")</f>
        <v/>
      </c>
      <c r="AA534" s="11" t="str">
        <f>IFERROR(IF(MARÍTIMOS[[#This Row],[Etapa Despacho -  Registro]]="","",MARÍTIMOS[[#This Row],[Etapa Despacho - 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 Inicio de Carga]]="","",MARÍTIMOS[[#This Row],[Etapa Despacho -  Inicio de Carga]]),"")</f>
        <v/>
      </c>
      <c r="AD534" s="11" t="str">
        <f>IFERROR(IF(MARÍTIMOS[[#This Row],[Etapa Despacho -  Fin de Carga]]="","",MARÍTIMOS[[#This Row],[Etapa Despacho -  Fin de Carga]]),"")</f>
        <v/>
      </c>
      <c r="AE534" s="11" t="str">
        <f>IFERROR(IF(MARÍTIMOS[[#This Row],[Etapa Despacho -  Salida]]="","",MARÍTIMOS[[#This Row],[Etapa Despacho -  Salida]]),"")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5" t="s">
        <v>181</v>
      </c>
      <c r="BB534" s="53" t="str">
        <f>IFERROR(IF(MARÍTIMOS[[#This Row],[Estatus]]="","",MARÍTIMOS[[#This Row],[Estatus]]),"")</f>
        <v/>
      </c>
      <c r="BC534" s="45"/>
      <c r="BD534" s="52" t="str">
        <f>IFERROR(OLDBD[[#This Row],[Salida de almacén de retiro]]-OLDBD[[#This Row],[Ingreso Almacén de retiro]],"")</f>
        <v/>
      </c>
      <c r="BE534" s="52" t="str">
        <f>IFERROR(OLDBD[[#This Row],[Fin de Carga]]-OLDBD[[#This Row],[Inicio de Carga]],"")</f>
        <v/>
      </c>
    </row>
    <row r="535" spans="1:57" x14ac:dyDescent="0.35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6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Salida]]="","",MARÍTIMOS[[#This Row],[Etapa Retiro - Salida]]),"")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Row],[Hora de Carga]]+MARÍTIMOS[[#This Row],[Hora de Posicionamiento]]),"")</f>
        <v/>
      </c>
      <c r="Z535" s="11" t="str">
        <f>IFERROR(IF(MARÍTIMOS[[#This Row],[Etapa Despacho -  Llegada]]="","",MARÍTIMOS[[#This Row],[Etapa Despacho -  Llegada]]),"")</f>
        <v/>
      </c>
      <c r="AA535" s="11" t="str">
        <f>IFERROR(IF(MARÍTIMOS[[#This Row],[Etapa Despacho -  Registro]]="","",MARÍTIMOS[[#This Row],[Etapa Despacho - 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 Inicio de Carga]]="","",MARÍTIMOS[[#This Row],[Etapa Despacho -  Inicio de Carga]]),"")</f>
        <v/>
      </c>
      <c r="AD535" s="11" t="str">
        <f>IFERROR(IF(MARÍTIMOS[[#This Row],[Etapa Despacho -  Fin de Carga]]="","",MARÍTIMOS[[#This Row],[Etapa Despacho -  Fin de Carga]]),"")</f>
        <v/>
      </c>
      <c r="AE535" s="11" t="str">
        <f>IFERROR(IF(MARÍTIMOS[[#This Row],[Etapa Despacho -  Salida]]="","",MARÍTIMOS[[#This Row],[Etapa Despacho -  Salida]]),"")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5" t="s">
        <v>181</v>
      </c>
      <c r="BB535" s="53" t="str">
        <f>IFERROR(IF(MARÍTIMOS[[#This Row],[Estatus]]="","",MARÍTIMOS[[#This Row],[Estatus]]),"")</f>
        <v/>
      </c>
      <c r="BC535" s="45"/>
      <c r="BD535" s="52" t="str">
        <f>IFERROR(OLDBD[[#This Row],[Salida de almacén de retiro]]-OLDBD[[#This Row],[Ingreso Almacén de retiro]],"")</f>
        <v/>
      </c>
      <c r="BE535" s="52" t="str">
        <f>IFERROR(OLDBD[[#This Row],[Fin de Carga]]-OLDBD[[#This Row],[Inicio de Carga]],"")</f>
        <v/>
      </c>
    </row>
    <row r="536" spans="1:57" x14ac:dyDescent="0.35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6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Salida]]="","",MARÍTIMOS[[#This Row],[Etapa Retiro - Salida]]),"")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Row],[Hora de Carga]]+MARÍTIMOS[[#This Row],[Hora de Posicionamiento]]),"")</f>
        <v/>
      </c>
      <c r="Z536" s="11" t="str">
        <f>IFERROR(IF(MARÍTIMOS[[#This Row],[Etapa Despacho -  Llegada]]="","",MARÍTIMOS[[#This Row],[Etapa Despacho -  Llegada]]),"")</f>
        <v/>
      </c>
      <c r="AA536" s="11" t="str">
        <f>IFERROR(IF(MARÍTIMOS[[#This Row],[Etapa Despacho -  Registro]]="","",MARÍTIMOS[[#This Row],[Etapa Despacho - 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 Inicio de Carga]]="","",MARÍTIMOS[[#This Row],[Etapa Despacho -  Inicio de Carga]]),"")</f>
        <v/>
      </c>
      <c r="AD536" s="11" t="str">
        <f>IFERROR(IF(MARÍTIMOS[[#This Row],[Etapa Despacho -  Fin de Carga]]="","",MARÍTIMOS[[#This Row],[Etapa Despacho -  Fin de Carga]]),"")</f>
        <v/>
      </c>
      <c r="AE536" s="11" t="str">
        <f>IFERROR(IF(MARÍTIMOS[[#This Row],[Etapa Despacho -  Salida]]="","",MARÍTIMOS[[#This Row],[Etapa Despacho -  Salida]]),"")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5" t="s">
        <v>181</v>
      </c>
      <c r="BB536" s="53" t="str">
        <f>IFERROR(IF(MARÍTIMOS[[#This Row],[Estatus]]="","",MARÍTIMOS[[#This Row],[Estatus]]),"")</f>
        <v/>
      </c>
      <c r="BC536" s="45"/>
      <c r="BD536" s="52" t="str">
        <f>IFERROR(OLDBD[[#This Row],[Salida de almacén de retiro]]-OLDBD[[#This Row],[Ingreso Almacén de retiro]],"")</f>
        <v/>
      </c>
      <c r="BE536" s="52" t="str">
        <f>IFERROR(OLDBD[[#This Row],[Fin de Carga]]-OLDBD[[#This Row],[Inicio de Carga]],"")</f>
        <v/>
      </c>
    </row>
    <row r="537" spans="1:57" x14ac:dyDescent="0.35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6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Salida]]="","",MARÍTIMOS[[#This Row],[Etapa Retiro - Salida]]),"")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Row],[Hora de Carga]]+MARÍTIMOS[[#This Row],[Hora de Posicionamiento]]),"")</f>
        <v/>
      </c>
      <c r="Z537" s="11" t="str">
        <f>IFERROR(IF(MARÍTIMOS[[#This Row],[Etapa Despacho -  Llegada]]="","",MARÍTIMOS[[#This Row],[Etapa Despacho -  Llegada]]),"")</f>
        <v/>
      </c>
      <c r="AA537" s="11" t="str">
        <f>IFERROR(IF(MARÍTIMOS[[#This Row],[Etapa Despacho -  Registro]]="","",MARÍTIMOS[[#This Row],[Etapa Despacho - 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 Inicio de Carga]]="","",MARÍTIMOS[[#This Row],[Etapa Despacho -  Inicio de Carga]]),"")</f>
        <v/>
      </c>
      <c r="AD537" s="11" t="str">
        <f>IFERROR(IF(MARÍTIMOS[[#This Row],[Etapa Despacho -  Fin de Carga]]="","",MARÍTIMOS[[#This Row],[Etapa Despacho -  Fin de Carga]]),"")</f>
        <v/>
      </c>
      <c r="AE537" s="11" t="str">
        <f>IFERROR(IF(MARÍTIMOS[[#This Row],[Etapa Despacho -  Salida]]="","",MARÍTIMOS[[#This Row],[Etapa Despacho -  Salida]]),"")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5" t="s">
        <v>181</v>
      </c>
      <c r="BB537" s="53" t="str">
        <f>IFERROR(IF(MARÍTIMOS[[#This Row],[Estatus]]="","",MARÍTIMOS[[#This Row],[Estatus]]),"")</f>
        <v/>
      </c>
      <c r="BC537" s="45"/>
      <c r="BD537" s="52" t="str">
        <f>IFERROR(OLDBD[[#This Row],[Salida de almacén de retiro]]-OLDBD[[#This Row],[Ingreso Almacén de retiro]],"")</f>
        <v/>
      </c>
      <c r="BE537" s="52" t="str">
        <f>IFERROR(OLDBD[[#This Row],[Fin de Carga]]-OLDBD[[#This Row],[Inicio de Carga]],"")</f>
        <v/>
      </c>
    </row>
    <row r="538" spans="1:57" x14ac:dyDescent="0.35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6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Salida]]="","",MARÍTIMOS[[#This Row],[Etapa Retiro - Salida]]),"")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Row],[Hora de Carga]]+MARÍTIMOS[[#This Row],[Hora de Posicionamiento]]),"")</f>
        <v/>
      </c>
      <c r="Z538" s="11" t="str">
        <f>IFERROR(IF(MARÍTIMOS[[#This Row],[Etapa Despacho -  Llegada]]="","",MARÍTIMOS[[#This Row],[Etapa Despacho -  Llegada]]),"")</f>
        <v/>
      </c>
      <c r="AA538" s="11" t="str">
        <f>IFERROR(IF(MARÍTIMOS[[#This Row],[Etapa Despacho -  Registro]]="","",MARÍTIMOS[[#This Row],[Etapa Despacho - 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 Inicio de Carga]]="","",MARÍTIMOS[[#This Row],[Etapa Despacho -  Inicio de Carga]]),"")</f>
        <v/>
      </c>
      <c r="AD538" s="11" t="str">
        <f>IFERROR(IF(MARÍTIMOS[[#This Row],[Etapa Despacho -  Fin de Carga]]="","",MARÍTIMOS[[#This Row],[Etapa Despacho -  Fin de Carga]]),"")</f>
        <v/>
      </c>
      <c r="AE538" s="11" t="str">
        <f>IFERROR(IF(MARÍTIMOS[[#This Row],[Etapa Despacho -  Salida]]="","",MARÍTIMOS[[#This Row],[Etapa Despacho -  Salida]]),"")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5" t="s">
        <v>181</v>
      </c>
      <c r="BB538" s="53" t="str">
        <f>IFERROR(IF(MARÍTIMOS[[#This Row],[Estatus]]="","",MARÍTIMOS[[#This Row],[Estatus]]),"")</f>
        <v/>
      </c>
      <c r="BC538" s="45"/>
      <c r="BD538" s="52" t="str">
        <f>IFERROR(OLDBD[[#This Row],[Salida de almacén de retiro]]-OLDBD[[#This Row],[Ingreso Almacén de retiro]],"")</f>
        <v/>
      </c>
      <c r="BE538" s="52" t="str">
        <f>IFERROR(OLDBD[[#This Row],[Fin de Carga]]-OLDBD[[#This Row],[Inicio de Carga]],"")</f>
        <v/>
      </c>
    </row>
    <row r="539" spans="1:57" x14ac:dyDescent="0.35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6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Salida]]="","",MARÍTIMOS[[#This Row],[Etapa Retiro - Salida]]),"")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Row],[Hora de Carga]]+MARÍTIMOS[[#This Row],[Hora de Posicionamiento]]),"")</f>
        <v/>
      </c>
      <c r="Z539" s="11" t="str">
        <f>IFERROR(IF(MARÍTIMOS[[#This Row],[Etapa Despacho -  Llegada]]="","",MARÍTIMOS[[#This Row],[Etapa Despacho -  Llegada]]),"")</f>
        <v/>
      </c>
      <c r="AA539" s="11" t="str">
        <f>IFERROR(IF(MARÍTIMOS[[#This Row],[Etapa Despacho -  Registro]]="","",MARÍTIMOS[[#This Row],[Etapa Despacho - 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 Inicio de Carga]]="","",MARÍTIMOS[[#This Row],[Etapa Despacho -  Inicio de Carga]]),"")</f>
        <v/>
      </c>
      <c r="AD539" s="11" t="str">
        <f>IFERROR(IF(MARÍTIMOS[[#This Row],[Etapa Despacho -  Fin de Carga]]="","",MARÍTIMOS[[#This Row],[Etapa Despacho -  Fin de Carga]]),"")</f>
        <v/>
      </c>
      <c r="AE539" s="11" t="str">
        <f>IFERROR(IF(MARÍTIMOS[[#This Row],[Etapa Despacho -  Salida]]="","",MARÍTIMOS[[#This Row],[Etapa Despacho -  Salida]]),"")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5" t="s">
        <v>181</v>
      </c>
      <c r="BB539" s="53" t="str">
        <f>IFERROR(IF(MARÍTIMOS[[#This Row],[Estatus]]="","",MARÍTIMOS[[#This Row],[Estatus]]),"")</f>
        <v/>
      </c>
      <c r="BC539" s="45"/>
      <c r="BD539" s="52" t="str">
        <f>IFERROR(OLDBD[[#This Row],[Salida de almacén de retiro]]-OLDBD[[#This Row],[Ingreso Almacén de retiro]],"")</f>
        <v/>
      </c>
      <c r="BE539" s="52" t="str">
        <f>IFERROR(OLDBD[[#This Row],[Fin de Carga]]-OLDBD[[#This Row],[Inicio de Carga]],"")</f>
        <v/>
      </c>
    </row>
    <row r="540" spans="1:57" x14ac:dyDescent="0.35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6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Salida]]="","",MARÍTIMOS[[#This Row],[Etapa Retiro - Salida]]),"")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Row],[Hora de Carga]]+MARÍTIMOS[[#This Row],[Hora de Posicionamiento]]),"")</f>
        <v/>
      </c>
      <c r="Z540" s="11" t="str">
        <f>IFERROR(IF(MARÍTIMOS[[#This Row],[Etapa Despacho -  Llegada]]="","",MARÍTIMOS[[#This Row],[Etapa Despacho -  Llegada]]),"")</f>
        <v/>
      </c>
      <c r="AA540" s="11" t="str">
        <f>IFERROR(IF(MARÍTIMOS[[#This Row],[Etapa Despacho -  Registro]]="","",MARÍTIMOS[[#This Row],[Etapa Despacho - 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 Inicio de Carga]]="","",MARÍTIMOS[[#This Row],[Etapa Despacho -  Inicio de Carga]]),"")</f>
        <v/>
      </c>
      <c r="AD540" s="11" t="str">
        <f>IFERROR(IF(MARÍTIMOS[[#This Row],[Etapa Despacho -  Fin de Carga]]="","",MARÍTIMOS[[#This Row],[Etapa Despacho -  Fin de Carga]]),"")</f>
        <v/>
      </c>
      <c r="AE540" s="11" t="str">
        <f>IFERROR(IF(MARÍTIMOS[[#This Row],[Etapa Despacho -  Salida]]="","",MARÍTIMOS[[#This Row],[Etapa Despacho -  Salida]]),"")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5" t="s">
        <v>181</v>
      </c>
      <c r="BB540" s="53" t="str">
        <f>IFERROR(IF(MARÍTIMOS[[#This Row],[Estatus]]="","",MARÍTIMOS[[#This Row],[Estatus]]),"")</f>
        <v/>
      </c>
      <c r="BC540" s="45"/>
      <c r="BD540" s="52" t="str">
        <f>IFERROR(OLDBD[[#This Row],[Salida de almacén de retiro]]-OLDBD[[#This Row],[Ingreso Almacén de retiro]],"")</f>
        <v/>
      </c>
      <c r="BE540" s="52" t="str">
        <f>IFERROR(OLDBD[[#This Row],[Fin de Carga]]-OLDBD[[#This Row],[Inicio de Carga]],"")</f>
        <v/>
      </c>
    </row>
    <row r="541" spans="1:57" x14ac:dyDescent="0.35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6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Salida]]="","",MARÍTIMOS[[#This Row],[Etapa Retiro - Salida]]),"")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Row],[Hora de Carga]]+MARÍTIMOS[[#This Row],[Hora de Posicionamiento]]),"")</f>
        <v/>
      </c>
      <c r="Z541" s="11" t="str">
        <f>IFERROR(IF(MARÍTIMOS[[#This Row],[Etapa Despacho -  Llegada]]="","",MARÍTIMOS[[#This Row],[Etapa Despacho -  Llegada]]),"")</f>
        <v/>
      </c>
      <c r="AA541" s="11" t="str">
        <f>IFERROR(IF(MARÍTIMOS[[#This Row],[Etapa Despacho -  Registro]]="","",MARÍTIMOS[[#This Row],[Etapa Despacho - 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 Inicio de Carga]]="","",MARÍTIMOS[[#This Row],[Etapa Despacho -  Inicio de Carga]]),"")</f>
        <v/>
      </c>
      <c r="AD541" s="11" t="str">
        <f>IFERROR(IF(MARÍTIMOS[[#This Row],[Etapa Despacho -  Fin de Carga]]="","",MARÍTIMOS[[#This Row],[Etapa Despacho -  Fin de Carga]]),"")</f>
        <v/>
      </c>
      <c r="AE541" s="11" t="str">
        <f>IFERROR(IF(MARÍTIMOS[[#This Row],[Etapa Despacho -  Salida]]="","",MARÍTIMOS[[#This Row],[Etapa Despacho -  Salida]]),"")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5" t="s">
        <v>181</v>
      </c>
      <c r="BB541" s="53" t="str">
        <f>IFERROR(IF(MARÍTIMOS[[#This Row],[Estatus]]="","",MARÍTIMOS[[#This Row],[Estatus]]),"")</f>
        <v/>
      </c>
      <c r="BC541" s="45"/>
      <c r="BD541" s="52" t="str">
        <f>IFERROR(OLDBD[[#This Row],[Salida de almacén de retiro]]-OLDBD[[#This Row],[Ingreso Almacén de retiro]],"")</f>
        <v/>
      </c>
      <c r="BE541" s="52" t="str">
        <f>IFERROR(OLDBD[[#This Row],[Fin de Carga]]-OLDBD[[#This Row],[Inicio de Carga]],"")</f>
        <v/>
      </c>
    </row>
    <row r="542" spans="1:57" x14ac:dyDescent="0.35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6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Salida]]="","",MARÍTIMOS[[#This Row],[Etapa Retiro - Salida]]),"")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Row],[Hora de Carga]]+MARÍTIMOS[[#This Row],[Hora de Posicionamiento]]),"")</f>
        <v/>
      </c>
      <c r="Z542" s="11" t="str">
        <f>IFERROR(IF(MARÍTIMOS[[#This Row],[Etapa Despacho -  Llegada]]="","",MARÍTIMOS[[#This Row],[Etapa Despacho -  Llegada]]),"")</f>
        <v/>
      </c>
      <c r="AA542" s="11" t="str">
        <f>IFERROR(IF(MARÍTIMOS[[#This Row],[Etapa Despacho -  Registro]]="","",MARÍTIMOS[[#This Row],[Etapa Despacho - 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 Inicio de Carga]]="","",MARÍTIMOS[[#This Row],[Etapa Despacho -  Inicio de Carga]]),"")</f>
        <v/>
      </c>
      <c r="AD542" s="11" t="str">
        <f>IFERROR(IF(MARÍTIMOS[[#This Row],[Etapa Despacho -  Fin de Carga]]="","",MARÍTIMOS[[#This Row],[Etapa Despacho -  Fin de Carga]]),"")</f>
        <v/>
      </c>
      <c r="AE542" s="11" t="str">
        <f>IFERROR(IF(MARÍTIMOS[[#This Row],[Etapa Despacho -  Salida]]="","",MARÍTIMOS[[#This Row],[Etapa Despacho -  Salida]]),"")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5" t="s">
        <v>181</v>
      </c>
      <c r="BB542" s="53" t="str">
        <f>IFERROR(IF(MARÍTIMOS[[#This Row],[Estatus]]="","",MARÍTIMOS[[#This Row],[Estatus]]),"")</f>
        <v/>
      </c>
      <c r="BC542" s="45"/>
      <c r="BD542" s="52" t="str">
        <f>IFERROR(OLDBD[[#This Row],[Salida de almacén de retiro]]-OLDBD[[#This Row],[Ingreso Almacén de retiro]],"")</f>
        <v/>
      </c>
      <c r="BE542" s="52" t="str">
        <f>IFERROR(OLDBD[[#This Row],[Fin de Carga]]-OLDBD[[#This Row],[Inicio de Carga]],"")</f>
        <v/>
      </c>
    </row>
    <row r="543" spans="1:57" x14ac:dyDescent="0.35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6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Salida]]="","",MARÍTIMOS[[#This Row],[Etapa Retiro - Salida]]),"")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Row],[Hora de Carga]]+MARÍTIMOS[[#This Row],[Hora de Posicionamiento]]),"")</f>
        <v/>
      </c>
      <c r="Z543" s="11" t="str">
        <f>IFERROR(IF(MARÍTIMOS[[#This Row],[Etapa Despacho -  Llegada]]="","",MARÍTIMOS[[#This Row],[Etapa Despacho -  Llegada]]),"")</f>
        <v/>
      </c>
      <c r="AA543" s="11" t="str">
        <f>IFERROR(IF(MARÍTIMOS[[#This Row],[Etapa Despacho -  Registro]]="","",MARÍTIMOS[[#This Row],[Etapa Despacho - 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 Inicio de Carga]]="","",MARÍTIMOS[[#This Row],[Etapa Despacho -  Inicio de Carga]]),"")</f>
        <v/>
      </c>
      <c r="AD543" s="11" t="str">
        <f>IFERROR(IF(MARÍTIMOS[[#This Row],[Etapa Despacho -  Fin de Carga]]="","",MARÍTIMOS[[#This Row],[Etapa Despacho -  Fin de Carga]]),"")</f>
        <v/>
      </c>
      <c r="AE543" s="11" t="str">
        <f>IFERROR(IF(MARÍTIMOS[[#This Row],[Etapa Despacho -  Salida]]="","",MARÍTIMOS[[#This Row],[Etapa Despacho -  Salida]]),"")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5" t="s">
        <v>181</v>
      </c>
      <c r="BB543" s="53" t="str">
        <f>IFERROR(IF(MARÍTIMOS[[#This Row],[Estatus]]="","",MARÍTIMOS[[#This Row],[Estatus]]),"")</f>
        <v/>
      </c>
      <c r="BC543" s="45"/>
      <c r="BD543" s="52" t="str">
        <f>IFERROR(OLDBD[[#This Row],[Salida de almacén de retiro]]-OLDBD[[#This Row],[Ingreso Almacén de retiro]],"")</f>
        <v/>
      </c>
      <c r="BE543" s="52" t="str">
        <f>IFERROR(OLDBD[[#This Row],[Fin de Carga]]-OLDBD[[#This Row],[Inicio de Carga]],"")</f>
        <v/>
      </c>
    </row>
    <row r="544" spans="1:57" x14ac:dyDescent="0.35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6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Salida]]="","",MARÍTIMOS[[#This Row],[Etapa Retiro - Salida]]),"")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Row],[Hora de Carga]]+MARÍTIMOS[[#This Row],[Hora de Posicionamiento]]),"")</f>
        <v/>
      </c>
      <c r="Z544" s="11" t="str">
        <f>IFERROR(IF(MARÍTIMOS[[#This Row],[Etapa Despacho -  Llegada]]="","",MARÍTIMOS[[#This Row],[Etapa Despacho -  Llegada]]),"")</f>
        <v/>
      </c>
      <c r="AA544" s="11" t="str">
        <f>IFERROR(IF(MARÍTIMOS[[#This Row],[Etapa Despacho -  Registro]]="","",MARÍTIMOS[[#This Row],[Etapa Despacho - 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 Inicio de Carga]]="","",MARÍTIMOS[[#This Row],[Etapa Despacho -  Inicio de Carga]]),"")</f>
        <v/>
      </c>
      <c r="AD544" s="11" t="str">
        <f>IFERROR(IF(MARÍTIMOS[[#This Row],[Etapa Despacho -  Fin de Carga]]="","",MARÍTIMOS[[#This Row],[Etapa Despacho -  Fin de Carga]]),"")</f>
        <v/>
      </c>
      <c r="AE544" s="11" t="str">
        <f>IFERROR(IF(MARÍTIMOS[[#This Row],[Etapa Despacho -  Salida]]="","",MARÍTIMOS[[#This Row],[Etapa Despacho -  Salida]]),"")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5" t="s">
        <v>181</v>
      </c>
      <c r="BB544" s="53" t="str">
        <f>IFERROR(IF(MARÍTIMOS[[#This Row],[Estatus]]="","",MARÍTIMOS[[#This Row],[Estatus]]),"")</f>
        <v/>
      </c>
      <c r="BC544" s="45"/>
      <c r="BD544" s="52" t="str">
        <f>IFERROR(OLDBD[[#This Row],[Salida de almacén de retiro]]-OLDBD[[#This Row],[Ingreso Almacén de retiro]],"")</f>
        <v/>
      </c>
      <c r="BE544" s="52" t="str">
        <f>IFERROR(OLDBD[[#This Row],[Fin de Carga]]-OLDBD[[#This Row],[Inicio de Carga]],"")</f>
        <v/>
      </c>
    </row>
    <row r="545" spans="1:57" x14ac:dyDescent="0.35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6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Salida]]="","",MARÍTIMOS[[#This Row],[Etapa Retiro - Salida]]),"")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Row],[Hora de Carga]]+MARÍTIMOS[[#This Row],[Hora de Posicionamiento]]),"")</f>
        <v/>
      </c>
      <c r="Z545" s="11" t="str">
        <f>IFERROR(IF(MARÍTIMOS[[#This Row],[Etapa Despacho -  Llegada]]="","",MARÍTIMOS[[#This Row],[Etapa Despacho -  Llegada]]),"")</f>
        <v/>
      </c>
      <c r="AA545" s="11" t="str">
        <f>IFERROR(IF(MARÍTIMOS[[#This Row],[Etapa Despacho -  Registro]]="","",MARÍTIMOS[[#This Row],[Etapa Despacho - 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 Inicio de Carga]]="","",MARÍTIMOS[[#This Row],[Etapa Despacho -  Inicio de Carga]]),"")</f>
        <v/>
      </c>
      <c r="AD545" s="11" t="str">
        <f>IFERROR(IF(MARÍTIMOS[[#This Row],[Etapa Despacho -  Fin de Carga]]="","",MARÍTIMOS[[#This Row],[Etapa Despacho -  Fin de Carga]]),"")</f>
        <v/>
      </c>
      <c r="AE545" s="11" t="str">
        <f>IFERROR(IF(MARÍTIMOS[[#This Row],[Etapa Despacho -  Salida]]="","",MARÍTIMOS[[#This Row],[Etapa Despacho -  Salida]]),"")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5" t="s">
        <v>181</v>
      </c>
      <c r="BB545" s="53" t="str">
        <f>IFERROR(IF(MARÍTIMOS[[#This Row],[Estatus]]="","",MARÍTIMOS[[#This Row],[Estatus]]),"")</f>
        <v/>
      </c>
      <c r="BC545" s="45"/>
      <c r="BD545" s="52" t="str">
        <f>IFERROR(OLDBD[[#This Row],[Salida de almacén de retiro]]-OLDBD[[#This Row],[Ingreso Almacén de retiro]],"")</f>
        <v/>
      </c>
      <c r="BE545" s="52" t="str">
        <f>IFERROR(OLDBD[[#This Row],[Fin de Carga]]-OLDBD[[#This Row],[Inicio de Carga]],"")</f>
        <v/>
      </c>
    </row>
    <row r="546" spans="1:57" x14ac:dyDescent="0.35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6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Salida]]="","",MARÍTIMOS[[#This Row],[Etapa Retiro - Salida]]),"")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Row],[Hora de Carga]]+MARÍTIMOS[[#This Row],[Hora de Posicionamiento]]),"")</f>
        <v/>
      </c>
      <c r="Z546" s="11" t="str">
        <f>IFERROR(IF(MARÍTIMOS[[#This Row],[Etapa Despacho -  Llegada]]="","",MARÍTIMOS[[#This Row],[Etapa Despacho -  Llegada]]),"")</f>
        <v/>
      </c>
      <c r="AA546" s="11" t="str">
        <f>IFERROR(IF(MARÍTIMOS[[#This Row],[Etapa Despacho -  Registro]]="","",MARÍTIMOS[[#This Row],[Etapa Despacho - 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 Inicio de Carga]]="","",MARÍTIMOS[[#This Row],[Etapa Despacho -  Inicio de Carga]]),"")</f>
        <v/>
      </c>
      <c r="AD546" s="11" t="str">
        <f>IFERROR(IF(MARÍTIMOS[[#This Row],[Etapa Despacho -  Fin de Carga]]="","",MARÍTIMOS[[#This Row],[Etapa Despacho -  Fin de Carga]]),"")</f>
        <v/>
      </c>
      <c r="AE546" s="11" t="str">
        <f>IFERROR(IF(MARÍTIMOS[[#This Row],[Etapa Despacho -  Salida]]="","",MARÍTIMOS[[#This Row],[Etapa Despacho -  Salida]]),"")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5" t="s">
        <v>181</v>
      </c>
      <c r="BB546" s="53" t="str">
        <f>IFERROR(IF(MARÍTIMOS[[#This Row],[Estatus]]="","",MARÍTIMOS[[#This Row],[Estatus]]),"")</f>
        <v/>
      </c>
      <c r="BC546" s="45"/>
      <c r="BD546" s="52" t="str">
        <f>IFERROR(OLDBD[[#This Row],[Salida de almacén de retiro]]-OLDBD[[#This Row],[Ingreso Almacén de retiro]],"")</f>
        <v/>
      </c>
      <c r="BE546" s="52" t="str">
        <f>IFERROR(OLDBD[[#This Row],[Fin de Carga]]-OLDBD[[#This Row],[Inicio de Carga]],"")</f>
        <v/>
      </c>
    </row>
    <row r="547" spans="1:57" x14ac:dyDescent="0.35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6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Salida]]="","",MARÍTIMOS[[#This Row],[Etapa Retiro - Salida]]),"")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Row],[Hora de Carga]]+MARÍTIMOS[[#This Row],[Hora de Posicionamiento]]),"")</f>
        <v/>
      </c>
      <c r="Z547" s="11" t="str">
        <f>IFERROR(IF(MARÍTIMOS[[#This Row],[Etapa Despacho -  Llegada]]="","",MARÍTIMOS[[#This Row],[Etapa Despacho -  Llegada]]),"")</f>
        <v/>
      </c>
      <c r="AA547" s="11" t="str">
        <f>IFERROR(IF(MARÍTIMOS[[#This Row],[Etapa Despacho -  Registro]]="","",MARÍTIMOS[[#This Row],[Etapa Despacho - 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 Inicio de Carga]]="","",MARÍTIMOS[[#This Row],[Etapa Despacho -  Inicio de Carga]]),"")</f>
        <v/>
      </c>
      <c r="AD547" s="11" t="str">
        <f>IFERROR(IF(MARÍTIMOS[[#This Row],[Etapa Despacho -  Fin de Carga]]="","",MARÍTIMOS[[#This Row],[Etapa Despacho -  Fin de Carga]]),"")</f>
        <v/>
      </c>
      <c r="AE547" s="11" t="str">
        <f>IFERROR(IF(MARÍTIMOS[[#This Row],[Etapa Despacho -  Salida]]="","",MARÍTIMOS[[#This Row],[Etapa Despacho -  Salida]]),"")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5" t="s">
        <v>181</v>
      </c>
      <c r="BB547" s="53" t="str">
        <f>IFERROR(IF(MARÍTIMOS[[#This Row],[Estatus]]="","",MARÍTIMOS[[#This Row],[Estatus]]),"")</f>
        <v/>
      </c>
      <c r="BC547" s="45"/>
      <c r="BD547" s="52" t="str">
        <f>IFERROR(OLDBD[[#This Row],[Salida de almacén de retiro]]-OLDBD[[#This Row],[Ingreso Almacén de retiro]],"")</f>
        <v/>
      </c>
      <c r="BE547" s="52" t="str">
        <f>IFERROR(OLDBD[[#This Row],[Fin de Carga]]-OLDBD[[#This Row],[Inicio de Carga]],"")</f>
        <v/>
      </c>
    </row>
    <row r="548" spans="1:57" x14ac:dyDescent="0.35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6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Salida]]="","",MARÍTIMOS[[#This Row],[Etapa Retiro - Salida]]),"")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Row],[Hora de Carga]]+MARÍTIMOS[[#This Row],[Hora de Posicionamiento]]),"")</f>
        <v/>
      </c>
      <c r="Z548" s="11" t="str">
        <f>IFERROR(IF(MARÍTIMOS[[#This Row],[Etapa Despacho -  Llegada]]="","",MARÍTIMOS[[#This Row],[Etapa Despacho -  Llegada]]),"")</f>
        <v/>
      </c>
      <c r="AA548" s="11" t="str">
        <f>IFERROR(IF(MARÍTIMOS[[#This Row],[Etapa Despacho -  Registro]]="","",MARÍTIMOS[[#This Row],[Etapa Despacho - 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 Inicio de Carga]]="","",MARÍTIMOS[[#This Row],[Etapa Despacho -  Inicio de Carga]]),"")</f>
        <v/>
      </c>
      <c r="AD548" s="11" t="str">
        <f>IFERROR(IF(MARÍTIMOS[[#This Row],[Etapa Despacho -  Fin de Carga]]="","",MARÍTIMOS[[#This Row],[Etapa Despacho -  Fin de Carga]]),"")</f>
        <v/>
      </c>
      <c r="AE548" s="11" t="str">
        <f>IFERROR(IF(MARÍTIMOS[[#This Row],[Etapa Despacho -  Salida]]="","",MARÍTIMOS[[#This Row],[Etapa Despacho -  Salida]]),"")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5" t="s">
        <v>181</v>
      </c>
      <c r="BB548" s="53" t="str">
        <f>IFERROR(IF(MARÍTIMOS[[#This Row],[Estatus]]="","",MARÍTIMOS[[#This Row],[Estatus]]),"")</f>
        <v/>
      </c>
      <c r="BC548" s="45"/>
      <c r="BD548" s="52" t="str">
        <f>IFERROR(OLDBD[[#This Row],[Salida de almacén de retiro]]-OLDBD[[#This Row],[Ingreso Almacén de retiro]],"")</f>
        <v/>
      </c>
      <c r="BE548" s="52" t="str">
        <f>IFERROR(OLDBD[[#This Row],[Fin de Carga]]-OLDBD[[#This Row],[Inicio de Carga]],"")</f>
        <v/>
      </c>
    </row>
    <row r="549" spans="1:57" x14ac:dyDescent="0.35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6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Salida]]="","",MARÍTIMOS[[#This Row],[Etapa Retiro - Salida]]),"")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Row],[Hora de Carga]]+MARÍTIMOS[[#This Row],[Hora de Posicionamiento]]),"")</f>
        <v/>
      </c>
      <c r="Z549" s="11" t="str">
        <f>IFERROR(IF(MARÍTIMOS[[#This Row],[Etapa Despacho -  Llegada]]="","",MARÍTIMOS[[#This Row],[Etapa Despacho -  Llegada]]),"")</f>
        <v/>
      </c>
      <c r="AA549" s="11" t="str">
        <f>IFERROR(IF(MARÍTIMOS[[#This Row],[Etapa Despacho -  Registro]]="","",MARÍTIMOS[[#This Row],[Etapa Despacho - 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 Inicio de Carga]]="","",MARÍTIMOS[[#This Row],[Etapa Despacho -  Inicio de Carga]]),"")</f>
        <v/>
      </c>
      <c r="AD549" s="11" t="str">
        <f>IFERROR(IF(MARÍTIMOS[[#This Row],[Etapa Despacho -  Fin de Carga]]="","",MARÍTIMOS[[#This Row],[Etapa Despacho -  Fin de Carga]]),"")</f>
        <v/>
      </c>
      <c r="AE549" s="11" t="str">
        <f>IFERROR(IF(MARÍTIMOS[[#This Row],[Etapa Despacho -  Salida]]="","",MARÍTIMOS[[#This Row],[Etapa Despacho -  Salida]]),"")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5" t="s">
        <v>181</v>
      </c>
      <c r="BB549" s="53" t="str">
        <f>IFERROR(IF(MARÍTIMOS[[#This Row],[Estatus]]="","",MARÍTIMOS[[#This Row],[Estatus]]),"")</f>
        <v/>
      </c>
      <c r="BC549" s="45"/>
      <c r="BD549" s="52" t="str">
        <f>IFERROR(OLDBD[[#This Row],[Salida de almacén de retiro]]-OLDBD[[#This Row],[Ingreso Almacén de retiro]],"")</f>
        <v/>
      </c>
      <c r="BE549" s="52" t="str">
        <f>IFERROR(OLDBD[[#This Row],[Fin de Carga]]-OLDBD[[#This Row],[Inicio de Carga]],"")</f>
        <v/>
      </c>
    </row>
    <row r="550" spans="1:57" x14ac:dyDescent="0.35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6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Salida]]="","",MARÍTIMOS[[#This Row],[Etapa Retiro - Salida]]),"")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Row],[Hora de Carga]]+MARÍTIMOS[[#This Row],[Hora de Posicionamiento]]),"")</f>
        <v/>
      </c>
      <c r="Z550" s="11" t="str">
        <f>IFERROR(IF(MARÍTIMOS[[#This Row],[Etapa Despacho -  Llegada]]="","",MARÍTIMOS[[#This Row],[Etapa Despacho -  Llegada]]),"")</f>
        <v/>
      </c>
      <c r="AA550" s="11" t="str">
        <f>IFERROR(IF(MARÍTIMOS[[#This Row],[Etapa Despacho -  Registro]]="","",MARÍTIMOS[[#This Row],[Etapa Despacho - 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 Inicio de Carga]]="","",MARÍTIMOS[[#This Row],[Etapa Despacho -  Inicio de Carga]]),"")</f>
        <v/>
      </c>
      <c r="AD550" s="11" t="str">
        <f>IFERROR(IF(MARÍTIMOS[[#This Row],[Etapa Despacho -  Fin de Carga]]="","",MARÍTIMOS[[#This Row],[Etapa Despacho -  Fin de Carga]]),"")</f>
        <v/>
      </c>
      <c r="AE550" s="11" t="str">
        <f>IFERROR(IF(MARÍTIMOS[[#This Row],[Etapa Despacho -  Salida]]="","",MARÍTIMOS[[#This Row],[Etapa Despacho -  Salida]]),"")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5" t="s">
        <v>181</v>
      </c>
      <c r="BB550" s="53" t="str">
        <f>IFERROR(IF(MARÍTIMOS[[#This Row],[Estatus]]="","",MARÍTIMOS[[#This Row],[Estatus]]),"")</f>
        <v/>
      </c>
      <c r="BC550" s="45"/>
      <c r="BD550" s="52" t="str">
        <f>IFERROR(OLDBD[[#This Row],[Salida de almacén de retiro]]-OLDBD[[#This Row],[Ingreso Almacén de retiro]],"")</f>
        <v/>
      </c>
      <c r="BE550" s="52" t="str">
        <f>IFERROR(OLDBD[[#This Row],[Fin de Carga]]-OLDBD[[#This Row],[Inicio de Carga]],"")</f>
        <v/>
      </c>
    </row>
    <row r="551" spans="1:57" x14ac:dyDescent="0.35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6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Salida]]="","",MARÍTIMOS[[#This Row],[Etapa Retiro - Salida]]),"")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Row],[Hora de Carga]]+MARÍTIMOS[[#This Row],[Hora de Posicionamiento]]),"")</f>
        <v/>
      </c>
      <c r="Z551" s="11" t="str">
        <f>IFERROR(IF(MARÍTIMOS[[#This Row],[Etapa Despacho -  Llegada]]="","",MARÍTIMOS[[#This Row],[Etapa Despacho -  Llegada]]),"")</f>
        <v/>
      </c>
      <c r="AA551" s="11" t="str">
        <f>IFERROR(IF(MARÍTIMOS[[#This Row],[Etapa Despacho -  Registro]]="","",MARÍTIMOS[[#This Row],[Etapa Despacho - 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 Inicio de Carga]]="","",MARÍTIMOS[[#This Row],[Etapa Despacho -  Inicio de Carga]]),"")</f>
        <v/>
      </c>
      <c r="AD551" s="11" t="str">
        <f>IFERROR(IF(MARÍTIMOS[[#This Row],[Etapa Despacho -  Fin de Carga]]="","",MARÍTIMOS[[#This Row],[Etapa Despacho -  Fin de Carga]]),"")</f>
        <v/>
      </c>
      <c r="AE551" s="11" t="str">
        <f>IFERROR(IF(MARÍTIMOS[[#This Row],[Etapa Despacho -  Salida]]="","",MARÍTIMOS[[#This Row],[Etapa Despacho -  Salida]]),"")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5" t="s">
        <v>181</v>
      </c>
      <c r="BB551" s="53" t="str">
        <f>IFERROR(IF(MARÍTIMOS[[#This Row],[Estatus]]="","",MARÍTIMOS[[#This Row],[Estatus]]),"")</f>
        <v/>
      </c>
      <c r="BC551" s="45"/>
      <c r="BD551" s="52" t="str">
        <f>IFERROR(OLDBD[[#This Row],[Salida de almacén de retiro]]-OLDBD[[#This Row],[Ingreso Almacén de retiro]],"")</f>
        <v/>
      </c>
      <c r="BE551" s="52" t="str">
        <f>IFERROR(OLDBD[[#This Row],[Fin de Carga]]-OLDBD[[#This Row],[Inicio de Carga]],"")</f>
        <v/>
      </c>
    </row>
    <row r="552" spans="1:57" x14ac:dyDescent="0.35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6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Salida]]="","",MARÍTIMOS[[#This Row],[Etapa Retiro - Salida]]),"")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Row],[Hora de Carga]]+MARÍTIMOS[[#This Row],[Hora de Posicionamiento]]),"")</f>
        <v/>
      </c>
      <c r="Z552" s="11" t="str">
        <f>IFERROR(IF(MARÍTIMOS[[#This Row],[Etapa Despacho -  Llegada]]="","",MARÍTIMOS[[#This Row],[Etapa Despacho -  Llegada]]),"")</f>
        <v/>
      </c>
      <c r="AA552" s="11" t="str">
        <f>IFERROR(IF(MARÍTIMOS[[#This Row],[Etapa Despacho -  Registro]]="","",MARÍTIMOS[[#This Row],[Etapa Despacho - 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 Inicio de Carga]]="","",MARÍTIMOS[[#This Row],[Etapa Despacho -  Inicio de Carga]]),"")</f>
        <v/>
      </c>
      <c r="AD552" s="11" t="str">
        <f>IFERROR(IF(MARÍTIMOS[[#This Row],[Etapa Despacho -  Fin de Carga]]="","",MARÍTIMOS[[#This Row],[Etapa Despacho -  Fin de Carga]]),"")</f>
        <v/>
      </c>
      <c r="AE552" s="11" t="str">
        <f>IFERROR(IF(MARÍTIMOS[[#This Row],[Etapa Despacho -  Salida]]="","",MARÍTIMOS[[#This Row],[Etapa Despacho -  Salida]]),"")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5" t="s">
        <v>181</v>
      </c>
      <c r="BB552" s="53" t="str">
        <f>IFERROR(IF(MARÍTIMOS[[#This Row],[Estatus]]="","",MARÍTIMOS[[#This Row],[Estatus]]),"")</f>
        <v/>
      </c>
      <c r="BC552" s="45"/>
      <c r="BD552" s="52" t="str">
        <f>IFERROR(OLDBD[[#This Row],[Salida de almacén de retiro]]-OLDBD[[#This Row],[Ingreso Almacén de retiro]],"")</f>
        <v/>
      </c>
      <c r="BE552" s="52" t="str">
        <f>IFERROR(OLDBD[[#This Row],[Fin de Carga]]-OLDBD[[#This Row],[Inicio de Carga]],"")</f>
        <v/>
      </c>
    </row>
    <row r="553" spans="1:57" x14ac:dyDescent="0.35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6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Salida]]="","",MARÍTIMOS[[#This Row],[Etapa Retiro - Salida]]),"")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Row],[Hora de Carga]]+MARÍTIMOS[[#This Row],[Hora de Posicionamiento]]),"")</f>
        <v/>
      </c>
      <c r="Z553" s="11" t="str">
        <f>IFERROR(IF(MARÍTIMOS[[#This Row],[Etapa Despacho -  Llegada]]="","",MARÍTIMOS[[#This Row],[Etapa Despacho -  Llegada]]),"")</f>
        <v/>
      </c>
      <c r="AA553" s="11" t="str">
        <f>IFERROR(IF(MARÍTIMOS[[#This Row],[Etapa Despacho -  Registro]]="","",MARÍTIMOS[[#This Row],[Etapa Despacho - 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 Inicio de Carga]]="","",MARÍTIMOS[[#This Row],[Etapa Despacho -  Inicio de Carga]]),"")</f>
        <v/>
      </c>
      <c r="AD553" s="11" t="str">
        <f>IFERROR(IF(MARÍTIMOS[[#This Row],[Etapa Despacho -  Fin de Carga]]="","",MARÍTIMOS[[#This Row],[Etapa Despacho -  Fin de Carga]]),"")</f>
        <v/>
      </c>
      <c r="AE553" s="11" t="str">
        <f>IFERROR(IF(MARÍTIMOS[[#This Row],[Etapa Despacho -  Salida]]="","",MARÍTIMOS[[#This Row],[Etapa Despacho -  Salida]]),"")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5" t="s">
        <v>181</v>
      </c>
      <c r="BB553" s="53" t="str">
        <f>IFERROR(IF(MARÍTIMOS[[#This Row],[Estatus]]="","",MARÍTIMOS[[#This Row],[Estatus]]),"")</f>
        <v/>
      </c>
      <c r="BC553" s="45"/>
      <c r="BD553" s="52" t="str">
        <f>IFERROR(OLDBD[[#This Row],[Salida de almacén de retiro]]-OLDBD[[#This Row],[Ingreso Almacén de retiro]],"")</f>
        <v/>
      </c>
      <c r="BE553" s="52" t="str">
        <f>IFERROR(OLDBD[[#This Row],[Fin de Carga]]-OLDBD[[#This Row],[Inicio de Carga]],"")</f>
        <v/>
      </c>
    </row>
    <row r="554" spans="1:57" x14ac:dyDescent="0.35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6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Salida]]="","",MARÍTIMOS[[#This Row],[Etapa Retiro - Salida]]),"")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Row],[Hora de Carga]]+MARÍTIMOS[[#This Row],[Hora de Posicionamiento]]),"")</f>
        <v/>
      </c>
      <c r="Z554" s="11" t="str">
        <f>IFERROR(IF(MARÍTIMOS[[#This Row],[Etapa Despacho -  Llegada]]="","",MARÍTIMOS[[#This Row],[Etapa Despacho -  Llegada]]),"")</f>
        <v/>
      </c>
      <c r="AA554" s="11" t="str">
        <f>IFERROR(IF(MARÍTIMOS[[#This Row],[Etapa Despacho -  Registro]]="","",MARÍTIMOS[[#This Row],[Etapa Despacho - 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 Inicio de Carga]]="","",MARÍTIMOS[[#This Row],[Etapa Despacho -  Inicio de Carga]]),"")</f>
        <v/>
      </c>
      <c r="AD554" s="11" t="str">
        <f>IFERROR(IF(MARÍTIMOS[[#This Row],[Etapa Despacho -  Fin de Carga]]="","",MARÍTIMOS[[#This Row],[Etapa Despacho -  Fin de Carga]]),"")</f>
        <v/>
      </c>
      <c r="AE554" s="11" t="str">
        <f>IFERROR(IF(MARÍTIMOS[[#This Row],[Etapa Despacho -  Salida]]="","",MARÍTIMOS[[#This Row],[Etapa Despacho -  Salida]]),"")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5" t="s">
        <v>181</v>
      </c>
      <c r="BB554" s="53" t="str">
        <f>IFERROR(IF(MARÍTIMOS[[#This Row],[Estatus]]="","",MARÍTIMOS[[#This Row],[Estatus]]),"")</f>
        <v/>
      </c>
      <c r="BC554" s="45"/>
      <c r="BD554" s="52" t="str">
        <f>IFERROR(OLDBD[[#This Row],[Salida de almacén de retiro]]-OLDBD[[#This Row],[Ingreso Almacén de retiro]],"")</f>
        <v/>
      </c>
      <c r="BE554" s="52" t="str">
        <f>IFERROR(OLDBD[[#This Row],[Fin de Carga]]-OLDBD[[#This Row],[Inicio de Carga]],"")</f>
        <v/>
      </c>
    </row>
    <row r="555" spans="1:57" x14ac:dyDescent="0.35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6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Salida]]="","",MARÍTIMOS[[#This Row],[Etapa Retiro - Salida]]),"")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Row],[Hora de Carga]]+MARÍTIMOS[[#This Row],[Hora de Posicionamiento]]),"")</f>
        <v/>
      </c>
      <c r="Z555" s="11" t="str">
        <f>IFERROR(IF(MARÍTIMOS[[#This Row],[Etapa Despacho -  Llegada]]="","",MARÍTIMOS[[#This Row],[Etapa Despacho -  Llegada]]),"")</f>
        <v/>
      </c>
      <c r="AA555" s="11" t="str">
        <f>IFERROR(IF(MARÍTIMOS[[#This Row],[Etapa Despacho -  Registro]]="","",MARÍTIMOS[[#This Row],[Etapa Despacho - 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 Inicio de Carga]]="","",MARÍTIMOS[[#This Row],[Etapa Despacho -  Inicio de Carga]]),"")</f>
        <v/>
      </c>
      <c r="AD555" s="11" t="str">
        <f>IFERROR(IF(MARÍTIMOS[[#This Row],[Etapa Despacho -  Fin de Carga]]="","",MARÍTIMOS[[#This Row],[Etapa Despacho -  Fin de Carga]]),"")</f>
        <v/>
      </c>
      <c r="AE555" s="11" t="str">
        <f>IFERROR(IF(MARÍTIMOS[[#This Row],[Etapa Despacho -  Salida]]="","",MARÍTIMOS[[#This Row],[Etapa Despacho -  Salida]]),"")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5" t="s">
        <v>181</v>
      </c>
      <c r="BB555" s="53" t="str">
        <f>IFERROR(IF(MARÍTIMOS[[#This Row],[Estatus]]="","",MARÍTIMOS[[#This Row],[Estatus]]),"")</f>
        <v/>
      </c>
      <c r="BC555" s="45"/>
      <c r="BD555" s="52" t="str">
        <f>IFERROR(OLDBD[[#This Row],[Salida de almacén de retiro]]-OLDBD[[#This Row],[Ingreso Almacén de retiro]],"")</f>
        <v/>
      </c>
      <c r="BE555" s="52" t="str">
        <f>IFERROR(OLDBD[[#This Row],[Fin de Carga]]-OLDBD[[#This Row],[Inicio de Carga]],"")</f>
        <v/>
      </c>
    </row>
    <row r="556" spans="1:57" x14ac:dyDescent="0.35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6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Salida]]="","",MARÍTIMOS[[#This Row],[Etapa Retiro - Salida]]),"")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Row],[Hora de Carga]]+MARÍTIMOS[[#This Row],[Hora de Posicionamiento]]),"")</f>
        <v/>
      </c>
      <c r="Z556" s="11" t="str">
        <f>IFERROR(IF(MARÍTIMOS[[#This Row],[Etapa Despacho -  Llegada]]="","",MARÍTIMOS[[#This Row],[Etapa Despacho -  Llegada]]),"")</f>
        <v/>
      </c>
      <c r="AA556" s="11" t="str">
        <f>IFERROR(IF(MARÍTIMOS[[#This Row],[Etapa Despacho -  Registro]]="","",MARÍTIMOS[[#This Row],[Etapa Despacho - 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 Inicio de Carga]]="","",MARÍTIMOS[[#This Row],[Etapa Despacho -  Inicio de Carga]]),"")</f>
        <v/>
      </c>
      <c r="AD556" s="11" t="str">
        <f>IFERROR(IF(MARÍTIMOS[[#This Row],[Etapa Despacho -  Fin de Carga]]="","",MARÍTIMOS[[#This Row],[Etapa Despacho -  Fin de Carga]]),"")</f>
        <v/>
      </c>
      <c r="AE556" s="11" t="str">
        <f>IFERROR(IF(MARÍTIMOS[[#This Row],[Etapa Despacho -  Salida]]="","",MARÍTIMOS[[#This Row],[Etapa Despacho -  Salida]]),"")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5" t="s">
        <v>181</v>
      </c>
      <c r="BB556" s="53" t="str">
        <f>IFERROR(IF(MARÍTIMOS[[#This Row],[Estatus]]="","",MARÍTIMOS[[#This Row],[Estatus]]),"")</f>
        <v/>
      </c>
      <c r="BC556" s="45"/>
      <c r="BD556" s="52" t="str">
        <f>IFERROR(OLDBD[[#This Row],[Salida de almacén de retiro]]-OLDBD[[#This Row],[Ingreso Almacén de retiro]],"")</f>
        <v/>
      </c>
      <c r="BE556" s="52" t="str">
        <f>IFERROR(OLDBD[[#This Row],[Fin de Carga]]-OLDBD[[#This Row],[Inicio de Carga]],"")</f>
        <v/>
      </c>
    </row>
    <row r="557" spans="1:57" x14ac:dyDescent="0.35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6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Salida]]="","",MARÍTIMOS[[#This Row],[Etapa Retiro - Salida]]),"")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Row],[Hora de Carga]]+MARÍTIMOS[[#This Row],[Hora de Posicionamiento]]),"")</f>
        <v/>
      </c>
      <c r="Z557" s="11" t="str">
        <f>IFERROR(IF(MARÍTIMOS[[#This Row],[Etapa Despacho -  Llegada]]="","",MARÍTIMOS[[#This Row],[Etapa Despacho -  Llegada]]),"")</f>
        <v/>
      </c>
      <c r="AA557" s="11" t="str">
        <f>IFERROR(IF(MARÍTIMOS[[#This Row],[Etapa Despacho -  Registro]]="","",MARÍTIMOS[[#This Row],[Etapa Despacho - 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 Inicio de Carga]]="","",MARÍTIMOS[[#This Row],[Etapa Despacho -  Inicio de Carga]]),"")</f>
        <v/>
      </c>
      <c r="AD557" s="11" t="str">
        <f>IFERROR(IF(MARÍTIMOS[[#This Row],[Etapa Despacho -  Fin de Carga]]="","",MARÍTIMOS[[#This Row],[Etapa Despacho -  Fin de Carga]]),"")</f>
        <v/>
      </c>
      <c r="AE557" s="11" t="str">
        <f>IFERROR(IF(MARÍTIMOS[[#This Row],[Etapa Despacho -  Salida]]="","",MARÍTIMOS[[#This Row],[Etapa Despacho -  Salida]]),"")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5" t="s">
        <v>181</v>
      </c>
      <c r="BB557" s="53" t="str">
        <f>IFERROR(IF(MARÍTIMOS[[#This Row],[Estatus]]="","",MARÍTIMOS[[#This Row],[Estatus]]),"")</f>
        <v/>
      </c>
      <c r="BC557" s="45"/>
      <c r="BD557" s="52" t="str">
        <f>IFERROR(OLDBD[[#This Row],[Salida de almacén de retiro]]-OLDBD[[#This Row],[Ingreso Almacén de retiro]],"")</f>
        <v/>
      </c>
      <c r="BE557" s="52" t="str">
        <f>IFERROR(OLDBD[[#This Row],[Fin de Carga]]-OLDBD[[#This Row],[Inicio de Carga]],"")</f>
        <v/>
      </c>
    </row>
    <row r="558" spans="1:57" x14ac:dyDescent="0.35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6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Salida]]="","",MARÍTIMOS[[#This Row],[Etapa Retiro - Salida]]),"")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Row],[Hora de Carga]]+MARÍTIMOS[[#This Row],[Hora de Posicionamiento]]),"")</f>
        <v/>
      </c>
      <c r="Z558" s="11" t="str">
        <f>IFERROR(IF(MARÍTIMOS[[#This Row],[Etapa Despacho -  Llegada]]="","",MARÍTIMOS[[#This Row],[Etapa Despacho -  Llegada]]),"")</f>
        <v/>
      </c>
      <c r="AA558" s="11" t="str">
        <f>IFERROR(IF(MARÍTIMOS[[#This Row],[Etapa Despacho -  Registro]]="","",MARÍTIMOS[[#This Row],[Etapa Despacho - 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 Inicio de Carga]]="","",MARÍTIMOS[[#This Row],[Etapa Despacho -  Inicio de Carga]]),"")</f>
        <v/>
      </c>
      <c r="AD558" s="11" t="str">
        <f>IFERROR(IF(MARÍTIMOS[[#This Row],[Etapa Despacho -  Fin de Carga]]="","",MARÍTIMOS[[#This Row],[Etapa Despacho -  Fin de Carga]]),"")</f>
        <v/>
      </c>
      <c r="AE558" s="11" t="str">
        <f>IFERROR(IF(MARÍTIMOS[[#This Row],[Etapa Despacho -  Salida]]="","",MARÍTIMOS[[#This Row],[Etapa Despacho -  Salida]]),"")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5" t="s">
        <v>181</v>
      </c>
      <c r="BB558" s="53" t="str">
        <f>IFERROR(IF(MARÍTIMOS[[#This Row],[Estatus]]="","",MARÍTIMOS[[#This Row],[Estatus]]),"")</f>
        <v/>
      </c>
      <c r="BC558" s="45"/>
      <c r="BD558" s="52" t="str">
        <f>IFERROR(OLDBD[[#This Row],[Salida de almacén de retiro]]-OLDBD[[#This Row],[Ingreso Almacén de retiro]],"")</f>
        <v/>
      </c>
      <c r="BE558" s="52" t="str">
        <f>IFERROR(OLDBD[[#This Row],[Fin de Carga]]-OLDBD[[#This Row],[Inicio de Carga]],"")</f>
        <v/>
      </c>
    </row>
    <row r="559" spans="1:57" x14ac:dyDescent="0.35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6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Salida]]="","",MARÍTIMOS[[#This Row],[Etapa Retiro - Salida]]),"")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Row],[Hora de Carga]]+MARÍTIMOS[[#This Row],[Hora de Posicionamiento]]),"")</f>
        <v/>
      </c>
      <c r="Z559" s="11" t="str">
        <f>IFERROR(IF(MARÍTIMOS[[#This Row],[Etapa Despacho -  Llegada]]="","",MARÍTIMOS[[#This Row],[Etapa Despacho -  Llegada]]),"")</f>
        <v/>
      </c>
      <c r="AA559" s="11" t="str">
        <f>IFERROR(IF(MARÍTIMOS[[#This Row],[Etapa Despacho -  Registro]]="","",MARÍTIMOS[[#This Row],[Etapa Despacho - 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 Inicio de Carga]]="","",MARÍTIMOS[[#This Row],[Etapa Despacho -  Inicio de Carga]]),"")</f>
        <v/>
      </c>
      <c r="AD559" s="11" t="str">
        <f>IFERROR(IF(MARÍTIMOS[[#This Row],[Etapa Despacho -  Fin de Carga]]="","",MARÍTIMOS[[#This Row],[Etapa Despacho -  Fin de Carga]]),"")</f>
        <v/>
      </c>
      <c r="AE559" s="11" t="str">
        <f>IFERROR(IF(MARÍTIMOS[[#This Row],[Etapa Despacho -  Salida]]="","",MARÍTIMOS[[#This Row],[Etapa Despacho -  Salida]]),"")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5" t="s">
        <v>181</v>
      </c>
      <c r="BB559" s="53" t="str">
        <f>IFERROR(IF(MARÍTIMOS[[#This Row],[Estatus]]="","",MARÍTIMOS[[#This Row],[Estatus]]),"")</f>
        <v/>
      </c>
      <c r="BC559" s="45"/>
      <c r="BD559" s="52" t="str">
        <f>IFERROR(OLDBD[[#This Row],[Salida de almacén de retiro]]-OLDBD[[#This Row],[Ingreso Almacén de retiro]],"")</f>
        <v/>
      </c>
      <c r="BE559" s="52" t="str">
        <f>IFERROR(OLDBD[[#This Row],[Fin de Carga]]-OLDBD[[#This Row],[Inicio de Carga]],"")</f>
        <v/>
      </c>
    </row>
    <row r="560" spans="1:57" x14ac:dyDescent="0.35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6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Salida]]="","",MARÍTIMOS[[#This Row],[Etapa Retiro - Salida]]),"")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Row],[Hora de Carga]]+MARÍTIMOS[[#This Row],[Hora de Posicionamiento]]),"")</f>
        <v/>
      </c>
      <c r="Z560" s="11" t="str">
        <f>IFERROR(IF(MARÍTIMOS[[#This Row],[Etapa Despacho -  Llegada]]="","",MARÍTIMOS[[#This Row],[Etapa Despacho -  Llegada]]),"")</f>
        <v/>
      </c>
      <c r="AA560" s="11" t="str">
        <f>IFERROR(IF(MARÍTIMOS[[#This Row],[Etapa Despacho -  Registro]]="","",MARÍTIMOS[[#This Row],[Etapa Despacho - 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 Inicio de Carga]]="","",MARÍTIMOS[[#This Row],[Etapa Despacho -  Inicio de Carga]]),"")</f>
        <v/>
      </c>
      <c r="AD560" s="11" t="str">
        <f>IFERROR(IF(MARÍTIMOS[[#This Row],[Etapa Despacho -  Fin de Carga]]="","",MARÍTIMOS[[#This Row],[Etapa Despacho -  Fin de Carga]]),"")</f>
        <v/>
      </c>
      <c r="AE560" s="11" t="str">
        <f>IFERROR(IF(MARÍTIMOS[[#This Row],[Etapa Despacho -  Salida]]="","",MARÍTIMOS[[#This Row],[Etapa Despacho -  Salida]]),"")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5" t="s">
        <v>181</v>
      </c>
      <c r="BB560" s="53" t="str">
        <f>IFERROR(IF(MARÍTIMOS[[#This Row],[Estatus]]="","",MARÍTIMOS[[#This Row],[Estatus]]),"")</f>
        <v/>
      </c>
      <c r="BC560" s="45"/>
      <c r="BD560" s="52" t="str">
        <f>IFERROR(OLDBD[[#This Row],[Salida de almacén de retiro]]-OLDBD[[#This Row],[Ingreso Almacén de retiro]],"")</f>
        <v/>
      </c>
      <c r="BE560" s="52" t="str">
        <f>IFERROR(OLDBD[[#This Row],[Fin de Carga]]-OLDBD[[#This Row],[Inicio de Carga]],"")</f>
        <v/>
      </c>
    </row>
    <row r="561" spans="1:57" x14ac:dyDescent="0.35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6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Salida]]="","",MARÍTIMOS[[#This Row],[Etapa Retiro - Salida]]),"")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Row],[Hora de Carga]]+MARÍTIMOS[[#This Row],[Hora de Posicionamiento]]),"")</f>
        <v/>
      </c>
      <c r="Z561" s="11" t="str">
        <f>IFERROR(IF(MARÍTIMOS[[#This Row],[Etapa Despacho -  Llegada]]="","",MARÍTIMOS[[#This Row],[Etapa Despacho -  Llegada]]),"")</f>
        <v/>
      </c>
      <c r="AA561" s="11" t="str">
        <f>IFERROR(IF(MARÍTIMOS[[#This Row],[Etapa Despacho -  Registro]]="","",MARÍTIMOS[[#This Row],[Etapa Despacho - 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 Inicio de Carga]]="","",MARÍTIMOS[[#This Row],[Etapa Despacho -  Inicio de Carga]]),"")</f>
        <v/>
      </c>
      <c r="AD561" s="11" t="str">
        <f>IFERROR(IF(MARÍTIMOS[[#This Row],[Etapa Despacho -  Fin de Carga]]="","",MARÍTIMOS[[#This Row],[Etapa Despacho -  Fin de Carga]]),"")</f>
        <v/>
      </c>
      <c r="AE561" s="11" t="str">
        <f>IFERROR(IF(MARÍTIMOS[[#This Row],[Etapa Despacho -  Salida]]="","",MARÍTIMOS[[#This Row],[Etapa Despacho -  Salida]]),"")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5" t="s">
        <v>181</v>
      </c>
      <c r="BB561" s="53" t="str">
        <f>IFERROR(IF(MARÍTIMOS[[#This Row],[Estatus]]="","",MARÍTIMOS[[#This Row],[Estatus]]),"")</f>
        <v/>
      </c>
      <c r="BC561" s="45"/>
      <c r="BD561" s="52" t="str">
        <f>IFERROR(OLDBD[[#This Row],[Salida de almacén de retiro]]-OLDBD[[#This Row],[Ingreso Almacén de retiro]],"")</f>
        <v/>
      </c>
      <c r="BE561" s="52" t="str">
        <f>IFERROR(OLDBD[[#This Row],[Fin de Carga]]-OLDBD[[#This Row],[Inicio de Carga]],"")</f>
        <v/>
      </c>
    </row>
    <row r="562" spans="1:57" x14ac:dyDescent="0.35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6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Salida]]="","",MARÍTIMOS[[#This Row],[Etapa Retiro - Salida]]),"")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Row],[Hora de Carga]]+MARÍTIMOS[[#This Row],[Hora de Posicionamiento]]),"")</f>
        <v/>
      </c>
      <c r="Z562" s="11" t="str">
        <f>IFERROR(IF(MARÍTIMOS[[#This Row],[Etapa Despacho -  Llegada]]="","",MARÍTIMOS[[#This Row],[Etapa Despacho -  Llegada]]),"")</f>
        <v/>
      </c>
      <c r="AA562" s="11" t="str">
        <f>IFERROR(IF(MARÍTIMOS[[#This Row],[Etapa Despacho -  Registro]]="","",MARÍTIMOS[[#This Row],[Etapa Despacho - 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 Inicio de Carga]]="","",MARÍTIMOS[[#This Row],[Etapa Despacho -  Inicio de Carga]]),"")</f>
        <v/>
      </c>
      <c r="AD562" s="11" t="str">
        <f>IFERROR(IF(MARÍTIMOS[[#This Row],[Etapa Despacho -  Fin de Carga]]="","",MARÍTIMOS[[#This Row],[Etapa Despacho -  Fin de Carga]]),"")</f>
        <v/>
      </c>
      <c r="AE562" s="11" t="str">
        <f>IFERROR(IF(MARÍTIMOS[[#This Row],[Etapa Despacho -  Salida]]="","",MARÍTIMOS[[#This Row],[Etapa Despacho -  Salida]]),"")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5" t="s">
        <v>181</v>
      </c>
      <c r="BB562" s="53" t="str">
        <f>IFERROR(IF(MARÍTIMOS[[#This Row],[Estatus]]="","",MARÍTIMOS[[#This Row],[Estatus]]),"")</f>
        <v/>
      </c>
      <c r="BC562" s="45"/>
      <c r="BD562" s="52" t="str">
        <f>IFERROR(OLDBD[[#This Row],[Salida de almacén de retiro]]-OLDBD[[#This Row],[Ingreso Almacén de retiro]],"")</f>
        <v/>
      </c>
      <c r="BE562" s="52" t="str">
        <f>IFERROR(OLDBD[[#This Row],[Fin de Carga]]-OLDBD[[#This Row],[Inicio de Carga]],"")</f>
        <v/>
      </c>
    </row>
    <row r="563" spans="1:57" x14ac:dyDescent="0.35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6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Salida]]="","",MARÍTIMOS[[#This Row],[Etapa Retiro - Salida]]),"")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Row],[Hora de Carga]]+MARÍTIMOS[[#This Row],[Hora de Posicionamiento]]),"")</f>
        <v/>
      </c>
      <c r="Z563" s="11" t="str">
        <f>IFERROR(IF(MARÍTIMOS[[#This Row],[Etapa Despacho -  Llegada]]="","",MARÍTIMOS[[#This Row],[Etapa Despacho -  Llegada]]),"")</f>
        <v/>
      </c>
      <c r="AA563" s="11" t="str">
        <f>IFERROR(IF(MARÍTIMOS[[#This Row],[Etapa Despacho -  Registro]]="","",MARÍTIMOS[[#This Row],[Etapa Despacho - 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 Inicio de Carga]]="","",MARÍTIMOS[[#This Row],[Etapa Despacho -  Inicio de Carga]]),"")</f>
        <v/>
      </c>
      <c r="AD563" s="11" t="str">
        <f>IFERROR(IF(MARÍTIMOS[[#This Row],[Etapa Despacho -  Fin de Carga]]="","",MARÍTIMOS[[#This Row],[Etapa Despacho -  Fin de Carga]]),"")</f>
        <v/>
      </c>
      <c r="AE563" s="11" t="str">
        <f>IFERROR(IF(MARÍTIMOS[[#This Row],[Etapa Despacho -  Salida]]="","",MARÍTIMOS[[#This Row],[Etapa Despacho -  Salida]]),"")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5" t="s">
        <v>181</v>
      </c>
      <c r="BB563" s="53" t="str">
        <f>IFERROR(IF(MARÍTIMOS[[#This Row],[Estatus]]="","",MARÍTIMOS[[#This Row],[Estatus]]),"")</f>
        <v/>
      </c>
      <c r="BC563" s="45"/>
      <c r="BD563" s="52" t="str">
        <f>IFERROR(OLDBD[[#This Row],[Salida de almacén de retiro]]-OLDBD[[#This Row],[Ingreso Almacén de retiro]],"")</f>
        <v/>
      </c>
      <c r="BE563" s="52" t="str">
        <f>IFERROR(OLDBD[[#This Row],[Fin de Carga]]-OLDBD[[#This Row],[Inicio de Carga]],"")</f>
        <v/>
      </c>
    </row>
    <row r="564" spans="1:57" x14ac:dyDescent="0.35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6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Salida]]="","",MARÍTIMOS[[#This Row],[Etapa Retiro - Salida]]),"")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Row],[Hora de Carga]]+MARÍTIMOS[[#This Row],[Hora de Posicionamiento]]),"")</f>
        <v/>
      </c>
      <c r="Z564" s="11" t="str">
        <f>IFERROR(IF(MARÍTIMOS[[#This Row],[Etapa Despacho -  Llegada]]="","",MARÍTIMOS[[#This Row],[Etapa Despacho -  Llegada]]),"")</f>
        <v/>
      </c>
      <c r="AA564" s="11" t="str">
        <f>IFERROR(IF(MARÍTIMOS[[#This Row],[Etapa Despacho -  Registro]]="","",MARÍTIMOS[[#This Row],[Etapa Despacho - 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 Inicio de Carga]]="","",MARÍTIMOS[[#This Row],[Etapa Despacho -  Inicio de Carga]]),"")</f>
        <v/>
      </c>
      <c r="AD564" s="11" t="str">
        <f>IFERROR(IF(MARÍTIMOS[[#This Row],[Etapa Despacho -  Fin de Carga]]="","",MARÍTIMOS[[#This Row],[Etapa Despacho -  Fin de Carga]]),"")</f>
        <v/>
      </c>
      <c r="AE564" s="11" t="str">
        <f>IFERROR(IF(MARÍTIMOS[[#This Row],[Etapa Despacho -  Salida]]="","",MARÍTIMOS[[#This Row],[Etapa Despacho -  Salida]]),"")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5" t="s">
        <v>181</v>
      </c>
      <c r="BB564" s="53" t="str">
        <f>IFERROR(IF(MARÍTIMOS[[#This Row],[Estatus]]="","",MARÍTIMOS[[#This Row],[Estatus]]),"")</f>
        <v/>
      </c>
      <c r="BC564" s="45"/>
      <c r="BD564" s="52" t="str">
        <f>IFERROR(OLDBD[[#This Row],[Salida de almacén de retiro]]-OLDBD[[#This Row],[Ingreso Almacén de retiro]],"")</f>
        <v/>
      </c>
      <c r="BE564" s="52" t="str">
        <f>IFERROR(OLDBD[[#This Row],[Fin de Carga]]-OLDBD[[#This Row],[Inicio de Carga]],"")</f>
        <v/>
      </c>
    </row>
    <row r="565" spans="1:57" x14ac:dyDescent="0.35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6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Salida]]="","",MARÍTIMOS[[#This Row],[Etapa Retiro - Salida]]),"")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Row],[Hora de Carga]]+MARÍTIMOS[[#This Row],[Hora de Posicionamiento]]),"")</f>
        <v/>
      </c>
      <c r="Z565" s="11" t="str">
        <f>IFERROR(IF(MARÍTIMOS[[#This Row],[Etapa Despacho -  Llegada]]="","",MARÍTIMOS[[#This Row],[Etapa Despacho -  Llegada]]),"")</f>
        <v/>
      </c>
      <c r="AA565" s="11" t="str">
        <f>IFERROR(IF(MARÍTIMOS[[#This Row],[Etapa Despacho -  Registro]]="","",MARÍTIMOS[[#This Row],[Etapa Despacho - 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 Inicio de Carga]]="","",MARÍTIMOS[[#This Row],[Etapa Despacho -  Inicio de Carga]]),"")</f>
        <v/>
      </c>
      <c r="AD565" s="11" t="str">
        <f>IFERROR(IF(MARÍTIMOS[[#This Row],[Etapa Despacho -  Fin de Carga]]="","",MARÍTIMOS[[#This Row],[Etapa Despacho -  Fin de Carga]]),"")</f>
        <v/>
      </c>
      <c r="AE565" s="11" t="str">
        <f>IFERROR(IF(MARÍTIMOS[[#This Row],[Etapa Despacho -  Salida]]="","",MARÍTIMOS[[#This Row],[Etapa Despacho -  Salida]]),"")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5" t="s">
        <v>181</v>
      </c>
      <c r="BB565" s="53" t="str">
        <f>IFERROR(IF(MARÍTIMOS[[#This Row],[Estatus]]="","",MARÍTIMOS[[#This Row],[Estatus]]),"")</f>
        <v/>
      </c>
      <c r="BC565" s="45"/>
      <c r="BD565" s="52" t="str">
        <f>IFERROR(OLDBD[[#This Row],[Salida de almacén de retiro]]-OLDBD[[#This Row],[Ingreso Almacén de retiro]],"")</f>
        <v/>
      </c>
      <c r="BE565" s="52" t="str">
        <f>IFERROR(OLDBD[[#This Row],[Fin de Carga]]-OLDBD[[#This Row],[Inicio de Carga]],"")</f>
        <v/>
      </c>
    </row>
    <row r="566" spans="1:57" x14ac:dyDescent="0.35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6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Salida]]="","",MARÍTIMOS[[#This Row],[Etapa Retiro - Salida]]),"")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Row],[Hora de Carga]]+MARÍTIMOS[[#This Row],[Hora de Posicionamiento]]),"")</f>
        <v/>
      </c>
      <c r="Z566" s="11" t="str">
        <f>IFERROR(IF(MARÍTIMOS[[#This Row],[Etapa Despacho -  Llegada]]="","",MARÍTIMOS[[#This Row],[Etapa Despacho -  Llegada]]),"")</f>
        <v/>
      </c>
      <c r="AA566" s="11" t="str">
        <f>IFERROR(IF(MARÍTIMOS[[#This Row],[Etapa Despacho -  Registro]]="","",MARÍTIMOS[[#This Row],[Etapa Despacho - 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 Inicio de Carga]]="","",MARÍTIMOS[[#This Row],[Etapa Despacho -  Inicio de Carga]]),"")</f>
        <v/>
      </c>
      <c r="AD566" s="11" t="str">
        <f>IFERROR(IF(MARÍTIMOS[[#This Row],[Etapa Despacho -  Fin de Carga]]="","",MARÍTIMOS[[#This Row],[Etapa Despacho -  Fin de Carga]]),"")</f>
        <v/>
      </c>
      <c r="AE566" s="11" t="str">
        <f>IFERROR(IF(MARÍTIMOS[[#This Row],[Etapa Despacho -  Salida]]="","",MARÍTIMOS[[#This Row],[Etapa Despacho -  Salida]]),"")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5" t="s">
        <v>181</v>
      </c>
      <c r="BB566" s="53" t="str">
        <f>IFERROR(IF(MARÍTIMOS[[#This Row],[Estatus]]="","",MARÍTIMOS[[#This Row],[Estatus]]),"")</f>
        <v/>
      </c>
      <c r="BC566" s="45"/>
      <c r="BD566" s="52" t="str">
        <f>IFERROR(OLDBD[[#This Row],[Salida de almacén de retiro]]-OLDBD[[#This Row],[Ingreso Almacén de retiro]],"")</f>
        <v/>
      </c>
      <c r="BE566" s="52" t="str">
        <f>IFERROR(OLDBD[[#This Row],[Fin de Carga]]-OLDBD[[#This Row],[Inicio de Carga]],"")</f>
        <v/>
      </c>
    </row>
    <row r="567" spans="1:57" x14ac:dyDescent="0.35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6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Salida]]="","",MARÍTIMOS[[#This Row],[Etapa Retiro - Salida]]),"")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Row],[Hora de Carga]]+MARÍTIMOS[[#This Row],[Hora de Posicionamiento]]),"")</f>
        <v/>
      </c>
      <c r="Z567" s="11" t="str">
        <f>IFERROR(IF(MARÍTIMOS[[#This Row],[Etapa Despacho -  Llegada]]="","",MARÍTIMOS[[#This Row],[Etapa Despacho -  Llegada]]),"")</f>
        <v/>
      </c>
      <c r="AA567" s="11" t="str">
        <f>IFERROR(IF(MARÍTIMOS[[#This Row],[Etapa Despacho -  Registro]]="","",MARÍTIMOS[[#This Row],[Etapa Despacho - 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 Inicio de Carga]]="","",MARÍTIMOS[[#This Row],[Etapa Despacho -  Inicio de Carga]]),"")</f>
        <v/>
      </c>
      <c r="AD567" s="11" t="str">
        <f>IFERROR(IF(MARÍTIMOS[[#This Row],[Etapa Despacho -  Fin de Carga]]="","",MARÍTIMOS[[#This Row],[Etapa Despacho -  Fin de Carga]]),"")</f>
        <v/>
      </c>
      <c r="AE567" s="11" t="str">
        <f>IFERROR(IF(MARÍTIMOS[[#This Row],[Etapa Despacho -  Salida]]="","",MARÍTIMOS[[#This Row],[Etapa Despacho -  Salida]]),"")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5" t="s">
        <v>181</v>
      </c>
      <c r="BB567" s="53" t="str">
        <f>IFERROR(IF(MARÍTIMOS[[#This Row],[Estatus]]="","",MARÍTIMOS[[#This Row],[Estatus]]),"")</f>
        <v/>
      </c>
      <c r="BC567" s="45"/>
      <c r="BD567" s="52" t="str">
        <f>IFERROR(OLDBD[[#This Row],[Salida de almacén de retiro]]-OLDBD[[#This Row],[Ingreso Almacén de retiro]],"")</f>
        <v/>
      </c>
      <c r="BE567" s="52" t="str">
        <f>IFERROR(OLDBD[[#This Row],[Fin de Carga]]-OLDBD[[#This Row],[Inicio de Carga]],"")</f>
        <v/>
      </c>
    </row>
    <row r="568" spans="1:57" x14ac:dyDescent="0.35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6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Salida]]="","",MARÍTIMOS[[#This Row],[Etapa Retiro - Salida]]),"")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Row],[Hora de Carga]]+MARÍTIMOS[[#This Row],[Hora de Posicionamiento]]),"")</f>
        <v/>
      </c>
      <c r="Z568" s="11" t="str">
        <f>IFERROR(IF(MARÍTIMOS[[#This Row],[Etapa Despacho -  Llegada]]="","",MARÍTIMOS[[#This Row],[Etapa Despacho -  Llegada]]),"")</f>
        <v/>
      </c>
      <c r="AA568" s="11" t="str">
        <f>IFERROR(IF(MARÍTIMOS[[#This Row],[Etapa Despacho -  Registro]]="","",MARÍTIMOS[[#This Row],[Etapa Despacho - 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 Inicio de Carga]]="","",MARÍTIMOS[[#This Row],[Etapa Despacho -  Inicio de Carga]]),"")</f>
        <v/>
      </c>
      <c r="AD568" s="11" t="str">
        <f>IFERROR(IF(MARÍTIMOS[[#This Row],[Etapa Despacho -  Fin de Carga]]="","",MARÍTIMOS[[#This Row],[Etapa Despacho -  Fin de Carga]]),"")</f>
        <v/>
      </c>
      <c r="AE568" s="11" t="str">
        <f>IFERROR(IF(MARÍTIMOS[[#This Row],[Etapa Despacho -  Salida]]="","",MARÍTIMOS[[#This Row],[Etapa Despacho -  Salida]]),"")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5" t="s">
        <v>181</v>
      </c>
      <c r="BB568" s="53" t="str">
        <f>IFERROR(IF(MARÍTIMOS[[#This Row],[Estatus]]="","",MARÍTIMOS[[#This Row],[Estatus]]),"")</f>
        <v/>
      </c>
      <c r="BC568" s="45"/>
      <c r="BD568" s="52" t="str">
        <f>IFERROR(OLDBD[[#This Row],[Salida de almacén de retiro]]-OLDBD[[#This Row],[Ingreso Almacén de retiro]],"")</f>
        <v/>
      </c>
      <c r="BE568" s="52" t="str">
        <f>IFERROR(OLDBD[[#This Row],[Fin de Carga]]-OLDBD[[#This Row],[Inicio de Carga]],"")</f>
        <v/>
      </c>
    </row>
    <row r="569" spans="1:57" x14ac:dyDescent="0.35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6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Salida]]="","",MARÍTIMOS[[#This Row],[Etapa Retiro - Salida]]),"")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Row],[Hora de Carga]]+MARÍTIMOS[[#This Row],[Hora de Posicionamiento]]),"")</f>
        <v/>
      </c>
      <c r="Z569" s="11" t="str">
        <f>IFERROR(IF(MARÍTIMOS[[#This Row],[Etapa Despacho -  Llegada]]="","",MARÍTIMOS[[#This Row],[Etapa Despacho -  Llegada]]),"")</f>
        <v/>
      </c>
      <c r="AA569" s="11" t="str">
        <f>IFERROR(IF(MARÍTIMOS[[#This Row],[Etapa Despacho -  Registro]]="","",MARÍTIMOS[[#This Row],[Etapa Despacho - 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 Inicio de Carga]]="","",MARÍTIMOS[[#This Row],[Etapa Despacho -  Inicio de Carga]]),"")</f>
        <v/>
      </c>
      <c r="AD569" s="11" t="str">
        <f>IFERROR(IF(MARÍTIMOS[[#This Row],[Etapa Despacho -  Fin de Carga]]="","",MARÍTIMOS[[#This Row],[Etapa Despacho -  Fin de Carga]]),"")</f>
        <v/>
      </c>
      <c r="AE569" s="11" t="str">
        <f>IFERROR(IF(MARÍTIMOS[[#This Row],[Etapa Despacho -  Salida]]="","",MARÍTIMOS[[#This Row],[Etapa Despacho -  Salida]]),"")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5" t="s">
        <v>181</v>
      </c>
      <c r="BB569" s="53" t="str">
        <f>IFERROR(IF(MARÍTIMOS[[#This Row],[Estatus]]="","",MARÍTIMOS[[#This Row],[Estatus]]),"")</f>
        <v/>
      </c>
      <c r="BC569" s="45"/>
      <c r="BD569" s="52" t="str">
        <f>IFERROR(OLDBD[[#This Row],[Salida de almacén de retiro]]-OLDBD[[#This Row],[Ingreso Almacén de retiro]],"")</f>
        <v/>
      </c>
      <c r="BE569" s="52" t="str">
        <f>IFERROR(OLDBD[[#This Row],[Fin de Carga]]-OLDBD[[#This Row],[Inicio de Carga]],"")</f>
        <v/>
      </c>
    </row>
    <row r="570" spans="1:57" x14ac:dyDescent="0.35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6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Salida]]="","",MARÍTIMOS[[#This Row],[Etapa Retiro - Salida]]),"")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Row],[Hora de Carga]]+MARÍTIMOS[[#This Row],[Hora de Posicionamiento]]),"")</f>
        <v/>
      </c>
      <c r="Z570" s="11" t="str">
        <f>IFERROR(IF(MARÍTIMOS[[#This Row],[Etapa Despacho -  Llegada]]="","",MARÍTIMOS[[#This Row],[Etapa Despacho -  Llegada]]),"")</f>
        <v/>
      </c>
      <c r="AA570" s="11" t="str">
        <f>IFERROR(IF(MARÍTIMOS[[#This Row],[Etapa Despacho -  Registro]]="","",MARÍTIMOS[[#This Row],[Etapa Despacho - 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 Inicio de Carga]]="","",MARÍTIMOS[[#This Row],[Etapa Despacho -  Inicio de Carga]]),"")</f>
        <v/>
      </c>
      <c r="AD570" s="11" t="str">
        <f>IFERROR(IF(MARÍTIMOS[[#This Row],[Etapa Despacho -  Fin de Carga]]="","",MARÍTIMOS[[#This Row],[Etapa Despacho -  Fin de Carga]]),"")</f>
        <v/>
      </c>
      <c r="AE570" s="11" t="str">
        <f>IFERROR(IF(MARÍTIMOS[[#This Row],[Etapa Despacho -  Salida]]="","",MARÍTIMOS[[#This Row],[Etapa Despacho -  Salida]]),"")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5" t="s">
        <v>181</v>
      </c>
      <c r="BB570" s="53" t="str">
        <f>IFERROR(IF(MARÍTIMOS[[#This Row],[Estatus]]="","",MARÍTIMOS[[#This Row],[Estatus]]),"")</f>
        <v/>
      </c>
      <c r="BC570" s="45"/>
      <c r="BD570" s="52" t="str">
        <f>IFERROR(OLDBD[[#This Row],[Salida de almacén de retiro]]-OLDBD[[#This Row],[Ingreso Almacén de retiro]],"")</f>
        <v/>
      </c>
      <c r="BE570" s="52" t="str">
        <f>IFERROR(OLDBD[[#This Row],[Fin de Carga]]-OLDBD[[#This Row],[Inicio de Carga]],"")</f>
        <v/>
      </c>
    </row>
    <row r="571" spans="1:57" x14ac:dyDescent="0.35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6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Salida]]="","",MARÍTIMOS[[#This Row],[Etapa Retiro - Salida]]),"")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Row],[Hora de Carga]]+MARÍTIMOS[[#This Row],[Hora de Posicionamiento]]),"")</f>
        <v/>
      </c>
      <c r="Z571" s="11" t="str">
        <f>IFERROR(IF(MARÍTIMOS[[#This Row],[Etapa Despacho -  Llegada]]="","",MARÍTIMOS[[#This Row],[Etapa Despacho -  Llegada]]),"")</f>
        <v/>
      </c>
      <c r="AA571" s="11" t="str">
        <f>IFERROR(IF(MARÍTIMOS[[#This Row],[Etapa Despacho -  Registro]]="","",MARÍTIMOS[[#This Row],[Etapa Despacho - 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 Inicio de Carga]]="","",MARÍTIMOS[[#This Row],[Etapa Despacho -  Inicio de Carga]]),"")</f>
        <v/>
      </c>
      <c r="AD571" s="11" t="str">
        <f>IFERROR(IF(MARÍTIMOS[[#This Row],[Etapa Despacho -  Fin de Carga]]="","",MARÍTIMOS[[#This Row],[Etapa Despacho -  Fin de Carga]]),"")</f>
        <v/>
      </c>
      <c r="AE571" s="11" t="str">
        <f>IFERROR(IF(MARÍTIMOS[[#This Row],[Etapa Despacho -  Salida]]="","",MARÍTIMOS[[#This Row],[Etapa Despacho -  Salida]]),"")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5" t="s">
        <v>181</v>
      </c>
      <c r="BB571" s="53" t="str">
        <f>IFERROR(IF(MARÍTIMOS[[#This Row],[Estatus]]="","",MARÍTIMOS[[#This Row],[Estatus]]),"")</f>
        <v/>
      </c>
      <c r="BC571" s="45"/>
      <c r="BD571" s="52" t="str">
        <f>IFERROR(OLDBD[[#This Row],[Salida de almacén de retiro]]-OLDBD[[#This Row],[Ingreso Almacén de retiro]],"")</f>
        <v/>
      </c>
      <c r="BE571" s="52" t="str">
        <f>IFERROR(OLDBD[[#This Row],[Fin de Carga]]-OLDBD[[#This Row],[Inicio de Carga]],"")</f>
        <v/>
      </c>
    </row>
    <row r="572" spans="1:57" x14ac:dyDescent="0.35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6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Salida]]="","",MARÍTIMOS[[#This Row],[Etapa Retiro - Salida]]),"")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Row],[Hora de Carga]]+MARÍTIMOS[[#This Row],[Hora de Posicionamiento]]),"")</f>
        <v/>
      </c>
      <c r="Z572" s="11" t="str">
        <f>IFERROR(IF(MARÍTIMOS[[#This Row],[Etapa Despacho -  Llegada]]="","",MARÍTIMOS[[#This Row],[Etapa Despacho -  Llegada]]),"")</f>
        <v/>
      </c>
      <c r="AA572" s="11" t="str">
        <f>IFERROR(IF(MARÍTIMOS[[#This Row],[Etapa Despacho -  Registro]]="","",MARÍTIMOS[[#This Row],[Etapa Despacho - 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 Inicio de Carga]]="","",MARÍTIMOS[[#This Row],[Etapa Despacho -  Inicio de Carga]]),"")</f>
        <v/>
      </c>
      <c r="AD572" s="11" t="str">
        <f>IFERROR(IF(MARÍTIMOS[[#This Row],[Etapa Despacho -  Fin de Carga]]="","",MARÍTIMOS[[#This Row],[Etapa Despacho -  Fin de Carga]]),"")</f>
        <v/>
      </c>
      <c r="AE572" s="11" t="str">
        <f>IFERROR(IF(MARÍTIMOS[[#This Row],[Etapa Despacho -  Salida]]="","",MARÍTIMOS[[#This Row],[Etapa Despacho -  Salida]]),"")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5" t="s">
        <v>181</v>
      </c>
      <c r="BB572" s="53" t="str">
        <f>IFERROR(IF(MARÍTIMOS[[#This Row],[Estatus]]="","",MARÍTIMOS[[#This Row],[Estatus]]),"")</f>
        <v/>
      </c>
      <c r="BC572" s="45"/>
      <c r="BD572" s="52" t="str">
        <f>IFERROR(OLDBD[[#This Row],[Salida de almacén de retiro]]-OLDBD[[#This Row],[Ingreso Almacén de retiro]],"")</f>
        <v/>
      </c>
      <c r="BE572" s="52" t="str">
        <f>IFERROR(OLDBD[[#This Row],[Fin de Carga]]-OLDBD[[#This Row],[Inicio de Carga]],"")</f>
        <v/>
      </c>
    </row>
    <row r="573" spans="1:57" x14ac:dyDescent="0.35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6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Salida]]="","",MARÍTIMOS[[#This Row],[Etapa Retiro - Salida]]),"")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Row],[Hora de Carga]]+MARÍTIMOS[[#This Row],[Hora de Posicionamiento]]),"")</f>
        <v/>
      </c>
      <c r="Z573" s="11" t="str">
        <f>IFERROR(IF(MARÍTIMOS[[#This Row],[Etapa Despacho -  Llegada]]="","",MARÍTIMOS[[#This Row],[Etapa Despacho -  Llegada]]),"")</f>
        <v/>
      </c>
      <c r="AA573" s="11" t="str">
        <f>IFERROR(IF(MARÍTIMOS[[#This Row],[Etapa Despacho -  Registro]]="","",MARÍTIMOS[[#This Row],[Etapa Despacho - 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 Inicio de Carga]]="","",MARÍTIMOS[[#This Row],[Etapa Despacho -  Inicio de Carga]]),"")</f>
        <v/>
      </c>
      <c r="AD573" s="11" t="str">
        <f>IFERROR(IF(MARÍTIMOS[[#This Row],[Etapa Despacho -  Fin de Carga]]="","",MARÍTIMOS[[#This Row],[Etapa Despacho -  Fin de Carga]]),"")</f>
        <v/>
      </c>
      <c r="AE573" s="11" t="str">
        <f>IFERROR(IF(MARÍTIMOS[[#This Row],[Etapa Despacho -  Salida]]="","",MARÍTIMOS[[#This Row],[Etapa Despacho -  Salida]]),"")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5" t="s">
        <v>181</v>
      </c>
      <c r="BB573" s="53" t="str">
        <f>IFERROR(IF(MARÍTIMOS[[#This Row],[Estatus]]="","",MARÍTIMOS[[#This Row],[Estatus]]),"")</f>
        <v/>
      </c>
      <c r="BC573" s="45"/>
      <c r="BD573" s="52" t="str">
        <f>IFERROR(OLDBD[[#This Row],[Salida de almacén de retiro]]-OLDBD[[#This Row],[Ingreso Almacén de retiro]],"")</f>
        <v/>
      </c>
      <c r="BE573" s="52" t="str">
        <f>IFERROR(OLDBD[[#This Row],[Fin de Carga]]-OLDBD[[#This Row],[Inicio de Carga]],"")</f>
        <v/>
      </c>
    </row>
    <row r="574" spans="1:57" x14ac:dyDescent="0.35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6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Salida]]="","",MARÍTIMOS[[#This Row],[Etapa Retiro - Salida]]),"")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Row],[Hora de Carga]]+MARÍTIMOS[[#This Row],[Hora de Posicionamiento]]),"")</f>
        <v/>
      </c>
      <c r="Z574" s="11" t="str">
        <f>IFERROR(IF(MARÍTIMOS[[#This Row],[Etapa Despacho -  Llegada]]="","",MARÍTIMOS[[#This Row],[Etapa Despacho -  Llegada]]),"")</f>
        <v/>
      </c>
      <c r="AA574" s="11" t="str">
        <f>IFERROR(IF(MARÍTIMOS[[#This Row],[Etapa Despacho -  Registro]]="","",MARÍTIMOS[[#This Row],[Etapa Despacho - 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 Inicio de Carga]]="","",MARÍTIMOS[[#This Row],[Etapa Despacho -  Inicio de Carga]]),"")</f>
        <v/>
      </c>
      <c r="AD574" s="11" t="str">
        <f>IFERROR(IF(MARÍTIMOS[[#This Row],[Etapa Despacho -  Fin de Carga]]="","",MARÍTIMOS[[#This Row],[Etapa Despacho -  Fin de Carga]]),"")</f>
        <v/>
      </c>
      <c r="AE574" s="11" t="str">
        <f>IFERROR(IF(MARÍTIMOS[[#This Row],[Etapa Despacho -  Salida]]="","",MARÍTIMOS[[#This Row],[Etapa Despacho -  Salida]]),"")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5" t="s">
        <v>181</v>
      </c>
      <c r="BB574" s="53" t="str">
        <f>IFERROR(IF(MARÍTIMOS[[#This Row],[Estatus]]="","",MARÍTIMOS[[#This Row],[Estatus]]),"")</f>
        <v/>
      </c>
      <c r="BC574" s="45"/>
      <c r="BD574" s="52" t="str">
        <f>IFERROR(OLDBD[[#This Row],[Salida de almacén de retiro]]-OLDBD[[#This Row],[Ingreso Almacén de retiro]],"")</f>
        <v/>
      </c>
      <c r="BE574" s="52" t="str">
        <f>IFERROR(OLDBD[[#This Row],[Fin de Carga]]-OLDBD[[#This Row],[Inicio de Carga]],"")</f>
        <v/>
      </c>
    </row>
    <row r="575" spans="1:57" x14ac:dyDescent="0.35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6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Salida]]="","",MARÍTIMOS[[#This Row],[Etapa Retiro - Salida]]),"")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Row],[Hora de Carga]]+MARÍTIMOS[[#This Row],[Hora de Posicionamiento]]),"")</f>
        <v/>
      </c>
      <c r="Z575" s="11" t="str">
        <f>IFERROR(IF(MARÍTIMOS[[#This Row],[Etapa Despacho -  Llegada]]="","",MARÍTIMOS[[#This Row],[Etapa Despacho -  Llegada]]),"")</f>
        <v/>
      </c>
      <c r="AA575" s="11" t="str">
        <f>IFERROR(IF(MARÍTIMOS[[#This Row],[Etapa Despacho -  Registro]]="","",MARÍTIMOS[[#This Row],[Etapa Despacho - 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 Inicio de Carga]]="","",MARÍTIMOS[[#This Row],[Etapa Despacho -  Inicio de Carga]]),"")</f>
        <v/>
      </c>
      <c r="AD575" s="11" t="str">
        <f>IFERROR(IF(MARÍTIMOS[[#This Row],[Etapa Despacho -  Fin de Carga]]="","",MARÍTIMOS[[#This Row],[Etapa Despacho -  Fin de Carga]]),"")</f>
        <v/>
      </c>
      <c r="AE575" s="11" t="str">
        <f>IFERROR(IF(MARÍTIMOS[[#This Row],[Etapa Despacho -  Salida]]="","",MARÍTIMOS[[#This Row],[Etapa Despacho -  Salida]]),"")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5" t="s">
        <v>181</v>
      </c>
      <c r="BB575" s="53" t="str">
        <f>IFERROR(IF(MARÍTIMOS[[#This Row],[Estatus]]="","",MARÍTIMOS[[#This Row],[Estatus]]),"")</f>
        <v/>
      </c>
      <c r="BC575" s="45"/>
      <c r="BD575" s="52" t="str">
        <f>IFERROR(OLDBD[[#This Row],[Salida de almacén de retiro]]-OLDBD[[#This Row],[Ingreso Almacén de retiro]],"")</f>
        <v/>
      </c>
      <c r="BE575" s="52" t="str">
        <f>IFERROR(OLDBD[[#This Row],[Fin de Carga]]-OLDBD[[#This Row],[Inicio de Carga]],"")</f>
        <v/>
      </c>
    </row>
    <row r="576" spans="1:57" x14ac:dyDescent="0.35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6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Salida]]="","",MARÍTIMOS[[#This Row],[Etapa Retiro - Salida]]),"")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Row],[Hora de Carga]]+MARÍTIMOS[[#This Row],[Hora de Posicionamiento]]),"")</f>
        <v/>
      </c>
      <c r="Z576" s="11" t="str">
        <f>IFERROR(IF(MARÍTIMOS[[#This Row],[Etapa Despacho -  Llegada]]="","",MARÍTIMOS[[#This Row],[Etapa Despacho -  Llegada]]),"")</f>
        <v/>
      </c>
      <c r="AA576" s="11" t="str">
        <f>IFERROR(IF(MARÍTIMOS[[#This Row],[Etapa Despacho -  Registro]]="","",MARÍTIMOS[[#This Row],[Etapa Despacho - 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 Inicio de Carga]]="","",MARÍTIMOS[[#This Row],[Etapa Despacho -  Inicio de Carga]]),"")</f>
        <v/>
      </c>
      <c r="AD576" s="11" t="str">
        <f>IFERROR(IF(MARÍTIMOS[[#This Row],[Etapa Despacho -  Fin de Carga]]="","",MARÍTIMOS[[#This Row],[Etapa Despacho -  Fin de Carga]]),"")</f>
        <v/>
      </c>
      <c r="AE576" s="11" t="str">
        <f>IFERROR(IF(MARÍTIMOS[[#This Row],[Etapa Despacho -  Salida]]="","",MARÍTIMOS[[#This Row],[Etapa Despacho -  Salida]]),"")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5" t="s">
        <v>181</v>
      </c>
      <c r="BB576" s="53" t="str">
        <f>IFERROR(IF(MARÍTIMOS[[#This Row],[Estatus]]="","",MARÍTIMOS[[#This Row],[Estatus]]),"")</f>
        <v/>
      </c>
      <c r="BC576" s="45"/>
      <c r="BD576" s="52" t="str">
        <f>IFERROR(OLDBD[[#This Row],[Salida de almacén de retiro]]-OLDBD[[#This Row],[Ingreso Almacén de retiro]],"")</f>
        <v/>
      </c>
      <c r="BE576" s="52" t="str">
        <f>IFERROR(OLDBD[[#This Row],[Fin de Carga]]-OLDBD[[#This Row],[Inicio de Carga]],"")</f>
        <v/>
      </c>
    </row>
    <row r="577" spans="1:57" x14ac:dyDescent="0.35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6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Salida]]="","",MARÍTIMOS[[#This Row],[Etapa Retiro - Salida]]),"")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Row],[Hora de Carga]]+MARÍTIMOS[[#This Row],[Hora de Posicionamiento]]),"")</f>
        <v/>
      </c>
      <c r="Z577" s="11" t="str">
        <f>IFERROR(IF(MARÍTIMOS[[#This Row],[Etapa Despacho -  Llegada]]="","",MARÍTIMOS[[#This Row],[Etapa Despacho -  Llegada]]),"")</f>
        <v/>
      </c>
      <c r="AA577" s="11" t="str">
        <f>IFERROR(IF(MARÍTIMOS[[#This Row],[Etapa Despacho -  Registro]]="","",MARÍTIMOS[[#This Row],[Etapa Despacho - 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 Inicio de Carga]]="","",MARÍTIMOS[[#This Row],[Etapa Despacho -  Inicio de Carga]]),"")</f>
        <v/>
      </c>
      <c r="AD577" s="11" t="str">
        <f>IFERROR(IF(MARÍTIMOS[[#This Row],[Etapa Despacho -  Fin de Carga]]="","",MARÍTIMOS[[#This Row],[Etapa Despacho -  Fin de Carga]]),"")</f>
        <v/>
      </c>
      <c r="AE577" s="11" t="str">
        <f>IFERROR(IF(MARÍTIMOS[[#This Row],[Etapa Despacho -  Salida]]="","",MARÍTIMOS[[#This Row],[Etapa Despacho -  Salida]]),"")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5" t="s">
        <v>181</v>
      </c>
      <c r="BB577" s="53" t="str">
        <f>IFERROR(IF(MARÍTIMOS[[#This Row],[Estatus]]="","",MARÍTIMOS[[#This Row],[Estatus]]),"")</f>
        <v/>
      </c>
      <c r="BC577" s="45"/>
      <c r="BD577" s="52" t="str">
        <f>IFERROR(OLDBD[[#This Row],[Salida de almacén de retiro]]-OLDBD[[#This Row],[Ingreso Almacén de retiro]],"")</f>
        <v/>
      </c>
      <c r="BE577" s="52" t="str">
        <f>IFERROR(OLDBD[[#This Row],[Fin de Carga]]-OLDBD[[#This Row],[Inicio de Carga]],"")</f>
        <v/>
      </c>
    </row>
    <row r="578" spans="1:57" x14ac:dyDescent="0.35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6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Salida]]="","",MARÍTIMOS[[#This Row],[Etapa Retiro - Salida]]),"")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Row],[Hora de Carga]]+MARÍTIMOS[[#This Row],[Hora de Posicionamiento]]),"")</f>
        <v/>
      </c>
      <c r="Z578" s="11" t="str">
        <f>IFERROR(IF(MARÍTIMOS[[#This Row],[Etapa Despacho -  Llegada]]="","",MARÍTIMOS[[#This Row],[Etapa Despacho -  Llegada]]),"")</f>
        <v/>
      </c>
      <c r="AA578" s="11" t="str">
        <f>IFERROR(IF(MARÍTIMOS[[#This Row],[Etapa Despacho -  Registro]]="","",MARÍTIMOS[[#This Row],[Etapa Despacho - 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 Inicio de Carga]]="","",MARÍTIMOS[[#This Row],[Etapa Despacho -  Inicio de Carga]]),"")</f>
        <v/>
      </c>
      <c r="AD578" s="11" t="str">
        <f>IFERROR(IF(MARÍTIMOS[[#This Row],[Etapa Despacho -  Fin de Carga]]="","",MARÍTIMOS[[#This Row],[Etapa Despacho -  Fin de Carga]]),"")</f>
        <v/>
      </c>
      <c r="AE578" s="11" t="str">
        <f>IFERROR(IF(MARÍTIMOS[[#This Row],[Etapa Despacho -  Salida]]="","",MARÍTIMOS[[#This Row],[Etapa Despacho -  Salida]]),"")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5" t="s">
        <v>181</v>
      </c>
      <c r="BB578" s="53" t="str">
        <f>IFERROR(IF(MARÍTIMOS[[#This Row],[Estatus]]="","",MARÍTIMOS[[#This Row],[Estatus]]),"")</f>
        <v/>
      </c>
      <c r="BC578" s="45"/>
      <c r="BD578" s="52" t="str">
        <f>IFERROR(OLDBD[[#This Row],[Salida de almacén de retiro]]-OLDBD[[#This Row],[Ingreso Almacén de retiro]],"")</f>
        <v/>
      </c>
      <c r="BE578" s="52" t="str">
        <f>IFERROR(OLDBD[[#This Row],[Fin de Carga]]-OLDBD[[#This Row],[Inicio de Carga]],"")</f>
        <v/>
      </c>
    </row>
    <row r="579" spans="1:57" x14ac:dyDescent="0.35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6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Salida]]="","",MARÍTIMOS[[#This Row],[Etapa Retiro - Salida]]),"")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Row],[Hora de Carga]]+MARÍTIMOS[[#This Row],[Hora de Posicionamiento]]),"")</f>
        <v/>
      </c>
      <c r="Z579" s="11" t="str">
        <f>IFERROR(IF(MARÍTIMOS[[#This Row],[Etapa Despacho -  Llegada]]="","",MARÍTIMOS[[#This Row],[Etapa Despacho -  Llegada]]),"")</f>
        <v/>
      </c>
      <c r="AA579" s="11" t="str">
        <f>IFERROR(IF(MARÍTIMOS[[#This Row],[Etapa Despacho -  Registro]]="","",MARÍTIMOS[[#This Row],[Etapa Despacho - 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 Inicio de Carga]]="","",MARÍTIMOS[[#This Row],[Etapa Despacho -  Inicio de Carga]]),"")</f>
        <v/>
      </c>
      <c r="AD579" s="11" t="str">
        <f>IFERROR(IF(MARÍTIMOS[[#This Row],[Etapa Despacho -  Fin de Carga]]="","",MARÍTIMOS[[#This Row],[Etapa Despacho -  Fin de Carga]]),"")</f>
        <v/>
      </c>
      <c r="AE579" s="11" t="str">
        <f>IFERROR(IF(MARÍTIMOS[[#This Row],[Etapa Despacho -  Salida]]="","",MARÍTIMOS[[#This Row],[Etapa Despacho -  Salida]]),"")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5" t="s">
        <v>181</v>
      </c>
      <c r="BB579" s="53" t="str">
        <f>IFERROR(IF(MARÍTIMOS[[#This Row],[Estatus]]="","",MARÍTIMOS[[#This Row],[Estatus]]),"")</f>
        <v/>
      </c>
      <c r="BC579" s="45"/>
      <c r="BD579" s="52" t="str">
        <f>IFERROR(OLDBD[[#This Row],[Salida de almacén de retiro]]-OLDBD[[#This Row],[Ingreso Almacén de retiro]],"")</f>
        <v/>
      </c>
      <c r="BE579" s="52" t="str">
        <f>IFERROR(OLDBD[[#This Row],[Fin de Carga]]-OLDBD[[#This Row],[Inicio de Carga]],"")</f>
        <v/>
      </c>
    </row>
    <row r="580" spans="1:57" x14ac:dyDescent="0.35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6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Salida]]="","",MARÍTIMOS[[#This Row],[Etapa Retiro - Salida]]),"")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Row],[Hora de Carga]]+MARÍTIMOS[[#This Row],[Hora de Posicionamiento]]),"")</f>
        <v/>
      </c>
      <c r="Z580" s="11" t="str">
        <f>IFERROR(IF(MARÍTIMOS[[#This Row],[Etapa Despacho -  Llegada]]="","",MARÍTIMOS[[#This Row],[Etapa Despacho -  Llegada]]),"")</f>
        <v/>
      </c>
      <c r="AA580" s="11" t="str">
        <f>IFERROR(IF(MARÍTIMOS[[#This Row],[Etapa Despacho -  Registro]]="","",MARÍTIMOS[[#This Row],[Etapa Despacho - 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 Inicio de Carga]]="","",MARÍTIMOS[[#This Row],[Etapa Despacho -  Inicio de Carga]]),"")</f>
        <v/>
      </c>
      <c r="AD580" s="11" t="str">
        <f>IFERROR(IF(MARÍTIMOS[[#This Row],[Etapa Despacho -  Fin de Carga]]="","",MARÍTIMOS[[#This Row],[Etapa Despacho -  Fin de Carga]]),"")</f>
        <v/>
      </c>
      <c r="AE580" s="11" t="str">
        <f>IFERROR(IF(MARÍTIMOS[[#This Row],[Etapa Despacho -  Salida]]="","",MARÍTIMOS[[#This Row],[Etapa Despacho -  Salida]]),"")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5" t="s">
        <v>181</v>
      </c>
      <c r="BB580" s="53" t="str">
        <f>IFERROR(IF(MARÍTIMOS[[#This Row],[Estatus]]="","",MARÍTIMOS[[#This Row],[Estatus]]),"")</f>
        <v/>
      </c>
      <c r="BC580" s="45"/>
      <c r="BD580" s="52" t="str">
        <f>IFERROR(OLDBD[[#This Row],[Salida de almacén de retiro]]-OLDBD[[#This Row],[Ingreso Almacén de retiro]],"")</f>
        <v/>
      </c>
      <c r="BE580" s="52" t="str">
        <f>IFERROR(OLDBD[[#This Row],[Fin de Carga]]-OLDBD[[#This Row],[Inicio de Carga]],"")</f>
        <v/>
      </c>
    </row>
    <row r="581" spans="1:57" x14ac:dyDescent="0.35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6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Salida]]="","",MARÍTIMOS[[#This Row],[Etapa Retiro - Salida]]),"")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Row],[Hora de Carga]]+MARÍTIMOS[[#This Row],[Hora de Posicionamiento]]),"")</f>
        <v/>
      </c>
      <c r="Z581" s="11" t="str">
        <f>IFERROR(IF(MARÍTIMOS[[#This Row],[Etapa Despacho -  Llegada]]="","",MARÍTIMOS[[#This Row],[Etapa Despacho -  Llegada]]),"")</f>
        <v/>
      </c>
      <c r="AA581" s="11" t="str">
        <f>IFERROR(IF(MARÍTIMOS[[#This Row],[Etapa Despacho -  Registro]]="","",MARÍTIMOS[[#This Row],[Etapa Despacho - 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 Inicio de Carga]]="","",MARÍTIMOS[[#This Row],[Etapa Despacho -  Inicio de Carga]]),"")</f>
        <v/>
      </c>
      <c r="AD581" s="11" t="str">
        <f>IFERROR(IF(MARÍTIMOS[[#This Row],[Etapa Despacho -  Fin de Carga]]="","",MARÍTIMOS[[#This Row],[Etapa Despacho -  Fin de Carga]]),"")</f>
        <v/>
      </c>
      <c r="AE581" s="11" t="str">
        <f>IFERROR(IF(MARÍTIMOS[[#This Row],[Etapa Despacho -  Salida]]="","",MARÍTIMOS[[#This Row],[Etapa Despacho -  Salida]]),"")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5" t="s">
        <v>181</v>
      </c>
      <c r="BB581" s="53" t="str">
        <f>IFERROR(IF(MARÍTIMOS[[#This Row],[Estatus]]="","",MARÍTIMOS[[#This Row],[Estatus]]),"")</f>
        <v/>
      </c>
      <c r="BC581" s="45"/>
      <c r="BD581" s="52" t="str">
        <f>IFERROR(OLDBD[[#This Row],[Salida de almacén de retiro]]-OLDBD[[#This Row],[Ingreso Almacén de retiro]],"")</f>
        <v/>
      </c>
      <c r="BE581" s="52" t="str">
        <f>IFERROR(OLDBD[[#This Row],[Fin de Carga]]-OLDBD[[#This Row],[Inicio de Carga]],"")</f>
        <v/>
      </c>
    </row>
    <row r="582" spans="1:57" x14ac:dyDescent="0.35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6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Salida]]="","",MARÍTIMOS[[#This Row],[Etapa Retiro - Salida]]),"")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Row],[Hora de Carga]]+MARÍTIMOS[[#This Row],[Hora de Posicionamiento]]),"")</f>
        <v/>
      </c>
      <c r="Z582" s="11" t="str">
        <f>IFERROR(IF(MARÍTIMOS[[#This Row],[Etapa Despacho -  Llegada]]="","",MARÍTIMOS[[#This Row],[Etapa Despacho -  Llegada]]),"")</f>
        <v/>
      </c>
      <c r="AA582" s="11" t="str">
        <f>IFERROR(IF(MARÍTIMOS[[#This Row],[Etapa Despacho -  Registro]]="","",MARÍTIMOS[[#This Row],[Etapa Despacho - 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 Inicio de Carga]]="","",MARÍTIMOS[[#This Row],[Etapa Despacho -  Inicio de Carga]]),"")</f>
        <v/>
      </c>
      <c r="AD582" s="11" t="str">
        <f>IFERROR(IF(MARÍTIMOS[[#This Row],[Etapa Despacho -  Fin de Carga]]="","",MARÍTIMOS[[#This Row],[Etapa Despacho -  Fin de Carga]]),"")</f>
        <v/>
      </c>
      <c r="AE582" s="11" t="str">
        <f>IFERROR(IF(MARÍTIMOS[[#This Row],[Etapa Despacho -  Salida]]="","",MARÍTIMOS[[#This Row],[Etapa Despacho -  Salida]]),"")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5" t="s">
        <v>181</v>
      </c>
      <c r="BB582" s="53" t="str">
        <f>IFERROR(IF(MARÍTIMOS[[#This Row],[Estatus]]="","",MARÍTIMOS[[#This Row],[Estatus]]),"")</f>
        <v/>
      </c>
      <c r="BC582" s="45"/>
      <c r="BD582" s="52" t="str">
        <f>IFERROR(OLDBD[[#This Row],[Salida de almacén de retiro]]-OLDBD[[#This Row],[Ingreso Almacén de retiro]],"")</f>
        <v/>
      </c>
      <c r="BE582" s="52" t="str">
        <f>IFERROR(OLDBD[[#This Row],[Fin de Carga]]-OLDBD[[#This Row],[Inicio de Carga]],"")</f>
        <v/>
      </c>
    </row>
    <row r="583" spans="1:57" x14ac:dyDescent="0.35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6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Salida]]="","",MARÍTIMOS[[#This Row],[Etapa Retiro - Salida]]),"")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Row],[Hora de Carga]]+MARÍTIMOS[[#This Row],[Hora de Posicionamiento]]),"")</f>
        <v/>
      </c>
      <c r="Z583" s="11" t="str">
        <f>IFERROR(IF(MARÍTIMOS[[#This Row],[Etapa Despacho -  Llegada]]="","",MARÍTIMOS[[#This Row],[Etapa Despacho -  Llegada]]),"")</f>
        <v/>
      </c>
      <c r="AA583" s="11" t="str">
        <f>IFERROR(IF(MARÍTIMOS[[#This Row],[Etapa Despacho -  Registro]]="","",MARÍTIMOS[[#This Row],[Etapa Despacho - 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 Inicio de Carga]]="","",MARÍTIMOS[[#This Row],[Etapa Despacho -  Inicio de Carga]]),"")</f>
        <v/>
      </c>
      <c r="AD583" s="11" t="str">
        <f>IFERROR(IF(MARÍTIMOS[[#This Row],[Etapa Despacho -  Fin de Carga]]="","",MARÍTIMOS[[#This Row],[Etapa Despacho -  Fin de Carga]]),"")</f>
        <v/>
      </c>
      <c r="AE583" s="11" t="str">
        <f>IFERROR(IF(MARÍTIMOS[[#This Row],[Etapa Despacho -  Salida]]="","",MARÍTIMOS[[#This Row],[Etapa Despacho -  Salida]]),"")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5" t="s">
        <v>181</v>
      </c>
      <c r="BB583" s="53" t="str">
        <f>IFERROR(IF(MARÍTIMOS[[#This Row],[Estatus]]="","",MARÍTIMOS[[#This Row],[Estatus]]),"")</f>
        <v/>
      </c>
      <c r="BC583" s="45"/>
      <c r="BD583" s="52" t="str">
        <f>IFERROR(OLDBD[[#This Row],[Salida de almacén de retiro]]-OLDBD[[#This Row],[Ingreso Almacén de retiro]],"")</f>
        <v/>
      </c>
      <c r="BE583" s="52" t="str">
        <f>IFERROR(OLDBD[[#This Row],[Fin de Carga]]-OLDBD[[#This Row],[Inicio de Carga]],"")</f>
        <v/>
      </c>
    </row>
    <row r="584" spans="1:57" x14ac:dyDescent="0.35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6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Salida]]="","",MARÍTIMOS[[#This Row],[Etapa Retiro - Salida]]),"")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Row],[Hora de Carga]]+MARÍTIMOS[[#This Row],[Hora de Posicionamiento]]),"")</f>
        <v/>
      </c>
      <c r="Z584" s="11" t="str">
        <f>IFERROR(IF(MARÍTIMOS[[#This Row],[Etapa Despacho -  Llegada]]="","",MARÍTIMOS[[#This Row],[Etapa Despacho -  Llegada]]),"")</f>
        <v/>
      </c>
      <c r="AA584" s="11" t="str">
        <f>IFERROR(IF(MARÍTIMOS[[#This Row],[Etapa Despacho -  Registro]]="","",MARÍTIMOS[[#This Row],[Etapa Despacho - 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 Inicio de Carga]]="","",MARÍTIMOS[[#This Row],[Etapa Despacho -  Inicio de Carga]]),"")</f>
        <v/>
      </c>
      <c r="AD584" s="11" t="str">
        <f>IFERROR(IF(MARÍTIMOS[[#This Row],[Etapa Despacho -  Fin de Carga]]="","",MARÍTIMOS[[#This Row],[Etapa Despacho -  Fin de Carga]]),"")</f>
        <v/>
      </c>
      <c r="AE584" s="11" t="str">
        <f>IFERROR(IF(MARÍTIMOS[[#This Row],[Etapa Despacho -  Salida]]="","",MARÍTIMOS[[#This Row],[Etapa Despacho -  Salida]]),"")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5" t="s">
        <v>181</v>
      </c>
      <c r="BB584" s="53" t="str">
        <f>IFERROR(IF(MARÍTIMOS[[#This Row],[Estatus]]="","",MARÍTIMOS[[#This Row],[Estatus]]),"")</f>
        <v/>
      </c>
      <c r="BC584" s="45"/>
      <c r="BD584" s="52" t="str">
        <f>IFERROR(OLDBD[[#This Row],[Salida de almacén de retiro]]-OLDBD[[#This Row],[Ingreso Almacén de retiro]],"")</f>
        <v/>
      </c>
      <c r="BE584" s="52" t="str">
        <f>IFERROR(OLDBD[[#This Row],[Fin de Carga]]-OLDBD[[#This Row],[Inicio de Carga]],"")</f>
        <v/>
      </c>
    </row>
    <row r="585" spans="1:57" x14ac:dyDescent="0.35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6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Salida]]="","",MARÍTIMOS[[#This Row],[Etapa Retiro - Salida]]),"")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Row],[Hora de Carga]]+MARÍTIMOS[[#This Row],[Hora de Posicionamiento]]),"")</f>
        <v/>
      </c>
      <c r="Z585" s="11" t="str">
        <f>IFERROR(IF(MARÍTIMOS[[#This Row],[Etapa Despacho -  Llegada]]="","",MARÍTIMOS[[#This Row],[Etapa Despacho -  Llegada]]),"")</f>
        <v/>
      </c>
      <c r="AA585" s="11" t="str">
        <f>IFERROR(IF(MARÍTIMOS[[#This Row],[Etapa Despacho -  Registro]]="","",MARÍTIMOS[[#This Row],[Etapa Despacho - 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 Inicio de Carga]]="","",MARÍTIMOS[[#This Row],[Etapa Despacho -  Inicio de Carga]]),"")</f>
        <v/>
      </c>
      <c r="AD585" s="11" t="str">
        <f>IFERROR(IF(MARÍTIMOS[[#This Row],[Etapa Despacho -  Fin de Carga]]="","",MARÍTIMOS[[#This Row],[Etapa Despacho -  Fin de Carga]]),"")</f>
        <v/>
      </c>
      <c r="AE585" s="11" t="str">
        <f>IFERROR(IF(MARÍTIMOS[[#This Row],[Etapa Despacho -  Salida]]="","",MARÍTIMOS[[#This Row],[Etapa Despacho -  Salida]]),"")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5" t="s">
        <v>181</v>
      </c>
      <c r="BB585" s="53" t="str">
        <f>IFERROR(IF(MARÍTIMOS[[#This Row],[Estatus]]="","",MARÍTIMOS[[#This Row],[Estatus]]),"")</f>
        <v/>
      </c>
      <c r="BC585" s="45"/>
      <c r="BD585" s="52" t="str">
        <f>IFERROR(OLDBD[[#This Row],[Salida de almacén de retiro]]-OLDBD[[#This Row],[Ingreso Almacén de retiro]],"")</f>
        <v/>
      </c>
      <c r="BE585" s="52" t="str">
        <f>IFERROR(OLDBD[[#This Row],[Fin de Carga]]-OLDBD[[#This Row],[Inicio de Carga]],"")</f>
        <v/>
      </c>
    </row>
    <row r="586" spans="1:57" x14ac:dyDescent="0.35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6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Salida]]="","",MARÍTIMOS[[#This Row],[Etapa Retiro - Salida]]),"")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Row],[Hora de Carga]]+MARÍTIMOS[[#This Row],[Hora de Posicionamiento]]),"")</f>
        <v/>
      </c>
      <c r="Z586" s="11" t="str">
        <f>IFERROR(IF(MARÍTIMOS[[#This Row],[Etapa Despacho -  Llegada]]="","",MARÍTIMOS[[#This Row],[Etapa Despacho -  Llegada]]),"")</f>
        <v/>
      </c>
      <c r="AA586" s="11" t="str">
        <f>IFERROR(IF(MARÍTIMOS[[#This Row],[Etapa Despacho -  Registro]]="","",MARÍTIMOS[[#This Row],[Etapa Despacho - 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 Inicio de Carga]]="","",MARÍTIMOS[[#This Row],[Etapa Despacho -  Inicio de Carga]]),"")</f>
        <v/>
      </c>
      <c r="AD586" s="11" t="str">
        <f>IFERROR(IF(MARÍTIMOS[[#This Row],[Etapa Despacho -  Fin de Carga]]="","",MARÍTIMOS[[#This Row],[Etapa Despacho -  Fin de Carga]]),"")</f>
        <v/>
      </c>
      <c r="AE586" s="11" t="str">
        <f>IFERROR(IF(MARÍTIMOS[[#This Row],[Etapa Despacho -  Salida]]="","",MARÍTIMOS[[#This Row],[Etapa Despacho -  Salida]]),"")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5" t="s">
        <v>181</v>
      </c>
      <c r="BB586" s="53" t="str">
        <f>IFERROR(IF(MARÍTIMOS[[#This Row],[Estatus]]="","",MARÍTIMOS[[#This Row],[Estatus]]),"")</f>
        <v/>
      </c>
      <c r="BC586" s="45"/>
      <c r="BD586" s="52" t="str">
        <f>IFERROR(OLDBD[[#This Row],[Salida de almacén de retiro]]-OLDBD[[#This Row],[Ingreso Almacén de retiro]],"")</f>
        <v/>
      </c>
      <c r="BE586" s="52" t="str">
        <f>IFERROR(OLDBD[[#This Row],[Fin de Carga]]-OLDBD[[#This Row],[Inicio de Carga]],"")</f>
        <v/>
      </c>
    </row>
    <row r="587" spans="1:57" x14ac:dyDescent="0.35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6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Salida]]="","",MARÍTIMOS[[#This Row],[Etapa Retiro - Salida]]),"")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Row],[Hora de Carga]]+MARÍTIMOS[[#This Row],[Hora de Posicionamiento]]),"")</f>
        <v/>
      </c>
      <c r="Z587" s="11" t="str">
        <f>IFERROR(IF(MARÍTIMOS[[#This Row],[Etapa Despacho -  Llegada]]="","",MARÍTIMOS[[#This Row],[Etapa Despacho -  Llegada]]),"")</f>
        <v/>
      </c>
      <c r="AA587" s="11" t="str">
        <f>IFERROR(IF(MARÍTIMOS[[#This Row],[Etapa Despacho -  Registro]]="","",MARÍTIMOS[[#This Row],[Etapa Despacho - 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 Inicio de Carga]]="","",MARÍTIMOS[[#This Row],[Etapa Despacho -  Inicio de Carga]]),"")</f>
        <v/>
      </c>
      <c r="AD587" s="11" t="str">
        <f>IFERROR(IF(MARÍTIMOS[[#This Row],[Etapa Despacho -  Fin de Carga]]="","",MARÍTIMOS[[#This Row],[Etapa Despacho -  Fin de Carga]]),"")</f>
        <v/>
      </c>
      <c r="AE587" s="11" t="str">
        <f>IFERROR(IF(MARÍTIMOS[[#This Row],[Etapa Despacho -  Salida]]="","",MARÍTIMOS[[#This Row],[Etapa Despacho -  Salida]]),"")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5" t="s">
        <v>181</v>
      </c>
      <c r="BB587" s="53" t="str">
        <f>IFERROR(IF(MARÍTIMOS[[#This Row],[Estatus]]="","",MARÍTIMOS[[#This Row],[Estatus]]),"")</f>
        <v/>
      </c>
      <c r="BC587" s="45"/>
      <c r="BD587" s="52" t="str">
        <f>IFERROR(OLDBD[[#This Row],[Salida de almacén de retiro]]-OLDBD[[#This Row],[Ingreso Almacén de retiro]],"")</f>
        <v/>
      </c>
      <c r="BE587" s="52" t="str">
        <f>IFERROR(OLDBD[[#This Row],[Fin de Carga]]-OLDBD[[#This Row],[Inicio de Carga]],"")</f>
        <v/>
      </c>
    </row>
    <row r="588" spans="1:57" x14ac:dyDescent="0.35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6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Salida]]="","",MARÍTIMOS[[#This Row],[Etapa Retiro - Salida]]),"")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Row],[Hora de Carga]]+MARÍTIMOS[[#This Row],[Hora de Posicionamiento]]),"")</f>
        <v/>
      </c>
      <c r="Z588" s="11" t="str">
        <f>IFERROR(IF(MARÍTIMOS[[#This Row],[Etapa Despacho -  Llegada]]="","",MARÍTIMOS[[#This Row],[Etapa Despacho -  Llegada]]),"")</f>
        <v/>
      </c>
      <c r="AA588" s="11" t="str">
        <f>IFERROR(IF(MARÍTIMOS[[#This Row],[Etapa Despacho -  Registro]]="","",MARÍTIMOS[[#This Row],[Etapa Despacho - 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 Inicio de Carga]]="","",MARÍTIMOS[[#This Row],[Etapa Despacho -  Inicio de Carga]]),"")</f>
        <v/>
      </c>
      <c r="AD588" s="11" t="str">
        <f>IFERROR(IF(MARÍTIMOS[[#This Row],[Etapa Despacho -  Fin de Carga]]="","",MARÍTIMOS[[#This Row],[Etapa Despacho -  Fin de Carga]]),"")</f>
        <v/>
      </c>
      <c r="AE588" s="11" t="str">
        <f>IFERROR(IF(MARÍTIMOS[[#This Row],[Etapa Despacho -  Salida]]="","",MARÍTIMOS[[#This Row],[Etapa Despacho -  Salida]]),"")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5" t="s">
        <v>181</v>
      </c>
      <c r="BB588" s="53" t="str">
        <f>IFERROR(IF(MARÍTIMOS[[#This Row],[Estatus]]="","",MARÍTIMOS[[#This Row],[Estatus]]),"")</f>
        <v/>
      </c>
      <c r="BC588" s="45"/>
      <c r="BD588" s="52" t="str">
        <f>IFERROR(OLDBD[[#This Row],[Salida de almacén de retiro]]-OLDBD[[#This Row],[Ingreso Almacén de retiro]],"")</f>
        <v/>
      </c>
      <c r="BE588" s="52" t="str">
        <f>IFERROR(OLDBD[[#This Row],[Fin de Carga]]-OLDBD[[#This Row],[Inicio de Carga]],"")</f>
        <v/>
      </c>
    </row>
    <row r="589" spans="1:57" x14ac:dyDescent="0.35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6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Salida]]="","",MARÍTIMOS[[#This Row],[Etapa Retiro - Salida]]),"")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Row],[Hora de Carga]]+MARÍTIMOS[[#This Row],[Hora de Posicionamiento]]),"")</f>
        <v/>
      </c>
      <c r="Z589" s="11" t="str">
        <f>IFERROR(IF(MARÍTIMOS[[#This Row],[Etapa Despacho -  Llegada]]="","",MARÍTIMOS[[#This Row],[Etapa Despacho -  Llegada]]),"")</f>
        <v/>
      </c>
      <c r="AA589" s="11" t="str">
        <f>IFERROR(IF(MARÍTIMOS[[#This Row],[Etapa Despacho -  Registro]]="","",MARÍTIMOS[[#This Row],[Etapa Despacho - 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 Inicio de Carga]]="","",MARÍTIMOS[[#This Row],[Etapa Despacho -  Inicio de Carga]]),"")</f>
        <v/>
      </c>
      <c r="AD589" s="11" t="str">
        <f>IFERROR(IF(MARÍTIMOS[[#This Row],[Etapa Despacho -  Fin de Carga]]="","",MARÍTIMOS[[#This Row],[Etapa Despacho -  Fin de Carga]]),"")</f>
        <v/>
      </c>
      <c r="AE589" s="11" t="str">
        <f>IFERROR(IF(MARÍTIMOS[[#This Row],[Etapa Despacho -  Salida]]="","",MARÍTIMOS[[#This Row],[Etapa Despacho -  Salida]]),"")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5" t="s">
        <v>181</v>
      </c>
      <c r="BB589" s="53" t="str">
        <f>IFERROR(IF(MARÍTIMOS[[#This Row],[Estatus]]="","",MARÍTIMOS[[#This Row],[Estatus]]),"")</f>
        <v/>
      </c>
      <c r="BC589" s="45"/>
      <c r="BD589" s="52" t="str">
        <f>IFERROR(OLDBD[[#This Row],[Salida de almacén de retiro]]-OLDBD[[#This Row],[Ingreso Almacén de retiro]],"")</f>
        <v/>
      </c>
      <c r="BE589" s="52" t="str">
        <f>IFERROR(OLDBD[[#This Row],[Fin de Carga]]-OLDBD[[#This Row],[Inicio de Carga]],"")</f>
        <v/>
      </c>
    </row>
    <row r="590" spans="1:57" x14ac:dyDescent="0.35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6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Salida]]="","",MARÍTIMOS[[#This Row],[Etapa Retiro - Salida]]),"")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Row],[Hora de Carga]]+MARÍTIMOS[[#This Row],[Hora de Posicionamiento]]),"")</f>
        <v/>
      </c>
      <c r="Z590" s="11" t="str">
        <f>IFERROR(IF(MARÍTIMOS[[#This Row],[Etapa Despacho -  Llegada]]="","",MARÍTIMOS[[#This Row],[Etapa Despacho -  Llegada]]),"")</f>
        <v/>
      </c>
      <c r="AA590" s="11" t="str">
        <f>IFERROR(IF(MARÍTIMOS[[#This Row],[Etapa Despacho -  Registro]]="","",MARÍTIMOS[[#This Row],[Etapa Despacho - 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 Inicio de Carga]]="","",MARÍTIMOS[[#This Row],[Etapa Despacho -  Inicio de Carga]]),"")</f>
        <v/>
      </c>
      <c r="AD590" s="11" t="str">
        <f>IFERROR(IF(MARÍTIMOS[[#This Row],[Etapa Despacho -  Fin de Carga]]="","",MARÍTIMOS[[#This Row],[Etapa Despacho -  Fin de Carga]]),"")</f>
        <v/>
      </c>
      <c r="AE590" s="11" t="str">
        <f>IFERROR(IF(MARÍTIMOS[[#This Row],[Etapa Despacho -  Salida]]="","",MARÍTIMOS[[#This Row],[Etapa Despacho -  Salida]]),"")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5" t="s">
        <v>181</v>
      </c>
      <c r="BB590" s="53" t="str">
        <f>IFERROR(IF(MARÍTIMOS[[#This Row],[Estatus]]="","",MARÍTIMOS[[#This Row],[Estatus]]),"")</f>
        <v/>
      </c>
      <c r="BC590" s="45"/>
      <c r="BD590" s="52" t="str">
        <f>IFERROR(OLDBD[[#This Row],[Salida de almacén de retiro]]-OLDBD[[#This Row],[Ingreso Almacén de retiro]],"")</f>
        <v/>
      </c>
      <c r="BE590" s="52" t="str">
        <f>IFERROR(OLDBD[[#This Row],[Fin de Carga]]-OLDBD[[#This Row],[Inicio de Carga]],"")</f>
        <v/>
      </c>
    </row>
    <row r="591" spans="1:57" x14ac:dyDescent="0.35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6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Salida]]="","",MARÍTIMOS[[#This Row],[Etapa Retiro - Salida]]),"")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Row],[Hora de Carga]]+MARÍTIMOS[[#This Row],[Hora de Posicionamiento]]),"")</f>
        <v/>
      </c>
      <c r="Z591" s="11" t="str">
        <f>IFERROR(IF(MARÍTIMOS[[#This Row],[Etapa Despacho -  Llegada]]="","",MARÍTIMOS[[#This Row],[Etapa Despacho -  Llegada]]),"")</f>
        <v/>
      </c>
      <c r="AA591" s="11" t="str">
        <f>IFERROR(IF(MARÍTIMOS[[#This Row],[Etapa Despacho -  Registro]]="","",MARÍTIMOS[[#This Row],[Etapa Despacho - 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 Inicio de Carga]]="","",MARÍTIMOS[[#This Row],[Etapa Despacho -  Inicio de Carga]]),"")</f>
        <v/>
      </c>
      <c r="AD591" s="11" t="str">
        <f>IFERROR(IF(MARÍTIMOS[[#This Row],[Etapa Despacho -  Fin de Carga]]="","",MARÍTIMOS[[#This Row],[Etapa Despacho -  Fin de Carga]]),"")</f>
        <v/>
      </c>
      <c r="AE591" s="11" t="str">
        <f>IFERROR(IF(MARÍTIMOS[[#This Row],[Etapa Despacho -  Salida]]="","",MARÍTIMOS[[#This Row],[Etapa Despacho -  Salida]]),"")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5" t="s">
        <v>181</v>
      </c>
      <c r="BB591" s="53" t="str">
        <f>IFERROR(IF(MARÍTIMOS[[#This Row],[Estatus]]="","",MARÍTIMOS[[#This Row],[Estatus]]),"")</f>
        <v/>
      </c>
      <c r="BC591" s="45"/>
      <c r="BD591" s="52" t="str">
        <f>IFERROR(OLDBD[[#This Row],[Salida de almacén de retiro]]-OLDBD[[#This Row],[Ingreso Almacén de retiro]],"")</f>
        <v/>
      </c>
      <c r="BE591" s="52" t="str">
        <f>IFERROR(OLDBD[[#This Row],[Fin de Carga]]-OLDBD[[#This Row],[Inicio de Carga]],"")</f>
        <v/>
      </c>
    </row>
    <row r="592" spans="1:57" x14ac:dyDescent="0.35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6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Salida]]="","",MARÍTIMOS[[#This Row],[Etapa Retiro - Salida]]),"")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Row],[Hora de Carga]]+MARÍTIMOS[[#This Row],[Hora de Posicionamiento]]),"")</f>
        <v/>
      </c>
      <c r="Z592" s="11" t="str">
        <f>IFERROR(IF(MARÍTIMOS[[#This Row],[Etapa Despacho -  Llegada]]="","",MARÍTIMOS[[#This Row],[Etapa Despacho -  Llegada]]),"")</f>
        <v/>
      </c>
      <c r="AA592" s="11" t="str">
        <f>IFERROR(IF(MARÍTIMOS[[#This Row],[Etapa Despacho -  Registro]]="","",MARÍTIMOS[[#This Row],[Etapa Despacho - 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 Inicio de Carga]]="","",MARÍTIMOS[[#This Row],[Etapa Despacho -  Inicio de Carga]]),"")</f>
        <v/>
      </c>
      <c r="AD592" s="11" t="str">
        <f>IFERROR(IF(MARÍTIMOS[[#This Row],[Etapa Despacho -  Fin de Carga]]="","",MARÍTIMOS[[#This Row],[Etapa Despacho -  Fin de Carga]]),"")</f>
        <v/>
      </c>
      <c r="AE592" s="11" t="str">
        <f>IFERROR(IF(MARÍTIMOS[[#This Row],[Etapa Despacho -  Salida]]="","",MARÍTIMOS[[#This Row],[Etapa Despacho -  Salida]]),"")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5" t="s">
        <v>181</v>
      </c>
      <c r="BB592" s="53" t="str">
        <f>IFERROR(IF(MARÍTIMOS[[#This Row],[Estatus]]="","",MARÍTIMOS[[#This Row],[Estatus]]),"")</f>
        <v/>
      </c>
      <c r="BC592" s="45"/>
      <c r="BD592" s="52" t="str">
        <f>IFERROR(OLDBD[[#This Row],[Salida de almacén de retiro]]-OLDBD[[#This Row],[Ingreso Almacén de retiro]],"")</f>
        <v/>
      </c>
      <c r="BE592" s="52" t="str">
        <f>IFERROR(OLDBD[[#This Row],[Fin de Carga]]-OLDBD[[#This Row],[Inicio de Carga]],"")</f>
        <v/>
      </c>
    </row>
    <row r="593" spans="1:57" x14ac:dyDescent="0.35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6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Salida]]="","",MARÍTIMOS[[#This Row],[Etapa Retiro - Salida]]),"")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Row],[Hora de Carga]]+MARÍTIMOS[[#This Row],[Hora de Posicionamiento]]),"")</f>
        <v/>
      </c>
      <c r="Z593" s="11" t="str">
        <f>IFERROR(IF(MARÍTIMOS[[#This Row],[Etapa Despacho -  Llegada]]="","",MARÍTIMOS[[#This Row],[Etapa Despacho -  Llegada]]),"")</f>
        <v/>
      </c>
      <c r="AA593" s="11" t="str">
        <f>IFERROR(IF(MARÍTIMOS[[#This Row],[Etapa Despacho -  Registro]]="","",MARÍTIMOS[[#This Row],[Etapa Despacho - 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 Inicio de Carga]]="","",MARÍTIMOS[[#This Row],[Etapa Despacho -  Inicio de Carga]]),"")</f>
        <v/>
      </c>
      <c r="AD593" s="11" t="str">
        <f>IFERROR(IF(MARÍTIMOS[[#This Row],[Etapa Despacho -  Fin de Carga]]="","",MARÍTIMOS[[#This Row],[Etapa Despacho -  Fin de Carga]]),"")</f>
        <v/>
      </c>
      <c r="AE593" s="11" t="str">
        <f>IFERROR(IF(MARÍTIMOS[[#This Row],[Etapa Despacho -  Salida]]="","",MARÍTIMOS[[#This Row],[Etapa Despacho -  Salida]]),"")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5" t="s">
        <v>181</v>
      </c>
      <c r="BB593" s="53" t="str">
        <f>IFERROR(IF(MARÍTIMOS[[#This Row],[Estatus]]="","",MARÍTIMOS[[#This Row],[Estatus]]),"")</f>
        <v/>
      </c>
      <c r="BC593" s="45"/>
      <c r="BD593" s="52" t="str">
        <f>IFERROR(OLDBD[[#This Row],[Salida de almacén de retiro]]-OLDBD[[#This Row],[Ingreso Almacén de retiro]],"")</f>
        <v/>
      </c>
      <c r="BE593" s="52" t="str">
        <f>IFERROR(OLDBD[[#This Row],[Fin de Carga]]-OLDBD[[#This Row],[Inicio de Carga]],"")</f>
        <v/>
      </c>
    </row>
    <row r="594" spans="1:57" x14ac:dyDescent="0.35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6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Salida]]="","",MARÍTIMOS[[#This Row],[Etapa Retiro - Salida]]),"")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Row],[Hora de Carga]]+MARÍTIMOS[[#This Row],[Hora de Posicionamiento]]),"")</f>
        <v/>
      </c>
      <c r="Z594" s="11" t="str">
        <f>IFERROR(IF(MARÍTIMOS[[#This Row],[Etapa Despacho -  Llegada]]="","",MARÍTIMOS[[#This Row],[Etapa Despacho -  Llegada]]),"")</f>
        <v/>
      </c>
      <c r="AA594" s="11" t="str">
        <f>IFERROR(IF(MARÍTIMOS[[#This Row],[Etapa Despacho -  Registro]]="","",MARÍTIMOS[[#This Row],[Etapa Despacho - 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 Inicio de Carga]]="","",MARÍTIMOS[[#This Row],[Etapa Despacho -  Inicio de Carga]]),"")</f>
        <v/>
      </c>
      <c r="AD594" s="11" t="str">
        <f>IFERROR(IF(MARÍTIMOS[[#This Row],[Etapa Despacho -  Fin de Carga]]="","",MARÍTIMOS[[#This Row],[Etapa Despacho -  Fin de Carga]]),"")</f>
        <v/>
      </c>
      <c r="AE594" s="11" t="str">
        <f>IFERROR(IF(MARÍTIMOS[[#This Row],[Etapa Despacho -  Salida]]="","",MARÍTIMOS[[#This Row],[Etapa Despacho -  Salida]]),"")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5" t="s">
        <v>181</v>
      </c>
      <c r="BB594" s="53" t="str">
        <f>IFERROR(IF(MARÍTIMOS[[#This Row],[Estatus]]="","",MARÍTIMOS[[#This Row],[Estatus]]),"")</f>
        <v/>
      </c>
      <c r="BC594" s="45"/>
      <c r="BD594" s="52" t="str">
        <f>IFERROR(OLDBD[[#This Row],[Salida de almacén de retiro]]-OLDBD[[#This Row],[Ingreso Almacén de retiro]],"")</f>
        <v/>
      </c>
      <c r="BE594" s="52" t="str">
        <f>IFERROR(OLDBD[[#This Row],[Fin de Carga]]-OLDBD[[#This Row],[Inicio de Carga]],"")</f>
        <v/>
      </c>
    </row>
    <row r="595" spans="1:57" x14ac:dyDescent="0.35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6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Salida]]="","",MARÍTIMOS[[#This Row],[Etapa Retiro - Salida]]),"")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Row],[Hora de Carga]]+MARÍTIMOS[[#This Row],[Hora de Posicionamiento]]),"")</f>
        <v/>
      </c>
      <c r="Z595" s="11" t="str">
        <f>IFERROR(IF(MARÍTIMOS[[#This Row],[Etapa Despacho -  Llegada]]="","",MARÍTIMOS[[#This Row],[Etapa Despacho -  Llegada]]),"")</f>
        <v/>
      </c>
      <c r="AA595" s="11" t="str">
        <f>IFERROR(IF(MARÍTIMOS[[#This Row],[Etapa Despacho -  Registro]]="","",MARÍTIMOS[[#This Row],[Etapa Despacho - 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 Inicio de Carga]]="","",MARÍTIMOS[[#This Row],[Etapa Despacho -  Inicio de Carga]]),"")</f>
        <v/>
      </c>
      <c r="AD595" s="11" t="str">
        <f>IFERROR(IF(MARÍTIMOS[[#This Row],[Etapa Despacho -  Fin de Carga]]="","",MARÍTIMOS[[#This Row],[Etapa Despacho -  Fin de Carga]]),"")</f>
        <v/>
      </c>
      <c r="AE595" s="11" t="str">
        <f>IFERROR(IF(MARÍTIMOS[[#This Row],[Etapa Despacho -  Salida]]="","",MARÍTIMOS[[#This Row],[Etapa Despacho -  Salida]]),"")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5" t="s">
        <v>181</v>
      </c>
      <c r="BB595" s="53" t="str">
        <f>IFERROR(IF(MARÍTIMOS[[#This Row],[Estatus]]="","",MARÍTIMOS[[#This Row],[Estatus]]),"")</f>
        <v/>
      </c>
      <c r="BC595" s="45"/>
      <c r="BD595" s="52" t="str">
        <f>IFERROR(OLDBD[[#This Row],[Salida de almacén de retiro]]-OLDBD[[#This Row],[Ingreso Almacén de retiro]],"")</f>
        <v/>
      </c>
      <c r="BE595" s="52" t="str">
        <f>IFERROR(OLDBD[[#This Row],[Fin de Carga]]-OLDBD[[#This Row],[Inicio de Carga]],"")</f>
        <v/>
      </c>
    </row>
    <row r="596" spans="1:57" x14ac:dyDescent="0.35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6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Salida]]="","",MARÍTIMOS[[#This Row],[Etapa Retiro - Salida]]),"")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Row],[Hora de Carga]]+MARÍTIMOS[[#This Row],[Hora de Posicionamiento]]),"")</f>
        <v/>
      </c>
      <c r="Z596" s="11" t="str">
        <f>IFERROR(IF(MARÍTIMOS[[#This Row],[Etapa Despacho -  Llegada]]="","",MARÍTIMOS[[#This Row],[Etapa Despacho -  Llegada]]),"")</f>
        <v/>
      </c>
      <c r="AA596" s="11" t="str">
        <f>IFERROR(IF(MARÍTIMOS[[#This Row],[Etapa Despacho -  Registro]]="","",MARÍTIMOS[[#This Row],[Etapa Despacho - 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 Inicio de Carga]]="","",MARÍTIMOS[[#This Row],[Etapa Despacho -  Inicio de Carga]]),"")</f>
        <v/>
      </c>
      <c r="AD596" s="11" t="str">
        <f>IFERROR(IF(MARÍTIMOS[[#This Row],[Etapa Despacho -  Fin de Carga]]="","",MARÍTIMOS[[#This Row],[Etapa Despacho -  Fin de Carga]]),"")</f>
        <v/>
      </c>
      <c r="AE596" s="11" t="str">
        <f>IFERROR(IF(MARÍTIMOS[[#This Row],[Etapa Despacho -  Salida]]="","",MARÍTIMOS[[#This Row],[Etapa Despacho -  Salida]]),"")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5" t="s">
        <v>181</v>
      </c>
      <c r="BB596" s="53" t="str">
        <f>IFERROR(IF(MARÍTIMOS[[#This Row],[Estatus]]="","",MARÍTIMOS[[#This Row],[Estatus]]),"")</f>
        <v/>
      </c>
      <c r="BC596" s="45"/>
      <c r="BD596" s="52" t="str">
        <f>IFERROR(OLDBD[[#This Row],[Salida de almacén de retiro]]-OLDBD[[#This Row],[Ingreso Almacén de retiro]],"")</f>
        <v/>
      </c>
      <c r="BE596" s="52" t="str">
        <f>IFERROR(OLDBD[[#This Row],[Fin de Carga]]-OLDBD[[#This Row],[Inicio de Carga]],"")</f>
        <v/>
      </c>
    </row>
    <row r="597" spans="1:57" x14ac:dyDescent="0.35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6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Salida]]="","",MARÍTIMOS[[#This Row],[Etapa Retiro - Salida]]),"")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Row],[Hora de Carga]]+MARÍTIMOS[[#This Row],[Hora de Posicionamiento]]),"")</f>
        <v/>
      </c>
      <c r="Z597" s="11" t="str">
        <f>IFERROR(IF(MARÍTIMOS[[#This Row],[Etapa Despacho -  Llegada]]="","",MARÍTIMOS[[#This Row],[Etapa Despacho -  Llegada]]),"")</f>
        <v/>
      </c>
      <c r="AA597" s="11" t="str">
        <f>IFERROR(IF(MARÍTIMOS[[#This Row],[Etapa Despacho -  Registro]]="","",MARÍTIMOS[[#This Row],[Etapa Despacho - 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 Inicio de Carga]]="","",MARÍTIMOS[[#This Row],[Etapa Despacho -  Inicio de Carga]]),"")</f>
        <v/>
      </c>
      <c r="AD597" s="11" t="str">
        <f>IFERROR(IF(MARÍTIMOS[[#This Row],[Etapa Despacho -  Fin de Carga]]="","",MARÍTIMOS[[#This Row],[Etapa Despacho -  Fin de Carga]]),"")</f>
        <v/>
      </c>
      <c r="AE597" s="11" t="str">
        <f>IFERROR(IF(MARÍTIMOS[[#This Row],[Etapa Despacho -  Salida]]="","",MARÍTIMOS[[#This Row],[Etapa Despacho -  Salida]]),"")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5" t="s">
        <v>181</v>
      </c>
      <c r="BB597" s="53" t="str">
        <f>IFERROR(IF(MARÍTIMOS[[#This Row],[Estatus]]="","",MARÍTIMOS[[#This Row],[Estatus]]),"")</f>
        <v/>
      </c>
      <c r="BC597" s="45"/>
      <c r="BD597" s="52" t="str">
        <f>IFERROR(OLDBD[[#This Row],[Salida de almacén de retiro]]-OLDBD[[#This Row],[Ingreso Almacén de retiro]],"")</f>
        <v/>
      </c>
      <c r="BE597" s="52" t="str">
        <f>IFERROR(OLDBD[[#This Row],[Fin de Carga]]-OLDBD[[#This Row],[Inicio de Carga]],"")</f>
        <v/>
      </c>
    </row>
    <row r="598" spans="1:57" x14ac:dyDescent="0.35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6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Salida]]="","",MARÍTIMOS[[#This Row],[Etapa Retiro - Salida]]),"")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Row],[Hora de Carga]]+MARÍTIMOS[[#This Row],[Hora de Posicionamiento]]),"")</f>
        <v/>
      </c>
      <c r="Z598" s="11" t="str">
        <f>IFERROR(IF(MARÍTIMOS[[#This Row],[Etapa Despacho -  Llegada]]="","",MARÍTIMOS[[#This Row],[Etapa Despacho -  Llegada]]),"")</f>
        <v/>
      </c>
      <c r="AA598" s="11" t="str">
        <f>IFERROR(IF(MARÍTIMOS[[#This Row],[Etapa Despacho -  Registro]]="","",MARÍTIMOS[[#This Row],[Etapa Despacho - 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 Inicio de Carga]]="","",MARÍTIMOS[[#This Row],[Etapa Despacho -  Inicio de Carga]]),"")</f>
        <v/>
      </c>
      <c r="AD598" s="11" t="str">
        <f>IFERROR(IF(MARÍTIMOS[[#This Row],[Etapa Despacho -  Fin de Carga]]="","",MARÍTIMOS[[#This Row],[Etapa Despacho -  Fin de Carga]]),"")</f>
        <v/>
      </c>
      <c r="AE598" s="11" t="str">
        <f>IFERROR(IF(MARÍTIMOS[[#This Row],[Etapa Despacho -  Salida]]="","",MARÍTIMOS[[#This Row],[Etapa Despacho -  Salida]]),"")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5" t="s">
        <v>181</v>
      </c>
      <c r="BB598" s="53" t="str">
        <f>IFERROR(IF(MARÍTIMOS[[#This Row],[Estatus]]="","",MARÍTIMOS[[#This Row],[Estatus]]),"")</f>
        <v/>
      </c>
      <c r="BC598" s="45"/>
      <c r="BD598" s="52" t="str">
        <f>IFERROR(OLDBD[[#This Row],[Salida de almacén de retiro]]-OLDBD[[#This Row],[Ingreso Almacén de retiro]],"")</f>
        <v/>
      </c>
      <c r="BE598" s="52" t="str">
        <f>IFERROR(OLDBD[[#This Row],[Fin de Carga]]-OLDBD[[#This Row],[Inicio de Carga]],"")</f>
        <v/>
      </c>
    </row>
    <row r="599" spans="1:57" x14ac:dyDescent="0.35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6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Salida]]="","",MARÍTIMOS[[#This Row],[Etapa Retiro - Salida]]),"")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Row],[Hora de Carga]]+MARÍTIMOS[[#This Row],[Hora de Posicionamiento]]),"")</f>
        <v/>
      </c>
      <c r="Z599" s="11" t="str">
        <f>IFERROR(IF(MARÍTIMOS[[#This Row],[Etapa Despacho -  Llegada]]="","",MARÍTIMOS[[#This Row],[Etapa Despacho -  Llegada]]),"")</f>
        <v/>
      </c>
      <c r="AA599" s="11" t="str">
        <f>IFERROR(IF(MARÍTIMOS[[#This Row],[Etapa Despacho -  Registro]]="","",MARÍTIMOS[[#This Row],[Etapa Despacho - 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 Inicio de Carga]]="","",MARÍTIMOS[[#This Row],[Etapa Despacho -  Inicio de Carga]]),"")</f>
        <v/>
      </c>
      <c r="AD599" s="11" t="str">
        <f>IFERROR(IF(MARÍTIMOS[[#This Row],[Etapa Despacho -  Fin de Carga]]="","",MARÍTIMOS[[#This Row],[Etapa Despacho -  Fin de Carga]]),"")</f>
        <v/>
      </c>
      <c r="AE599" s="11" t="str">
        <f>IFERROR(IF(MARÍTIMOS[[#This Row],[Etapa Despacho -  Salida]]="","",MARÍTIMOS[[#This Row],[Etapa Despacho -  Salida]]),"")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5" t="s">
        <v>181</v>
      </c>
      <c r="BB599" s="53" t="str">
        <f>IFERROR(IF(MARÍTIMOS[[#This Row],[Estatus]]="","",MARÍTIMOS[[#This Row],[Estatus]]),"")</f>
        <v/>
      </c>
      <c r="BC599" s="45"/>
      <c r="BD599" s="52" t="str">
        <f>IFERROR(OLDBD[[#This Row],[Salida de almacén de retiro]]-OLDBD[[#This Row],[Ingreso Almacén de retiro]],"")</f>
        <v/>
      </c>
      <c r="BE599" s="52" t="str">
        <f>IFERROR(OLDBD[[#This Row],[Fin de Carga]]-OLDBD[[#This Row],[Inicio de Carga]],"")</f>
        <v/>
      </c>
    </row>
    <row r="600" spans="1:57" x14ac:dyDescent="0.35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6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Salida]]="","",MARÍTIMOS[[#This Row],[Etapa Retiro - Salida]]),"")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Row],[Hora de Carga]]+MARÍTIMOS[[#This Row],[Hora de Posicionamiento]]),"")</f>
        <v/>
      </c>
      <c r="Z600" s="11" t="str">
        <f>IFERROR(IF(MARÍTIMOS[[#This Row],[Etapa Despacho -  Llegada]]="","",MARÍTIMOS[[#This Row],[Etapa Despacho -  Llegada]]),"")</f>
        <v/>
      </c>
      <c r="AA600" s="11" t="str">
        <f>IFERROR(IF(MARÍTIMOS[[#This Row],[Etapa Despacho -  Registro]]="","",MARÍTIMOS[[#This Row],[Etapa Despacho - 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 Inicio de Carga]]="","",MARÍTIMOS[[#This Row],[Etapa Despacho -  Inicio de Carga]]),"")</f>
        <v/>
      </c>
      <c r="AD600" s="11" t="str">
        <f>IFERROR(IF(MARÍTIMOS[[#This Row],[Etapa Despacho -  Fin de Carga]]="","",MARÍTIMOS[[#This Row],[Etapa Despacho -  Fin de Carga]]),"")</f>
        <v/>
      </c>
      <c r="AE600" s="11" t="str">
        <f>IFERROR(IF(MARÍTIMOS[[#This Row],[Etapa Despacho -  Salida]]="","",MARÍTIMOS[[#This Row],[Etapa Despacho -  Salida]]),"")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5" t="s">
        <v>181</v>
      </c>
      <c r="BB600" s="53" t="str">
        <f>IFERROR(IF(MARÍTIMOS[[#This Row],[Estatus]]="","",MARÍTIMOS[[#This Row],[Estatus]]),"")</f>
        <v/>
      </c>
      <c r="BC600" s="45"/>
      <c r="BD600" s="52" t="str">
        <f>IFERROR(OLDBD[[#This Row],[Salida de almacén de retiro]]-OLDBD[[#This Row],[Ingreso Almacén de retiro]],"")</f>
        <v/>
      </c>
      <c r="BE600" s="52" t="str">
        <f>IFERROR(OLDBD[[#This Row],[Fin de Carga]]-OLDBD[[#This Row],[Inicio de Carga]],"")</f>
        <v/>
      </c>
    </row>
    <row r="601" spans="1:57" x14ac:dyDescent="0.35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6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Salida]]="","",MARÍTIMOS[[#This Row],[Etapa Retiro - Salida]]),"")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Row],[Hora de Carga]]+MARÍTIMOS[[#This Row],[Hora de Posicionamiento]]),"")</f>
        <v/>
      </c>
      <c r="Z601" s="11" t="str">
        <f>IFERROR(IF(MARÍTIMOS[[#This Row],[Etapa Despacho -  Llegada]]="","",MARÍTIMOS[[#This Row],[Etapa Despacho -  Llegada]]),"")</f>
        <v/>
      </c>
      <c r="AA601" s="11" t="str">
        <f>IFERROR(IF(MARÍTIMOS[[#This Row],[Etapa Despacho -  Registro]]="","",MARÍTIMOS[[#This Row],[Etapa Despacho - 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 Inicio de Carga]]="","",MARÍTIMOS[[#This Row],[Etapa Despacho -  Inicio de Carga]]),"")</f>
        <v/>
      </c>
      <c r="AD601" s="11" t="str">
        <f>IFERROR(IF(MARÍTIMOS[[#This Row],[Etapa Despacho -  Fin de Carga]]="","",MARÍTIMOS[[#This Row],[Etapa Despacho -  Fin de Carga]]),"")</f>
        <v/>
      </c>
      <c r="AE601" s="11" t="str">
        <f>IFERROR(IF(MARÍTIMOS[[#This Row],[Etapa Despacho -  Salida]]="","",MARÍTIMOS[[#This Row],[Etapa Despacho -  Salida]]),"")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5" t="s">
        <v>181</v>
      </c>
      <c r="BB601" s="53" t="str">
        <f>IFERROR(IF(MARÍTIMOS[[#This Row],[Estatus]]="","",MARÍTIMOS[[#This Row],[Estatus]]),"")</f>
        <v/>
      </c>
      <c r="BC601" s="45"/>
      <c r="BD601" s="52" t="str">
        <f>IFERROR(OLDBD[[#This Row],[Salida de almacén de retiro]]-OLDBD[[#This Row],[Ingreso Almacén de retiro]],"")</f>
        <v/>
      </c>
      <c r="BE601" s="52" t="str">
        <f>IFERROR(OLDBD[[#This Row],[Fin de Carga]]-OLDBD[[#This Row],[Inicio de Carga]],"")</f>
        <v/>
      </c>
    </row>
    <row r="602" spans="1:57" x14ac:dyDescent="0.35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6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Salida]]="","",MARÍTIMOS[[#This Row],[Etapa Retiro - Salida]]),"")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Row],[Hora de Carga]]+MARÍTIMOS[[#This Row],[Hora de Posicionamiento]]),"")</f>
        <v/>
      </c>
      <c r="Z602" s="11" t="str">
        <f>IFERROR(IF(MARÍTIMOS[[#This Row],[Etapa Despacho -  Llegada]]="","",MARÍTIMOS[[#This Row],[Etapa Despacho -  Llegada]]),"")</f>
        <v/>
      </c>
      <c r="AA602" s="11" t="str">
        <f>IFERROR(IF(MARÍTIMOS[[#This Row],[Etapa Despacho -  Registro]]="","",MARÍTIMOS[[#This Row],[Etapa Despacho - 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 Inicio de Carga]]="","",MARÍTIMOS[[#This Row],[Etapa Despacho -  Inicio de Carga]]),"")</f>
        <v/>
      </c>
      <c r="AD602" s="11" t="str">
        <f>IFERROR(IF(MARÍTIMOS[[#This Row],[Etapa Despacho -  Fin de Carga]]="","",MARÍTIMOS[[#This Row],[Etapa Despacho -  Fin de Carga]]),"")</f>
        <v/>
      </c>
      <c r="AE602" s="11" t="str">
        <f>IFERROR(IF(MARÍTIMOS[[#This Row],[Etapa Despacho -  Salida]]="","",MARÍTIMOS[[#This Row],[Etapa Despacho -  Salida]]),"")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5" t="s">
        <v>181</v>
      </c>
      <c r="BB602" s="53" t="str">
        <f>IFERROR(IF(MARÍTIMOS[[#This Row],[Estatus]]="","",MARÍTIMOS[[#This Row],[Estatus]]),"")</f>
        <v/>
      </c>
      <c r="BC602" s="45"/>
      <c r="BD602" s="52" t="str">
        <f>IFERROR(OLDBD[[#This Row],[Salida de almacén de retiro]]-OLDBD[[#This Row],[Ingreso Almacén de retiro]],"")</f>
        <v/>
      </c>
      <c r="BE602" s="52" t="str">
        <f>IFERROR(OLDBD[[#This Row],[Fin de Carga]]-OLDBD[[#This Row],[Inicio de Carga]],"")</f>
        <v/>
      </c>
    </row>
    <row r="603" spans="1:57" x14ac:dyDescent="0.35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6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Salida]]="","",MARÍTIMOS[[#This Row],[Etapa Retiro - Salida]]),"")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Row],[Hora de Carga]]+MARÍTIMOS[[#This Row],[Hora de Posicionamiento]]),"")</f>
        <v/>
      </c>
      <c r="Z603" s="11" t="str">
        <f>IFERROR(IF(MARÍTIMOS[[#This Row],[Etapa Despacho -  Llegada]]="","",MARÍTIMOS[[#This Row],[Etapa Despacho -  Llegada]]),"")</f>
        <v/>
      </c>
      <c r="AA603" s="11" t="str">
        <f>IFERROR(IF(MARÍTIMOS[[#This Row],[Etapa Despacho -  Registro]]="","",MARÍTIMOS[[#This Row],[Etapa Despacho - 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 Inicio de Carga]]="","",MARÍTIMOS[[#This Row],[Etapa Despacho -  Inicio de Carga]]),"")</f>
        <v/>
      </c>
      <c r="AD603" s="11" t="str">
        <f>IFERROR(IF(MARÍTIMOS[[#This Row],[Etapa Despacho -  Fin de Carga]]="","",MARÍTIMOS[[#This Row],[Etapa Despacho -  Fin de Carga]]),"")</f>
        <v/>
      </c>
      <c r="AE603" s="11" t="str">
        <f>IFERROR(IF(MARÍTIMOS[[#This Row],[Etapa Despacho -  Salida]]="","",MARÍTIMOS[[#This Row],[Etapa Despacho -  Salida]]),"")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5" t="s">
        <v>181</v>
      </c>
      <c r="BB603" s="53" t="str">
        <f>IFERROR(IF(MARÍTIMOS[[#This Row],[Estatus]]="","",MARÍTIMOS[[#This Row],[Estatus]]),"")</f>
        <v/>
      </c>
      <c r="BC603" s="45"/>
      <c r="BD603" s="52" t="str">
        <f>IFERROR(OLDBD[[#This Row],[Salida de almacén de retiro]]-OLDBD[[#This Row],[Ingreso Almacén de retiro]],"")</f>
        <v/>
      </c>
      <c r="BE603" s="52" t="str">
        <f>IFERROR(OLDBD[[#This Row],[Fin de Carga]]-OLDBD[[#This Row],[Inicio de Carga]],"")</f>
        <v/>
      </c>
    </row>
    <row r="604" spans="1:57" x14ac:dyDescent="0.35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6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Salida]]="","",MARÍTIMOS[[#This Row],[Etapa Retiro - Salida]]),"")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Row],[Hora de Carga]]+MARÍTIMOS[[#This Row],[Hora de Posicionamiento]]),"")</f>
        <v/>
      </c>
      <c r="Z604" s="11" t="str">
        <f>IFERROR(IF(MARÍTIMOS[[#This Row],[Etapa Despacho -  Llegada]]="","",MARÍTIMOS[[#This Row],[Etapa Despacho -  Llegada]]),"")</f>
        <v/>
      </c>
      <c r="AA604" s="11" t="str">
        <f>IFERROR(IF(MARÍTIMOS[[#This Row],[Etapa Despacho -  Registro]]="","",MARÍTIMOS[[#This Row],[Etapa Despacho - 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 Inicio de Carga]]="","",MARÍTIMOS[[#This Row],[Etapa Despacho -  Inicio de Carga]]),"")</f>
        <v/>
      </c>
      <c r="AD604" s="11" t="str">
        <f>IFERROR(IF(MARÍTIMOS[[#This Row],[Etapa Despacho -  Fin de Carga]]="","",MARÍTIMOS[[#This Row],[Etapa Despacho -  Fin de Carga]]),"")</f>
        <v/>
      </c>
      <c r="AE604" s="11" t="str">
        <f>IFERROR(IF(MARÍTIMOS[[#This Row],[Etapa Despacho -  Salida]]="","",MARÍTIMOS[[#This Row],[Etapa Despacho -  Salida]]),"")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5" t="s">
        <v>181</v>
      </c>
      <c r="BB604" s="53" t="str">
        <f>IFERROR(IF(MARÍTIMOS[[#This Row],[Estatus]]="","",MARÍTIMOS[[#This Row],[Estatus]]),"")</f>
        <v/>
      </c>
      <c r="BC604" s="45"/>
      <c r="BD604" s="52" t="str">
        <f>IFERROR(OLDBD[[#This Row],[Salida de almacén de retiro]]-OLDBD[[#This Row],[Ingreso Almacén de retiro]],"")</f>
        <v/>
      </c>
      <c r="BE604" s="52" t="str">
        <f>IFERROR(OLDBD[[#This Row],[Fin de Carga]]-OLDBD[[#This Row],[Inicio de Carga]],"")</f>
        <v/>
      </c>
    </row>
    <row r="605" spans="1:57" x14ac:dyDescent="0.35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6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Salida]]="","",MARÍTIMOS[[#This Row],[Etapa Retiro - Salida]]),"")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Row],[Hora de Carga]]+MARÍTIMOS[[#This Row],[Hora de Posicionamiento]]),"")</f>
        <v/>
      </c>
      <c r="Z605" s="11" t="str">
        <f>IFERROR(IF(MARÍTIMOS[[#This Row],[Etapa Despacho -  Llegada]]="","",MARÍTIMOS[[#This Row],[Etapa Despacho -  Llegada]]),"")</f>
        <v/>
      </c>
      <c r="AA605" s="11" t="str">
        <f>IFERROR(IF(MARÍTIMOS[[#This Row],[Etapa Despacho -  Registro]]="","",MARÍTIMOS[[#This Row],[Etapa Despacho - 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 Inicio de Carga]]="","",MARÍTIMOS[[#This Row],[Etapa Despacho -  Inicio de Carga]]),"")</f>
        <v/>
      </c>
      <c r="AD605" s="11" t="str">
        <f>IFERROR(IF(MARÍTIMOS[[#This Row],[Etapa Despacho -  Fin de Carga]]="","",MARÍTIMOS[[#This Row],[Etapa Despacho -  Fin de Carga]]),"")</f>
        <v/>
      </c>
      <c r="AE605" s="11" t="str">
        <f>IFERROR(IF(MARÍTIMOS[[#This Row],[Etapa Despacho -  Salida]]="","",MARÍTIMOS[[#This Row],[Etapa Despacho -  Salida]]),"")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5" t="s">
        <v>181</v>
      </c>
      <c r="BB605" s="53" t="str">
        <f>IFERROR(IF(MARÍTIMOS[[#This Row],[Estatus]]="","",MARÍTIMOS[[#This Row],[Estatus]]),"")</f>
        <v/>
      </c>
      <c r="BC605" s="45"/>
      <c r="BD605" s="52" t="str">
        <f>IFERROR(OLDBD[[#This Row],[Salida de almacén de retiro]]-OLDBD[[#This Row],[Ingreso Almacén de retiro]],"")</f>
        <v/>
      </c>
      <c r="BE605" s="52" t="str">
        <f>IFERROR(OLDBD[[#This Row],[Fin de Carga]]-OLDBD[[#This Row],[Inicio de Carga]],"")</f>
        <v/>
      </c>
    </row>
    <row r="606" spans="1:57" x14ac:dyDescent="0.35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6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Salida]]="","",MARÍTIMOS[[#This Row],[Etapa Retiro - Salida]]),"")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Row],[Hora de Carga]]+MARÍTIMOS[[#This Row],[Hora de Posicionamiento]]),"")</f>
        <v/>
      </c>
      <c r="Z606" s="11" t="str">
        <f>IFERROR(IF(MARÍTIMOS[[#This Row],[Etapa Despacho -  Llegada]]="","",MARÍTIMOS[[#This Row],[Etapa Despacho -  Llegada]]),"")</f>
        <v/>
      </c>
      <c r="AA606" s="11" t="str">
        <f>IFERROR(IF(MARÍTIMOS[[#This Row],[Etapa Despacho -  Registro]]="","",MARÍTIMOS[[#This Row],[Etapa Despacho - 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 Inicio de Carga]]="","",MARÍTIMOS[[#This Row],[Etapa Despacho -  Inicio de Carga]]),"")</f>
        <v/>
      </c>
      <c r="AD606" s="11" t="str">
        <f>IFERROR(IF(MARÍTIMOS[[#This Row],[Etapa Despacho -  Fin de Carga]]="","",MARÍTIMOS[[#This Row],[Etapa Despacho -  Fin de Carga]]),"")</f>
        <v/>
      </c>
      <c r="AE606" s="11" t="str">
        <f>IFERROR(IF(MARÍTIMOS[[#This Row],[Etapa Despacho -  Salida]]="","",MARÍTIMOS[[#This Row],[Etapa Despacho -  Salida]]),"")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5" t="s">
        <v>181</v>
      </c>
      <c r="BB606" s="53" t="str">
        <f>IFERROR(IF(MARÍTIMOS[[#This Row],[Estatus]]="","",MARÍTIMOS[[#This Row],[Estatus]]),"")</f>
        <v/>
      </c>
      <c r="BC606" s="45"/>
      <c r="BD606" s="52" t="str">
        <f>IFERROR(OLDBD[[#This Row],[Salida de almacén de retiro]]-OLDBD[[#This Row],[Ingreso Almacén de retiro]],"")</f>
        <v/>
      </c>
      <c r="BE606" s="52" t="str">
        <f>IFERROR(OLDBD[[#This Row],[Fin de Carga]]-OLDBD[[#This Row],[Inicio de Carga]],"")</f>
        <v/>
      </c>
    </row>
    <row r="607" spans="1:57" x14ac:dyDescent="0.35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6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Salida]]="","",MARÍTIMOS[[#This Row],[Etapa Retiro - Salida]]),"")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Row],[Hora de Carga]]+MARÍTIMOS[[#This Row],[Hora de Posicionamiento]]),"")</f>
        <v/>
      </c>
      <c r="Z607" s="11" t="str">
        <f>IFERROR(IF(MARÍTIMOS[[#This Row],[Etapa Despacho -  Llegada]]="","",MARÍTIMOS[[#This Row],[Etapa Despacho -  Llegada]]),"")</f>
        <v/>
      </c>
      <c r="AA607" s="11" t="str">
        <f>IFERROR(IF(MARÍTIMOS[[#This Row],[Etapa Despacho -  Registro]]="","",MARÍTIMOS[[#This Row],[Etapa Despacho - 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 Inicio de Carga]]="","",MARÍTIMOS[[#This Row],[Etapa Despacho -  Inicio de Carga]]),"")</f>
        <v/>
      </c>
      <c r="AD607" s="11" t="str">
        <f>IFERROR(IF(MARÍTIMOS[[#This Row],[Etapa Despacho -  Fin de Carga]]="","",MARÍTIMOS[[#This Row],[Etapa Despacho -  Fin de Carga]]),"")</f>
        <v/>
      </c>
      <c r="AE607" s="11" t="str">
        <f>IFERROR(IF(MARÍTIMOS[[#This Row],[Etapa Despacho -  Salida]]="","",MARÍTIMOS[[#This Row],[Etapa Despacho -  Salida]]),"")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5" t="s">
        <v>181</v>
      </c>
      <c r="BB607" s="53" t="str">
        <f>IFERROR(IF(MARÍTIMOS[[#This Row],[Estatus]]="","",MARÍTIMOS[[#This Row],[Estatus]]),"")</f>
        <v/>
      </c>
      <c r="BC607" s="45"/>
      <c r="BD607" s="52" t="str">
        <f>IFERROR(OLDBD[[#This Row],[Salida de almacén de retiro]]-OLDBD[[#This Row],[Ingreso Almacén de retiro]],"")</f>
        <v/>
      </c>
      <c r="BE607" s="52" t="str">
        <f>IFERROR(OLDBD[[#This Row],[Fin de Carga]]-OLDBD[[#This Row],[Inicio de Carga]],"")</f>
        <v/>
      </c>
    </row>
    <row r="608" spans="1:57" x14ac:dyDescent="0.35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6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Salida]]="","",MARÍTIMOS[[#This Row],[Etapa Retiro - Salida]]),"")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Row],[Hora de Carga]]+MARÍTIMOS[[#This Row],[Hora de Posicionamiento]]),"")</f>
        <v/>
      </c>
      <c r="Z608" s="11" t="str">
        <f>IFERROR(IF(MARÍTIMOS[[#This Row],[Etapa Despacho -  Llegada]]="","",MARÍTIMOS[[#This Row],[Etapa Despacho -  Llegada]]),"")</f>
        <v/>
      </c>
      <c r="AA608" s="11" t="str">
        <f>IFERROR(IF(MARÍTIMOS[[#This Row],[Etapa Despacho -  Registro]]="","",MARÍTIMOS[[#This Row],[Etapa Despacho - 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 Inicio de Carga]]="","",MARÍTIMOS[[#This Row],[Etapa Despacho -  Inicio de Carga]]),"")</f>
        <v/>
      </c>
      <c r="AD608" s="11" t="str">
        <f>IFERROR(IF(MARÍTIMOS[[#This Row],[Etapa Despacho -  Fin de Carga]]="","",MARÍTIMOS[[#This Row],[Etapa Despacho -  Fin de Carga]]),"")</f>
        <v/>
      </c>
      <c r="AE608" s="11" t="str">
        <f>IFERROR(IF(MARÍTIMOS[[#This Row],[Etapa Despacho -  Salida]]="","",MARÍTIMOS[[#This Row],[Etapa Despacho -  Salida]]),"")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5" t="s">
        <v>181</v>
      </c>
      <c r="BB608" s="53" t="str">
        <f>IFERROR(IF(MARÍTIMOS[[#This Row],[Estatus]]="","",MARÍTIMOS[[#This Row],[Estatus]]),"")</f>
        <v/>
      </c>
      <c r="BC608" s="45"/>
      <c r="BD608" s="52" t="str">
        <f>IFERROR(OLDBD[[#This Row],[Salida de almacén de retiro]]-OLDBD[[#This Row],[Ingreso Almacén de retiro]],"")</f>
        <v/>
      </c>
      <c r="BE608" s="52" t="str">
        <f>IFERROR(OLDBD[[#This Row],[Fin de Carga]]-OLDBD[[#This Row],[Inicio de Carga]],"")</f>
        <v/>
      </c>
    </row>
    <row r="609" spans="1:57" x14ac:dyDescent="0.35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6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Salida]]="","",MARÍTIMOS[[#This Row],[Etapa Retiro - Salida]]),"")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Row],[Hora de Carga]]+MARÍTIMOS[[#This Row],[Hora de Posicionamiento]]),"")</f>
        <v/>
      </c>
      <c r="Z609" s="11" t="str">
        <f>IFERROR(IF(MARÍTIMOS[[#This Row],[Etapa Despacho -  Llegada]]="","",MARÍTIMOS[[#This Row],[Etapa Despacho -  Llegada]]),"")</f>
        <v/>
      </c>
      <c r="AA609" s="11" t="str">
        <f>IFERROR(IF(MARÍTIMOS[[#This Row],[Etapa Despacho -  Registro]]="","",MARÍTIMOS[[#This Row],[Etapa Despacho - 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 Inicio de Carga]]="","",MARÍTIMOS[[#This Row],[Etapa Despacho -  Inicio de Carga]]),"")</f>
        <v/>
      </c>
      <c r="AD609" s="11" t="str">
        <f>IFERROR(IF(MARÍTIMOS[[#This Row],[Etapa Despacho -  Fin de Carga]]="","",MARÍTIMOS[[#This Row],[Etapa Despacho -  Fin de Carga]]),"")</f>
        <v/>
      </c>
      <c r="AE609" s="11" t="str">
        <f>IFERROR(IF(MARÍTIMOS[[#This Row],[Etapa Despacho -  Salida]]="","",MARÍTIMOS[[#This Row],[Etapa Despacho -  Salida]]),"")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5" t="s">
        <v>181</v>
      </c>
      <c r="BB609" s="53" t="str">
        <f>IFERROR(IF(MARÍTIMOS[[#This Row],[Estatus]]="","",MARÍTIMOS[[#This Row],[Estatus]]),"")</f>
        <v/>
      </c>
      <c r="BC609" s="45"/>
      <c r="BD609" s="52" t="str">
        <f>IFERROR(OLDBD[[#This Row],[Salida de almacén de retiro]]-OLDBD[[#This Row],[Ingreso Almacén de retiro]],"")</f>
        <v/>
      </c>
      <c r="BE609" s="52" t="str">
        <f>IFERROR(OLDBD[[#This Row],[Fin de Carga]]-OLDBD[[#This Row],[Inicio de Carga]],"")</f>
        <v/>
      </c>
    </row>
    <row r="610" spans="1:57" x14ac:dyDescent="0.35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6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Salida]]="","",MARÍTIMOS[[#This Row],[Etapa Retiro - Salida]]),"")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Row],[Hora de Carga]]+MARÍTIMOS[[#This Row],[Hora de Posicionamiento]]),"")</f>
        <v/>
      </c>
      <c r="Z610" s="11" t="str">
        <f>IFERROR(IF(MARÍTIMOS[[#This Row],[Etapa Despacho -  Llegada]]="","",MARÍTIMOS[[#This Row],[Etapa Despacho -  Llegada]]),"")</f>
        <v/>
      </c>
      <c r="AA610" s="11" t="str">
        <f>IFERROR(IF(MARÍTIMOS[[#This Row],[Etapa Despacho -  Registro]]="","",MARÍTIMOS[[#This Row],[Etapa Despacho - 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 Inicio de Carga]]="","",MARÍTIMOS[[#This Row],[Etapa Despacho -  Inicio de Carga]]),"")</f>
        <v/>
      </c>
      <c r="AD610" s="11" t="str">
        <f>IFERROR(IF(MARÍTIMOS[[#This Row],[Etapa Despacho -  Fin de Carga]]="","",MARÍTIMOS[[#This Row],[Etapa Despacho -  Fin de Carga]]),"")</f>
        <v/>
      </c>
      <c r="AE610" s="11" t="str">
        <f>IFERROR(IF(MARÍTIMOS[[#This Row],[Etapa Despacho -  Salida]]="","",MARÍTIMOS[[#This Row],[Etapa Despacho -  Salida]]),"")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5" t="s">
        <v>181</v>
      </c>
      <c r="BB610" s="53" t="str">
        <f>IFERROR(IF(MARÍTIMOS[[#This Row],[Estatus]]="","",MARÍTIMOS[[#This Row],[Estatus]]),"")</f>
        <v/>
      </c>
      <c r="BC610" s="45"/>
      <c r="BD610" s="52" t="str">
        <f>IFERROR(OLDBD[[#This Row],[Salida de almacén de retiro]]-OLDBD[[#This Row],[Ingreso Almacén de retiro]],"")</f>
        <v/>
      </c>
      <c r="BE610" s="52" t="str">
        <f>IFERROR(OLDBD[[#This Row],[Fin de Carga]]-OLDBD[[#This Row],[Inicio de Carga]],"")</f>
        <v/>
      </c>
    </row>
    <row r="611" spans="1:57" x14ac:dyDescent="0.35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6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Salida]]="","",MARÍTIMOS[[#This Row],[Etapa Retiro - Salida]]),"")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Row],[Hora de Carga]]+MARÍTIMOS[[#This Row],[Hora de Posicionamiento]]),"")</f>
        <v/>
      </c>
      <c r="Z611" s="11" t="str">
        <f>IFERROR(IF(MARÍTIMOS[[#This Row],[Etapa Despacho -  Llegada]]="","",MARÍTIMOS[[#This Row],[Etapa Despacho -  Llegada]]),"")</f>
        <v/>
      </c>
      <c r="AA611" s="11" t="str">
        <f>IFERROR(IF(MARÍTIMOS[[#This Row],[Etapa Despacho -  Registro]]="","",MARÍTIMOS[[#This Row],[Etapa Despacho - 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 Inicio de Carga]]="","",MARÍTIMOS[[#This Row],[Etapa Despacho -  Inicio de Carga]]),"")</f>
        <v/>
      </c>
      <c r="AD611" s="11" t="str">
        <f>IFERROR(IF(MARÍTIMOS[[#This Row],[Etapa Despacho -  Fin de Carga]]="","",MARÍTIMOS[[#This Row],[Etapa Despacho -  Fin de Carga]]),"")</f>
        <v/>
      </c>
      <c r="AE611" s="11" t="str">
        <f>IFERROR(IF(MARÍTIMOS[[#This Row],[Etapa Despacho -  Salida]]="","",MARÍTIMOS[[#This Row],[Etapa Despacho -  Salida]]),"")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5" t="s">
        <v>181</v>
      </c>
      <c r="BB611" s="53" t="str">
        <f>IFERROR(IF(MARÍTIMOS[[#This Row],[Estatus]]="","",MARÍTIMOS[[#This Row],[Estatus]]),"")</f>
        <v/>
      </c>
      <c r="BC611" s="45"/>
      <c r="BD611" s="52" t="str">
        <f>IFERROR(OLDBD[[#This Row],[Salida de almacén de retiro]]-OLDBD[[#This Row],[Ingreso Almacén de retiro]],"")</f>
        <v/>
      </c>
      <c r="BE611" s="52" t="str">
        <f>IFERROR(OLDBD[[#This Row],[Fin de Carga]]-OLDBD[[#This Row],[Inicio de Carga]],"")</f>
        <v/>
      </c>
    </row>
    <row r="612" spans="1:57" x14ac:dyDescent="0.35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6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Salida]]="","",MARÍTIMOS[[#This Row],[Etapa Retiro - Salida]]),"")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Row],[Hora de Carga]]+MARÍTIMOS[[#This Row],[Hora de Posicionamiento]]),"")</f>
        <v/>
      </c>
      <c r="Z612" s="11" t="str">
        <f>IFERROR(IF(MARÍTIMOS[[#This Row],[Etapa Despacho -  Llegada]]="","",MARÍTIMOS[[#This Row],[Etapa Despacho -  Llegada]]),"")</f>
        <v/>
      </c>
      <c r="AA612" s="11" t="str">
        <f>IFERROR(IF(MARÍTIMOS[[#This Row],[Etapa Despacho -  Registro]]="","",MARÍTIMOS[[#This Row],[Etapa Despacho - 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 Inicio de Carga]]="","",MARÍTIMOS[[#This Row],[Etapa Despacho -  Inicio de Carga]]),"")</f>
        <v/>
      </c>
      <c r="AD612" s="11" t="str">
        <f>IFERROR(IF(MARÍTIMOS[[#This Row],[Etapa Despacho -  Fin de Carga]]="","",MARÍTIMOS[[#This Row],[Etapa Despacho -  Fin de Carga]]),"")</f>
        <v/>
      </c>
      <c r="AE612" s="11" t="str">
        <f>IFERROR(IF(MARÍTIMOS[[#This Row],[Etapa Despacho -  Salida]]="","",MARÍTIMOS[[#This Row],[Etapa Despacho -  Salida]]),"")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5" t="s">
        <v>181</v>
      </c>
      <c r="BB612" s="53" t="str">
        <f>IFERROR(IF(MARÍTIMOS[[#This Row],[Estatus]]="","",MARÍTIMOS[[#This Row],[Estatus]]),"")</f>
        <v/>
      </c>
      <c r="BC612" s="45"/>
      <c r="BD612" s="52" t="str">
        <f>IFERROR(OLDBD[[#This Row],[Salida de almacén de retiro]]-OLDBD[[#This Row],[Ingreso Almacén de retiro]],"")</f>
        <v/>
      </c>
      <c r="BE612" s="52" t="str">
        <f>IFERROR(OLDBD[[#This Row],[Fin de Carga]]-OLDBD[[#This Row],[Inicio de Carga]],"")</f>
        <v/>
      </c>
    </row>
    <row r="613" spans="1:57" x14ac:dyDescent="0.35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6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Salida]]="","",MARÍTIMOS[[#This Row],[Etapa Retiro - Salida]]),"")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Row],[Hora de Carga]]+MARÍTIMOS[[#This Row],[Hora de Posicionamiento]]),"")</f>
        <v/>
      </c>
      <c r="Z613" s="11" t="str">
        <f>IFERROR(IF(MARÍTIMOS[[#This Row],[Etapa Despacho -  Llegada]]="","",MARÍTIMOS[[#This Row],[Etapa Despacho -  Llegada]]),"")</f>
        <v/>
      </c>
      <c r="AA613" s="11" t="str">
        <f>IFERROR(IF(MARÍTIMOS[[#This Row],[Etapa Despacho -  Registro]]="","",MARÍTIMOS[[#This Row],[Etapa Despacho - 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 Inicio de Carga]]="","",MARÍTIMOS[[#This Row],[Etapa Despacho -  Inicio de Carga]]),"")</f>
        <v/>
      </c>
      <c r="AD613" s="11" t="str">
        <f>IFERROR(IF(MARÍTIMOS[[#This Row],[Etapa Despacho -  Fin de Carga]]="","",MARÍTIMOS[[#This Row],[Etapa Despacho -  Fin de Carga]]),"")</f>
        <v/>
      </c>
      <c r="AE613" s="11" t="str">
        <f>IFERROR(IF(MARÍTIMOS[[#This Row],[Etapa Despacho -  Salida]]="","",MARÍTIMOS[[#This Row],[Etapa Despacho -  Salida]]),"")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5" t="s">
        <v>181</v>
      </c>
      <c r="BB613" s="53" t="str">
        <f>IFERROR(IF(MARÍTIMOS[[#This Row],[Estatus]]="","",MARÍTIMOS[[#This Row],[Estatus]]),"")</f>
        <v/>
      </c>
      <c r="BC613" s="45"/>
      <c r="BD613" s="52" t="str">
        <f>IFERROR(OLDBD[[#This Row],[Salida de almacén de retiro]]-OLDBD[[#This Row],[Ingreso Almacén de retiro]],"")</f>
        <v/>
      </c>
      <c r="BE613" s="52" t="str">
        <f>IFERROR(OLDBD[[#This Row],[Fin de Carga]]-OLDBD[[#This Row],[Inicio de Carga]],"")</f>
        <v/>
      </c>
    </row>
    <row r="614" spans="1:57" x14ac:dyDescent="0.35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6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Salida]]="","",MARÍTIMOS[[#This Row],[Etapa Retiro - Salida]]),"")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Row],[Hora de Carga]]+MARÍTIMOS[[#This Row],[Hora de Posicionamiento]]),"")</f>
        <v/>
      </c>
      <c r="Z614" s="11" t="str">
        <f>IFERROR(IF(MARÍTIMOS[[#This Row],[Etapa Despacho -  Llegada]]="","",MARÍTIMOS[[#This Row],[Etapa Despacho -  Llegada]]),"")</f>
        <v/>
      </c>
      <c r="AA614" s="11" t="str">
        <f>IFERROR(IF(MARÍTIMOS[[#This Row],[Etapa Despacho -  Registro]]="","",MARÍTIMOS[[#This Row],[Etapa Despacho - 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 Inicio de Carga]]="","",MARÍTIMOS[[#This Row],[Etapa Despacho -  Inicio de Carga]]),"")</f>
        <v/>
      </c>
      <c r="AD614" s="11" t="str">
        <f>IFERROR(IF(MARÍTIMOS[[#This Row],[Etapa Despacho -  Fin de Carga]]="","",MARÍTIMOS[[#This Row],[Etapa Despacho -  Fin de Carga]]),"")</f>
        <v/>
      </c>
      <c r="AE614" s="11" t="str">
        <f>IFERROR(IF(MARÍTIMOS[[#This Row],[Etapa Despacho -  Salida]]="","",MARÍTIMOS[[#This Row],[Etapa Despacho -  Salida]]),"")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5" t="s">
        <v>181</v>
      </c>
      <c r="BB614" s="53" t="str">
        <f>IFERROR(IF(MARÍTIMOS[[#This Row],[Estatus]]="","",MARÍTIMOS[[#This Row],[Estatus]]),"")</f>
        <v/>
      </c>
      <c r="BC614" s="45"/>
      <c r="BD614" s="52" t="str">
        <f>IFERROR(OLDBD[[#This Row],[Salida de almacén de retiro]]-OLDBD[[#This Row],[Ingreso Almacén de retiro]],"")</f>
        <v/>
      </c>
      <c r="BE614" s="52" t="str">
        <f>IFERROR(OLDBD[[#This Row],[Fin de Carga]]-OLDBD[[#This Row],[Inicio de Carga]],"")</f>
        <v/>
      </c>
    </row>
    <row r="615" spans="1:57" x14ac:dyDescent="0.35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6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Salida]]="","",MARÍTIMOS[[#This Row],[Etapa Retiro - Salida]]),"")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Row],[Hora de Carga]]+MARÍTIMOS[[#This Row],[Hora de Posicionamiento]]),"")</f>
        <v/>
      </c>
      <c r="Z615" s="11" t="str">
        <f>IFERROR(IF(MARÍTIMOS[[#This Row],[Etapa Despacho -  Llegada]]="","",MARÍTIMOS[[#This Row],[Etapa Despacho -  Llegada]]),"")</f>
        <v/>
      </c>
      <c r="AA615" s="11" t="str">
        <f>IFERROR(IF(MARÍTIMOS[[#This Row],[Etapa Despacho -  Registro]]="","",MARÍTIMOS[[#This Row],[Etapa Despacho - 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 Inicio de Carga]]="","",MARÍTIMOS[[#This Row],[Etapa Despacho -  Inicio de Carga]]),"")</f>
        <v/>
      </c>
      <c r="AD615" s="11" t="str">
        <f>IFERROR(IF(MARÍTIMOS[[#This Row],[Etapa Despacho -  Fin de Carga]]="","",MARÍTIMOS[[#This Row],[Etapa Despacho -  Fin de Carga]]),"")</f>
        <v/>
      </c>
      <c r="AE615" s="11" t="str">
        <f>IFERROR(IF(MARÍTIMOS[[#This Row],[Etapa Despacho -  Salida]]="","",MARÍTIMOS[[#This Row],[Etapa Despacho -  Salida]]),"")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5" t="s">
        <v>181</v>
      </c>
      <c r="BB615" s="53" t="str">
        <f>IFERROR(IF(MARÍTIMOS[[#This Row],[Estatus]]="","",MARÍTIMOS[[#This Row],[Estatus]]),"")</f>
        <v/>
      </c>
      <c r="BC615" s="45"/>
      <c r="BD615" s="52" t="str">
        <f>IFERROR(OLDBD[[#This Row],[Salida de almacén de retiro]]-OLDBD[[#This Row],[Ingreso Almacén de retiro]],"")</f>
        <v/>
      </c>
      <c r="BE615" s="52" t="str">
        <f>IFERROR(OLDBD[[#This Row],[Fin de Carga]]-OLDBD[[#This Row],[Inicio de Carga]],"")</f>
        <v/>
      </c>
    </row>
    <row r="616" spans="1:57" x14ac:dyDescent="0.35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6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Salida]]="","",MARÍTIMOS[[#This Row],[Etapa Retiro - Salida]]),"")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Row],[Hora de Carga]]+MARÍTIMOS[[#This Row],[Hora de Posicionamiento]]),"")</f>
        <v/>
      </c>
      <c r="Z616" s="11" t="str">
        <f>IFERROR(IF(MARÍTIMOS[[#This Row],[Etapa Despacho -  Llegada]]="","",MARÍTIMOS[[#This Row],[Etapa Despacho -  Llegada]]),"")</f>
        <v/>
      </c>
      <c r="AA616" s="11" t="str">
        <f>IFERROR(IF(MARÍTIMOS[[#This Row],[Etapa Despacho -  Registro]]="","",MARÍTIMOS[[#This Row],[Etapa Despacho - 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 Inicio de Carga]]="","",MARÍTIMOS[[#This Row],[Etapa Despacho -  Inicio de Carga]]),"")</f>
        <v/>
      </c>
      <c r="AD616" s="11" t="str">
        <f>IFERROR(IF(MARÍTIMOS[[#This Row],[Etapa Despacho -  Fin de Carga]]="","",MARÍTIMOS[[#This Row],[Etapa Despacho -  Fin de Carga]]),"")</f>
        <v/>
      </c>
      <c r="AE616" s="11" t="str">
        <f>IFERROR(IF(MARÍTIMOS[[#This Row],[Etapa Despacho -  Salida]]="","",MARÍTIMOS[[#This Row],[Etapa Despacho -  Salida]]),"")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5" t="s">
        <v>181</v>
      </c>
      <c r="BB616" s="53" t="str">
        <f>IFERROR(IF(MARÍTIMOS[[#This Row],[Estatus]]="","",MARÍTIMOS[[#This Row],[Estatus]]),"")</f>
        <v/>
      </c>
      <c r="BC616" s="45"/>
      <c r="BD616" s="52" t="str">
        <f>IFERROR(OLDBD[[#This Row],[Salida de almacén de retiro]]-OLDBD[[#This Row],[Ingreso Almacén de retiro]],"")</f>
        <v/>
      </c>
      <c r="BE616" s="52" t="str">
        <f>IFERROR(OLDBD[[#This Row],[Fin de Carga]]-OLDBD[[#This Row],[Inicio de Carga]],"")</f>
        <v/>
      </c>
    </row>
    <row r="617" spans="1:57" x14ac:dyDescent="0.35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6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Salida]]="","",MARÍTIMOS[[#This Row],[Etapa Retiro - Salida]]),"")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Row],[Hora de Carga]]+MARÍTIMOS[[#This Row],[Hora de Posicionamiento]]),"")</f>
        <v/>
      </c>
      <c r="Z617" s="11" t="str">
        <f>IFERROR(IF(MARÍTIMOS[[#This Row],[Etapa Despacho -  Llegada]]="","",MARÍTIMOS[[#This Row],[Etapa Despacho -  Llegada]]),"")</f>
        <v/>
      </c>
      <c r="AA617" s="11" t="str">
        <f>IFERROR(IF(MARÍTIMOS[[#This Row],[Etapa Despacho -  Registro]]="","",MARÍTIMOS[[#This Row],[Etapa Despacho - 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 Inicio de Carga]]="","",MARÍTIMOS[[#This Row],[Etapa Despacho -  Inicio de Carga]]),"")</f>
        <v/>
      </c>
      <c r="AD617" s="11" t="str">
        <f>IFERROR(IF(MARÍTIMOS[[#This Row],[Etapa Despacho -  Fin de Carga]]="","",MARÍTIMOS[[#This Row],[Etapa Despacho -  Fin de Carga]]),"")</f>
        <v/>
      </c>
      <c r="AE617" s="11" t="str">
        <f>IFERROR(IF(MARÍTIMOS[[#This Row],[Etapa Despacho -  Salida]]="","",MARÍTIMOS[[#This Row],[Etapa Despacho -  Salida]]),"")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5" t="s">
        <v>181</v>
      </c>
      <c r="BB617" s="53" t="str">
        <f>IFERROR(IF(MARÍTIMOS[[#This Row],[Estatus]]="","",MARÍTIMOS[[#This Row],[Estatus]]),"")</f>
        <v/>
      </c>
      <c r="BC617" s="45"/>
      <c r="BD617" s="52" t="str">
        <f>IFERROR(OLDBD[[#This Row],[Salida de almacén de retiro]]-OLDBD[[#This Row],[Ingreso Almacén de retiro]],"")</f>
        <v/>
      </c>
      <c r="BE617" s="52" t="str">
        <f>IFERROR(OLDBD[[#This Row],[Fin de Carga]]-OLDBD[[#This Row],[Inicio de Carga]],"")</f>
        <v/>
      </c>
    </row>
    <row r="618" spans="1:57" x14ac:dyDescent="0.35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6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Salida]]="","",MARÍTIMOS[[#This Row],[Etapa Retiro - Salida]]),"")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Row],[Hora de Carga]]+MARÍTIMOS[[#This Row],[Hora de Posicionamiento]]),"")</f>
        <v/>
      </c>
      <c r="Z618" s="11" t="str">
        <f>IFERROR(IF(MARÍTIMOS[[#This Row],[Etapa Despacho -  Llegada]]="","",MARÍTIMOS[[#This Row],[Etapa Despacho -  Llegada]]),"")</f>
        <v/>
      </c>
      <c r="AA618" s="11" t="str">
        <f>IFERROR(IF(MARÍTIMOS[[#This Row],[Etapa Despacho -  Registro]]="","",MARÍTIMOS[[#This Row],[Etapa Despacho - 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 Inicio de Carga]]="","",MARÍTIMOS[[#This Row],[Etapa Despacho -  Inicio de Carga]]),"")</f>
        <v/>
      </c>
      <c r="AD618" s="11" t="str">
        <f>IFERROR(IF(MARÍTIMOS[[#This Row],[Etapa Despacho -  Fin de Carga]]="","",MARÍTIMOS[[#This Row],[Etapa Despacho -  Fin de Carga]]),"")</f>
        <v/>
      </c>
      <c r="AE618" s="11" t="str">
        <f>IFERROR(IF(MARÍTIMOS[[#This Row],[Etapa Despacho -  Salida]]="","",MARÍTIMOS[[#This Row],[Etapa Despacho -  Salida]]),"")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5" t="s">
        <v>181</v>
      </c>
      <c r="BB618" s="53" t="str">
        <f>IFERROR(IF(MARÍTIMOS[[#This Row],[Estatus]]="","",MARÍTIMOS[[#This Row],[Estatus]]),"")</f>
        <v/>
      </c>
      <c r="BC618" s="45"/>
      <c r="BD618" s="52" t="str">
        <f>IFERROR(OLDBD[[#This Row],[Salida de almacén de retiro]]-OLDBD[[#This Row],[Ingreso Almacén de retiro]],"")</f>
        <v/>
      </c>
      <c r="BE618" s="52" t="str">
        <f>IFERROR(OLDBD[[#This Row],[Fin de Carga]]-OLDBD[[#This Row],[Inicio de Carga]],"")</f>
        <v/>
      </c>
    </row>
    <row r="619" spans="1:57" x14ac:dyDescent="0.35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6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Salida]]="","",MARÍTIMOS[[#This Row],[Etapa Retiro - Salida]]),"")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Row],[Hora de Carga]]+MARÍTIMOS[[#This Row],[Hora de Posicionamiento]]),"")</f>
        <v/>
      </c>
      <c r="Z619" s="11" t="str">
        <f>IFERROR(IF(MARÍTIMOS[[#This Row],[Etapa Despacho -  Llegada]]="","",MARÍTIMOS[[#This Row],[Etapa Despacho -  Llegada]]),"")</f>
        <v/>
      </c>
      <c r="AA619" s="11" t="str">
        <f>IFERROR(IF(MARÍTIMOS[[#This Row],[Etapa Despacho -  Registro]]="","",MARÍTIMOS[[#This Row],[Etapa Despacho - 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 Inicio de Carga]]="","",MARÍTIMOS[[#This Row],[Etapa Despacho -  Inicio de Carga]]),"")</f>
        <v/>
      </c>
      <c r="AD619" s="11" t="str">
        <f>IFERROR(IF(MARÍTIMOS[[#This Row],[Etapa Despacho -  Fin de Carga]]="","",MARÍTIMOS[[#This Row],[Etapa Despacho -  Fin de Carga]]),"")</f>
        <v/>
      </c>
      <c r="AE619" s="11" t="str">
        <f>IFERROR(IF(MARÍTIMOS[[#This Row],[Etapa Despacho -  Salida]]="","",MARÍTIMOS[[#This Row],[Etapa Despacho -  Salida]]),"")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5" t="s">
        <v>181</v>
      </c>
      <c r="BB619" s="53" t="str">
        <f>IFERROR(IF(MARÍTIMOS[[#This Row],[Estatus]]="","",MARÍTIMOS[[#This Row],[Estatus]]),"")</f>
        <v/>
      </c>
      <c r="BC619" s="45"/>
      <c r="BD619" s="52" t="str">
        <f>IFERROR(OLDBD[[#This Row],[Salida de almacén de retiro]]-OLDBD[[#This Row],[Ingreso Almacén de retiro]],"")</f>
        <v/>
      </c>
      <c r="BE619" s="52" t="str">
        <f>IFERROR(OLDBD[[#This Row],[Fin de Carga]]-OLDBD[[#This Row],[Inicio de Carga]],"")</f>
        <v/>
      </c>
    </row>
    <row r="620" spans="1:57" x14ac:dyDescent="0.35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6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Salida]]="","",MARÍTIMOS[[#This Row],[Etapa Retiro - Salida]]),"")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Row],[Hora de Carga]]+MARÍTIMOS[[#This Row],[Hora de Posicionamiento]]),"")</f>
        <v/>
      </c>
      <c r="Z620" s="11" t="str">
        <f>IFERROR(IF(MARÍTIMOS[[#This Row],[Etapa Despacho -  Llegada]]="","",MARÍTIMOS[[#This Row],[Etapa Despacho -  Llegada]]),"")</f>
        <v/>
      </c>
      <c r="AA620" s="11" t="str">
        <f>IFERROR(IF(MARÍTIMOS[[#This Row],[Etapa Despacho -  Registro]]="","",MARÍTIMOS[[#This Row],[Etapa Despacho - 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 Inicio de Carga]]="","",MARÍTIMOS[[#This Row],[Etapa Despacho -  Inicio de Carga]]),"")</f>
        <v/>
      </c>
      <c r="AD620" s="11" t="str">
        <f>IFERROR(IF(MARÍTIMOS[[#This Row],[Etapa Despacho -  Fin de Carga]]="","",MARÍTIMOS[[#This Row],[Etapa Despacho -  Fin de Carga]]),"")</f>
        <v/>
      </c>
      <c r="AE620" s="11" t="str">
        <f>IFERROR(IF(MARÍTIMOS[[#This Row],[Etapa Despacho -  Salida]]="","",MARÍTIMOS[[#This Row],[Etapa Despacho -  Salida]]),"")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5" t="s">
        <v>181</v>
      </c>
      <c r="BB620" s="53" t="str">
        <f>IFERROR(IF(MARÍTIMOS[[#This Row],[Estatus]]="","",MARÍTIMOS[[#This Row],[Estatus]]),"")</f>
        <v/>
      </c>
      <c r="BC620" s="45"/>
      <c r="BD620" s="52" t="str">
        <f>IFERROR(OLDBD[[#This Row],[Salida de almacén de retiro]]-OLDBD[[#This Row],[Ingreso Almacén de retiro]],"")</f>
        <v/>
      </c>
      <c r="BE620" s="52" t="str">
        <f>IFERROR(OLDBD[[#This Row],[Fin de Carga]]-OLDBD[[#This Row],[Inicio de Carga]],"")</f>
        <v/>
      </c>
    </row>
    <row r="621" spans="1:57" x14ac:dyDescent="0.35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6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Salida]]="","",MARÍTIMOS[[#This Row],[Etapa Retiro - Salida]]),"")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Row],[Hora de Carga]]+MARÍTIMOS[[#This Row],[Hora de Posicionamiento]]),"")</f>
        <v/>
      </c>
      <c r="Z621" s="11" t="str">
        <f>IFERROR(IF(MARÍTIMOS[[#This Row],[Etapa Despacho -  Llegada]]="","",MARÍTIMOS[[#This Row],[Etapa Despacho -  Llegada]]),"")</f>
        <v/>
      </c>
      <c r="AA621" s="11" t="str">
        <f>IFERROR(IF(MARÍTIMOS[[#This Row],[Etapa Despacho -  Registro]]="","",MARÍTIMOS[[#This Row],[Etapa Despacho - 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 Inicio de Carga]]="","",MARÍTIMOS[[#This Row],[Etapa Despacho -  Inicio de Carga]]),"")</f>
        <v/>
      </c>
      <c r="AD621" s="11" t="str">
        <f>IFERROR(IF(MARÍTIMOS[[#This Row],[Etapa Despacho -  Fin de Carga]]="","",MARÍTIMOS[[#This Row],[Etapa Despacho -  Fin de Carga]]),"")</f>
        <v/>
      </c>
      <c r="AE621" s="11" t="str">
        <f>IFERROR(IF(MARÍTIMOS[[#This Row],[Etapa Despacho -  Salida]]="","",MARÍTIMOS[[#This Row],[Etapa Despacho -  Salida]]),"")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5" t="s">
        <v>181</v>
      </c>
      <c r="BB621" s="53" t="str">
        <f>IFERROR(IF(MARÍTIMOS[[#This Row],[Estatus]]="","",MARÍTIMOS[[#This Row],[Estatus]]),"")</f>
        <v/>
      </c>
      <c r="BC621" s="45"/>
      <c r="BD621" s="52" t="str">
        <f>IFERROR(OLDBD[[#This Row],[Salida de almacén de retiro]]-OLDBD[[#This Row],[Ingreso Almacén de retiro]],"")</f>
        <v/>
      </c>
      <c r="BE621" s="52" t="str">
        <f>IFERROR(OLDBD[[#This Row],[Fin de Carga]]-OLDBD[[#This Row],[Inicio de Carga]],"")</f>
        <v/>
      </c>
    </row>
    <row r="622" spans="1:57" x14ac:dyDescent="0.35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6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Salida]]="","",MARÍTIMOS[[#This Row],[Etapa Retiro - Salida]]),"")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Row],[Hora de Carga]]+MARÍTIMOS[[#This Row],[Hora de Posicionamiento]]),"")</f>
        <v/>
      </c>
      <c r="Z622" s="11" t="str">
        <f>IFERROR(IF(MARÍTIMOS[[#This Row],[Etapa Despacho -  Llegada]]="","",MARÍTIMOS[[#This Row],[Etapa Despacho -  Llegada]]),"")</f>
        <v/>
      </c>
      <c r="AA622" s="11" t="str">
        <f>IFERROR(IF(MARÍTIMOS[[#This Row],[Etapa Despacho -  Registro]]="","",MARÍTIMOS[[#This Row],[Etapa Despacho - 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 Inicio de Carga]]="","",MARÍTIMOS[[#This Row],[Etapa Despacho -  Inicio de Carga]]),"")</f>
        <v/>
      </c>
      <c r="AD622" s="11" t="str">
        <f>IFERROR(IF(MARÍTIMOS[[#This Row],[Etapa Despacho -  Fin de Carga]]="","",MARÍTIMOS[[#This Row],[Etapa Despacho -  Fin de Carga]]),"")</f>
        <v/>
      </c>
      <c r="AE622" s="11" t="str">
        <f>IFERROR(IF(MARÍTIMOS[[#This Row],[Etapa Despacho -  Salida]]="","",MARÍTIMOS[[#This Row],[Etapa Despacho -  Salida]]),"")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5" t="s">
        <v>181</v>
      </c>
      <c r="BB622" s="53" t="str">
        <f>IFERROR(IF(MARÍTIMOS[[#This Row],[Estatus]]="","",MARÍTIMOS[[#This Row],[Estatus]]),"")</f>
        <v/>
      </c>
      <c r="BC622" s="45"/>
      <c r="BD622" s="52" t="str">
        <f>IFERROR(OLDBD[[#This Row],[Salida de almacén de retiro]]-OLDBD[[#This Row],[Ingreso Almacén de retiro]],"")</f>
        <v/>
      </c>
      <c r="BE622" s="52" t="str">
        <f>IFERROR(OLDBD[[#This Row],[Fin de Carga]]-OLDBD[[#This Row],[Inicio de Carga]],"")</f>
        <v/>
      </c>
    </row>
    <row r="623" spans="1:57" x14ac:dyDescent="0.35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6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Salida]]="","",MARÍTIMOS[[#This Row],[Etapa Retiro - Salida]]),"")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Row],[Hora de Carga]]+MARÍTIMOS[[#This Row],[Hora de Posicionamiento]]),"")</f>
        <v/>
      </c>
      <c r="Z623" s="11" t="str">
        <f>IFERROR(IF(MARÍTIMOS[[#This Row],[Etapa Despacho -  Llegada]]="","",MARÍTIMOS[[#This Row],[Etapa Despacho -  Llegada]]),"")</f>
        <v/>
      </c>
      <c r="AA623" s="11" t="str">
        <f>IFERROR(IF(MARÍTIMOS[[#This Row],[Etapa Despacho -  Registro]]="","",MARÍTIMOS[[#This Row],[Etapa Despacho - 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 Inicio de Carga]]="","",MARÍTIMOS[[#This Row],[Etapa Despacho -  Inicio de Carga]]),"")</f>
        <v/>
      </c>
      <c r="AD623" s="11" t="str">
        <f>IFERROR(IF(MARÍTIMOS[[#This Row],[Etapa Despacho -  Fin de Carga]]="","",MARÍTIMOS[[#This Row],[Etapa Despacho -  Fin de Carga]]),"")</f>
        <v/>
      </c>
      <c r="AE623" s="11" t="str">
        <f>IFERROR(IF(MARÍTIMOS[[#This Row],[Etapa Despacho -  Salida]]="","",MARÍTIMOS[[#This Row],[Etapa Despacho -  Salida]]),"")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5" t="s">
        <v>181</v>
      </c>
      <c r="BB623" s="53" t="str">
        <f>IFERROR(IF(MARÍTIMOS[[#This Row],[Estatus]]="","",MARÍTIMOS[[#This Row],[Estatus]]),"")</f>
        <v/>
      </c>
      <c r="BC623" s="45"/>
      <c r="BD623" s="52" t="str">
        <f>IFERROR(OLDBD[[#This Row],[Salida de almacén de retiro]]-OLDBD[[#This Row],[Ingreso Almacén de retiro]],"")</f>
        <v/>
      </c>
      <c r="BE623" s="52" t="str">
        <f>IFERROR(OLDBD[[#This Row],[Fin de Carga]]-OLDBD[[#This Row],[Inicio de Carga]],"")</f>
        <v/>
      </c>
    </row>
    <row r="624" spans="1:57" x14ac:dyDescent="0.35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6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Salida]]="","",MARÍTIMOS[[#This Row],[Etapa Retiro - Salida]]),"")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Row],[Hora de Carga]]+MARÍTIMOS[[#This Row],[Hora de Posicionamiento]]),"")</f>
        <v/>
      </c>
      <c r="Z624" s="11" t="str">
        <f>IFERROR(IF(MARÍTIMOS[[#This Row],[Etapa Despacho -  Llegada]]="","",MARÍTIMOS[[#This Row],[Etapa Despacho -  Llegada]]),"")</f>
        <v/>
      </c>
      <c r="AA624" s="11" t="str">
        <f>IFERROR(IF(MARÍTIMOS[[#This Row],[Etapa Despacho -  Registro]]="","",MARÍTIMOS[[#This Row],[Etapa Despacho - 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 Inicio de Carga]]="","",MARÍTIMOS[[#This Row],[Etapa Despacho -  Inicio de Carga]]),"")</f>
        <v/>
      </c>
      <c r="AD624" s="11" t="str">
        <f>IFERROR(IF(MARÍTIMOS[[#This Row],[Etapa Despacho -  Fin de Carga]]="","",MARÍTIMOS[[#This Row],[Etapa Despacho -  Fin de Carga]]),"")</f>
        <v/>
      </c>
      <c r="AE624" s="11" t="str">
        <f>IFERROR(IF(MARÍTIMOS[[#This Row],[Etapa Despacho -  Salida]]="","",MARÍTIMOS[[#This Row],[Etapa Despacho -  Salida]]),"")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5" t="s">
        <v>181</v>
      </c>
      <c r="BB624" s="53" t="str">
        <f>IFERROR(IF(MARÍTIMOS[[#This Row],[Estatus]]="","",MARÍTIMOS[[#This Row],[Estatus]]),"")</f>
        <v/>
      </c>
      <c r="BC624" s="45"/>
      <c r="BD624" s="52" t="str">
        <f>IFERROR(OLDBD[[#This Row],[Salida de almacén de retiro]]-OLDBD[[#This Row],[Ingreso Almacén de retiro]],"")</f>
        <v/>
      </c>
      <c r="BE624" s="52" t="str">
        <f>IFERROR(OLDBD[[#This Row],[Fin de Carga]]-OLDBD[[#This Row],[Inicio de Carga]],"")</f>
        <v/>
      </c>
    </row>
    <row r="625" spans="1:57" x14ac:dyDescent="0.35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6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Salida]]="","",MARÍTIMOS[[#This Row],[Etapa Retiro - Salida]]),"")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Row],[Hora de Carga]]+MARÍTIMOS[[#This Row],[Hora de Posicionamiento]]),"")</f>
        <v/>
      </c>
      <c r="Z625" s="11" t="str">
        <f>IFERROR(IF(MARÍTIMOS[[#This Row],[Etapa Despacho -  Llegada]]="","",MARÍTIMOS[[#This Row],[Etapa Despacho -  Llegada]]),"")</f>
        <v/>
      </c>
      <c r="AA625" s="11" t="str">
        <f>IFERROR(IF(MARÍTIMOS[[#This Row],[Etapa Despacho -  Registro]]="","",MARÍTIMOS[[#This Row],[Etapa Despacho - 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 Inicio de Carga]]="","",MARÍTIMOS[[#This Row],[Etapa Despacho -  Inicio de Carga]]),"")</f>
        <v/>
      </c>
      <c r="AD625" s="11" t="str">
        <f>IFERROR(IF(MARÍTIMOS[[#This Row],[Etapa Despacho -  Fin de Carga]]="","",MARÍTIMOS[[#This Row],[Etapa Despacho -  Fin de Carga]]),"")</f>
        <v/>
      </c>
      <c r="AE625" s="11" t="str">
        <f>IFERROR(IF(MARÍTIMOS[[#This Row],[Etapa Despacho -  Salida]]="","",MARÍTIMOS[[#This Row],[Etapa Despacho -  Salida]]),"")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5" t="s">
        <v>181</v>
      </c>
      <c r="BB625" s="53" t="str">
        <f>IFERROR(IF(MARÍTIMOS[[#This Row],[Estatus]]="","",MARÍTIMOS[[#This Row],[Estatus]]),"")</f>
        <v/>
      </c>
      <c r="BC625" s="45"/>
      <c r="BD625" s="52" t="str">
        <f>IFERROR(OLDBD[[#This Row],[Salida de almacén de retiro]]-OLDBD[[#This Row],[Ingreso Almacén de retiro]],"")</f>
        <v/>
      </c>
      <c r="BE625" s="52" t="str">
        <f>IFERROR(OLDBD[[#This Row],[Fin de Carga]]-OLDBD[[#This Row],[Inicio de Carga]],"")</f>
        <v/>
      </c>
    </row>
    <row r="626" spans="1:57" x14ac:dyDescent="0.35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6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Salida]]="","",MARÍTIMOS[[#This Row],[Etapa Retiro - Salida]]),"")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Row],[Hora de Carga]]+MARÍTIMOS[[#This Row],[Hora de Posicionamiento]]),"")</f>
        <v/>
      </c>
      <c r="Z626" s="11" t="str">
        <f>IFERROR(IF(MARÍTIMOS[[#This Row],[Etapa Despacho -  Llegada]]="","",MARÍTIMOS[[#This Row],[Etapa Despacho -  Llegada]]),"")</f>
        <v/>
      </c>
      <c r="AA626" s="11" t="str">
        <f>IFERROR(IF(MARÍTIMOS[[#This Row],[Etapa Despacho -  Registro]]="","",MARÍTIMOS[[#This Row],[Etapa Despacho - 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 Inicio de Carga]]="","",MARÍTIMOS[[#This Row],[Etapa Despacho -  Inicio de Carga]]),"")</f>
        <v/>
      </c>
      <c r="AD626" s="11" t="str">
        <f>IFERROR(IF(MARÍTIMOS[[#This Row],[Etapa Despacho -  Fin de Carga]]="","",MARÍTIMOS[[#This Row],[Etapa Despacho -  Fin de Carga]]),"")</f>
        <v/>
      </c>
      <c r="AE626" s="11" t="str">
        <f>IFERROR(IF(MARÍTIMOS[[#This Row],[Etapa Despacho -  Salida]]="","",MARÍTIMOS[[#This Row],[Etapa Despacho -  Salida]]),"")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5" t="s">
        <v>181</v>
      </c>
      <c r="BB626" s="53" t="str">
        <f>IFERROR(IF(MARÍTIMOS[[#This Row],[Estatus]]="","",MARÍTIMOS[[#This Row],[Estatus]]),"")</f>
        <v/>
      </c>
      <c r="BC626" s="45"/>
      <c r="BD626" s="52" t="str">
        <f>IFERROR(OLDBD[[#This Row],[Salida de almacén de retiro]]-OLDBD[[#This Row],[Ingreso Almacén de retiro]],"")</f>
        <v/>
      </c>
      <c r="BE626" s="52" t="str">
        <f>IFERROR(OLDBD[[#This Row],[Fin de Carga]]-OLDBD[[#This Row],[Inicio de Carga]],"")</f>
        <v/>
      </c>
    </row>
    <row r="627" spans="1:57" x14ac:dyDescent="0.35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6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Salida]]="","",MARÍTIMOS[[#This Row],[Etapa Retiro - Salida]]),"")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Row],[Hora de Carga]]+MARÍTIMOS[[#This Row],[Hora de Posicionamiento]]),"")</f>
        <v/>
      </c>
      <c r="Z627" s="11" t="str">
        <f>IFERROR(IF(MARÍTIMOS[[#This Row],[Etapa Despacho -  Llegada]]="","",MARÍTIMOS[[#This Row],[Etapa Despacho -  Llegada]]),"")</f>
        <v/>
      </c>
      <c r="AA627" s="11" t="str">
        <f>IFERROR(IF(MARÍTIMOS[[#This Row],[Etapa Despacho -  Registro]]="","",MARÍTIMOS[[#This Row],[Etapa Despacho - 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 Inicio de Carga]]="","",MARÍTIMOS[[#This Row],[Etapa Despacho -  Inicio de Carga]]),"")</f>
        <v/>
      </c>
      <c r="AD627" s="11" t="str">
        <f>IFERROR(IF(MARÍTIMOS[[#This Row],[Etapa Despacho -  Fin de Carga]]="","",MARÍTIMOS[[#This Row],[Etapa Despacho -  Fin de Carga]]),"")</f>
        <v/>
      </c>
      <c r="AE627" s="11" t="str">
        <f>IFERROR(IF(MARÍTIMOS[[#This Row],[Etapa Despacho -  Salida]]="","",MARÍTIMOS[[#This Row],[Etapa Despacho -  Salida]]),"")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5" t="s">
        <v>181</v>
      </c>
      <c r="BB627" s="53" t="str">
        <f>IFERROR(IF(MARÍTIMOS[[#This Row],[Estatus]]="","",MARÍTIMOS[[#This Row],[Estatus]]),"")</f>
        <v/>
      </c>
      <c r="BC627" s="45"/>
      <c r="BD627" s="52" t="str">
        <f>IFERROR(OLDBD[[#This Row],[Salida de almacén de retiro]]-OLDBD[[#This Row],[Ingreso Almacén de retiro]],"")</f>
        <v/>
      </c>
      <c r="BE627" s="52" t="str">
        <f>IFERROR(OLDBD[[#This Row],[Fin de Carga]]-OLDBD[[#This Row],[Inicio de Carga]],"")</f>
        <v/>
      </c>
    </row>
    <row r="628" spans="1:57" x14ac:dyDescent="0.35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6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Salida]]="","",MARÍTIMOS[[#This Row],[Etapa Retiro - Salida]]),"")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Row],[Hora de Carga]]+MARÍTIMOS[[#This Row],[Hora de Posicionamiento]]),"")</f>
        <v/>
      </c>
      <c r="Z628" s="11" t="str">
        <f>IFERROR(IF(MARÍTIMOS[[#This Row],[Etapa Despacho -  Llegada]]="","",MARÍTIMOS[[#This Row],[Etapa Despacho -  Llegada]]),"")</f>
        <v/>
      </c>
      <c r="AA628" s="11" t="str">
        <f>IFERROR(IF(MARÍTIMOS[[#This Row],[Etapa Despacho -  Registro]]="","",MARÍTIMOS[[#This Row],[Etapa Despacho - 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 Inicio de Carga]]="","",MARÍTIMOS[[#This Row],[Etapa Despacho -  Inicio de Carga]]),"")</f>
        <v/>
      </c>
      <c r="AD628" s="11" t="str">
        <f>IFERROR(IF(MARÍTIMOS[[#This Row],[Etapa Despacho -  Fin de Carga]]="","",MARÍTIMOS[[#This Row],[Etapa Despacho -  Fin de Carga]]),"")</f>
        <v/>
      </c>
      <c r="AE628" s="11" t="str">
        <f>IFERROR(IF(MARÍTIMOS[[#This Row],[Etapa Despacho -  Salida]]="","",MARÍTIMOS[[#This Row],[Etapa Despacho -  Salida]]),"")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5" t="s">
        <v>181</v>
      </c>
      <c r="BB628" s="53" t="str">
        <f>IFERROR(IF(MARÍTIMOS[[#This Row],[Estatus]]="","",MARÍTIMOS[[#This Row],[Estatus]]),"")</f>
        <v/>
      </c>
      <c r="BC628" s="45"/>
      <c r="BD628" s="52" t="str">
        <f>IFERROR(OLDBD[[#This Row],[Salida de almacén de retiro]]-OLDBD[[#This Row],[Ingreso Almacén de retiro]],"")</f>
        <v/>
      </c>
      <c r="BE628" s="52" t="str">
        <f>IFERROR(OLDBD[[#This Row],[Fin de Carga]]-OLDBD[[#This Row],[Inicio de Carga]],"")</f>
        <v/>
      </c>
    </row>
    <row r="629" spans="1:57" x14ac:dyDescent="0.35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6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Salida]]="","",MARÍTIMOS[[#This Row],[Etapa Retiro - Salida]]),"")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Row],[Hora de Carga]]+MARÍTIMOS[[#This Row],[Hora de Posicionamiento]]),"")</f>
        <v/>
      </c>
      <c r="Z629" s="11" t="str">
        <f>IFERROR(IF(MARÍTIMOS[[#This Row],[Etapa Despacho -  Llegada]]="","",MARÍTIMOS[[#This Row],[Etapa Despacho -  Llegada]]),"")</f>
        <v/>
      </c>
      <c r="AA629" s="11" t="str">
        <f>IFERROR(IF(MARÍTIMOS[[#This Row],[Etapa Despacho -  Registro]]="","",MARÍTIMOS[[#This Row],[Etapa Despacho - 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 Inicio de Carga]]="","",MARÍTIMOS[[#This Row],[Etapa Despacho -  Inicio de Carga]]),"")</f>
        <v/>
      </c>
      <c r="AD629" s="11" t="str">
        <f>IFERROR(IF(MARÍTIMOS[[#This Row],[Etapa Despacho -  Fin de Carga]]="","",MARÍTIMOS[[#This Row],[Etapa Despacho -  Fin de Carga]]),"")</f>
        <v/>
      </c>
      <c r="AE629" s="11" t="str">
        <f>IFERROR(IF(MARÍTIMOS[[#This Row],[Etapa Despacho -  Salida]]="","",MARÍTIMOS[[#This Row],[Etapa Despacho -  Salida]]),"")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5" t="s">
        <v>181</v>
      </c>
      <c r="BB629" s="53" t="str">
        <f>IFERROR(IF(MARÍTIMOS[[#This Row],[Estatus]]="","",MARÍTIMOS[[#This Row],[Estatus]]),"")</f>
        <v/>
      </c>
      <c r="BC629" s="45"/>
      <c r="BD629" s="52" t="str">
        <f>IFERROR(OLDBD[[#This Row],[Salida de almacén de retiro]]-OLDBD[[#This Row],[Ingreso Almacén de retiro]],"")</f>
        <v/>
      </c>
      <c r="BE629" s="52" t="str">
        <f>IFERROR(OLDBD[[#This Row],[Fin de Carga]]-OLDBD[[#This Row],[Inicio de Carga]],"")</f>
        <v/>
      </c>
    </row>
    <row r="630" spans="1:57" x14ac:dyDescent="0.35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6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Salida]]="","",MARÍTIMOS[[#This Row],[Etapa Retiro - Salida]]),"")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Row],[Hora de Carga]]+MARÍTIMOS[[#This Row],[Hora de Posicionamiento]]),"")</f>
        <v/>
      </c>
      <c r="Z630" s="11" t="str">
        <f>IFERROR(IF(MARÍTIMOS[[#This Row],[Etapa Despacho -  Llegada]]="","",MARÍTIMOS[[#This Row],[Etapa Despacho -  Llegada]]),"")</f>
        <v/>
      </c>
      <c r="AA630" s="11" t="str">
        <f>IFERROR(IF(MARÍTIMOS[[#This Row],[Etapa Despacho -  Registro]]="","",MARÍTIMOS[[#This Row],[Etapa Despacho - 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 Inicio de Carga]]="","",MARÍTIMOS[[#This Row],[Etapa Despacho -  Inicio de Carga]]),"")</f>
        <v/>
      </c>
      <c r="AD630" s="11" t="str">
        <f>IFERROR(IF(MARÍTIMOS[[#This Row],[Etapa Despacho -  Fin de Carga]]="","",MARÍTIMOS[[#This Row],[Etapa Despacho -  Fin de Carga]]),"")</f>
        <v/>
      </c>
      <c r="AE630" s="11" t="str">
        <f>IFERROR(IF(MARÍTIMOS[[#This Row],[Etapa Despacho -  Salida]]="","",MARÍTIMOS[[#This Row],[Etapa Despacho -  Salida]]),"")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5" t="s">
        <v>181</v>
      </c>
      <c r="BB630" s="53" t="str">
        <f>IFERROR(IF(MARÍTIMOS[[#This Row],[Estatus]]="","",MARÍTIMOS[[#This Row],[Estatus]]),"")</f>
        <v/>
      </c>
      <c r="BC630" s="45"/>
      <c r="BD630" s="52" t="str">
        <f>IFERROR(OLDBD[[#This Row],[Salida de almacén de retiro]]-OLDBD[[#This Row],[Ingreso Almacén de retiro]],"")</f>
        <v/>
      </c>
      <c r="BE630" s="52" t="str">
        <f>IFERROR(OLDBD[[#This Row],[Fin de Carga]]-OLDBD[[#This Row],[Inicio de Carga]],"")</f>
        <v/>
      </c>
    </row>
    <row r="631" spans="1:57" x14ac:dyDescent="0.35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6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Salida]]="","",MARÍTIMOS[[#This Row],[Etapa Retiro - Salida]]),"")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Row],[Hora de Carga]]+MARÍTIMOS[[#This Row],[Hora de Posicionamiento]]),"")</f>
        <v/>
      </c>
      <c r="Z631" s="11" t="str">
        <f>IFERROR(IF(MARÍTIMOS[[#This Row],[Etapa Despacho -  Llegada]]="","",MARÍTIMOS[[#This Row],[Etapa Despacho -  Llegada]]),"")</f>
        <v/>
      </c>
      <c r="AA631" s="11" t="str">
        <f>IFERROR(IF(MARÍTIMOS[[#This Row],[Etapa Despacho -  Registro]]="","",MARÍTIMOS[[#This Row],[Etapa Despacho - 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 Inicio de Carga]]="","",MARÍTIMOS[[#This Row],[Etapa Despacho -  Inicio de Carga]]),"")</f>
        <v/>
      </c>
      <c r="AD631" s="11" t="str">
        <f>IFERROR(IF(MARÍTIMOS[[#This Row],[Etapa Despacho -  Fin de Carga]]="","",MARÍTIMOS[[#This Row],[Etapa Despacho -  Fin de Carga]]),"")</f>
        <v/>
      </c>
      <c r="AE631" s="11" t="str">
        <f>IFERROR(IF(MARÍTIMOS[[#This Row],[Etapa Despacho -  Salida]]="","",MARÍTIMOS[[#This Row],[Etapa Despacho -  Salida]]),"")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5" t="s">
        <v>181</v>
      </c>
      <c r="BB631" s="53" t="str">
        <f>IFERROR(IF(MARÍTIMOS[[#This Row],[Estatus]]="","",MARÍTIMOS[[#This Row],[Estatus]]),"")</f>
        <v/>
      </c>
      <c r="BC631" s="45"/>
      <c r="BD631" s="52" t="str">
        <f>IFERROR(OLDBD[[#This Row],[Salida de almacén de retiro]]-OLDBD[[#This Row],[Ingreso Almacén de retiro]],"")</f>
        <v/>
      </c>
      <c r="BE631" s="52" t="str">
        <f>IFERROR(OLDBD[[#This Row],[Fin de Carga]]-OLDBD[[#This Row],[Inicio de Carga]],"")</f>
        <v/>
      </c>
    </row>
    <row r="632" spans="1:57" x14ac:dyDescent="0.35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6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Salida]]="","",MARÍTIMOS[[#This Row],[Etapa Retiro - Salida]]),"")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Row],[Hora de Carga]]+MARÍTIMOS[[#This Row],[Hora de Posicionamiento]]),"")</f>
        <v/>
      </c>
      <c r="Z632" s="11" t="str">
        <f>IFERROR(IF(MARÍTIMOS[[#This Row],[Etapa Despacho -  Llegada]]="","",MARÍTIMOS[[#This Row],[Etapa Despacho -  Llegada]]),"")</f>
        <v/>
      </c>
      <c r="AA632" s="11" t="str">
        <f>IFERROR(IF(MARÍTIMOS[[#This Row],[Etapa Despacho -  Registro]]="","",MARÍTIMOS[[#This Row],[Etapa Despacho - 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 Inicio de Carga]]="","",MARÍTIMOS[[#This Row],[Etapa Despacho -  Inicio de Carga]]),"")</f>
        <v/>
      </c>
      <c r="AD632" s="11" t="str">
        <f>IFERROR(IF(MARÍTIMOS[[#This Row],[Etapa Despacho -  Fin de Carga]]="","",MARÍTIMOS[[#This Row],[Etapa Despacho -  Fin de Carga]]),"")</f>
        <v/>
      </c>
      <c r="AE632" s="11" t="str">
        <f>IFERROR(IF(MARÍTIMOS[[#This Row],[Etapa Despacho -  Salida]]="","",MARÍTIMOS[[#This Row],[Etapa Despacho -  Salida]]),"")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5" t="s">
        <v>181</v>
      </c>
      <c r="BB632" s="53" t="str">
        <f>IFERROR(IF(MARÍTIMOS[[#This Row],[Estatus]]="","",MARÍTIMOS[[#This Row],[Estatus]]),"")</f>
        <v/>
      </c>
      <c r="BC632" s="45"/>
      <c r="BD632" s="52" t="str">
        <f>IFERROR(OLDBD[[#This Row],[Salida de almacén de retiro]]-OLDBD[[#This Row],[Ingreso Almacén de retiro]],"")</f>
        <v/>
      </c>
      <c r="BE632" s="52" t="str">
        <f>IFERROR(OLDBD[[#This Row],[Fin de Carga]]-OLDBD[[#This Row],[Inicio de Carga]],"")</f>
        <v/>
      </c>
    </row>
    <row r="633" spans="1:57" x14ac:dyDescent="0.35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6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Salida]]="","",MARÍTIMOS[[#This Row],[Etapa Retiro - Salida]]),"")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Row],[Hora de Carga]]+MARÍTIMOS[[#This Row],[Hora de Posicionamiento]]),"")</f>
        <v/>
      </c>
      <c r="Z633" s="11" t="str">
        <f>IFERROR(IF(MARÍTIMOS[[#This Row],[Etapa Despacho -  Llegada]]="","",MARÍTIMOS[[#This Row],[Etapa Despacho -  Llegada]]),"")</f>
        <v/>
      </c>
      <c r="AA633" s="11" t="str">
        <f>IFERROR(IF(MARÍTIMOS[[#This Row],[Etapa Despacho -  Registro]]="","",MARÍTIMOS[[#This Row],[Etapa Despacho - 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 Inicio de Carga]]="","",MARÍTIMOS[[#This Row],[Etapa Despacho -  Inicio de Carga]]),"")</f>
        <v/>
      </c>
      <c r="AD633" s="11" t="str">
        <f>IFERROR(IF(MARÍTIMOS[[#This Row],[Etapa Despacho -  Fin de Carga]]="","",MARÍTIMOS[[#This Row],[Etapa Despacho -  Fin de Carga]]),"")</f>
        <v/>
      </c>
      <c r="AE633" s="11" t="str">
        <f>IFERROR(IF(MARÍTIMOS[[#This Row],[Etapa Despacho -  Salida]]="","",MARÍTIMOS[[#This Row],[Etapa Despacho -  Salida]]),"")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5" t="s">
        <v>181</v>
      </c>
      <c r="BB633" s="53" t="str">
        <f>IFERROR(IF(MARÍTIMOS[[#This Row],[Estatus]]="","",MARÍTIMOS[[#This Row],[Estatus]]),"")</f>
        <v/>
      </c>
      <c r="BC633" s="45"/>
      <c r="BD633" s="52" t="str">
        <f>IFERROR(OLDBD[[#This Row],[Salida de almacén de retiro]]-OLDBD[[#This Row],[Ingreso Almacén de retiro]],"")</f>
        <v/>
      </c>
      <c r="BE633" s="52" t="str">
        <f>IFERROR(OLDBD[[#This Row],[Fin de Carga]]-OLDBD[[#This Row],[Inicio de Carga]],"")</f>
        <v/>
      </c>
    </row>
    <row r="634" spans="1:57" x14ac:dyDescent="0.35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6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Salida]]="","",MARÍTIMOS[[#This Row],[Etapa Retiro - Salida]]),"")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Row],[Hora de Carga]]+MARÍTIMOS[[#This Row],[Hora de Posicionamiento]]),"")</f>
        <v/>
      </c>
      <c r="Z634" s="11" t="str">
        <f>IFERROR(IF(MARÍTIMOS[[#This Row],[Etapa Despacho -  Llegada]]="","",MARÍTIMOS[[#This Row],[Etapa Despacho -  Llegada]]),"")</f>
        <v/>
      </c>
      <c r="AA634" s="11" t="str">
        <f>IFERROR(IF(MARÍTIMOS[[#This Row],[Etapa Despacho -  Registro]]="","",MARÍTIMOS[[#This Row],[Etapa Despacho - 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 Inicio de Carga]]="","",MARÍTIMOS[[#This Row],[Etapa Despacho -  Inicio de Carga]]),"")</f>
        <v/>
      </c>
      <c r="AD634" s="11" t="str">
        <f>IFERROR(IF(MARÍTIMOS[[#This Row],[Etapa Despacho -  Fin de Carga]]="","",MARÍTIMOS[[#This Row],[Etapa Despacho -  Fin de Carga]]),"")</f>
        <v/>
      </c>
      <c r="AE634" s="11" t="str">
        <f>IFERROR(IF(MARÍTIMOS[[#This Row],[Etapa Despacho -  Salida]]="","",MARÍTIMOS[[#This Row],[Etapa Despacho -  Salida]]),"")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5" t="s">
        <v>181</v>
      </c>
      <c r="BB634" s="53" t="str">
        <f>IFERROR(IF(MARÍTIMOS[[#This Row],[Estatus]]="","",MARÍTIMOS[[#This Row],[Estatus]]),"")</f>
        <v/>
      </c>
      <c r="BC634" s="45"/>
      <c r="BD634" s="52" t="str">
        <f>IFERROR(OLDBD[[#This Row],[Salida de almacén de retiro]]-OLDBD[[#This Row],[Ingreso Almacén de retiro]],"")</f>
        <v/>
      </c>
      <c r="BE634" s="52" t="str">
        <f>IFERROR(OLDBD[[#This Row],[Fin de Carga]]-OLDBD[[#This Row],[Inicio de Carga]],"")</f>
        <v/>
      </c>
    </row>
    <row r="635" spans="1:57" x14ac:dyDescent="0.35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6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Salida]]="","",MARÍTIMOS[[#This Row],[Etapa Retiro - Salida]]),"")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Row],[Hora de Carga]]+MARÍTIMOS[[#This Row],[Hora de Posicionamiento]]),"")</f>
        <v/>
      </c>
      <c r="Z635" s="11" t="str">
        <f>IFERROR(IF(MARÍTIMOS[[#This Row],[Etapa Despacho -  Llegada]]="","",MARÍTIMOS[[#This Row],[Etapa Despacho -  Llegada]]),"")</f>
        <v/>
      </c>
      <c r="AA635" s="11" t="str">
        <f>IFERROR(IF(MARÍTIMOS[[#This Row],[Etapa Despacho -  Registro]]="","",MARÍTIMOS[[#This Row],[Etapa Despacho - 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 Inicio de Carga]]="","",MARÍTIMOS[[#This Row],[Etapa Despacho -  Inicio de Carga]]),"")</f>
        <v/>
      </c>
      <c r="AD635" s="11" t="str">
        <f>IFERROR(IF(MARÍTIMOS[[#This Row],[Etapa Despacho -  Fin de Carga]]="","",MARÍTIMOS[[#This Row],[Etapa Despacho -  Fin de Carga]]),"")</f>
        <v/>
      </c>
      <c r="AE635" s="11" t="str">
        <f>IFERROR(IF(MARÍTIMOS[[#This Row],[Etapa Despacho -  Salida]]="","",MARÍTIMOS[[#This Row],[Etapa Despacho -  Salida]]),"")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5" t="s">
        <v>181</v>
      </c>
      <c r="BB635" s="53" t="str">
        <f>IFERROR(IF(MARÍTIMOS[[#This Row],[Estatus]]="","",MARÍTIMOS[[#This Row],[Estatus]]),"")</f>
        <v/>
      </c>
      <c r="BC635" s="45"/>
      <c r="BD635" s="52" t="str">
        <f>IFERROR(OLDBD[[#This Row],[Salida de almacén de retiro]]-OLDBD[[#This Row],[Ingreso Almacén de retiro]],"")</f>
        <v/>
      </c>
      <c r="BE635" s="52" t="str">
        <f>IFERROR(OLDBD[[#This Row],[Fin de Carga]]-OLDBD[[#This Row],[Inicio de Carga]],"")</f>
        <v/>
      </c>
    </row>
    <row r="636" spans="1:57" x14ac:dyDescent="0.35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6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Salida]]="","",MARÍTIMOS[[#This Row],[Etapa Retiro - Salida]]),"")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Row],[Hora de Carga]]+MARÍTIMOS[[#This Row],[Hora de Posicionamiento]]),"")</f>
        <v/>
      </c>
      <c r="Z636" s="11" t="str">
        <f>IFERROR(IF(MARÍTIMOS[[#This Row],[Etapa Despacho -  Llegada]]="","",MARÍTIMOS[[#This Row],[Etapa Despacho -  Llegada]]),"")</f>
        <v/>
      </c>
      <c r="AA636" s="11" t="str">
        <f>IFERROR(IF(MARÍTIMOS[[#This Row],[Etapa Despacho -  Registro]]="","",MARÍTIMOS[[#This Row],[Etapa Despacho - 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 Inicio de Carga]]="","",MARÍTIMOS[[#This Row],[Etapa Despacho -  Inicio de Carga]]),"")</f>
        <v/>
      </c>
      <c r="AD636" s="11" t="str">
        <f>IFERROR(IF(MARÍTIMOS[[#This Row],[Etapa Despacho -  Fin de Carga]]="","",MARÍTIMOS[[#This Row],[Etapa Despacho -  Fin de Carga]]),"")</f>
        <v/>
      </c>
      <c r="AE636" s="11" t="str">
        <f>IFERROR(IF(MARÍTIMOS[[#This Row],[Etapa Despacho -  Salida]]="","",MARÍTIMOS[[#This Row],[Etapa Despacho -  Salida]]),"")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5" t="s">
        <v>181</v>
      </c>
      <c r="BB636" s="53" t="str">
        <f>IFERROR(IF(MARÍTIMOS[[#This Row],[Estatus]]="","",MARÍTIMOS[[#This Row],[Estatus]]),"")</f>
        <v/>
      </c>
      <c r="BC636" s="45"/>
      <c r="BD636" s="52" t="str">
        <f>IFERROR(OLDBD[[#This Row],[Salida de almacén de retiro]]-OLDBD[[#This Row],[Ingreso Almacén de retiro]],"")</f>
        <v/>
      </c>
      <c r="BE636" s="52" t="str">
        <f>IFERROR(OLDBD[[#This Row],[Fin de Carga]]-OLDBD[[#This Row],[Inicio de Carga]],"")</f>
        <v/>
      </c>
    </row>
    <row r="637" spans="1:57" x14ac:dyDescent="0.35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6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Salida]]="","",MARÍTIMOS[[#This Row],[Etapa Retiro - Salida]]),"")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Row],[Hora de Carga]]+MARÍTIMOS[[#This Row],[Hora de Posicionamiento]]),"")</f>
        <v/>
      </c>
      <c r="Z637" s="11" t="str">
        <f>IFERROR(IF(MARÍTIMOS[[#This Row],[Etapa Despacho -  Llegada]]="","",MARÍTIMOS[[#This Row],[Etapa Despacho -  Llegada]]),"")</f>
        <v/>
      </c>
      <c r="AA637" s="11" t="str">
        <f>IFERROR(IF(MARÍTIMOS[[#This Row],[Etapa Despacho -  Registro]]="","",MARÍTIMOS[[#This Row],[Etapa Despacho - 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 Inicio de Carga]]="","",MARÍTIMOS[[#This Row],[Etapa Despacho -  Inicio de Carga]]),"")</f>
        <v/>
      </c>
      <c r="AD637" s="11" t="str">
        <f>IFERROR(IF(MARÍTIMOS[[#This Row],[Etapa Despacho -  Fin de Carga]]="","",MARÍTIMOS[[#This Row],[Etapa Despacho -  Fin de Carga]]),"")</f>
        <v/>
      </c>
      <c r="AE637" s="11" t="str">
        <f>IFERROR(IF(MARÍTIMOS[[#This Row],[Etapa Despacho -  Salida]]="","",MARÍTIMOS[[#This Row],[Etapa Despacho -  Salida]]),"")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5" t="s">
        <v>181</v>
      </c>
      <c r="BB637" s="53" t="str">
        <f>IFERROR(IF(MARÍTIMOS[[#This Row],[Estatus]]="","",MARÍTIMOS[[#This Row],[Estatus]]),"")</f>
        <v/>
      </c>
      <c r="BC637" s="45"/>
      <c r="BD637" s="52" t="str">
        <f>IFERROR(OLDBD[[#This Row],[Salida de almacén de retiro]]-OLDBD[[#This Row],[Ingreso Almacén de retiro]],"")</f>
        <v/>
      </c>
      <c r="BE637" s="52" t="str">
        <f>IFERROR(OLDBD[[#This Row],[Fin de Carga]]-OLDBD[[#This Row],[Inicio de Carga]],"")</f>
        <v/>
      </c>
    </row>
    <row r="638" spans="1:57" x14ac:dyDescent="0.35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6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Salida]]="","",MARÍTIMOS[[#This Row],[Etapa Retiro - Salida]]),"")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Row],[Hora de Carga]]+MARÍTIMOS[[#This Row],[Hora de Posicionamiento]]),"")</f>
        <v/>
      </c>
      <c r="Z638" s="11" t="str">
        <f>IFERROR(IF(MARÍTIMOS[[#This Row],[Etapa Despacho -  Llegada]]="","",MARÍTIMOS[[#This Row],[Etapa Despacho -  Llegada]]),"")</f>
        <v/>
      </c>
      <c r="AA638" s="11" t="str">
        <f>IFERROR(IF(MARÍTIMOS[[#This Row],[Etapa Despacho -  Registro]]="","",MARÍTIMOS[[#This Row],[Etapa Despacho - 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 Inicio de Carga]]="","",MARÍTIMOS[[#This Row],[Etapa Despacho -  Inicio de Carga]]),"")</f>
        <v/>
      </c>
      <c r="AD638" s="11" t="str">
        <f>IFERROR(IF(MARÍTIMOS[[#This Row],[Etapa Despacho -  Fin de Carga]]="","",MARÍTIMOS[[#This Row],[Etapa Despacho -  Fin de Carga]]),"")</f>
        <v/>
      </c>
      <c r="AE638" s="11" t="str">
        <f>IFERROR(IF(MARÍTIMOS[[#This Row],[Etapa Despacho -  Salida]]="","",MARÍTIMOS[[#This Row],[Etapa Despacho -  Salida]]),"")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5" t="s">
        <v>181</v>
      </c>
      <c r="BB638" s="53" t="str">
        <f>IFERROR(IF(MARÍTIMOS[[#This Row],[Estatus]]="","",MARÍTIMOS[[#This Row],[Estatus]]),"")</f>
        <v/>
      </c>
      <c r="BC638" s="45"/>
      <c r="BD638" s="52" t="str">
        <f>IFERROR(OLDBD[[#This Row],[Salida de almacén de retiro]]-OLDBD[[#This Row],[Ingreso Almacén de retiro]],"")</f>
        <v/>
      </c>
      <c r="BE638" s="52" t="str">
        <f>IFERROR(OLDBD[[#This Row],[Fin de Carga]]-OLDBD[[#This Row],[Inicio de Carga]],"")</f>
        <v/>
      </c>
    </row>
    <row r="639" spans="1:57" x14ac:dyDescent="0.35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6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Salida]]="","",MARÍTIMOS[[#This Row],[Etapa Retiro - Salida]]),"")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Row],[Hora de Carga]]+MARÍTIMOS[[#This Row],[Hora de Posicionamiento]]),"")</f>
        <v/>
      </c>
      <c r="Z639" s="11" t="str">
        <f>IFERROR(IF(MARÍTIMOS[[#This Row],[Etapa Despacho -  Llegada]]="","",MARÍTIMOS[[#This Row],[Etapa Despacho -  Llegada]]),"")</f>
        <v/>
      </c>
      <c r="AA639" s="11" t="str">
        <f>IFERROR(IF(MARÍTIMOS[[#This Row],[Etapa Despacho -  Registro]]="","",MARÍTIMOS[[#This Row],[Etapa Despacho - 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 Inicio de Carga]]="","",MARÍTIMOS[[#This Row],[Etapa Despacho -  Inicio de Carga]]),"")</f>
        <v/>
      </c>
      <c r="AD639" s="11" t="str">
        <f>IFERROR(IF(MARÍTIMOS[[#This Row],[Etapa Despacho -  Fin de Carga]]="","",MARÍTIMOS[[#This Row],[Etapa Despacho -  Fin de Carga]]),"")</f>
        <v/>
      </c>
      <c r="AE639" s="11" t="str">
        <f>IFERROR(IF(MARÍTIMOS[[#This Row],[Etapa Despacho -  Salida]]="","",MARÍTIMOS[[#This Row],[Etapa Despacho -  Salida]]),"")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5" t="s">
        <v>181</v>
      </c>
      <c r="BB639" s="53" t="str">
        <f>IFERROR(IF(MARÍTIMOS[[#This Row],[Estatus]]="","",MARÍTIMOS[[#This Row],[Estatus]]),"")</f>
        <v/>
      </c>
      <c r="BC639" s="45"/>
      <c r="BD639" s="52" t="str">
        <f>IFERROR(OLDBD[[#This Row],[Salida de almacén de retiro]]-OLDBD[[#This Row],[Ingreso Almacén de retiro]],"")</f>
        <v/>
      </c>
      <c r="BE639" s="52" t="str">
        <f>IFERROR(OLDBD[[#This Row],[Fin de Carga]]-OLDBD[[#This Row],[Inicio de Carga]],"")</f>
        <v/>
      </c>
    </row>
    <row r="640" spans="1:57" x14ac:dyDescent="0.35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6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Salida]]="","",MARÍTIMOS[[#This Row],[Etapa Retiro - Salida]]),"")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Row],[Hora de Carga]]+MARÍTIMOS[[#This Row],[Hora de Posicionamiento]]),"")</f>
        <v/>
      </c>
      <c r="Z640" s="11" t="str">
        <f>IFERROR(IF(MARÍTIMOS[[#This Row],[Etapa Despacho -  Llegada]]="","",MARÍTIMOS[[#This Row],[Etapa Despacho -  Llegada]]),"")</f>
        <v/>
      </c>
      <c r="AA640" s="11" t="str">
        <f>IFERROR(IF(MARÍTIMOS[[#This Row],[Etapa Despacho -  Registro]]="","",MARÍTIMOS[[#This Row],[Etapa Despacho - 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 Inicio de Carga]]="","",MARÍTIMOS[[#This Row],[Etapa Despacho -  Inicio de Carga]]),"")</f>
        <v/>
      </c>
      <c r="AD640" s="11" t="str">
        <f>IFERROR(IF(MARÍTIMOS[[#This Row],[Etapa Despacho -  Fin de Carga]]="","",MARÍTIMOS[[#This Row],[Etapa Despacho -  Fin de Carga]]),"")</f>
        <v/>
      </c>
      <c r="AE640" s="11" t="str">
        <f>IFERROR(IF(MARÍTIMOS[[#This Row],[Etapa Despacho -  Salida]]="","",MARÍTIMOS[[#This Row],[Etapa Despacho -  Salida]]),"")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5" t="s">
        <v>181</v>
      </c>
      <c r="BB640" s="53" t="str">
        <f>IFERROR(IF(MARÍTIMOS[[#This Row],[Estatus]]="","",MARÍTIMOS[[#This Row],[Estatus]]),"")</f>
        <v/>
      </c>
      <c r="BC640" s="45"/>
      <c r="BD640" s="52" t="str">
        <f>IFERROR(OLDBD[[#This Row],[Salida de almacén de retiro]]-OLDBD[[#This Row],[Ingreso Almacén de retiro]],"")</f>
        <v/>
      </c>
      <c r="BE640" s="52" t="str">
        <f>IFERROR(OLDBD[[#This Row],[Fin de Carga]]-OLDBD[[#This Row],[Inicio de Carga]],"")</f>
        <v/>
      </c>
    </row>
    <row r="641" spans="1:57" x14ac:dyDescent="0.35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6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Salida]]="","",MARÍTIMOS[[#This Row],[Etapa Retiro - Salida]]),"")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Row],[Hora de Carga]]+MARÍTIMOS[[#This Row],[Hora de Posicionamiento]]),"")</f>
        <v/>
      </c>
      <c r="Z641" s="11" t="str">
        <f>IFERROR(IF(MARÍTIMOS[[#This Row],[Etapa Despacho -  Llegada]]="","",MARÍTIMOS[[#This Row],[Etapa Despacho -  Llegada]]),"")</f>
        <v/>
      </c>
      <c r="AA641" s="11" t="str">
        <f>IFERROR(IF(MARÍTIMOS[[#This Row],[Etapa Despacho -  Registro]]="","",MARÍTIMOS[[#This Row],[Etapa Despacho - 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 Inicio de Carga]]="","",MARÍTIMOS[[#This Row],[Etapa Despacho -  Inicio de Carga]]),"")</f>
        <v/>
      </c>
      <c r="AD641" s="11" t="str">
        <f>IFERROR(IF(MARÍTIMOS[[#This Row],[Etapa Despacho -  Fin de Carga]]="","",MARÍTIMOS[[#This Row],[Etapa Despacho -  Fin de Carga]]),"")</f>
        <v/>
      </c>
      <c r="AE641" s="11" t="str">
        <f>IFERROR(IF(MARÍTIMOS[[#This Row],[Etapa Despacho -  Salida]]="","",MARÍTIMOS[[#This Row],[Etapa Despacho -  Salida]]),"")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5" t="s">
        <v>181</v>
      </c>
      <c r="BB641" s="53" t="str">
        <f>IFERROR(IF(MARÍTIMOS[[#This Row],[Estatus]]="","",MARÍTIMOS[[#This Row],[Estatus]]),"")</f>
        <v/>
      </c>
      <c r="BC641" s="45"/>
      <c r="BD641" s="52" t="str">
        <f>IFERROR(OLDBD[[#This Row],[Salida de almacén de retiro]]-OLDBD[[#This Row],[Ingreso Almacén de retiro]],"")</f>
        <v/>
      </c>
      <c r="BE641" s="52" t="str">
        <f>IFERROR(OLDBD[[#This Row],[Fin de Carga]]-OLDBD[[#This Row],[Inicio de Carga]],"")</f>
        <v/>
      </c>
    </row>
    <row r="642" spans="1:57" x14ac:dyDescent="0.35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6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Salida]]="","",MARÍTIMOS[[#This Row],[Etapa Retiro - Salida]]),"")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Row],[Hora de Carga]]+MARÍTIMOS[[#This Row],[Hora de Posicionamiento]]),"")</f>
        <v/>
      </c>
      <c r="Z642" s="11" t="str">
        <f>IFERROR(IF(MARÍTIMOS[[#This Row],[Etapa Despacho -  Llegada]]="","",MARÍTIMOS[[#This Row],[Etapa Despacho -  Llegada]]),"")</f>
        <v/>
      </c>
      <c r="AA642" s="11" t="str">
        <f>IFERROR(IF(MARÍTIMOS[[#This Row],[Etapa Despacho -  Registro]]="","",MARÍTIMOS[[#This Row],[Etapa Despacho - 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 Inicio de Carga]]="","",MARÍTIMOS[[#This Row],[Etapa Despacho -  Inicio de Carga]]),"")</f>
        <v/>
      </c>
      <c r="AD642" s="11" t="str">
        <f>IFERROR(IF(MARÍTIMOS[[#This Row],[Etapa Despacho -  Fin de Carga]]="","",MARÍTIMOS[[#This Row],[Etapa Despacho -  Fin de Carga]]),"")</f>
        <v/>
      </c>
      <c r="AE642" s="11" t="str">
        <f>IFERROR(IF(MARÍTIMOS[[#This Row],[Etapa Despacho -  Salida]]="","",MARÍTIMOS[[#This Row],[Etapa Despacho -  Salida]]),"")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5" t="s">
        <v>181</v>
      </c>
      <c r="BB642" s="53" t="str">
        <f>IFERROR(IF(MARÍTIMOS[[#This Row],[Estatus]]="","",MARÍTIMOS[[#This Row],[Estatus]]),"")</f>
        <v/>
      </c>
      <c r="BC642" s="45"/>
      <c r="BD642" s="52" t="str">
        <f>IFERROR(OLDBD[[#This Row],[Salida de almacén de retiro]]-OLDBD[[#This Row],[Ingreso Almacén de retiro]],"")</f>
        <v/>
      </c>
      <c r="BE642" s="52" t="str">
        <f>IFERROR(OLDBD[[#This Row],[Fin de Carga]]-OLDBD[[#This Row],[Inicio de Carga]],"")</f>
        <v/>
      </c>
    </row>
    <row r="643" spans="1:57" x14ac:dyDescent="0.35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6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Salida]]="","",MARÍTIMOS[[#This Row],[Etapa Retiro - Salida]]),"")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Row],[Hora de Carga]]+MARÍTIMOS[[#This Row],[Hora de Posicionamiento]]),"")</f>
        <v/>
      </c>
      <c r="Z643" s="11" t="str">
        <f>IFERROR(IF(MARÍTIMOS[[#This Row],[Etapa Despacho -  Llegada]]="","",MARÍTIMOS[[#This Row],[Etapa Despacho -  Llegada]]),"")</f>
        <v/>
      </c>
      <c r="AA643" s="11" t="str">
        <f>IFERROR(IF(MARÍTIMOS[[#This Row],[Etapa Despacho -  Registro]]="","",MARÍTIMOS[[#This Row],[Etapa Despacho - 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 Inicio de Carga]]="","",MARÍTIMOS[[#This Row],[Etapa Despacho -  Inicio de Carga]]),"")</f>
        <v/>
      </c>
      <c r="AD643" s="11" t="str">
        <f>IFERROR(IF(MARÍTIMOS[[#This Row],[Etapa Despacho -  Fin de Carga]]="","",MARÍTIMOS[[#This Row],[Etapa Despacho -  Fin de Carga]]),"")</f>
        <v/>
      </c>
      <c r="AE643" s="11" t="str">
        <f>IFERROR(IF(MARÍTIMOS[[#This Row],[Etapa Despacho -  Salida]]="","",MARÍTIMOS[[#This Row],[Etapa Despacho -  Salida]]),"")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5" t="s">
        <v>181</v>
      </c>
      <c r="BB643" s="53" t="str">
        <f>IFERROR(IF(MARÍTIMOS[[#This Row],[Estatus]]="","",MARÍTIMOS[[#This Row],[Estatus]]),"")</f>
        <v/>
      </c>
      <c r="BC643" s="45"/>
      <c r="BD643" s="52" t="str">
        <f>IFERROR(OLDBD[[#This Row],[Salida de almacén de retiro]]-OLDBD[[#This Row],[Ingreso Almacén de retiro]],"")</f>
        <v/>
      </c>
      <c r="BE643" s="52" t="str">
        <f>IFERROR(OLDBD[[#This Row],[Fin de Carga]]-OLDBD[[#This Row],[Inicio de Carga]],"")</f>
        <v/>
      </c>
    </row>
    <row r="644" spans="1:57" x14ac:dyDescent="0.35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6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Salida]]="","",MARÍTIMOS[[#This Row],[Etapa Retiro - Salida]]),"")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Row],[Hora de Carga]]+MARÍTIMOS[[#This Row],[Hora de Posicionamiento]]),"")</f>
        <v/>
      </c>
      <c r="Z644" s="11" t="str">
        <f>IFERROR(IF(MARÍTIMOS[[#This Row],[Etapa Despacho -  Llegada]]="","",MARÍTIMOS[[#This Row],[Etapa Despacho -  Llegada]]),"")</f>
        <v/>
      </c>
      <c r="AA644" s="11" t="str">
        <f>IFERROR(IF(MARÍTIMOS[[#This Row],[Etapa Despacho -  Registro]]="","",MARÍTIMOS[[#This Row],[Etapa Despacho - 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 Inicio de Carga]]="","",MARÍTIMOS[[#This Row],[Etapa Despacho -  Inicio de Carga]]),"")</f>
        <v/>
      </c>
      <c r="AD644" s="11" t="str">
        <f>IFERROR(IF(MARÍTIMOS[[#This Row],[Etapa Despacho -  Fin de Carga]]="","",MARÍTIMOS[[#This Row],[Etapa Despacho -  Fin de Carga]]),"")</f>
        <v/>
      </c>
      <c r="AE644" s="11" t="str">
        <f>IFERROR(IF(MARÍTIMOS[[#This Row],[Etapa Despacho -  Salida]]="","",MARÍTIMOS[[#This Row],[Etapa Despacho -  Salida]]),"")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5" t="s">
        <v>181</v>
      </c>
      <c r="BB644" s="53" t="str">
        <f>IFERROR(IF(MARÍTIMOS[[#This Row],[Estatus]]="","",MARÍTIMOS[[#This Row],[Estatus]]),"")</f>
        <v/>
      </c>
      <c r="BC644" s="45"/>
      <c r="BD644" s="52" t="str">
        <f>IFERROR(OLDBD[[#This Row],[Salida de almacén de retiro]]-OLDBD[[#This Row],[Ingreso Almacén de retiro]],"")</f>
        <v/>
      </c>
      <c r="BE644" s="52" t="str">
        <f>IFERROR(OLDBD[[#This Row],[Fin de Carga]]-OLDBD[[#This Row],[Inicio de Carga]],"")</f>
        <v/>
      </c>
    </row>
    <row r="645" spans="1:57" x14ac:dyDescent="0.35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6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Salida]]="","",MARÍTIMOS[[#This Row],[Etapa Retiro - Salida]]),"")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Row],[Hora de Carga]]+MARÍTIMOS[[#This Row],[Hora de Posicionamiento]]),"")</f>
        <v/>
      </c>
      <c r="Z645" s="11" t="str">
        <f>IFERROR(IF(MARÍTIMOS[[#This Row],[Etapa Despacho -  Llegada]]="","",MARÍTIMOS[[#This Row],[Etapa Despacho -  Llegada]]),"")</f>
        <v/>
      </c>
      <c r="AA645" s="11" t="str">
        <f>IFERROR(IF(MARÍTIMOS[[#This Row],[Etapa Despacho -  Registro]]="","",MARÍTIMOS[[#This Row],[Etapa Despacho - 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 Inicio de Carga]]="","",MARÍTIMOS[[#This Row],[Etapa Despacho -  Inicio de Carga]]),"")</f>
        <v/>
      </c>
      <c r="AD645" s="11" t="str">
        <f>IFERROR(IF(MARÍTIMOS[[#This Row],[Etapa Despacho -  Fin de Carga]]="","",MARÍTIMOS[[#This Row],[Etapa Despacho -  Fin de Carga]]),"")</f>
        <v/>
      </c>
      <c r="AE645" s="11" t="str">
        <f>IFERROR(IF(MARÍTIMOS[[#This Row],[Etapa Despacho -  Salida]]="","",MARÍTIMOS[[#This Row],[Etapa Despacho -  Salida]]),"")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5" t="s">
        <v>181</v>
      </c>
      <c r="BB645" s="53" t="str">
        <f>IFERROR(IF(MARÍTIMOS[[#This Row],[Estatus]]="","",MARÍTIMOS[[#This Row],[Estatus]]),"")</f>
        <v/>
      </c>
      <c r="BC645" s="45"/>
      <c r="BD645" s="52" t="str">
        <f>IFERROR(OLDBD[[#This Row],[Salida de almacén de retiro]]-OLDBD[[#This Row],[Ingreso Almacén de retiro]],"")</f>
        <v/>
      </c>
      <c r="BE645" s="52" t="str">
        <f>IFERROR(OLDBD[[#This Row],[Fin de Carga]]-OLDBD[[#This Row],[Inicio de Carga]],"")</f>
        <v/>
      </c>
    </row>
    <row r="646" spans="1:57" x14ac:dyDescent="0.35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6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Salida]]="","",MARÍTIMOS[[#This Row],[Etapa Retiro - Salida]]),"")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Row],[Hora de Carga]]+MARÍTIMOS[[#This Row],[Hora de Posicionamiento]]),"")</f>
        <v/>
      </c>
      <c r="Z646" s="11" t="str">
        <f>IFERROR(IF(MARÍTIMOS[[#This Row],[Etapa Despacho -  Llegada]]="","",MARÍTIMOS[[#This Row],[Etapa Despacho -  Llegada]]),"")</f>
        <v/>
      </c>
      <c r="AA646" s="11" t="str">
        <f>IFERROR(IF(MARÍTIMOS[[#This Row],[Etapa Despacho -  Registro]]="","",MARÍTIMOS[[#This Row],[Etapa Despacho - 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 Inicio de Carga]]="","",MARÍTIMOS[[#This Row],[Etapa Despacho -  Inicio de Carga]]),"")</f>
        <v/>
      </c>
      <c r="AD646" s="11" t="str">
        <f>IFERROR(IF(MARÍTIMOS[[#This Row],[Etapa Despacho -  Fin de Carga]]="","",MARÍTIMOS[[#This Row],[Etapa Despacho -  Fin de Carga]]),"")</f>
        <v/>
      </c>
      <c r="AE646" s="11" t="str">
        <f>IFERROR(IF(MARÍTIMOS[[#This Row],[Etapa Despacho -  Salida]]="","",MARÍTIMOS[[#This Row],[Etapa Despacho -  Salida]]),"")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5" t="s">
        <v>181</v>
      </c>
      <c r="BB646" s="53" t="str">
        <f>IFERROR(IF(MARÍTIMOS[[#This Row],[Estatus]]="","",MARÍTIMOS[[#This Row],[Estatus]]),"")</f>
        <v/>
      </c>
      <c r="BC646" s="45"/>
      <c r="BD646" s="52" t="str">
        <f>IFERROR(OLDBD[[#This Row],[Salida de almacén de retiro]]-OLDBD[[#This Row],[Ingreso Almacén de retiro]],"")</f>
        <v/>
      </c>
      <c r="BE646" s="52" t="str">
        <f>IFERROR(OLDBD[[#This Row],[Fin de Carga]]-OLDBD[[#This Row],[Inicio de Carga]],"")</f>
        <v/>
      </c>
    </row>
    <row r="647" spans="1:57" x14ac:dyDescent="0.35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6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Salida]]="","",MARÍTIMOS[[#This Row],[Etapa Retiro - Salida]]),"")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Row],[Hora de Carga]]+MARÍTIMOS[[#This Row],[Hora de Posicionamiento]]),"")</f>
        <v/>
      </c>
      <c r="Z647" s="11" t="str">
        <f>IFERROR(IF(MARÍTIMOS[[#This Row],[Etapa Despacho -  Llegada]]="","",MARÍTIMOS[[#This Row],[Etapa Despacho -  Llegada]]),"")</f>
        <v/>
      </c>
      <c r="AA647" s="11" t="str">
        <f>IFERROR(IF(MARÍTIMOS[[#This Row],[Etapa Despacho -  Registro]]="","",MARÍTIMOS[[#This Row],[Etapa Despacho - 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 Inicio de Carga]]="","",MARÍTIMOS[[#This Row],[Etapa Despacho -  Inicio de Carga]]),"")</f>
        <v/>
      </c>
      <c r="AD647" s="11" t="str">
        <f>IFERROR(IF(MARÍTIMOS[[#This Row],[Etapa Despacho -  Fin de Carga]]="","",MARÍTIMOS[[#This Row],[Etapa Despacho -  Fin de Carga]]),"")</f>
        <v/>
      </c>
      <c r="AE647" s="11" t="str">
        <f>IFERROR(IF(MARÍTIMOS[[#This Row],[Etapa Despacho -  Salida]]="","",MARÍTIMOS[[#This Row],[Etapa Despacho -  Salida]]),"")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5" t="s">
        <v>181</v>
      </c>
      <c r="BB647" s="53" t="str">
        <f>IFERROR(IF(MARÍTIMOS[[#This Row],[Estatus]]="","",MARÍTIMOS[[#This Row],[Estatus]]),"")</f>
        <v/>
      </c>
      <c r="BC647" s="45"/>
      <c r="BD647" s="52" t="str">
        <f>IFERROR(OLDBD[[#This Row],[Salida de almacén de retiro]]-OLDBD[[#This Row],[Ingreso Almacén de retiro]],"")</f>
        <v/>
      </c>
      <c r="BE647" s="52" t="str">
        <f>IFERROR(OLDBD[[#This Row],[Fin de Carga]]-OLDBD[[#This Row],[Inicio de Carga]],"")</f>
        <v/>
      </c>
    </row>
    <row r="648" spans="1:57" x14ac:dyDescent="0.35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6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Salida]]="","",MARÍTIMOS[[#This Row],[Etapa Retiro - Salida]]),"")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Row],[Hora de Carga]]+MARÍTIMOS[[#This Row],[Hora de Posicionamiento]]),"")</f>
        <v/>
      </c>
      <c r="Z648" s="11" t="str">
        <f>IFERROR(IF(MARÍTIMOS[[#This Row],[Etapa Despacho -  Llegada]]="","",MARÍTIMOS[[#This Row],[Etapa Despacho -  Llegada]]),"")</f>
        <v/>
      </c>
      <c r="AA648" s="11" t="str">
        <f>IFERROR(IF(MARÍTIMOS[[#This Row],[Etapa Despacho -  Registro]]="","",MARÍTIMOS[[#This Row],[Etapa Despacho - 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 Inicio de Carga]]="","",MARÍTIMOS[[#This Row],[Etapa Despacho -  Inicio de Carga]]),"")</f>
        <v/>
      </c>
      <c r="AD648" s="11" t="str">
        <f>IFERROR(IF(MARÍTIMOS[[#This Row],[Etapa Despacho -  Fin de Carga]]="","",MARÍTIMOS[[#This Row],[Etapa Despacho -  Fin de Carga]]),"")</f>
        <v/>
      </c>
      <c r="AE648" s="11" t="str">
        <f>IFERROR(IF(MARÍTIMOS[[#This Row],[Etapa Despacho -  Salida]]="","",MARÍTIMOS[[#This Row],[Etapa Despacho -  Salida]]),"")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5" t="s">
        <v>181</v>
      </c>
      <c r="BB648" s="53" t="str">
        <f>IFERROR(IF(MARÍTIMOS[[#This Row],[Estatus]]="","",MARÍTIMOS[[#This Row],[Estatus]]),"")</f>
        <v/>
      </c>
      <c r="BC648" s="45"/>
      <c r="BD648" s="52" t="str">
        <f>IFERROR(OLDBD[[#This Row],[Salida de almacén de retiro]]-OLDBD[[#This Row],[Ingreso Almacén de retiro]],"")</f>
        <v/>
      </c>
      <c r="BE648" s="52" t="str">
        <f>IFERROR(OLDBD[[#This Row],[Fin de Carga]]-OLDBD[[#This Row],[Inicio de Carga]],"")</f>
        <v/>
      </c>
    </row>
    <row r="649" spans="1:57" x14ac:dyDescent="0.35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6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Salida]]="","",MARÍTIMOS[[#This Row],[Etapa Retiro - Salida]]),"")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Row],[Hora de Carga]]+MARÍTIMOS[[#This Row],[Hora de Posicionamiento]]),"")</f>
        <v/>
      </c>
      <c r="Z649" s="11" t="str">
        <f>IFERROR(IF(MARÍTIMOS[[#This Row],[Etapa Despacho -  Llegada]]="","",MARÍTIMOS[[#This Row],[Etapa Despacho -  Llegada]]),"")</f>
        <v/>
      </c>
      <c r="AA649" s="11" t="str">
        <f>IFERROR(IF(MARÍTIMOS[[#This Row],[Etapa Despacho -  Registro]]="","",MARÍTIMOS[[#This Row],[Etapa Despacho - 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 Inicio de Carga]]="","",MARÍTIMOS[[#This Row],[Etapa Despacho -  Inicio de Carga]]),"")</f>
        <v/>
      </c>
      <c r="AD649" s="11" t="str">
        <f>IFERROR(IF(MARÍTIMOS[[#This Row],[Etapa Despacho -  Fin de Carga]]="","",MARÍTIMOS[[#This Row],[Etapa Despacho -  Fin de Carga]]),"")</f>
        <v/>
      </c>
      <c r="AE649" s="11" t="str">
        <f>IFERROR(IF(MARÍTIMOS[[#This Row],[Etapa Despacho -  Salida]]="","",MARÍTIMOS[[#This Row],[Etapa Despacho -  Salida]]),"")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5" t="s">
        <v>181</v>
      </c>
      <c r="BB649" s="53" t="str">
        <f>IFERROR(IF(MARÍTIMOS[[#This Row],[Estatus]]="","",MARÍTIMOS[[#This Row],[Estatus]]),"")</f>
        <v/>
      </c>
      <c r="BC649" s="45"/>
      <c r="BD649" s="52" t="str">
        <f>IFERROR(OLDBD[[#This Row],[Salida de almacén de retiro]]-OLDBD[[#This Row],[Ingreso Almacén de retiro]],"")</f>
        <v/>
      </c>
      <c r="BE649" s="52" t="str">
        <f>IFERROR(OLDBD[[#This Row],[Fin de Carga]]-OLDBD[[#This Row],[Inicio de Carga]],"")</f>
        <v/>
      </c>
    </row>
    <row r="650" spans="1:57" x14ac:dyDescent="0.35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6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Salida]]="","",MARÍTIMOS[[#This Row],[Etapa Retiro - Salida]]),"")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Row],[Hora de Carga]]+MARÍTIMOS[[#This Row],[Hora de Posicionamiento]]),"")</f>
        <v/>
      </c>
      <c r="Z650" s="11" t="str">
        <f>IFERROR(IF(MARÍTIMOS[[#This Row],[Etapa Despacho -  Llegada]]="","",MARÍTIMOS[[#This Row],[Etapa Despacho -  Llegada]]),"")</f>
        <v/>
      </c>
      <c r="AA650" s="11" t="str">
        <f>IFERROR(IF(MARÍTIMOS[[#This Row],[Etapa Despacho -  Registro]]="","",MARÍTIMOS[[#This Row],[Etapa Despacho - 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 Inicio de Carga]]="","",MARÍTIMOS[[#This Row],[Etapa Despacho -  Inicio de Carga]]),"")</f>
        <v/>
      </c>
      <c r="AD650" s="11" t="str">
        <f>IFERROR(IF(MARÍTIMOS[[#This Row],[Etapa Despacho -  Fin de Carga]]="","",MARÍTIMOS[[#This Row],[Etapa Despacho -  Fin de Carga]]),"")</f>
        <v/>
      </c>
      <c r="AE650" s="11" t="str">
        <f>IFERROR(IF(MARÍTIMOS[[#This Row],[Etapa Despacho -  Salida]]="","",MARÍTIMOS[[#This Row],[Etapa Despacho -  Salida]]),"")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5" t="s">
        <v>181</v>
      </c>
      <c r="BB650" s="53" t="str">
        <f>IFERROR(IF(MARÍTIMOS[[#This Row],[Estatus]]="","",MARÍTIMOS[[#This Row],[Estatus]]),"")</f>
        <v/>
      </c>
      <c r="BC650" s="45"/>
      <c r="BD650" s="52" t="str">
        <f>IFERROR(OLDBD[[#This Row],[Salida de almacén de retiro]]-OLDBD[[#This Row],[Ingreso Almacén de retiro]],"")</f>
        <v/>
      </c>
      <c r="BE650" s="52" t="str">
        <f>IFERROR(OLDBD[[#This Row],[Fin de Carga]]-OLDBD[[#This Row],[Inicio de Carga]],"")</f>
        <v/>
      </c>
    </row>
    <row r="651" spans="1:57" x14ac:dyDescent="0.35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6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Salida]]="","",MARÍTIMOS[[#This Row],[Etapa Retiro - Salida]]),"")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Row],[Hora de Carga]]+MARÍTIMOS[[#This Row],[Hora de Posicionamiento]]),"")</f>
        <v/>
      </c>
      <c r="Z651" s="11" t="str">
        <f>IFERROR(IF(MARÍTIMOS[[#This Row],[Etapa Despacho -  Llegada]]="","",MARÍTIMOS[[#This Row],[Etapa Despacho -  Llegada]]),"")</f>
        <v/>
      </c>
      <c r="AA651" s="11" t="str">
        <f>IFERROR(IF(MARÍTIMOS[[#This Row],[Etapa Despacho -  Registro]]="","",MARÍTIMOS[[#This Row],[Etapa Despacho - 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 Inicio de Carga]]="","",MARÍTIMOS[[#This Row],[Etapa Despacho -  Inicio de Carga]]),"")</f>
        <v/>
      </c>
      <c r="AD651" s="11" t="str">
        <f>IFERROR(IF(MARÍTIMOS[[#This Row],[Etapa Despacho -  Fin de Carga]]="","",MARÍTIMOS[[#This Row],[Etapa Despacho -  Fin de Carga]]),"")</f>
        <v/>
      </c>
      <c r="AE651" s="11" t="str">
        <f>IFERROR(IF(MARÍTIMOS[[#This Row],[Etapa Despacho -  Salida]]="","",MARÍTIMOS[[#This Row],[Etapa Despacho -  Salida]]),"")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5" t="s">
        <v>181</v>
      </c>
      <c r="BB651" s="53" t="str">
        <f>IFERROR(IF(MARÍTIMOS[[#This Row],[Estatus]]="","",MARÍTIMOS[[#This Row],[Estatus]]),"")</f>
        <v/>
      </c>
      <c r="BC651" s="45"/>
      <c r="BD651" s="52" t="str">
        <f>IFERROR(OLDBD[[#This Row],[Salida de almacén de retiro]]-OLDBD[[#This Row],[Ingreso Almacén de retiro]],"")</f>
        <v/>
      </c>
      <c r="BE651" s="52" t="str">
        <f>IFERROR(OLDBD[[#This Row],[Fin de Carga]]-OLDBD[[#This Row],[Inicio de Carga]],"")</f>
        <v/>
      </c>
    </row>
    <row r="652" spans="1:57" x14ac:dyDescent="0.35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6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Salida]]="","",MARÍTIMOS[[#This Row],[Etapa Retiro - Salida]]),"")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Row],[Hora de Carga]]+MARÍTIMOS[[#This Row],[Hora de Posicionamiento]]),"")</f>
        <v/>
      </c>
      <c r="Z652" s="11" t="str">
        <f>IFERROR(IF(MARÍTIMOS[[#This Row],[Etapa Despacho -  Llegada]]="","",MARÍTIMOS[[#This Row],[Etapa Despacho -  Llegada]]),"")</f>
        <v/>
      </c>
      <c r="AA652" s="11" t="str">
        <f>IFERROR(IF(MARÍTIMOS[[#This Row],[Etapa Despacho -  Registro]]="","",MARÍTIMOS[[#This Row],[Etapa Despacho - 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 Inicio de Carga]]="","",MARÍTIMOS[[#This Row],[Etapa Despacho -  Inicio de Carga]]),"")</f>
        <v/>
      </c>
      <c r="AD652" s="11" t="str">
        <f>IFERROR(IF(MARÍTIMOS[[#This Row],[Etapa Despacho -  Fin de Carga]]="","",MARÍTIMOS[[#This Row],[Etapa Despacho -  Fin de Carga]]),"")</f>
        <v/>
      </c>
      <c r="AE652" s="11" t="str">
        <f>IFERROR(IF(MARÍTIMOS[[#This Row],[Etapa Despacho -  Salida]]="","",MARÍTIMOS[[#This Row],[Etapa Despacho -  Salida]]),"")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5" t="s">
        <v>181</v>
      </c>
      <c r="BB652" s="53" t="str">
        <f>IFERROR(IF(MARÍTIMOS[[#This Row],[Estatus]]="","",MARÍTIMOS[[#This Row],[Estatus]]),"")</f>
        <v/>
      </c>
      <c r="BC652" s="45"/>
      <c r="BD652" s="52" t="str">
        <f>IFERROR(OLDBD[[#This Row],[Salida de almacén de retiro]]-OLDBD[[#This Row],[Ingreso Almacén de retiro]],"")</f>
        <v/>
      </c>
      <c r="BE652" s="52" t="str">
        <f>IFERROR(OLDBD[[#This Row],[Fin de Carga]]-OLDBD[[#This Row],[Inicio de Carga]],"")</f>
        <v/>
      </c>
    </row>
    <row r="653" spans="1:57" x14ac:dyDescent="0.35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6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Salida]]="","",MARÍTIMOS[[#This Row],[Etapa Retiro - Salida]]),"")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Row],[Hora de Carga]]+MARÍTIMOS[[#This Row],[Hora de Posicionamiento]]),"")</f>
        <v/>
      </c>
      <c r="Z653" s="11" t="str">
        <f>IFERROR(IF(MARÍTIMOS[[#This Row],[Etapa Despacho -  Llegada]]="","",MARÍTIMOS[[#This Row],[Etapa Despacho -  Llegada]]),"")</f>
        <v/>
      </c>
      <c r="AA653" s="11" t="str">
        <f>IFERROR(IF(MARÍTIMOS[[#This Row],[Etapa Despacho -  Registro]]="","",MARÍTIMOS[[#This Row],[Etapa Despacho - 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 Inicio de Carga]]="","",MARÍTIMOS[[#This Row],[Etapa Despacho -  Inicio de Carga]]),"")</f>
        <v/>
      </c>
      <c r="AD653" s="11" t="str">
        <f>IFERROR(IF(MARÍTIMOS[[#This Row],[Etapa Despacho -  Fin de Carga]]="","",MARÍTIMOS[[#This Row],[Etapa Despacho -  Fin de Carga]]),"")</f>
        <v/>
      </c>
      <c r="AE653" s="11" t="str">
        <f>IFERROR(IF(MARÍTIMOS[[#This Row],[Etapa Despacho -  Salida]]="","",MARÍTIMOS[[#This Row],[Etapa Despacho -  Salida]]),"")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5" t="s">
        <v>181</v>
      </c>
      <c r="BB653" s="53" t="str">
        <f>IFERROR(IF(MARÍTIMOS[[#This Row],[Estatus]]="","",MARÍTIMOS[[#This Row],[Estatus]]),"")</f>
        <v/>
      </c>
      <c r="BC653" s="45"/>
      <c r="BD653" s="52" t="str">
        <f>IFERROR(OLDBD[[#This Row],[Salida de almacén de retiro]]-OLDBD[[#This Row],[Ingreso Almacén de retiro]],"")</f>
        <v/>
      </c>
      <c r="BE653" s="52" t="str">
        <f>IFERROR(OLDBD[[#This Row],[Fin de Carga]]-OLDBD[[#This Row],[Inicio de Carga]],"")</f>
        <v/>
      </c>
    </row>
    <row r="654" spans="1:57" x14ac:dyDescent="0.35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6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Salida]]="","",MARÍTIMOS[[#This Row],[Etapa Retiro - Salida]]),"")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Row],[Hora de Carga]]+MARÍTIMOS[[#This Row],[Hora de Posicionamiento]]),"")</f>
        <v/>
      </c>
      <c r="Z654" s="11" t="str">
        <f>IFERROR(IF(MARÍTIMOS[[#This Row],[Etapa Despacho -  Llegada]]="","",MARÍTIMOS[[#This Row],[Etapa Despacho -  Llegada]]),"")</f>
        <v/>
      </c>
      <c r="AA654" s="11" t="str">
        <f>IFERROR(IF(MARÍTIMOS[[#This Row],[Etapa Despacho -  Registro]]="","",MARÍTIMOS[[#This Row],[Etapa Despacho - 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 Inicio de Carga]]="","",MARÍTIMOS[[#This Row],[Etapa Despacho -  Inicio de Carga]]),"")</f>
        <v/>
      </c>
      <c r="AD654" s="11" t="str">
        <f>IFERROR(IF(MARÍTIMOS[[#This Row],[Etapa Despacho -  Fin de Carga]]="","",MARÍTIMOS[[#This Row],[Etapa Despacho -  Fin de Carga]]),"")</f>
        <v/>
      </c>
      <c r="AE654" s="11" t="str">
        <f>IFERROR(IF(MARÍTIMOS[[#This Row],[Etapa Despacho -  Salida]]="","",MARÍTIMOS[[#This Row],[Etapa Despacho -  Salida]]),"")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5" t="s">
        <v>181</v>
      </c>
      <c r="BB654" s="53" t="str">
        <f>IFERROR(IF(MARÍTIMOS[[#This Row],[Estatus]]="","",MARÍTIMOS[[#This Row],[Estatus]]),"")</f>
        <v/>
      </c>
      <c r="BC654" s="45"/>
      <c r="BD654" s="52" t="str">
        <f>IFERROR(OLDBD[[#This Row],[Salida de almacén de retiro]]-OLDBD[[#This Row],[Ingreso Almacén de retiro]],"")</f>
        <v/>
      </c>
      <c r="BE654" s="52" t="str">
        <f>IFERROR(OLDBD[[#This Row],[Fin de Carga]]-OLDBD[[#This Row],[Inicio de Carga]],"")</f>
        <v/>
      </c>
    </row>
    <row r="655" spans="1:57" x14ac:dyDescent="0.35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6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Salida]]="","",MARÍTIMOS[[#This Row],[Etapa Retiro - Salida]]),"")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Row],[Hora de Carga]]+MARÍTIMOS[[#This Row],[Hora de Posicionamiento]]),"")</f>
        <v/>
      </c>
      <c r="Z655" s="11" t="str">
        <f>IFERROR(IF(MARÍTIMOS[[#This Row],[Etapa Despacho -  Llegada]]="","",MARÍTIMOS[[#This Row],[Etapa Despacho -  Llegada]]),"")</f>
        <v/>
      </c>
      <c r="AA655" s="11" t="str">
        <f>IFERROR(IF(MARÍTIMOS[[#This Row],[Etapa Despacho -  Registro]]="","",MARÍTIMOS[[#This Row],[Etapa Despacho - 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 Inicio de Carga]]="","",MARÍTIMOS[[#This Row],[Etapa Despacho -  Inicio de Carga]]),"")</f>
        <v/>
      </c>
      <c r="AD655" s="11" t="str">
        <f>IFERROR(IF(MARÍTIMOS[[#This Row],[Etapa Despacho -  Fin de Carga]]="","",MARÍTIMOS[[#This Row],[Etapa Despacho -  Fin de Carga]]),"")</f>
        <v/>
      </c>
      <c r="AE655" s="11" t="str">
        <f>IFERROR(IF(MARÍTIMOS[[#This Row],[Etapa Despacho -  Salida]]="","",MARÍTIMOS[[#This Row],[Etapa Despacho -  Salida]]),"")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5" t="s">
        <v>181</v>
      </c>
      <c r="BB655" s="53" t="str">
        <f>IFERROR(IF(MARÍTIMOS[[#This Row],[Estatus]]="","",MARÍTIMOS[[#This Row],[Estatus]]),"")</f>
        <v/>
      </c>
      <c r="BC655" s="45"/>
      <c r="BD655" s="52" t="str">
        <f>IFERROR(OLDBD[[#This Row],[Salida de almacén de retiro]]-OLDBD[[#This Row],[Ingreso Almacén de retiro]],"")</f>
        <v/>
      </c>
      <c r="BE655" s="52" t="str">
        <f>IFERROR(OLDBD[[#This Row],[Fin de Carga]]-OLDBD[[#This Row],[Inicio de Carga]],"")</f>
        <v/>
      </c>
    </row>
    <row r="656" spans="1:57" x14ac:dyDescent="0.35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6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Salida]]="","",MARÍTIMOS[[#This Row],[Etapa Retiro - Salida]]),"")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Row],[Hora de Carga]]+MARÍTIMOS[[#This Row],[Hora de Posicionamiento]]),"")</f>
        <v/>
      </c>
      <c r="Z656" s="11" t="str">
        <f>IFERROR(IF(MARÍTIMOS[[#This Row],[Etapa Despacho -  Llegada]]="","",MARÍTIMOS[[#This Row],[Etapa Despacho -  Llegada]]),"")</f>
        <v/>
      </c>
      <c r="AA656" s="11" t="str">
        <f>IFERROR(IF(MARÍTIMOS[[#This Row],[Etapa Despacho -  Registro]]="","",MARÍTIMOS[[#This Row],[Etapa Despacho - 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 Inicio de Carga]]="","",MARÍTIMOS[[#This Row],[Etapa Despacho -  Inicio de Carga]]),"")</f>
        <v/>
      </c>
      <c r="AD656" s="11" t="str">
        <f>IFERROR(IF(MARÍTIMOS[[#This Row],[Etapa Despacho -  Fin de Carga]]="","",MARÍTIMOS[[#This Row],[Etapa Despacho -  Fin de Carga]]),"")</f>
        <v/>
      </c>
      <c r="AE656" s="11" t="str">
        <f>IFERROR(IF(MARÍTIMOS[[#This Row],[Etapa Despacho -  Salida]]="","",MARÍTIMOS[[#This Row],[Etapa Despacho -  Salida]]),"")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5" t="s">
        <v>181</v>
      </c>
      <c r="BB656" s="53" t="str">
        <f>IFERROR(IF(MARÍTIMOS[[#This Row],[Estatus]]="","",MARÍTIMOS[[#This Row],[Estatus]]),"")</f>
        <v/>
      </c>
      <c r="BC656" s="45"/>
      <c r="BD656" s="52" t="str">
        <f>IFERROR(OLDBD[[#This Row],[Salida de almacén de retiro]]-OLDBD[[#This Row],[Ingreso Almacén de retiro]],"")</f>
        <v/>
      </c>
      <c r="BE656" s="52" t="str">
        <f>IFERROR(OLDBD[[#This Row],[Fin de Carga]]-OLDBD[[#This Row],[Inicio de Carga]],"")</f>
        <v/>
      </c>
    </row>
    <row r="657" spans="1:57" x14ac:dyDescent="0.35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6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Salida]]="","",MARÍTIMOS[[#This Row],[Etapa Retiro - Salida]]),"")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Row],[Hora de Carga]]+MARÍTIMOS[[#This Row],[Hora de Posicionamiento]]),"")</f>
        <v/>
      </c>
      <c r="Z657" s="11" t="str">
        <f>IFERROR(IF(MARÍTIMOS[[#This Row],[Etapa Despacho -  Llegada]]="","",MARÍTIMOS[[#This Row],[Etapa Despacho -  Llegada]]),"")</f>
        <v/>
      </c>
      <c r="AA657" s="11" t="str">
        <f>IFERROR(IF(MARÍTIMOS[[#This Row],[Etapa Despacho -  Registro]]="","",MARÍTIMOS[[#This Row],[Etapa Despacho - 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 Inicio de Carga]]="","",MARÍTIMOS[[#This Row],[Etapa Despacho -  Inicio de Carga]]),"")</f>
        <v/>
      </c>
      <c r="AD657" s="11" t="str">
        <f>IFERROR(IF(MARÍTIMOS[[#This Row],[Etapa Despacho -  Fin de Carga]]="","",MARÍTIMOS[[#This Row],[Etapa Despacho -  Fin de Carga]]),"")</f>
        <v/>
      </c>
      <c r="AE657" s="11" t="str">
        <f>IFERROR(IF(MARÍTIMOS[[#This Row],[Etapa Despacho -  Salida]]="","",MARÍTIMOS[[#This Row],[Etapa Despacho -  Salida]]),"")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5" t="s">
        <v>181</v>
      </c>
      <c r="BB657" s="53" t="str">
        <f>IFERROR(IF(MARÍTIMOS[[#This Row],[Estatus]]="","",MARÍTIMOS[[#This Row],[Estatus]]),"")</f>
        <v/>
      </c>
      <c r="BC657" s="45"/>
      <c r="BD657" s="52" t="str">
        <f>IFERROR(OLDBD[[#This Row],[Salida de almacén de retiro]]-OLDBD[[#This Row],[Ingreso Almacén de retiro]],"")</f>
        <v/>
      </c>
      <c r="BE657" s="52" t="str">
        <f>IFERROR(OLDBD[[#This Row],[Fin de Carga]]-OLDBD[[#This Row],[Inicio de Carga]],"")</f>
        <v/>
      </c>
    </row>
    <row r="658" spans="1:57" x14ac:dyDescent="0.35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6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Salida]]="","",MARÍTIMOS[[#This Row],[Etapa Retiro - Salida]]),"")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Row],[Hora de Carga]]+MARÍTIMOS[[#This Row],[Hora de Posicionamiento]]),"")</f>
        <v/>
      </c>
      <c r="Z658" s="11" t="str">
        <f>IFERROR(IF(MARÍTIMOS[[#This Row],[Etapa Despacho -  Llegada]]="","",MARÍTIMOS[[#This Row],[Etapa Despacho -  Llegada]]),"")</f>
        <v/>
      </c>
      <c r="AA658" s="11" t="str">
        <f>IFERROR(IF(MARÍTIMOS[[#This Row],[Etapa Despacho -  Registro]]="","",MARÍTIMOS[[#This Row],[Etapa Despacho - 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 Inicio de Carga]]="","",MARÍTIMOS[[#This Row],[Etapa Despacho -  Inicio de Carga]]),"")</f>
        <v/>
      </c>
      <c r="AD658" s="11" t="str">
        <f>IFERROR(IF(MARÍTIMOS[[#This Row],[Etapa Despacho -  Fin de Carga]]="","",MARÍTIMOS[[#This Row],[Etapa Despacho -  Fin de Carga]]),"")</f>
        <v/>
      </c>
      <c r="AE658" s="11" t="str">
        <f>IFERROR(IF(MARÍTIMOS[[#This Row],[Etapa Despacho -  Salida]]="","",MARÍTIMOS[[#This Row],[Etapa Despacho -  Salida]]),"")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5" t="s">
        <v>181</v>
      </c>
      <c r="BB658" s="53" t="str">
        <f>IFERROR(IF(MARÍTIMOS[[#This Row],[Estatus]]="","",MARÍTIMOS[[#This Row],[Estatus]]),"")</f>
        <v/>
      </c>
      <c r="BC658" s="45"/>
      <c r="BD658" s="52" t="str">
        <f>IFERROR(OLDBD[[#This Row],[Salida de almacén de retiro]]-OLDBD[[#This Row],[Ingreso Almacén de retiro]],"")</f>
        <v/>
      </c>
      <c r="BE658" s="52" t="str">
        <f>IFERROR(OLDBD[[#This Row],[Fin de Carga]]-OLDBD[[#This Row],[Inicio de Carga]],"")</f>
        <v/>
      </c>
    </row>
    <row r="659" spans="1:57" x14ac:dyDescent="0.35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6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Salida]]="","",MARÍTIMOS[[#This Row],[Etapa Retiro - Salida]]),"")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Row],[Hora de Carga]]+MARÍTIMOS[[#This Row],[Hora de Posicionamiento]]),"")</f>
        <v/>
      </c>
      <c r="Z659" s="11" t="str">
        <f>IFERROR(IF(MARÍTIMOS[[#This Row],[Etapa Despacho -  Llegada]]="","",MARÍTIMOS[[#This Row],[Etapa Despacho -  Llegada]]),"")</f>
        <v/>
      </c>
      <c r="AA659" s="11" t="str">
        <f>IFERROR(IF(MARÍTIMOS[[#This Row],[Etapa Despacho -  Registro]]="","",MARÍTIMOS[[#This Row],[Etapa Despacho - 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 Inicio de Carga]]="","",MARÍTIMOS[[#This Row],[Etapa Despacho -  Inicio de Carga]]),"")</f>
        <v/>
      </c>
      <c r="AD659" s="11" t="str">
        <f>IFERROR(IF(MARÍTIMOS[[#This Row],[Etapa Despacho -  Fin de Carga]]="","",MARÍTIMOS[[#This Row],[Etapa Despacho -  Fin de Carga]]),"")</f>
        <v/>
      </c>
      <c r="AE659" s="11" t="str">
        <f>IFERROR(IF(MARÍTIMOS[[#This Row],[Etapa Despacho -  Salida]]="","",MARÍTIMOS[[#This Row],[Etapa Despacho -  Salida]]),"")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5" t="s">
        <v>181</v>
      </c>
      <c r="BB659" s="53" t="str">
        <f>IFERROR(IF(MARÍTIMOS[[#This Row],[Estatus]]="","",MARÍTIMOS[[#This Row],[Estatus]]),"")</f>
        <v/>
      </c>
      <c r="BC659" s="45"/>
      <c r="BD659" s="52" t="str">
        <f>IFERROR(OLDBD[[#This Row],[Salida de almacén de retiro]]-OLDBD[[#This Row],[Ingreso Almacén de retiro]],"")</f>
        <v/>
      </c>
      <c r="BE659" s="52" t="str">
        <f>IFERROR(OLDBD[[#This Row],[Fin de Carga]]-OLDBD[[#This Row],[Inicio de Carga]],"")</f>
        <v/>
      </c>
    </row>
    <row r="660" spans="1:57" x14ac:dyDescent="0.35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6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Salida]]="","",MARÍTIMOS[[#This Row],[Etapa Retiro - Salida]]),"")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Row],[Hora de Carga]]+MARÍTIMOS[[#This Row],[Hora de Posicionamiento]]),"")</f>
        <v/>
      </c>
      <c r="Z660" s="11" t="str">
        <f>IFERROR(IF(MARÍTIMOS[[#This Row],[Etapa Despacho -  Llegada]]="","",MARÍTIMOS[[#This Row],[Etapa Despacho -  Llegada]]),"")</f>
        <v/>
      </c>
      <c r="AA660" s="11" t="str">
        <f>IFERROR(IF(MARÍTIMOS[[#This Row],[Etapa Despacho -  Registro]]="","",MARÍTIMOS[[#This Row],[Etapa Despacho - 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 Inicio de Carga]]="","",MARÍTIMOS[[#This Row],[Etapa Despacho -  Inicio de Carga]]),"")</f>
        <v/>
      </c>
      <c r="AD660" s="11" t="str">
        <f>IFERROR(IF(MARÍTIMOS[[#This Row],[Etapa Despacho -  Fin de Carga]]="","",MARÍTIMOS[[#This Row],[Etapa Despacho -  Fin de Carga]]),"")</f>
        <v/>
      </c>
      <c r="AE660" s="11" t="str">
        <f>IFERROR(IF(MARÍTIMOS[[#This Row],[Etapa Despacho -  Salida]]="","",MARÍTIMOS[[#This Row],[Etapa Despacho -  Salida]]),"")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5" t="s">
        <v>181</v>
      </c>
      <c r="BB660" s="53" t="str">
        <f>IFERROR(IF(MARÍTIMOS[[#This Row],[Estatus]]="","",MARÍTIMOS[[#This Row],[Estatus]]),"")</f>
        <v/>
      </c>
      <c r="BC660" s="45"/>
      <c r="BD660" s="52" t="str">
        <f>IFERROR(OLDBD[[#This Row],[Salida de almacén de retiro]]-OLDBD[[#This Row],[Ingreso Almacén de retiro]],"")</f>
        <v/>
      </c>
      <c r="BE660" s="52" t="str">
        <f>IFERROR(OLDBD[[#This Row],[Fin de Carga]]-OLDBD[[#This Row],[Inicio de Carga]],"")</f>
        <v/>
      </c>
    </row>
    <row r="661" spans="1:57" x14ac:dyDescent="0.35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6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Salida]]="","",MARÍTIMOS[[#This Row],[Etapa Retiro - Salida]]),"")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Row],[Hora de Carga]]+MARÍTIMOS[[#This Row],[Hora de Posicionamiento]]),"")</f>
        <v/>
      </c>
      <c r="Z661" s="11" t="str">
        <f>IFERROR(IF(MARÍTIMOS[[#This Row],[Etapa Despacho -  Llegada]]="","",MARÍTIMOS[[#This Row],[Etapa Despacho -  Llegada]]),"")</f>
        <v/>
      </c>
      <c r="AA661" s="11" t="str">
        <f>IFERROR(IF(MARÍTIMOS[[#This Row],[Etapa Despacho -  Registro]]="","",MARÍTIMOS[[#This Row],[Etapa Despacho - 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 Inicio de Carga]]="","",MARÍTIMOS[[#This Row],[Etapa Despacho -  Inicio de Carga]]),"")</f>
        <v/>
      </c>
      <c r="AD661" s="11" t="str">
        <f>IFERROR(IF(MARÍTIMOS[[#This Row],[Etapa Despacho -  Fin de Carga]]="","",MARÍTIMOS[[#This Row],[Etapa Despacho -  Fin de Carga]]),"")</f>
        <v/>
      </c>
      <c r="AE661" s="11" t="str">
        <f>IFERROR(IF(MARÍTIMOS[[#This Row],[Etapa Despacho -  Salida]]="","",MARÍTIMOS[[#This Row],[Etapa Despacho -  Salida]]),"")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5" t="s">
        <v>181</v>
      </c>
      <c r="BB661" s="53" t="str">
        <f>IFERROR(IF(MARÍTIMOS[[#This Row],[Estatus]]="","",MARÍTIMOS[[#This Row],[Estatus]]),"")</f>
        <v/>
      </c>
      <c r="BC661" s="45"/>
      <c r="BD661" s="52" t="str">
        <f>IFERROR(OLDBD[[#This Row],[Salida de almacén de retiro]]-OLDBD[[#This Row],[Ingreso Almacén de retiro]],"")</f>
        <v/>
      </c>
      <c r="BE661" s="52" t="str">
        <f>IFERROR(OLDBD[[#This Row],[Fin de Carga]]-OLDBD[[#This Row],[Inicio de Carga]],"")</f>
        <v/>
      </c>
    </row>
    <row r="662" spans="1:57" x14ac:dyDescent="0.35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6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Salida]]="","",MARÍTIMOS[[#This Row],[Etapa Retiro - Salida]]),"")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Row],[Hora de Carga]]+MARÍTIMOS[[#This Row],[Hora de Posicionamiento]]),"")</f>
        <v/>
      </c>
      <c r="Z662" s="11" t="str">
        <f>IFERROR(IF(MARÍTIMOS[[#This Row],[Etapa Despacho -  Llegada]]="","",MARÍTIMOS[[#This Row],[Etapa Despacho -  Llegada]]),"")</f>
        <v/>
      </c>
      <c r="AA662" s="11" t="str">
        <f>IFERROR(IF(MARÍTIMOS[[#This Row],[Etapa Despacho -  Registro]]="","",MARÍTIMOS[[#This Row],[Etapa Despacho - 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 Inicio de Carga]]="","",MARÍTIMOS[[#This Row],[Etapa Despacho -  Inicio de Carga]]),"")</f>
        <v/>
      </c>
      <c r="AD662" s="11" t="str">
        <f>IFERROR(IF(MARÍTIMOS[[#This Row],[Etapa Despacho -  Fin de Carga]]="","",MARÍTIMOS[[#This Row],[Etapa Despacho -  Fin de Carga]]),"")</f>
        <v/>
      </c>
      <c r="AE662" s="11" t="str">
        <f>IFERROR(IF(MARÍTIMOS[[#This Row],[Etapa Despacho -  Salida]]="","",MARÍTIMOS[[#This Row],[Etapa Despacho -  Salida]]),"")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5" t="s">
        <v>181</v>
      </c>
      <c r="BB662" s="53" t="str">
        <f>IFERROR(IF(MARÍTIMOS[[#This Row],[Estatus]]="","",MARÍTIMOS[[#This Row],[Estatus]]),"")</f>
        <v/>
      </c>
      <c r="BC662" s="45"/>
      <c r="BD662" s="52" t="str">
        <f>IFERROR(OLDBD[[#This Row],[Salida de almacén de retiro]]-OLDBD[[#This Row],[Ingreso Almacén de retiro]],"")</f>
        <v/>
      </c>
      <c r="BE662" s="52" t="str">
        <f>IFERROR(OLDBD[[#This Row],[Fin de Carga]]-OLDBD[[#This Row],[Inicio de Carga]],"")</f>
        <v/>
      </c>
    </row>
    <row r="663" spans="1:57" x14ac:dyDescent="0.35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6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Salida]]="","",MARÍTIMOS[[#This Row],[Etapa Retiro - Salida]]),"")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Row],[Hora de Carga]]+MARÍTIMOS[[#This Row],[Hora de Posicionamiento]]),"")</f>
        <v/>
      </c>
      <c r="Z663" s="11" t="str">
        <f>IFERROR(IF(MARÍTIMOS[[#This Row],[Etapa Despacho -  Llegada]]="","",MARÍTIMOS[[#This Row],[Etapa Despacho -  Llegada]]),"")</f>
        <v/>
      </c>
      <c r="AA663" s="11" t="str">
        <f>IFERROR(IF(MARÍTIMOS[[#This Row],[Etapa Despacho -  Registro]]="","",MARÍTIMOS[[#This Row],[Etapa Despacho - 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 Inicio de Carga]]="","",MARÍTIMOS[[#This Row],[Etapa Despacho -  Inicio de Carga]]),"")</f>
        <v/>
      </c>
      <c r="AD663" s="11" t="str">
        <f>IFERROR(IF(MARÍTIMOS[[#This Row],[Etapa Despacho -  Fin de Carga]]="","",MARÍTIMOS[[#This Row],[Etapa Despacho -  Fin de Carga]]),"")</f>
        <v/>
      </c>
      <c r="AE663" s="11" t="str">
        <f>IFERROR(IF(MARÍTIMOS[[#This Row],[Etapa Despacho -  Salida]]="","",MARÍTIMOS[[#This Row],[Etapa Despacho -  Salida]]),"")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5" t="s">
        <v>181</v>
      </c>
      <c r="BB663" s="53" t="str">
        <f>IFERROR(IF(MARÍTIMOS[[#This Row],[Estatus]]="","",MARÍTIMOS[[#This Row],[Estatus]]),"")</f>
        <v/>
      </c>
      <c r="BC663" s="45"/>
      <c r="BD663" s="52" t="str">
        <f>IFERROR(OLDBD[[#This Row],[Salida de almacén de retiro]]-OLDBD[[#This Row],[Ingreso Almacén de retiro]],"")</f>
        <v/>
      </c>
      <c r="BE663" s="52" t="str">
        <f>IFERROR(OLDBD[[#This Row],[Fin de Carga]]-OLDBD[[#This Row],[Inicio de Carga]],"")</f>
        <v/>
      </c>
    </row>
    <row r="664" spans="1:57" x14ac:dyDescent="0.35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6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Salida]]="","",MARÍTIMOS[[#This Row],[Etapa Retiro - Salida]]),"")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Row],[Hora de Carga]]+MARÍTIMOS[[#This Row],[Hora de Posicionamiento]]),"")</f>
        <v/>
      </c>
      <c r="Z664" s="11" t="str">
        <f>IFERROR(IF(MARÍTIMOS[[#This Row],[Etapa Despacho -  Llegada]]="","",MARÍTIMOS[[#This Row],[Etapa Despacho -  Llegada]]),"")</f>
        <v/>
      </c>
      <c r="AA664" s="11" t="str">
        <f>IFERROR(IF(MARÍTIMOS[[#This Row],[Etapa Despacho -  Registro]]="","",MARÍTIMOS[[#This Row],[Etapa Despacho - 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 Inicio de Carga]]="","",MARÍTIMOS[[#This Row],[Etapa Despacho -  Inicio de Carga]]),"")</f>
        <v/>
      </c>
      <c r="AD664" s="11" t="str">
        <f>IFERROR(IF(MARÍTIMOS[[#This Row],[Etapa Despacho -  Fin de Carga]]="","",MARÍTIMOS[[#This Row],[Etapa Despacho -  Fin de Carga]]),"")</f>
        <v/>
      </c>
      <c r="AE664" s="11" t="str">
        <f>IFERROR(IF(MARÍTIMOS[[#This Row],[Etapa Despacho -  Salida]]="","",MARÍTIMOS[[#This Row],[Etapa Despacho -  Salida]]),"")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5" t="s">
        <v>181</v>
      </c>
      <c r="BB664" s="53" t="str">
        <f>IFERROR(IF(MARÍTIMOS[[#This Row],[Estatus]]="","",MARÍTIMOS[[#This Row],[Estatus]]),"")</f>
        <v/>
      </c>
      <c r="BC664" s="45"/>
      <c r="BD664" s="52" t="str">
        <f>IFERROR(OLDBD[[#This Row],[Salida de almacén de retiro]]-OLDBD[[#This Row],[Ingreso Almacén de retiro]],"")</f>
        <v/>
      </c>
      <c r="BE664" s="52" t="str">
        <f>IFERROR(OLDBD[[#This Row],[Fin de Carga]]-OLDBD[[#This Row],[Inicio de Carga]],"")</f>
        <v/>
      </c>
    </row>
    <row r="665" spans="1:57" x14ac:dyDescent="0.35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6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Salida]]="","",MARÍTIMOS[[#This Row],[Etapa Retiro - Salida]]),"")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Row],[Hora de Carga]]+MARÍTIMOS[[#This Row],[Hora de Posicionamiento]]),"")</f>
        <v/>
      </c>
      <c r="Z665" s="11" t="str">
        <f>IFERROR(IF(MARÍTIMOS[[#This Row],[Etapa Despacho -  Llegada]]="","",MARÍTIMOS[[#This Row],[Etapa Despacho -  Llegada]]),"")</f>
        <v/>
      </c>
      <c r="AA665" s="11" t="str">
        <f>IFERROR(IF(MARÍTIMOS[[#This Row],[Etapa Despacho -  Registro]]="","",MARÍTIMOS[[#This Row],[Etapa Despacho - 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 Inicio de Carga]]="","",MARÍTIMOS[[#This Row],[Etapa Despacho -  Inicio de Carga]]),"")</f>
        <v/>
      </c>
      <c r="AD665" s="11" t="str">
        <f>IFERROR(IF(MARÍTIMOS[[#This Row],[Etapa Despacho -  Fin de Carga]]="","",MARÍTIMOS[[#This Row],[Etapa Despacho -  Fin de Carga]]),"")</f>
        <v/>
      </c>
      <c r="AE665" s="11" t="str">
        <f>IFERROR(IF(MARÍTIMOS[[#This Row],[Etapa Despacho -  Salida]]="","",MARÍTIMOS[[#This Row],[Etapa Despacho -  Salida]]),"")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5" t="s">
        <v>181</v>
      </c>
      <c r="BB665" s="53" t="str">
        <f>IFERROR(IF(MARÍTIMOS[[#This Row],[Estatus]]="","",MARÍTIMOS[[#This Row],[Estatus]]),"")</f>
        <v/>
      </c>
      <c r="BC665" s="45"/>
      <c r="BD665" s="52" t="str">
        <f>IFERROR(OLDBD[[#This Row],[Salida de almacén de retiro]]-OLDBD[[#This Row],[Ingreso Almacén de retiro]],"")</f>
        <v/>
      </c>
      <c r="BE665" s="52" t="str">
        <f>IFERROR(OLDBD[[#This Row],[Fin de Carga]]-OLDBD[[#This Row],[Inicio de Carga]],"")</f>
        <v/>
      </c>
    </row>
    <row r="666" spans="1:57" x14ac:dyDescent="0.35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6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Salida]]="","",MARÍTIMOS[[#This Row],[Etapa Retiro - Salida]]),"")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Row],[Hora de Carga]]+MARÍTIMOS[[#This Row],[Hora de Posicionamiento]]),"")</f>
        <v/>
      </c>
      <c r="Z666" s="11" t="str">
        <f>IFERROR(IF(MARÍTIMOS[[#This Row],[Etapa Despacho -  Llegada]]="","",MARÍTIMOS[[#This Row],[Etapa Despacho -  Llegada]]),"")</f>
        <v/>
      </c>
      <c r="AA666" s="11" t="str">
        <f>IFERROR(IF(MARÍTIMOS[[#This Row],[Etapa Despacho -  Registro]]="","",MARÍTIMOS[[#This Row],[Etapa Despacho - 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 Inicio de Carga]]="","",MARÍTIMOS[[#This Row],[Etapa Despacho -  Inicio de Carga]]),"")</f>
        <v/>
      </c>
      <c r="AD666" s="11" t="str">
        <f>IFERROR(IF(MARÍTIMOS[[#This Row],[Etapa Despacho -  Fin de Carga]]="","",MARÍTIMOS[[#This Row],[Etapa Despacho -  Fin de Carga]]),"")</f>
        <v/>
      </c>
      <c r="AE666" s="11" t="str">
        <f>IFERROR(IF(MARÍTIMOS[[#This Row],[Etapa Despacho -  Salida]]="","",MARÍTIMOS[[#This Row],[Etapa Despacho -  Salida]]),"")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5" t="s">
        <v>181</v>
      </c>
      <c r="BB666" s="53" t="str">
        <f>IFERROR(IF(MARÍTIMOS[[#This Row],[Estatus]]="","",MARÍTIMOS[[#This Row],[Estatus]]),"")</f>
        <v/>
      </c>
      <c r="BC666" s="45"/>
      <c r="BD666" s="52" t="str">
        <f>IFERROR(OLDBD[[#This Row],[Salida de almacén de retiro]]-OLDBD[[#This Row],[Ingreso Almacén de retiro]],"")</f>
        <v/>
      </c>
      <c r="BE666" s="52" t="str">
        <f>IFERROR(OLDBD[[#This Row],[Fin de Carga]]-OLDBD[[#This Row],[Inicio de Carga]],"")</f>
        <v/>
      </c>
    </row>
    <row r="667" spans="1:57" x14ac:dyDescent="0.35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6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Salida]]="","",MARÍTIMOS[[#This Row],[Etapa Retiro - Salida]]),"")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Row],[Hora de Carga]]+MARÍTIMOS[[#This Row],[Hora de Posicionamiento]]),"")</f>
        <v/>
      </c>
      <c r="Z667" s="11" t="str">
        <f>IFERROR(IF(MARÍTIMOS[[#This Row],[Etapa Despacho -  Llegada]]="","",MARÍTIMOS[[#This Row],[Etapa Despacho -  Llegada]]),"")</f>
        <v/>
      </c>
      <c r="AA667" s="11" t="str">
        <f>IFERROR(IF(MARÍTIMOS[[#This Row],[Etapa Despacho -  Registro]]="","",MARÍTIMOS[[#This Row],[Etapa Despacho - 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 Inicio de Carga]]="","",MARÍTIMOS[[#This Row],[Etapa Despacho -  Inicio de Carga]]),"")</f>
        <v/>
      </c>
      <c r="AD667" s="11" t="str">
        <f>IFERROR(IF(MARÍTIMOS[[#This Row],[Etapa Despacho -  Fin de Carga]]="","",MARÍTIMOS[[#This Row],[Etapa Despacho -  Fin de Carga]]),"")</f>
        <v/>
      </c>
      <c r="AE667" s="11" t="str">
        <f>IFERROR(IF(MARÍTIMOS[[#This Row],[Etapa Despacho -  Salida]]="","",MARÍTIMOS[[#This Row],[Etapa Despacho -  Salida]]),"")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5" t="s">
        <v>181</v>
      </c>
      <c r="BB667" s="53" t="str">
        <f>IFERROR(IF(MARÍTIMOS[[#This Row],[Estatus]]="","",MARÍTIMOS[[#This Row],[Estatus]]),"")</f>
        <v/>
      </c>
      <c r="BC667" s="45"/>
      <c r="BD667" s="52" t="str">
        <f>IFERROR(OLDBD[[#This Row],[Salida de almacén de retiro]]-OLDBD[[#This Row],[Ingreso Almacén de retiro]],"")</f>
        <v/>
      </c>
      <c r="BE667" s="52" t="str">
        <f>IFERROR(OLDBD[[#This Row],[Fin de Carga]]-OLDBD[[#This Row],[Inicio de Carga]],"")</f>
        <v/>
      </c>
    </row>
    <row r="668" spans="1:57" x14ac:dyDescent="0.35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6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Salida]]="","",MARÍTIMOS[[#This Row],[Etapa Retiro - Salida]]),"")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Row],[Hora de Carga]]+MARÍTIMOS[[#This Row],[Hora de Posicionamiento]]),"")</f>
        <v/>
      </c>
      <c r="Z668" s="11" t="str">
        <f>IFERROR(IF(MARÍTIMOS[[#This Row],[Etapa Despacho -  Llegada]]="","",MARÍTIMOS[[#This Row],[Etapa Despacho -  Llegada]]),"")</f>
        <v/>
      </c>
      <c r="AA668" s="11" t="str">
        <f>IFERROR(IF(MARÍTIMOS[[#This Row],[Etapa Despacho -  Registro]]="","",MARÍTIMOS[[#This Row],[Etapa Despacho - 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 Inicio de Carga]]="","",MARÍTIMOS[[#This Row],[Etapa Despacho -  Inicio de Carga]]),"")</f>
        <v/>
      </c>
      <c r="AD668" s="11" t="str">
        <f>IFERROR(IF(MARÍTIMOS[[#This Row],[Etapa Despacho -  Fin de Carga]]="","",MARÍTIMOS[[#This Row],[Etapa Despacho -  Fin de Carga]]),"")</f>
        <v/>
      </c>
      <c r="AE668" s="11" t="str">
        <f>IFERROR(IF(MARÍTIMOS[[#This Row],[Etapa Despacho -  Salida]]="","",MARÍTIMOS[[#This Row],[Etapa Despacho -  Salida]]),"")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5" t="s">
        <v>181</v>
      </c>
      <c r="BB668" s="53" t="str">
        <f>IFERROR(IF(MARÍTIMOS[[#This Row],[Estatus]]="","",MARÍTIMOS[[#This Row],[Estatus]]),"")</f>
        <v/>
      </c>
      <c r="BC668" s="45"/>
      <c r="BD668" s="52" t="str">
        <f>IFERROR(OLDBD[[#This Row],[Salida de almacén de retiro]]-OLDBD[[#This Row],[Ingreso Almacén de retiro]],"")</f>
        <v/>
      </c>
      <c r="BE668" s="52" t="str">
        <f>IFERROR(OLDBD[[#This Row],[Fin de Carga]]-OLDBD[[#This Row],[Inicio de Carga]],"")</f>
        <v/>
      </c>
    </row>
    <row r="669" spans="1:57" x14ac:dyDescent="0.35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6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Salida]]="","",MARÍTIMOS[[#This Row],[Etapa Retiro - Salida]]),"")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Row],[Hora de Carga]]+MARÍTIMOS[[#This Row],[Hora de Posicionamiento]]),"")</f>
        <v/>
      </c>
      <c r="Z669" s="11" t="str">
        <f>IFERROR(IF(MARÍTIMOS[[#This Row],[Etapa Despacho -  Llegada]]="","",MARÍTIMOS[[#This Row],[Etapa Despacho -  Llegada]]),"")</f>
        <v/>
      </c>
      <c r="AA669" s="11" t="str">
        <f>IFERROR(IF(MARÍTIMOS[[#This Row],[Etapa Despacho -  Registro]]="","",MARÍTIMOS[[#This Row],[Etapa Despacho - 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 Inicio de Carga]]="","",MARÍTIMOS[[#This Row],[Etapa Despacho -  Inicio de Carga]]),"")</f>
        <v/>
      </c>
      <c r="AD669" s="11" t="str">
        <f>IFERROR(IF(MARÍTIMOS[[#This Row],[Etapa Despacho -  Fin de Carga]]="","",MARÍTIMOS[[#This Row],[Etapa Despacho -  Fin de Carga]]),"")</f>
        <v/>
      </c>
      <c r="AE669" s="11" t="str">
        <f>IFERROR(IF(MARÍTIMOS[[#This Row],[Etapa Despacho -  Salida]]="","",MARÍTIMOS[[#This Row],[Etapa Despacho -  Salida]]),"")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5" t="s">
        <v>181</v>
      </c>
      <c r="BB669" s="53" t="str">
        <f>IFERROR(IF(MARÍTIMOS[[#This Row],[Estatus]]="","",MARÍTIMOS[[#This Row],[Estatus]]),"")</f>
        <v/>
      </c>
      <c r="BC669" s="45"/>
      <c r="BD669" s="52" t="str">
        <f>IFERROR(OLDBD[[#This Row],[Salida de almacén de retiro]]-OLDBD[[#This Row],[Ingreso Almacén de retiro]],"")</f>
        <v/>
      </c>
      <c r="BE669" s="52" t="str">
        <f>IFERROR(OLDBD[[#This Row],[Fin de Carga]]-OLDBD[[#This Row],[Inicio de Carga]],"")</f>
        <v/>
      </c>
    </row>
    <row r="670" spans="1:57" x14ac:dyDescent="0.35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6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Salida]]="","",MARÍTIMOS[[#This Row],[Etapa Retiro - Salida]]),"")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Row],[Hora de Carga]]+MARÍTIMOS[[#This Row],[Hora de Posicionamiento]]),"")</f>
        <v/>
      </c>
      <c r="Z670" s="11" t="str">
        <f>IFERROR(IF(MARÍTIMOS[[#This Row],[Etapa Despacho -  Llegada]]="","",MARÍTIMOS[[#This Row],[Etapa Despacho -  Llegada]]),"")</f>
        <v/>
      </c>
      <c r="AA670" s="11" t="str">
        <f>IFERROR(IF(MARÍTIMOS[[#This Row],[Etapa Despacho -  Registro]]="","",MARÍTIMOS[[#This Row],[Etapa Despacho - 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 Inicio de Carga]]="","",MARÍTIMOS[[#This Row],[Etapa Despacho -  Inicio de Carga]]),"")</f>
        <v/>
      </c>
      <c r="AD670" s="11" t="str">
        <f>IFERROR(IF(MARÍTIMOS[[#This Row],[Etapa Despacho -  Fin de Carga]]="","",MARÍTIMOS[[#This Row],[Etapa Despacho -  Fin de Carga]]),"")</f>
        <v/>
      </c>
      <c r="AE670" s="11" t="str">
        <f>IFERROR(IF(MARÍTIMOS[[#This Row],[Etapa Despacho -  Salida]]="","",MARÍTIMOS[[#This Row],[Etapa Despacho -  Salida]]),"")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5" t="s">
        <v>181</v>
      </c>
      <c r="BB670" s="53" t="str">
        <f>IFERROR(IF(MARÍTIMOS[[#This Row],[Estatus]]="","",MARÍTIMOS[[#This Row],[Estatus]]),"")</f>
        <v/>
      </c>
      <c r="BC670" s="45"/>
      <c r="BD670" s="52" t="str">
        <f>IFERROR(OLDBD[[#This Row],[Salida de almacén de retiro]]-OLDBD[[#This Row],[Ingreso Almacén de retiro]],"")</f>
        <v/>
      </c>
      <c r="BE670" s="52" t="str">
        <f>IFERROR(OLDBD[[#This Row],[Fin de Carga]]-OLDBD[[#This Row],[Inicio de Carga]],"")</f>
        <v/>
      </c>
    </row>
    <row r="671" spans="1:57" x14ac:dyDescent="0.35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6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Salida]]="","",MARÍTIMOS[[#This Row],[Etapa Retiro - Salida]]),"")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Row],[Hora de Carga]]+MARÍTIMOS[[#This Row],[Hora de Posicionamiento]]),"")</f>
        <v/>
      </c>
      <c r="Z671" s="11" t="str">
        <f>IFERROR(IF(MARÍTIMOS[[#This Row],[Etapa Despacho -  Llegada]]="","",MARÍTIMOS[[#This Row],[Etapa Despacho -  Llegada]]),"")</f>
        <v/>
      </c>
      <c r="AA671" s="11" t="str">
        <f>IFERROR(IF(MARÍTIMOS[[#This Row],[Etapa Despacho -  Registro]]="","",MARÍTIMOS[[#This Row],[Etapa Despacho - 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 Inicio de Carga]]="","",MARÍTIMOS[[#This Row],[Etapa Despacho -  Inicio de Carga]]),"")</f>
        <v/>
      </c>
      <c r="AD671" s="11" t="str">
        <f>IFERROR(IF(MARÍTIMOS[[#This Row],[Etapa Despacho -  Fin de Carga]]="","",MARÍTIMOS[[#This Row],[Etapa Despacho -  Fin de Carga]]),"")</f>
        <v/>
      </c>
      <c r="AE671" s="11" t="str">
        <f>IFERROR(IF(MARÍTIMOS[[#This Row],[Etapa Despacho -  Salida]]="","",MARÍTIMOS[[#This Row],[Etapa Despacho -  Salida]]),"")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5" t="s">
        <v>181</v>
      </c>
      <c r="BB671" s="53" t="str">
        <f>IFERROR(IF(MARÍTIMOS[[#This Row],[Estatus]]="","",MARÍTIMOS[[#This Row],[Estatus]]),"")</f>
        <v/>
      </c>
      <c r="BC671" s="45"/>
      <c r="BD671" s="52" t="str">
        <f>IFERROR(OLDBD[[#This Row],[Salida de almacén de retiro]]-OLDBD[[#This Row],[Ingreso Almacén de retiro]],"")</f>
        <v/>
      </c>
      <c r="BE671" s="52" t="str">
        <f>IFERROR(OLDBD[[#This Row],[Fin de Carga]]-OLDBD[[#This Row],[Inicio de Carga]],"")</f>
        <v/>
      </c>
    </row>
    <row r="672" spans="1:57" x14ac:dyDescent="0.35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6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Salida]]="","",MARÍTIMOS[[#This Row],[Etapa Retiro - Salida]]),"")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Row],[Hora de Carga]]+MARÍTIMOS[[#This Row],[Hora de Posicionamiento]]),"")</f>
        <v/>
      </c>
      <c r="Z672" s="11" t="str">
        <f>IFERROR(IF(MARÍTIMOS[[#This Row],[Etapa Despacho -  Llegada]]="","",MARÍTIMOS[[#This Row],[Etapa Despacho -  Llegada]]),"")</f>
        <v/>
      </c>
      <c r="AA672" s="11" t="str">
        <f>IFERROR(IF(MARÍTIMOS[[#This Row],[Etapa Despacho -  Registro]]="","",MARÍTIMOS[[#This Row],[Etapa Despacho - 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 Inicio de Carga]]="","",MARÍTIMOS[[#This Row],[Etapa Despacho -  Inicio de Carga]]),"")</f>
        <v/>
      </c>
      <c r="AD672" s="11" t="str">
        <f>IFERROR(IF(MARÍTIMOS[[#This Row],[Etapa Despacho -  Fin de Carga]]="","",MARÍTIMOS[[#This Row],[Etapa Despacho -  Fin de Carga]]),"")</f>
        <v/>
      </c>
      <c r="AE672" s="11" t="str">
        <f>IFERROR(IF(MARÍTIMOS[[#This Row],[Etapa Despacho -  Salida]]="","",MARÍTIMOS[[#This Row],[Etapa Despacho -  Salida]]),"")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5" t="s">
        <v>181</v>
      </c>
      <c r="BB672" s="53" t="str">
        <f>IFERROR(IF(MARÍTIMOS[[#This Row],[Estatus]]="","",MARÍTIMOS[[#This Row],[Estatus]]),"")</f>
        <v/>
      </c>
      <c r="BC672" s="45"/>
      <c r="BD672" s="52" t="str">
        <f>IFERROR(OLDBD[[#This Row],[Salida de almacén de retiro]]-OLDBD[[#This Row],[Ingreso Almacén de retiro]],"")</f>
        <v/>
      </c>
      <c r="BE672" s="52" t="str">
        <f>IFERROR(OLDBD[[#This Row],[Fin de Carga]]-OLDBD[[#This Row],[Inicio de Carga]],"")</f>
        <v/>
      </c>
    </row>
    <row r="673" spans="1:57" x14ac:dyDescent="0.35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6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Salida]]="","",MARÍTIMOS[[#This Row],[Etapa Retiro - Salida]]),"")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Row],[Hora de Carga]]+MARÍTIMOS[[#This Row],[Hora de Posicionamiento]]),"")</f>
        <v/>
      </c>
      <c r="Z673" s="11" t="str">
        <f>IFERROR(IF(MARÍTIMOS[[#This Row],[Etapa Despacho -  Llegada]]="","",MARÍTIMOS[[#This Row],[Etapa Despacho -  Llegada]]),"")</f>
        <v/>
      </c>
      <c r="AA673" s="11" t="str">
        <f>IFERROR(IF(MARÍTIMOS[[#This Row],[Etapa Despacho -  Registro]]="","",MARÍTIMOS[[#This Row],[Etapa Despacho - 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 Inicio de Carga]]="","",MARÍTIMOS[[#This Row],[Etapa Despacho -  Inicio de Carga]]),"")</f>
        <v/>
      </c>
      <c r="AD673" s="11" t="str">
        <f>IFERROR(IF(MARÍTIMOS[[#This Row],[Etapa Despacho -  Fin de Carga]]="","",MARÍTIMOS[[#This Row],[Etapa Despacho -  Fin de Carga]]),"")</f>
        <v/>
      </c>
      <c r="AE673" s="11" t="str">
        <f>IFERROR(IF(MARÍTIMOS[[#This Row],[Etapa Despacho -  Salida]]="","",MARÍTIMOS[[#This Row],[Etapa Despacho -  Salida]]),"")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5" t="s">
        <v>181</v>
      </c>
      <c r="BB673" s="53" t="str">
        <f>IFERROR(IF(MARÍTIMOS[[#This Row],[Estatus]]="","",MARÍTIMOS[[#This Row],[Estatus]]),"")</f>
        <v/>
      </c>
      <c r="BC673" s="45"/>
      <c r="BD673" s="52" t="str">
        <f>IFERROR(OLDBD[[#This Row],[Salida de almacén de retiro]]-OLDBD[[#This Row],[Ingreso Almacén de retiro]],"")</f>
        <v/>
      </c>
      <c r="BE673" s="52" t="str">
        <f>IFERROR(OLDBD[[#This Row],[Fin de Carga]]-OLDBD[[#This Row],[Inicio de Carga]],"")</f>
        <v/>
      </c>
    </row>
    <row r="674" spans="1:57" x14ac:dyDescent="0.35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6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Salida]]="","",MARÍTIMOS[[#This Row],[Etapa Retiro - Salida]]),"")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Row],[Hora de Carga]]+MARÍTIMOS[[#This Row],[Hora de Posicionamiento]]),"")</f>
        <v/>
      </c>
      <c r="Z674" s="11" t="str">
        <f>IFERROR(IF(MARÍTIMOS[[#This Row],[Etapa Despacho -  Llegada]]="","",MARÍTIMOS[[#This Row],[Etapa Despacho -  Llegada]]),"")</f>
        <v/>
      </c>
      <c r="AA674" s="11" t="str">
        <f>IFERROR(IF(MARÍTIMOS[[#This Row],[Etapa Despacho -  Registro]]="","",MARÍTIMOS[[#This Row],[Etapa Despacho - 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 Inicio de Carga]]="","",MARÍTIMOS[[#This Row],[Etapa Despacho -  Inicio de Carga]]),"")</f>
        <v/>
      </c>
      <c r="AD674" s="11" t="str">
        <f>IFERROR(IF(MARÍTIMOS[[#This Row],[Etapa Despacho -  Fin de Carga]]="","",MARÍTIMOS[[#This Row],[Etapa Despacho -  Fin de Carga]]),"")</f>
        <v/>
      </c>
      <c r="AE674" s="11" t="str">
        <f>IFERROR(IF(MARÍTIMOS[[#This Row],[Etapa Despacho -  Salida]]="","",MARÍTIMOS[[#This Row],[Etapa Despacho -  Salida]]),"")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5" t="s">
        <v>181</v>
      </c>
      <c r="BB674" s="53" t="str">
        <f>IFERROR(IF(MARÍTIMOS[[#This Row],[Estatus]]="","",MARÍTIMOS[[#This Row],[Estatus]]),"")</f>
        <v/>
      </c>
      <c r="BC674" s="45"/>
      <c r="BD674" s="52" t="str">
        <f>IFERROR(OLDBD[[#This Row],[Salida de almacén de retiro]]-OLDBD[[#This Row],[Ingreso Almacén de retiro]],"")</f>
        <v/>
      </c>
      <c r="BE674" s="52" t="str">
        <f>IFERROR(OLDBD[[#This Row],[Fin de Carga]]-OLDBD[[#This Row],[Inicio de Carga]],"")</f>
        <v/>
      </c>
    </row>
    <row r="675" spans="1:57" x14ac:dyDescent="0.35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6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Salida]]="","",MARÍTIMOS[[#This Row],[Etapa Retiro - Salida]]),"")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Row],[Hora de Carga]]+MARÍTIMOS[[#This Row],[Hora de Posicionamiento]]),"")</f>
        <v/>
      </c>
      <c r="Z675" s="11" t="str">
        <f>IFERROR(IF(MARÍTIMOS[[#This Row],[Etapa Despacho -  Llegada]]="","",MARÍTIMOS[[#This Row],[Etapa Despacho -  Llegada]]),"")</f>
        <v/>
      </c>
      <c r="AA675" s="11" t="str">
        <f>IFERROR(IF(MARÍTIMOS[[#This Row],[Etapa Despacho -  Registro]]="","",MARÍTIMOS[[#This Row],[Etapa Despacho - 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 Inicio de Carga]]="","",MARÍTIMOS[[#This Row],[Etapa Despacho -  Inicio de Carga]]),"")</f>
        <v/>
      </c>
      <c r="AD675" s="11" t="str">
        <f>IFERROR(IF(MARÍTIMOS[[#This Row],[Etapa Despacho -  Fin de Carga]]="","",MARÍTIMOS[[#This Row],[Etapa Despacho -  Fin de Carga]]),"")</f>
        <v/>
      </c>
      <c r="AE675" s="11" t="str">
        <f>IFERROR(IF(MARÍTIMOS[[#This Row],[Etapa Despacho -  Salida]]="","",MARÍTIMOS[[#This Row],[Etapa Despacho -  Salida]]),"")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5" t="s">
        <v>181</v>
      </c>
      <c r="BB675" s="53" t="str">
        <f>IFERROR(IF(MARÍTIMOS[[#This Row],[Estatus]]="","",MARÍTIMOS[[#This Row],[Estatus]]),"")</f>
        <v/>
      </c>
      <c r="BC675" s="45"/>
      <c r="BD675" s="52" t="str">
        <f>IFERROR(OLDBD[[#This Row],[Salida de almacén de retiro]]-OLDBD[[#This Row],[Ingreso Almacén de retiro]],"")</f>
        <v/>
      </c>
      <c r="BE675" s="52" t="str">
        <f>IFERROR(OLDBD[[#This Row],[Fin de Carga]]-OLDBD[[#This Row],[Inicio de Carga]],"")</f>
        <v/>
      </c>
    </row>
    <row r="676" spans="1:57" x14ac:dyDescent="0.35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6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Salida]]="","",MARÍTIMOS[[#This Row],[Etapa Retiro - Salida]]),"")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Row],[Hora de Carga]]+MARÍTIMOS[[#This Row],[Hora de Posicionamiento]]),"")</f>
        <v/>
      </c>
      <c r="Z676" s="11" t="str">
        <f>IFERROR(IF(MARÍTIMOS[[#This Row],[Etapa Despacho -  Llegada]]="","",MARÍTIMOS[[#This Row],[Etapa Despacho -  Llegada]]),"")</f>
        <v/>
      </c>
      <c r="AA676" s="11" t="str">
        <f>IFERROR(IF(MARÍTIMOS[[#This Row],[Etapa Despacho -  Registro]]="","",MARÍTIMOS[[#This Row],[Etapa Despacho - 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 Inicio de Carga]]="","",MARÍTIMOS[[#This Row],[Etapa Despacho -  Inicio de Carga]]),"")</f>
        <v/>
      </c>
      <c r="AD676" s="11" t="str">
        <f>IFERROR(IF(MARÍTIMOS[[#This Row],[Etapa Despacho -  Fin de Carga]]="","",MARÍTIMOS[[#This Row],[Etapa Despacho -  Fin de Carga]]),"")</f>
        <v/>
      </c>
      <c r="AE676" s="11" t="str">
        <f>IFERROR(IF(MARÍTIMOS[[#This Row],[Etapa Despacho -  Salida]]="","",MARÍTIMOS[[#This Row],[Etapa Despacho -  Salida]]),"")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5" t="s">
        <v>181</v>
      </c>
      <c r="BB676" s="53" t="str">
        <f>IFERROR(IF(MARÍTIMOS[[#This Row],[Estatus]]="","",MARÍTIMOS[[#This Row],[Estatus]]),"")</f>
        <v/>
      </c>
      <c r="BC676" s="45"/>
      <c r="BD676" s="52" t="str">
        <f>IFERROR(OLDBD[[#This Row],[Salida de almacén de retiro]]-OLDBD[[#This Row],[Ingreso Almacén de retiro]],"")</f>
        <v/>
      </c>
      <c r="BE676" s="52" t="str">
        <f>IFERROR(OLDBD[[#This Row],[Fin de Carga]]-OLDBD[[#This Row],[Inicio de Carga]],"")</f>
        <v/>
      </c>
    </row>
    <row r="677" spans="1:57" x14ac:dyDescent="0.35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6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Salida]]="","",MARÍTIMOS[[#This Row],[Etapa Retiro - Salida]]),"")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Row],[Hora de Carga]]+MARÍTIMOS[[#This Row],[Hora de Posicionamiento]]),"")</f>
        <v/>
      </c>
      <c r="Z677" s="11" t="str">
        <f>IFERROR(IF(MARÍTIMOS[[#This Row],[Etapa Despacho -  Llegada]]="","",MARÍTIMOS[[#This Row],[Etapa Despacho -  Llegada]]),"")</f>
        <v/>
      </c>
      <c r="AA677" s="11" t="str">
        <f>IFERROR(IF(MARÍTIMOS[[#This Row],[Etapa Despacho -  Registro]]="","",MARÍTIMOS[[#This Row],[Etapa Despacho - 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 Inicio de Carga]]="","",MARÍTIMOS[[#This Row],[Etapa Despacho -  Inicio de Carga]]),"")</f>
        <v/>
      </c>
      <c r="AD677" s="11" t="str">
        <f>IFERROR(IF(MARÍTIMOS[[#This Row],[Etapa Despacho -  Fin de Carga]]="","",MARÍTIMOS[[#This Row],[Etapa Despacho -  Fin de Carga]]),"")</f>
        <v/>
      </c>
      <c r="AE677" s="11" t="str">
        <f>IFERROR(IF(MARÍTIMOS[[#This Row],[Etapa Despacho -  Salida]]="","",MARÍTIMOS[[#This Row],[Etapa Despacho -  Salida]]),"")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5" t="s">
        <v>181</v>
      </c>
      <c r="BB677" s="53" t="str">
        <f>IFERROR(IF(MARÍTIMOS[[#This Row],[Estatus]]="","",MARÍTIMOS[[#This Row],[Estatus]]),"")</f>
        <v/>
      </c>
      <c r="BC677" s="45"/>
      <c r="BD677" s="52" t="str">
        <f>IFERROR(OLDBD[[#This Row],[Salida de almacén de retiro]]-OLDBD[[#This Row],[Ingreso Almacén de retiro]],"")</f>
        <v/>
      </c>
      <c r="BE677" s="52" t="str">
        <f>IFERROR(OLDBD[[#This Row],[Fin de Carga]]-OLDBD[[#This Row],[Inicio de Carga]],"")</f>
        <v/>
      </c>
    </row>
    <row r="678" spans="1:57" x14ac:dyDescent="0.35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6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Salida]]="","",MARÍTIMOS[[#This Row],[Etapa Retiro - Salida]]),"")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Row],[Hora de Carga]]+MARÍTIMOS[[#This Row],[Hora de Posicionamiento]]),"")</f>
        <v/>
      </c>
      <c r="Z678" s="11" t="str">
        <f>IFERROR(IF(MARÍTIMOS[[#This Row],[Etapa Despacho -  Llegada]]="","",MARÍTIMOS[[#This Row],[Etapa Despacho -  Llegada]]),"")</f>
        <v/>
      </c>
      <c r="AA678" s="11" t="str">
        <f>IFERROR(IF(MARÍTIMOS[[#This Row],[Etapa Despacho -  Registro]]="","",MARÍTIMOS[[#This Row],[Etapa Despacho - 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 Inicio de Carga]]="","",MARÍTIMOS[[#This Row],[Etapa Despacho -  Inicio de Carga]]),"")</f>
        <v/>
      </c>
      <c r="AD678" s="11" t="str">
        <f>IFERROR(IF(MARÍTIMOS[[#This Row],[Etapa Despacho -  Fin de Carga]]="","",MARÍTIMOS[[#This Row],[Etapa Despacho -  Fin de Carga]]),"")</f>
        <v/>
      </c>
      <c r="AE678" s="11" t="str">
        <f>IFERROR(IF(MARÍTIMOS[[#This Row],[Etapa Despacho -  Salida]]="","",MARÍTIMOS[[#This Row],[Etapa Despacho -  Salida]]),"")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5" t="s">
        <v>181</v>
      </c>
      <c r="BB678" s="53" t="str">
        <f>IFERROR(IF(MARÍTIMOS[[#This Row],[Estatus]]="","",MARÍTIMOS[[#This Row],[Estatus]]),"")</f>
        <v/>
      </c>
      <c r="BC678" s="45"/>
      <c r="BD678" s="52" t="str">
        <f>IFERROR(OLDBD[[#This Row],[Salida de almacén de retiro]]-OLDBD[[#This Row],[Ingreso Almacén de retiro]],"")</f>
        <v/>
      </c>
      <c r="BE678" s="52" t="str">
        <f>IFERROR(OLDBD[[#This Row],[Fin de Carga]]-OLDBD[[#This Row],[Inicio de Carga]],"")</f>
        <v/>
      </c>
    </row>
    <row r="679" spans="1:57" x14ac:dyDescent="0.35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6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Salida]]="","",MARÍTIMOS[[#This Row],[Etapa Retiro - Salida]]),"")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Row],[Hora de Carga]]+MARÍTIMOS[[#This Row],[Hora de Posicionamiento]]),"")</f>
        <v/>
      </c>
      <c r="Z679" s="11" t="str">
        <f>IFERROR(IF(MARÍTIMOS[[#This Row],[Etapa Despacho -  Llegada]]="","",MARÍTIMOS[[#This Row],[Etapa Despacho -  Llegada]]),"")</f>
        <v/>
      </c>
      <c r="AA679" s="11" t="str">
        <f>IFERROR(IF(MARÍTIMOS[[#This Row],[Etapa Despacho -  Registro]]="","",MARÍTIMOS[[#This Row],[Etapa Despacho - 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 Inicio de Carga]]="","",MARÍTIMOS[[#This Row],[Etapa Despacho -  Inicio de Carga]]),"")</f>
        <v/>
      </c>
      <c r="AD679" s="11" t="str">
        <f>IFERROR(IF(MARÍTIMOS[[#This Row],[Etapa Despacho -  Fin de Carga]]="","",MARÍTIMOS[[#This Row],[Etapa Despacho -  Fin de Carga]]),"")</f>
        <v/>
      </c>
      <c r="AE679" s="11" t="str">
        <f>IFERROR(IF(MARÍTIMOS[[#This Row],[Etapa Despacho -  Salida]]="","",MARÍTIMOS[[#This Row],[Etapa Despacho -  Salida]]),"")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5" t="s">
        <v>181</v>
      </c>
      <c r="BB679" s="53" t="str">
        <f>IFERROR(IF(MARÍTIMOS[[#This Row],[Estatus]]="","",MARÍTIMOS[[#This Row],[Estatus]]),"")</f>
        <v/>
      </c>
      <c r="BC679" s="45"/>
      <c r="BD679" s="52" t="str">
        <f>IFERROR(OLDBD[[#This Row],[Salida de almacén de retiro]]-OLDBD[[#This Row],[Ingreso Almacén de retiro]],"")</f>
        <v/>
      </c>
      <c r="BE679" s="52" t="str">
        <f>IFERROR(OLDBD[[#This Row],[Fin de Carga]]-OLDBD[[#This Row],[Inicio de Carga]],"")</f>
        <v/>
      </c>
    </row>
    <row r="680" spans="1:57" x14ac:dyDescent="0.35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6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Salida]]="","",MARÍTIMOS[[#This Row],[Etapa Retiro - Salida]]),"")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Row],[Hora de Carga]]+MARÍTIMOS[[#This Row],[Hora de Posicionamiento]]),"")</f>
        <v/>
      </c>
      <c r="Z680" s="11" t="str">
        <f>IFERROR(IF(MARÍTIMOS[[#This Row],[Etapa Despacho -  Llegada]]="","",MARÍTIMOS[[#This Row],[Etapa Despacho -  Llegada]]),"")</f>
        <v/>
      </c>
      <c r="AA680" s="11" t="str">
        <f>IFERROR(IF(MARÍTIMOS[[#This Row],[Etapa Despacho -  Registro]]="","",MARÍTIMOS[[#This Row],[Etapa Despacho - 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 Inicio de Carga]]="","",MARÍTIMOS[[#This Row],[Etapa Despacho -  Inicio de Carga]]),"")</f>
        <v/>
      </c>
      <c r="AD680" s="11" t="str">
        <f>IFERROR(IF(MARÍTIMOS[[#This Row],[Etapa Despacho -  Fin de Carga]]="","",MARÍTIMOS[[#This Row],[Etapa Despacho -  Fin de Carga]]),"")</f>
        <v/>
      </c>
      <c r="AE680" s="11" t="str">
        <f>IFERROR(IF(MARÍTIMOS[[#This Row],[Etapa Despacho -  Salida]]="","",MARÍTIMOS[[#This Row],[Etapa Despacho -  Salida]]),"")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5" t="s">
        <v>181</v>
      </c>
      <c r="BB680" s="53" t="str">
        <f>IFERROR(IF(MARÍTIMOS[[#This Row],[Estatus]]="","",MARÍTIMOS[[#This Row],[Estatus]]),"")</f>
        <v/>
      </c>
      <c r="BC680" s="45"/>
      <c r="BD680" s="52" t="str">
        <f>IFERROR(OLDBD[[#This Row],[Salida de almacén de retiro]]-OLDBD[[#This Row],[Ingreso Almacén de retiro]],"")</f>
        <v/>
      </c>
      <c r="BE680" s="52" t="str">
        <f>IFERROR(OLDBD[[#This Row],[Fin de Carga]]-OLDBD[[#This Row],[Inicio de Carga]],"")</f>
        <v/>
      </c>
    </row>
    <row r="681" spans="1:57" x14ac:dyDescent="0.35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6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Salida]]="","",MARÍTIMOS[[#This Row],[Etapa Retiro - Salida]]),"")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Row],[Hora de Carga]]+MARÍTIMOS[[#This Row],[Hora de Posicionamiento]]),"")</f>
        <v/>
      </c>
      <c r="Z681" s="11" t="str">
        <f>IFERROR(IF(MARÍTIMOS[[#This Row],[Etapa Despacho -  Llegada]]="","",MARÍTIMOS[[#This Row],[Etapa Despacho -  Llegada]]),"")</f>
        <v/>
      </c>
      <c r="AA681" s="11" t="str">
        <f>IFERROR(IF(MARÍTIMOS[[#This Row],[Etapa Despacho -  Registro]]="","",MARÍTIMOS[[#This Row],[Etapa Despacho - 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 Inicio de Carga]]="","",MARÍTIMOS[[#This Row],[Etapa Despacho -  Inicio de Carga]]),"")</f>
        <v/>
      </c>
      <c r="AD681" s="11" t="str">
        <f>IFERROR(IF(MARÍTIMOS[[#This Row],[Etapa Despacho -  Fin de Carga]]="","",MARÍTIMOS[[#This Row],[Etapa Despacho -  Fin de Carga]]),"")</f>
        <v/>
      </c>
      <c r="AE681" s="11" t="str">
        <f>IFERROR(IF(MARÍTIMOS[[#This Row],[Etapa Despacho -  Salida]]="","",MARÍTIMOS[[#This Row],[Etapa Despacho -  Salida]]),"")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5" t="s">
        <v>181</v>
      </c>
      <c r="BB681" s="53" t="str">
        <f>IFERROR(IF(MARÍTIMOS[[#This Row],[Estatus]]="","",MARÍTIMOS[[#This Row],[Estatus]]),"")</f>
        <v/>
      </c>
      <c r="BC681" s="45"/>
      <c r="BD681" s="52" t="str">
        <f>IFERROR(OLDBD[[#This Row],[Salida de almacén de retiro]]-OLDBD[[#This Row],[Ingreso Almacén de retiro]],"")</f>
        <v/>
      </c>
      <c r="BE681" s="52" t="str">
        <f>IFERROR(OLDBD[[#This Row],[Fin de Carga]]-OLDBD[[#This Row],[Inicio de Carga]],"")</f>
        <v/>
      </c>
    </row>
    <row r="682" spans="1:57" x14ac:dyDescent="0.35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6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Salida]]="","",MARÍTIMOS[[#This Row],[Etapa Retiro - Salida]]),"")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Row],[Hora de Carga]]+MARÍTIMOS[[#This Row],[Hora de Posicionamiento]]),"")</f>
        <v/>
      </c>
      <c r="Z682" s="11" t="str">
        <f>IFERROR(IF(MARÍTIMOS[[#This Row],[Etapa Despacho -  Llegada]]="","",MARÍTIMOS[[#This Row],[Etapa Despacho -  Llegada]]),"")</f>
        <v/>
      </c>
      <c r="AA682" s="11" t="str">
        <f>IFERROR(IF(MARÍTIMOS[[#This Row],[Etapa Despacho -  Registro]]="","",MARÍTIMOS[[#This Row],[Etapa Despacho - 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 Inicio de Carga]]="","",MARÍTIMOS[[#This Row],[Etapa Despacho -  Inicio de Carga]]),"")</f>
        <v/>
      </c>
      <c r="AD682" s="11" t="str">
        <f>IFERROR(IF(MARÍTIMOS[[#This Row],[Etapa Despacho -  Fin de Carga]]="","",MARÍTIMOS[[#This Row],[Etapa Despacho -  Fin de Carga]]),"")</f>
        <v/>
      </c>
      <c r="AE682" s="11" t="str">
        <f>IFERROR(IF(MARÍTIMOS[[#This Row],[Etapa Despacho -  Salida]]="","",MARÍTIMOS[[#This Row],[Etapa Despacho -  Salida]]),"")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5" t="s">
        <v>181</v>
      </c>
      <c r="BB682" s="53" t="str">
        <f>IFERROR(IF(MARÍTIMOS[[#This Row],[Estatus]]="","",MARÍTIMOS[[#This Row],[Estatus]]),"")</f>
        <v/>
      </c>
      <c r="BC682" s="45"/>
      <c r="BD682" s="52" t="str">
        <f>IFERROR(OLDBD[[#This Row],[Salida de almacén de retiro]]-OLDBD[[#This Row],[Ingreso Almacén de retiro]],"")</f>
        <v/>
      </c>
      <c r="BE682" s="52" t="str">
        <f>IFERROR(OLDBD[[#This Row],[Fin de Carga]]-OLDBD[[#This Row],[Inicio de Carga]],"")</f>
        <v/>
      </c>
    </row>
    <row r="683" spans="1:57" x14ac:dyDescent="0.35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6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Salida]]="","",MARÍTIMOS[[#This Row],[Etapa Retiro - Salida]]),"")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Row],[Hora de Carga]]+MARÍTIMOS[[#This Row],[Hora de Posicionamiento]]),"")</f>
        <v/>
      </c>
      <c r="Z683" s="11" t="str">
        <f>IFERROR(IF(MARÍTIMOS[[#This Row],[Etapa Despacho -  Llegada]]="","",MARÍTIMOS[[#This Row],[Etapa Despacho -  Llegada]]),"")</f>
        <v/>
      </c>
      <c r="AA683" s="11" t="str">
        <f>IFERROR(IF(MARÍTIMOS[[#This Row],[Etapa Despacho -  Registro]]="","",MARÍTIMOS[[#This Row],[Etapa Despacho - 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 Inicio de Carga]]="","",MARÍTIMOS[[#This Row],[Etapa Despacho -  Inicio de Carga]]),"")</f>
        <v/>
      </c>
      <c r="AD683" s="11" t="str">
        <f>IFERROR(IF(MARÍTIMOS[[#This Row],[Etapa Despacho -  Fin de Carga]]="","",MARÍTIMOS[[#This Row],[Etapa Despacho -  Fin de Carga]]),"")</f>
        <v/>
      </c>
      <c r="AE683" s="11" t="str">
        <f>IFERROR(IF(MARÍTIMOS[[#This Row],[Etapa Despacho -  Salida]]="","",MARÍTIMOS[[#This Row],[Etapa Despacho -  Salida]]),"")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5" t="s">
        <v>181</v>
      </c>
      <c r="BB683" s="53" t="str">
        <f>IFERROR(IF(MARÍTIMOS[[#This Row],[Estatus]]="","",MARÍTIMOS[[#This Row],[Estatus]]),"")</f>
        <v/>
      </c>
      <c r="BC683" s="45"/>
      <c r="BD683" s="52" t="str">
        <f>IFERROR(OLDBD[[#This Row],[Salida de almacén de retiro]]-OLDBD[[#This Row],[Ingreso Almacén de retiro]],"")</f>
        <v/>
      </c>
      <c r="BE683" s="52" t="str">
        <f>IFERROR(OLDBD[[#This Row],[Fin de Carga]]-OLDBD[[#This Row],[Inicio de Carga]],"")</f>
        <v/>
      </c>
    </row>
    <row r="684" spans="1:57" x14ac:dyDescent="0.35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6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Salida]]="","",MARÍTIMOS[[#This Row],[Etapa Retiro - Salida]]),"")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Row],[Hora de Carga]]+MARÍTIMOS[[#This Row],[Hora de Posicionamiento]]),"")</f>
        <v/>
      </c>
      <c r="Z684" s="11" t="str">
        <f>IFERROR(IF(MARÍTIMOS[[#This Row],[Etapa Despacho -  Llegada]]="","",MARÍTIMOS[[#This Row],[Etapa Despacho -  Llegada]]),"")</f>
        <v/>
      </c>
      <c r="AA684" s="11" t="str">
        <f>IFERROR(IF(MARÍTIMOS[[#This Row],[Etapa Despacho -  Registro]]="","",MARÍTIMOS[[#This Row],[Etapa Despacho - 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 Inicio de Carga]]="","",MARÍTIMOS[[#This Row],[Etapa Despacho -  Inicio de Carga]]),"")</f>
        <v/>
      </c>
      <c r="AD684" s="11" t="str">
        <f>IFERROR(IF(MARÍTIMOS[[#This Row],[Etapa Despacho -  Fin de Carga]]="","",MARÍTIMOS[[#This Row],[Etapa Despacho -  Fin de Carga]]),"")</f>
        <v/>
      </c>
      <c r="AE684" s="11" t="str">
        <f>IFERROR(IF(MARÍTIMOS[[#This Row],[Etapa Despacho -  Salida]]="","",MARÍTIMOS[[#This Row],[Etapa Despacho -  Salida]]),"")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5" t="s">
        <v>181</v>
      </c>
      <c r="BB684" s="53" t="str">
        <f>IFERROR(IF(MARÍTIMOS[[#This Row],[Estatus]]="","",MARÍTIMOS[[#This Row],[Estatus]]),"")</f>
        <v/>
      </c>
      <c r="BC684" s="45"/>
      <c r="BD684" s="52" t="str">
        <f>IFERROR(OLDBD[[#This Row],[Salida de almacén de retiro]]-OLDBD[[#This Row],[Ingreso Almacén de retiro]],"")</f>
        <v/>
      </c>
      <c r="BE684" s="52" t="str">
        <f>IFERROR(OLDBD[[#This Row],[Fin de Carga]]-OLDBD[[#This Row],[Inicio de Carga]],"")</f>
        <v/>
      </c>
    </row>
    <row r="685" spans="1:57" x14ac:dyDescent="0.35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6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Salida]]="","",MARÍTIMOS[[#This Row],[Etapa Retiro - Salida]]),"")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Row],[Hora de Carga]]+MARÍTIMOS[[#This Row],[Hora de Posicionamiento]]),"")</f>
        <v/>
      </c>
      <c r="Z685" s="11" t="str">
        <f>IFERROR(IF(MARÍTIMOS[[#This Row],[Etapa Despacho -  Llegada]]="","",MARÍTIMOS[[#This Row],[Etapa Despacho -  Llegada]]),"")</f>
        <v/>
      </c>
      <c r="AA685" s="11" t="str">
        <f>IFERROR(IF(MARÍTIMOS[[#This Row],[Etapa Despacho -  Registro]]="","",MARÍTIMOS[[#This Row],[Etapa Despacho - 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 Inicio de Carga]]="","",MARÍTIMOS[[#This Row],[Etapa Despacho -  Inicio de Carga]]),"")</f>
        <v/>
      </c>
      <c r="AD685" s="11" t="str">
        <f>IFERROR(IF(MARÍTIMOS[[#This Row],[Etapa Despacho -  Fin de Carga]]="","",MARÍTIMOS[[#This Row],[Etapa Despacho -  Fin de Carga]]),"")</f>
        <v/>
      </c>
      <c r="AE685" s="11" t="str">
        <f>IFERROR(IF(MARÍTIMOS[[#This Row],[Etapa Despacho -  Salida]]="","",MARÍTIMOS[[#This Row],[Etapa Despacho -  Salida]]),"")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5" t="s">
        <v>181</v>
      </c>
      <c r="BB685" s="53" t="str">
        <f>IFERROR(IF(MARÍTIMOS[[#This Row],[Estatus]]="","",MARÍTIMOS[[#This Row],[Estatus]]),"")</f>
        <v/>
      </c>
      <c r="BC685" s="45"/>
      <c r="BD685" s="52" t="str">
        <f>IFERROR(OLDBD[[#This Row],[Salida de almacén de retiro]]-OLDBD[[#This Row],[Ingreso Almacén de retiro]],"")</f>
        <v/>
      </c>
      <c r="BE685" s="52" t="str">
        <f>IFERROR(OLDBD[[#This Row],[Fin de Carga]]-OLDBD[[#This Row],[Inicio de Carga]],"")</f>
        <v/>
      </c>
    </row>
    <row r="686" spans="1:57" x14ac:dyDescent="0.35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6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Salida]]="","",MARÍTIMOS[[#This Row],[Etapa Retiro - Salida]]),"")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Row],[Hora de Carga]]+MARÍTIMOS[[#This Row],[Hora de Posicionamiento]]),"")</f>
        <v/>
      </c>
      <c r="Z686" s="11" t="str">
        <f>IFERROR(IF(MARÍTIMOS[[#This Row],[Etapa Despacho -  Llegada]]="","",MARÍTIMOS[[#This Row],[Etapa Despacho -  Llegada]]),"")</f>
        <v/>
      </c>
      <c r="AA686" s="11" t="str">
        <f>IFERROR(IF(MARÍTIMOS[[#This Row],[Etapa Despacho -  Registro]]="","",MARÍTIMOS[[#This Row],[Etapa Despacho - 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 Inicio de Carga]]="","",MARÍTIMOS[[#This Row],[Etapa Despacho -  Inicio de Carga]]),"")</f>
        <v/>
      </c>
      <c r="AD686" s="11" t="str">
        <f>IFERROR(IF(MARÍTIMOS[[#This Row],[Etapa Despacho -  Fin de Carga]]="","",MARÍTIMOS[[#This Row],[Etapa Despacho -  Fin de Carga]]),"")</f>
        <v/>
      </c>
      <c r="AE686" s="11" t="str">
        <f>IFERROR(IF(MARÍTIMOS[[#This Row],[Etapa Despacho -  Salida]]="","",MARÍTIMOS[[#This Row],[Etapa Despacho -  Salida]]),"")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5" t="s">
        <v>181</v>
      </c>
      <c r="BB686" s="53" t="str">
        <f>IFERROR(IF(MARÍTIMOS[[#This Row],[Estatus]]="","",MARÍTIMOS[[#This Row],[Estatus]]),"")</f>
        <v/>
      </c>
      <c r="BC686" s="45"/>
      <c r="BD686" s="52" t="str">
        <f>IFERROR(OLDBD[[#This Row],[Salida de almacén de retiro]]-OLDBD[[#This Row],[Ingreso Almacén de retiro]],"")</f>
        <v/>
      </c>
      <c r="BE686" s="52" t="str">
        <f>IFERROR(OLDBD[[#This Row],[Fin de Carga]]-OLDBD[[#This Row],[Inicio de Carga]],"")</f>
        <v/>
      </c>
    </row>
    <row r="687" spans="1:57" x14ac:dyDescent="0.35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6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Salida]]="","",MARÍTIMOS[[#This Row],[Etapa Retiro - Salida]]),"")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Row],[Hora de Carga]]+MARÍTIMOS[[#This Row],[Hora de Posicionamiento]]),"")</f>
        <v/>
      </c>
      <c r="Z687" s="11" t="str">
        <f>IFERROR(IF(MARÍTIMOS[[#This Row],[Etapa Despacho -  Llegada]]="","",MARÍTIMOS[[#This Row],[Etapa Despacho -  Llegada]]),"")</f>
        <v/>
      </c>
      <c r="AA687" s="11" t="str">
        <f>IFERROR(IF(MARÍTIMOS[[#This Row],[Etapa Despacho -  Registro]]="","",MARÍTIMOS[[#This Row],[Etapa Despacho - 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 Inicio de Carga]]="","",MARÍTIMOS[[#This Row],[Etapa Despacho -  Inicio de Carga]]),"")</f>
        <v/>
      </c>
      <c r="AD687" s="11" t="str">
        <f>IFERROR(IF(MARÍTIMOS[[#This Row],[Etapa Despacho -  Fin de Carga]]="","",MARÍTIMOS[[#This Row],[Etapa Despacho -  Fin de Carga]]),"")</f>
        <v/>
      </c>
      <c r="AE687" s="11" t="str">
        <f>IFERROR(IF(MARÍTIMOS[[#This Row],[Etapa Despacho -  Salida]]="","",MARÍTIMOS[[#This Row],[Etapa Despacho -  Salida]]),"")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5" t="s">
        <v>181</v>
      </c>
      <c r="BB687" s="53" t="str">
        <f>IFERROR(IF(MARÍTIMOS[[#This Row],[Estatus]]="","",MARÍTIMOS[[#This Row],[Estatus]]),"")</f>
        <v/>
      </c>
      <c r="BC687" s="45"/>
      <c r="BD687" s="52" t="str">
        <f>IFERROR(OLDBD[[#This Row],[Salida de almacén de retiro]]-OLDBD[[#This Row],[Ingreso Almacén de retiro]],"")</f>
        <v/>
      </c>
      <c r="BE687" s="52" t="str">
        <f>IFERROR(OLDBD[[#This Row],[Fin de Carga]]-OLDBD[[#This Row],[Inicio de Carga]],"")</f>
        <v/>
      </c>
    </row>
    <row r="688" spans="1:57" x14ac:dyDescent="0.35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6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Salida]]="","",MARÍTIMOS[[#This Row],[Etapa Retiro - Salida]]),"")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Row],[Hora de Carga]]+MARÍTIMOS[[#This Row],[Hora de Posicionamiento]]),"")</f>
        <v/>
      </c>
      <c r="Z688" s="11" t="str">
        <f>IFERROR(IF(MARÍTIMOS[[#This Row],[Etapa Despacho -  Llegada]]="","",MARÍTIMOS[[#This Row],[Etapa Despacho -  Llegada]]),"")</f>
        <v/>
      </c>
      <c r="AA688" s="11" t="str">
        <f>IFERROR(IF(MARÍTIMOS[[#This Row],[Etapa Despacho -  Registro]]="","",MARÍTIMOS[[#This Row],[Etapa Despacho - 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 Inicio de Carga]]="","",MARÍTIMOS[[#This Row],[Etapa Despacho -  Inicio de Carga]]),"")</f>
        <v/>
      </c>
      <c r="AD688" s="11" t="str">
        <f>IFERROR(IF(MARÍTIMOS[[#This Row],[Etapa Despacho -  Fin de Carga]]="","",MARÍTIMOS[[#This Row],[Etapa Despacho -  Fin de Carga]]),"")</f>
        <v/>
      </c>
      <c r="AE688" s="11" t="str">
        <f>IFERROR(IF(MARÍTIMOS[[#This Row],[Etapa Despacho -  Salida]]="","",MARÍTIMOS[[#This Row],[Etapa Despacho -  Salida]]),"")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5" t="s">
        <v>181</v>
      </c>
      <c r="BB688" s="53" t="str">
        <f>IFERROR(IF(MARÍTIMOS[[#This Row],[Estatus]]="","",MARÍTIMOS[[#This Row],[Estatus]]),"")</f>
        <v/>
      </c>
      <c r="BC688" s="45"/>
      <c r="BD688" s="52" t="str">
        <f>IFERROR(OLDBD[[#This Row],[Salida de almacén de retiro]]-OLDBD[[#This Row],[Ingreso Almacén de retiro]],"")</f>
        <v/>
      </c>
      <c r="BE688" s="52" t="str">
        <f>IFERROR(OLDBD[[#This Row],[Fin de Carga]]-OLDBD[[#This Row],[Inicio de Carga]],"")</f>
        <v/>
      </c>
    </row>
    <row r="689" spans="1:57" x14ac:dyDescent="0.35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6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Salida]]="","",MARÍTIMOS[[#This Row],[Etapa Retiro - Salida]]),"")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Row],[Hora de Carga]]+MARÍTIMOS[[#This Row],[Hora de Posicionamiento]]),"")</f>
        <v/>
      </c>
      <c r="Z689" s="11" t="str">
        <f>IFERROR(IF(MARÍTIMOS[[#This Row],[Etapa Despacho -  Llegada]]="","",MARÍTIMOS[[#This Row],[Etapa Despacho -  Llegada]]),"")</f>
        <v/>
      </c>
      <c r="AA689" s="11" t="str">
        <f>IFERROR(IF(MARÍTIMOS[[#This Row],[Etapa Despacho -  Registro]]="","",MARÍTIMOS[[#This Row],[Etapa Despacho - 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 Inicio de Carga]]="","",MARÍTIMOS[[#This Row],[Etapa Despacho -  Inicio de Carga]]),"")</f>
        <v/>
      </c>
      <c r="AD689" s="11" t="str">
        <f>IFERROR(IF(MARÍTIMOS[[#This Row],[Etapa Despacho -  Fin de Carga]]="","",MARÍTIMOS[[#This Row],[Etapa Despacho -  Fin de Carga]]),"")</f>
        <v/>
      </c>
      <c r="AE689" s="11" t="str">
        <f>IFERROR(IF(MARÍTIMOS[[#This Row],[Etapa Despacho -  Salida]]="","",MARÍTIMOS[[#This Row],[Etapa Despacho -  Salida]]),"")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5" t="s">
        <v>181</v>
      </c>
      <c r="BB689" s="53" t="str">
        <f>IFERROR(IF(MARÍTIMOS[[#This Row],[Estatus]]="","",MARÍTIMOS[[#This Row],[Estatus]]),"")</f>
        <v/>
      </c>
      <c r="BC689" s="45"/>
      <c r="BD689" s="52" t="str">
        <f>IFERROR(OLDBD[[#This Row],[Salida de almacén de retiro]]-OLDBD[[#This Row],[Ingreso Almacén de retiro]],"")</f>
        <v/>
      </c>
      <c r="BE689" s="52" t="str">
        <f>IFERROR(OLDBD[[#This Row],[Fin de Carga]]-OLDBD[[#This Row],[Inicio de Carga]],"")</f>
        <v/>
      </c>
    </row>
    <row r="690" spans="1:57" x14ac:dyDescent="0.35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6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Salida]]="","",MARÍTIMOS[[#This Row],[Etapa Retiro - Salida]]),"")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Row],[Hora de Carga]]+MARÍTIMOS[[#This Row],[Hora de Posicionamiento]]),"")</f>
        <v/>
      </c>
      <c r="Z690" s="11" t="str">
        <f>IFERROR(IF(MARÍTIMOS[[#This Row],[Etapa Despacho -  Llegada]]="","",MARÍTIMOS[[#This Row],[Etapa Despacho -  Llegada]]),"")</f>
        <v/>
      </c>
      <c r="AA690" s="11" t="str">
        <f>IFERROR(IF(MARÍTIMOS[[#This Row],[Etapa Despacho -  Registro]]="","",MARÍTIMOS[[#This Row],[Etapa Despacho - 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 Inicio de Carga]]="","",MARÍTIMOS[[#This Row],[Etapa Despacho -  Inicio de Carga]]),"")</f>
        <v/>
      </c>
      <c r="AD690" s="11" t="str">
        <f>IFERROR(IF(MARÍTIMOS[[#This Row],[Etapa Despacho -  Fin de Carga]]="","",MARÍTIMOS[[#This Row],[Etapa Despacho -  Fin de Carga]]),"")</f>
        <v/>
      </c>
      <c r="AE690" s="11" t="str">
        <f>IFERROR(IF(MARÍTIMOS[[#This Row],[Etapa Despacho -  Salida]]="","",MARÍTIMOS[[#This Row],[Etapa Despacho -  Salida]]),"")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5" t="s">
        <v>181</v>
      </c>
      <c r="BB690" s="53" t="str">
        <f>IFERROR(IF(MARÍTIMOS[[#This Row],[Estatus]]="","",MARÍTIMOS[[#This Row],[Estatus]]),"")</f>
        <v/>
      </c>
      <c r="BC690" s="45"/>
      <c r="BD690" s="52" t="str">
        <f>IFERROR(OLDBD[[#This Row],[Salida de almacén de retiro]]-OLDBD[[#This Row],[Ingreso Almacén de retiro]],"")</f>
        <v/>
      </c>
      <c r="BE690" s="52" t="str">
        <f>IFERROR(OLDBD[[#This Row],[Fin de Carga]]-OLDBD[[#This Row],[Inicio de Carga]],"")</f>
        <v/>
      </c>
    </row>
    <row r="691" spans="1:57" x14ac:dyDescent="0.35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6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Salida]]="","",MARÍTIMOS[[#This Row],[Etapa Retiro - Salida]]),"")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Row],[Hora de Carga]]+MARÍTIMOS[[#This Row],[Hora de Posicionamiento]]),"")</f>
        <v/>
      </c>
      <c r="Z691" s="11" t="str">
        <f>IFERROR(IF(MARÍTIMOS[[#This Row],[Etapa Despacho -  Llegada]]="","",MARÍTIMOS[[#This Row],[Etapa Despacho -  Llegada]]),"")</f>
        <v/>
      </c>
      <c r="AA691" s="11" t="str">
        <f>IFERROR(IF(MARÍTIMOS[[#This Row],[Etapa Despacho -  Registro]]="","",MARÍTIMOS[[#This Row],[Etapa Despacho - 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 Inicio de Carga]]="","",MARÍTIMOS[[#This Row],[Etapa Despacho -  Inicio de Carga]]),"")</f>
        <v/>
      </c>
      <c r="AD691" s="11" t="str">
        <f>IFERROR(IF(MARÍTIMOS[[#This Row],[Etapa Despacho -  Fin de Carga]]="","",MARÍTIMOS[[#This Row],[Etapa Despacho -  Fin de Carga]]),"")</f>
        <v/>
      </c>
      <c r="AE691" s="11" t="str">
        <f>IFERROR(IF(MARÍTIMOS[[#This Row],[Etapa Despacho -  Salida]]="","",MARÍTIMOS[[#This Row],[Etapa Despacho -  Salida]]),"")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5" t="s">
        <v>181</v>
      </c>
      <c r="BB691" s="53" t="str">
        <f>IFERROR(IF(MARÍTIMOS[[#This Row],[Estatus]]="","",MARÍTIMOS[[#This Row],[Estatus]]),"")</f>
        <v/>
      </c>
      <c r="BC691" s="45"/>
      <c r="BD691" s="52" t="str">
        <f>IFERROR(OLDBD[[#This Row],[Salida de almacén de retiro]]-OLDBD[[#This Row],[Ingreso Almacén de retiro]],"")</f>
        <v/>
      </c>
      <c r="BE691" s="52" t="str">
        <f>IFERROR(OLDBD[[#This Row],[Fin de Carga]]-OLDBD[[#This Row],[Inicio de Carga]],"")</f>
        <v/>
      </c>
    </row>
    <row r="692" spans="1:57" x14ac:dyDescent="0.35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6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Salida]]="","",MARÍTIMOS[[#This Row],[Etapa Retiro - Salida]]),"")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Row],[Hora de Carga]]+MARÍTIMOS[[#This Row],[Hora de Posicionamiento]]),"")</f>
        <v/>
      </c>
      <c r="Z692" s="11" t="str">
        <f>IFERROR(IF(MARÍTIMOS[[#This Row],[Etapa Despacho -  Llegada]]="","",MARÍTIMOS[[#This Row],[Etapa Despacho -  Llegada]]),"")</f>
        <v/>
      </c>
      <c r="AA692" s="11" t="str">
        <f>IFERROR(IF(MARÍTIMOS[[#This Row],[Etapa Despacho -  Registro]]="","",MARÍTIMOS[[#This Row],[Etapa Despacho - 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 Inicio de Carga]]="","",MARÍTIMOS[[#This Row],[Etapa Despacho -  Inicio de Carga]]),"")</f>
        <v/>
      </c>
      <c r="AD692" s="11" t="str">
        <f>IFERROR(IF(MARÍTIMOS[[#This Row],[Etapa Despacho -  Fin de Carga]]="","",MARÍTIMOS[[#This Row],[Etapa Despacho -  Fin de Carga]]),"")</f>
        <v/>
      </c>
      <c r="AE692" s="11" t="str">
        <f>IFERROR(IF(MARÍTIMOS[[#This Row],[Etapa Despacho -  Salida]]="","",MARÍTIMOS[[#This Row],[Etapa Despacho -  Salida]]),"")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5" t="s">
        <v>181</v>
      </c>
      <c r="BB692" s="53" t="str">
        <f>IFERROR(IF(MARÍTIMOS[[#This Row],[Estatus]]="","",MARÍTIMOS[[#This Row],[Estatus]]),"")</f>
        <v/>
      </c>
      <c r="BC692" s="45"/>
      <c r="BD692" s="52" t="str">
        <f>IFERROR(OLDBD[[#This Row],[Salida de almacén de retiro]]-OLDBD[[#This Row],[Ingreso Almacén de retiro]],"")</f>
        <v/>
      </c>
      <c r="BE692" s="52" t="str">
        <f>IFERROR(OLDBD[[#This Row],[Fin de Carga]]-OLDBD[[#This Row],[Inicio de Carga]],"")</f>
        <v/>
      </c>
    </row>
    <row r="693" spans="1:57" x14ac:dyDescent="0.35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6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Salida]]="","",MARÍTIMOS[[#This Row],[Etapa Retiro - Salida]]),"")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Row],[Hora de Carga]]+MARÍTIMOS[[#This Row],[Hora de Posicionamiento]]),"")</f>
        <v/>
      </c>
      <c r="Z693" s="11" t="str">
        <f>IFERROR(IF(MARÍTIMOS[[#This Row],[Etapa Despacho -  Llegada]]="","",MARÍTIMOS[[#This Row],[Etapa Despacho -  Llegada]]),"")</f>
        <v/>
      </c>
      <c r="AA693" s="11" t="str">
        <f>IFERROR(IF(MARÍTIMOS[[#This Row],[Etapa Despacho -  Registro]]="","",MARÍTIMOS[[#This Row],[Etapa Despacho - 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 Inicio de Carga]]="","",MARÍTIMOS[[#This Row],[Etapa Despacho -  Inicio de Carga]]),"")</f>
        <v/>
      </c>
      <c r="AD693" s="11" t="str">
        <f>IFERROR(IF(MARÍTIMOS[[#This Row],[Etapa Despacho -  Fin de Carga]]="","",MARÍTIMOS[[#This Row],[Etapa Despacho -  Fin de Carga]]),"")</f>
        <v/>
      </c>
      <c r="AE693" s="11" t="str">
        <f>IFERROR(IF(MARÍTIMOS[[#This Row],[Etapa Despacho -  Salida]]="","",MARÍTIMOS[[#This Row],[Etapa Despacho -  Salida]]),"")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5" t="s">
        <v>181</v>
      </c>
      <c r="BB693" s="53" t="str">
        <f>IFERROR(IF(MARÍTIMOS[[#This Row],[Estatus]]="","",MARÍTIMOS[[#This Row],[Estatus]]),"")</f>
        <v/>
      </c>
      <c r="BC693" s="45"/>
      <c r="BD693" s="52" t="str">
        <f>IFERROR(OLDBD[[#This Row],[Salida de almacén de retiro]]-OLDBD[[#This Row],[Ingreso Almacén de retiro]],"")</f>
        <v/>
      </c>
      <c r="BE693" s="52" t="str">
        <f>IFERROR(OLDBD[[#This Row],[Fin de Carga]]-OLDBD[[#This Row],[Inicio de Carga]],"")</f>
        <v/>
      </c>
    </row>
    <row r="694" spans="1:57" x14ac:dyDescent="0.35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6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Salida]]="","",MARÍTIMOS[[#This Row],[Etapa Retiro - Salida]]),"")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Row],[Hora de Carga]]+MARÍTIMOS[[#This Row],[Hora de Posicionamiento]]),"")</f>
        <v/>
      </c>
      <c r="Z694" s="11" t="str">
        <f>IFERROR(IF(MARÍTIMOS[[#This Row],[Etapa Despacho -  Llegada]]="","",MARÍTIMOS[[#This Row],[Etapa Despacho -  Llegada]]),"")</f>
        <v/>
      </c>
      <c r="AA694" s="11" t="str">
        <f>IFERROR(IF(MARÍTIMOS[[#This Row],[Etapa Despacho -  Registro]]="","",MARÍTIMOS[[#This Row],[Etapa Despacho - 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 Inicio de Carga]]="","",MARÍTIMOS[[#This Row],[Etapa Despacho -  Inicio de Carga]]),"")</f>
        <v/>
      </c>
      <c r="AD694" s="11" t="str">
        <f>IFERROR(IF(MARÍTIMOS[[#This Row],[Etapa Despacho -  Fin de Carga]]="","",MARÍTIMOS[[#This Row],[Etapa Despacho -  Fin de Carga]]),"")</f>
        <v/>
      </c>
      <c r="AE694" s="11" t="str">
        <f>IFERROR(IF(MARÍTIMOS[[#This Row],[Etapa Despacho -  Salida]]="","",MARÍTIMOS[[#This Row],[Etapa Despacho -  Salida]]),"")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5" t="s">
        <v>181</v>
      </c>
      <c r="BB694" s="53" t="str">
        <f>IFERROR(IF(MARÍTIMOS[[#This Row],[Estatus]]="","",MARÍTIMOS[[#This Row],[Estatus]]),"")</f>
        <v/>
      </c>
      <c r="BC694" s="45"/>
      <c r="BD694" s="52" t="str">
        <f>IFERROR(OLDBD[[#This Row],[Salida de almacén de retiro]]-OLDBD[[#This Row],[Ingreso Almacén de retiro]],"")</f>
        <v/>
      </c>
      <c r="BE694" s="52" t="str">
        <f>IFERROR(OLDBD[[#This Row],[Fin de Carga]]-OLDBD[[#This Row],[Inicio de Carga]],"")</f>
        <v/>
      </c>
    </row>
    <row r="695" spans="1:57" x14ac:dyDescent="0.35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6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Salida]]="","",MARÍTIMOS[[#This Row],[Etapa Retiro - Salida]]),"")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Row],[Hora de Carga]]+MARÍTIMOS[[#This Row],[Hora de Posicionamiento]]),"")</f>
        <v/>
      </c>
      <c r="Z695" s="11" t="str">
        <f>IFERROR(IF(MARÍTIMOS[[#This Row],[Etapa Despacho -  Llegada]]="","",MARÍTIMOS[[#This Row],[Etapa Despacho -  Llegada]]),"")</f>
        <v/>
      </c>
      <c r="AA695" s="11" t="str">
        <f>IFERROR(IF(MARÍTIMOS[[#This Row],[Etapa Despacho -  Registro]]="","",MARÍTIMOS[[#This Row],[Etapa Despacho - 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 Inicio de Carga]]="","",MARÍTIMOS[[#This Row],[Etapa Despacho -  Inicio de Carga]]),"")</f>
        <v/>
      </c>
      <c r="AD695" s="11" t="str">
        <f>IFERROR(IF(MARÍTIMOS[[#This Row],[Etapa Despacho -  Fin de Carga]]="","",MARÍTIMOS[[#This Row],[Etapa Despacho -  Fin de Carga]]),"")</f>
        <v/>
      </c>
      <c r="AE695" s="11" t="str">
        <f>IFERROR(IF(MARÍTIMOS[[#This Row],[Etapa Despacho -  Salida]]="","",MARÍTIMOS[[#This Row],[Etapa Despacho -  Salida]]),"")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5" t="s">
        <v>181</v>
      </c>
      <c r="BB695" s="53" t="str">
        <f>IFERROR(IF(MARÍTIMOS[[#This Row],[Estatus]]="","",MARÍTIMOS[[#This Row],[Estatus]]),"")</f>
        <v/>
      </c>
      <c r="BC695" s="45"/>
      <c r="BD695" s="52" t="str">
        <f>IFERROR(OLDBD[[#This Row],[Salida de almacén de retiro]]-OLDBD[[#This Row],[Ingreso Almacén de retiro]],"")</f>
        <v/>
      </c>
      <c r="BE695" s="52" t="str">
        <f>IFERROR(OLDBD[[#This Row],[Fin de Carga]]-OLDBD[[#This Row],[Inicio de Carga]],"")</f>
        <v/>
      </c>
    </row>
    <row r="696" spans="1:57" x14ac:dyDescent="0.35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6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Salida]]="","",MARÍTIMOS[[#This Row],[Etapa Retiro - Salida]]),"")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Row],[Hora de Carga]]+MARÍTIMOS[[#This Row],[Hora de Posicionamiento]]),"")</f>
        <v/>
      </c>
      <c r="Z696" s="11" t="str">
        <f>IFERROR(IF(MARÍTIMOS[[#This Row],[Etapa Despacho -  Llegada]]="","",MARÍTIMOS[[#This Row],[Etapa Despacho -  Llegada]]),"")</f>
        <v/>
      </c>
      <c r="AA696" s="11" t="str">
        <f>IFERROR(IF(MARÍTIMOS[[#This Row],[Etapa Despacho -  Registro]]="","",MARÍTIMOS[[#This Row],[Etapa Despacho - 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 Inicio de Carga]]="","",MARÍTIMOS[[#This Row],[Etapa Despacho -  Inicio de Carga]]),"")</f>
        <v/>
      </c>
      <c r="AD696" s="11" t="str">
        <f>IFERROR(IF(MARÍTIMOS[[#This Row],[Etapa Despacho -  Fin de Carga]]="","",MARÍTIMOS[[#This Row],[Etapa Despacho -  Fin de Carga]]),"")</f>
        <v/>
      </c>
      <c r="AE696" s="11" t="str">
        <f>IFERROR(IF(MARÍTIMOS[[#This Row],[Etapa Despacho -  Salida]]="","",MARÍTIMOS[[#This Row],[Etapa Despacho -  Salida]]),"")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5" t="s">
        <v>181</v>
      </c>
      <c r="BB696" s="53" t="str">
        <f>IFERROR(IF(MARÍTIMOS[[#This Row],[Estatus]]="","",MARÍTIMOS[[#This Row],[Estatus]]),"")</f>
        <v/>
      </c>
      <c r="BC696" s="45"/>
      <c r="BD696" s="52" t="str">
        <f>IFERROR(OLDBD[[#This Row],[Salida de almacén de retiro]]-OLDBD[[#This Row],[Ingreso Almacén de retiro]],"")</f>
        <v/>
      </c>
      <c r="BE696" s="52" t="str">
        <f>IFERROR(OLDBD[[#This Row],[Fin de Carga]]-OLDBD[[#This Row],[Inicio de Carga]],"")</f>
        <v/>
      </c>
    </row>
    <row r="697" spans="1:57" x14ac:dyDescent="0.35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6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Salida]]="","",MARÍTIMOS[[#This Row],[Etapa Retiro - Salida]]),"")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Row],[Hora de Carga]]+MARÍTIMOS[[#This Row],[Hora de Posicionamiento]]),"")</f>
        <v/>
      </c>
      <c r="Z697" s="11" t="str">
        <f>IFERROR(IF(MARÍTIMOS[[#This Row],[Etapa Despacho -  Llegada]]="","",MARÍTIMOS[[#This Row],[Etapa Despacho -  Llegada]]),"")</f>
        <v/>
      </c>
      <c r="AA697" s="11" t="str">
        <f>IFERROR(IF(MARÍTIMOS[[#This Row],[Etapa Despacho -  Registro]]="","",MARÍTIMOS[[#This Row],[Etapa Despacho - 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 Inicio de Carga]]="","",MARÍTIMOS[[#This Row],[Etapa Despacho -  Inicio de Carga]]),"")</f>
        <v/>
      </c>
      <c r="AD697" s="11" t="str">
        <f>IFERROR(IF(MARÍTIMOS[[#This Row],[Etapa Despacho -  Fin de Carga]]="","",MARÍTIMOS[[#This Row],[Etapa Despacho -  Fin de Carga]]),"")</f>
        <v/>
      </c>
      <c r="AE697" s="11" t="str">
        <f>IFERROR(IF(MARÍTIMOS[[#This Row],[Etapa Despacho -  Salida]]="","",MARÍTIMOS[[#This Row],[Etapa Despacho -  Salida]]),"")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5" t="s">
        <v>181</v>
      </c>
      <c r="BB697" s="53" t="str">
        <f>IFERROR(IF(MARÍTIMOS[[#This Row],[Estatus]]="","",MARÍTIMOS[[#This Row],[Estatus]]),"")</f>
        <v/>
      </c>
      <c r="BC697" s="45"/>
      <c r="BD697" s="52" t="str">
        <f>IFERROR(OLDBD[[#This Row],[Salida de almacén de retiro]]-OLDBD[[#This Row],[Ingreso Almacén de retiro]],"")</f>
        <v/>
      </c>
      <c r="BE697" s="52" t="str">
        <f>IFERROR(OLDBD[[#This Row],[Fin de Carga]]-OLDBD[[#This Row],[Inicio de Carga]],"")</f>
        <v/>
      </c>
    </row>
    <row r="698" spans="1:57" x14ac:dyDescent="0.35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6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Salida]]="","",MARÍTIMOS[[#This Row],[Etapa Retiro - Salida]]),"")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Row],[Hora de Carga]]+MARÍTIMOS[[#This Row],[Hora de Posicionamiento]]),"")</f>
        <v/>
      </c>
      <c r="Z698" s="11" t="str">
        <f>IFERROR(IF(MARÍTIMOS[[#This Row],[Etapa Despacho -  Llegada]]="","",MARÍTIMOS[[#This Row],[Etapa Despacho -  Llegada]]),"")</f>
        <v/>
      </c>
      <c r="AA698" s="11" t="str">
        <f>IFERROR(IF(MARÍTIMOS[[#This Row],[Etapa Despacho -  Registro]]="","",MARÍTIMOS[[#This Row],[Etapa Despacho - 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 Inicio de Carga]]="","",MARÍTIMOS[[#This Row],[Etapa Despacho -  Inicio de Carga]]),"")</f>
        <v/>
      </c>
      <c r="AD698" s="11" t="str">
        <f>IFERROR(IF(MARÍTIMOS[[#This Row],[Etapa Despacho -  Fin de Carga]]="","",MARÍTIMOS[[#This Row],[Etapa Despacho -  Fin de Carga]]),"")</f>
        <v/>
      </c>
      <c r="AE698" s="11" t="str">
        <f>IFERROR(IF(MARÍTIMOS[[#This Row],[Etapa Despacho -  Salida]]="","",MARÍTIMOS[[#This Row],[Etapa Despacho -  Salida]]),"")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5" t="s">
        <v>181</v>
      </c>
      <c r="BB698" s="53" t="str">
        <f>IFERROR(IF(MARÍTIMOS[[#This Row],[Estatus]]="","",MARÍTIMOS[[#This Row],[Estatus]]),"")</f>
        <v/>
      </c>
      <c r="BC698" s="45"/>
      <c r="BD698" s="52" t="str">
        <f>IFERROR(OLDBD[[#This Row],[Salida de almacén de retiro]]-OLDBD[[#This Row],[Ingreso Almacén de retiro]],"")</f>
        <v/>
      </c>
      <c r="BE698" s="52" t="str">
        <f>IFERROR(OLDBD[[#This Row],[Fin de Carga]]-OLDBD[[#This Row],[Inicio de Carga]],"")</f>
        <v/>
      </c>
    </row>
    <row r="699" spans="1:57" x14ac:dyDescent="0.35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6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Salida]]="","",MARÍTIMOS[[#This Row],[Etapa Retiro - Salida]]),"")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Row],[Hora de Carga]]+MARÍTIMOS[[#This Row],[Hora de Posicionamiento]]),"")</f>
        <v/>
      </c>
      <c r="Z699" s="11" t="str">
        <f>IFERROR(IF(MARÍTIMOS[[#This Row],[Etapa Despacho -  Llegada]]="","",MARÍTIMOS[[#This Row],[Etapa Despacho -  Llegada]]),"")</f>
        <v/>
      </c>
      <c r="AA699" s="11" t="str">
        <f>IFERROR(IF(MARÍTIMOS[[#This Row],[Etapa Despacho -  Registro]]="","",MARÍTIMOS[[#This Row],[Etapa Despacho - 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 Inicio de Carga]]="","",MARÍTIMOS[[#This Row],[Etapa Despacho -  Inicio de Carga]]),"")</f>
        <v/>
      </c>
      <c r="AD699" s="11" t="str">
        <f>IFERROR(IF(MARÍTIMOS[[#This Row],[Etapa Despacho -  Fin de Carga]]="","",MARÍTIMOS[[#This Row],[Etapa Despacho -  Fin de Carga]]),"")</f>
        <v/>
      </c>
      <c r="AE699" s="11" t="str">
        <f>IFERROR(IF(MARÍTIMOS[[#This Row],[Etapa Despacho -  Salida]]="","",MARÍTIMOS[[#This Row],[Etapa Despacho -  Salida]]),"")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5" t="s">
        <v>181</v>
      </c>
      <c r="BB699" s="53" t="str">
        <f>IFERROR(IF(MARÍTIMOS[[#This Row],[Estatus]]="","",MARÍTIMOS[[#This Row],[Estatus]]),"")</f>
        <v/>
      </c>
      <c r="BC699" s="45"/>
      <c r="BD699" s="52" t="str">
        <f>IFERROR(OLDBD[[#This Row],[Salida de almacén de retiro]]-OLDBD[[#This Row],[Ingreso Almacén de retiro]],"")</f>
        <v/>
      </c>
      <c r="BE699" s="52" t="str">
        <f>IFERROR(OLDBD[[#This Row],[Fin de Carga]]-OLDBD[[#This Row],[Inicio de Carga]],"")</f>
        <v/>
      </c>
    </row>
    <row r="700" spans="1:57" x14ac:dyDescent="0.35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6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Salida]]="","",MARÍTIMOS[[#This Row],[Etapa Retiro - Salida]]),"")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Row],[Hora de Carga]]+MARÍTIMOS[[#This Row],[Hora de Posicionamiento]]),"")</f>
        <v/>
      </c>
      <c r="Z700" s="11" t="str">
        <f>IFERROR(IF(MARÍTIMOS[[#This Row],[Etapa Despacho -  Llegada]]="","",MARÍTIMOS[[#This Row],[Etapa Despacho -  Llegada]]),"")</f>
        <v/>
      </c>
      <c r="AA700" s="11" t="str">
        <f>IFERROR(IF(MARÍTIMOS[[#This Row],[Etapa Despacho -  Registro]]="","",MARÍTIMOS[[#This Row],[Etapa Despacho - 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 Inicio de Carga]]="","",MARÍTIMOS[[#This Row],[Etapa Despacho -  Inicio de Carga]]),"")</f>
        <v/>
      </c>
      <c r="AD700" s="11" t="str">
        <f>IFERROR(IF(MARÍTIMOS[[#This Row],[Etapa Despacho -  Fin de Carga]]="","",MARÍTIMOS[[#This Row],[Etapa Despacho -  Fin de Carga]]),"")</f>
        <v/>
      </c>
      <c r="AE700" s="11" t="str">
        <f>IFERROR(IF(MARÍTIMOS[[#This Row],[Etapa Despacho -  Salida]]="","",MARÍTIMOS[[#This Row],[Etapa Despacho -  Salida]]),"")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5" t="s">
        <v>181</v>
      </c>
      <c r="BB700" s="53" t="str">
        <f>IFERROR(IF(MARÍTIMOS[[#This Row],[Estatus]]="","",MARÍTIMOS[[#This Row],[Estatus]]),"")</f>
        <v/>
      </c>
      <c r="BC700" s="45"/>
      <c r="BD700" s="52" t="str">
        <f>IFERROR(OLDBD[[#This Row],[Salida de almacén de retiro]]-OLDBD[[#This Row],[Ingreso Almacén de retiro]],"")</f>
        <v/>
      </c>
      <c r="BE700" s="52" t="str">
        <f>IFERROR(OLDBD[[#This Row],[Fin de Carga]]-OLDBD[[#This Row],[Inicio de Carga]],"")</f>
        <v/>
      </c>
    </row>
    <row r="701" spans="1:57" x14ac:dyDescent="0.35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6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Salida]]="","",MARÍTIMOS[[#This Row],[Etapa Retiro - Salida]]),"")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Row],[Hora de Carga]]+MARÍTIMOS[[#This Row],[Hora de Posicionamiento]]),"")</f>
        <v/>
      </c>
      <c r="Z701" s="11" t="str">
        <f>IFERROR(IF(MARÍTIMOS[[#This Row],[Etapa Despacho -  Llegada]]="","",MARÍTIMOS[[#This Row],[Etapa Despacho -  Llegada]]),"")</f>
        <v/>
      </c>
      <c r="AA701" s="11" t="str">
        <f>IFERROR(IF(MARÍTIMOS[[#This Row],[Etapa Despacho -  Registro]]="","",MARÍTIMOS[[#This Row],[Etapa Despacho - 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 Inicio de Carga]]="","",MARÍTIMOS[[#This Row],[Etapa Despacho -  Inicio de Carga]]),"")</f>
        <v/>
      </c>
      <c r="AD701" s="11" t="str">
        <f>IFERROR(IF(MARÍTIMOS[[#This Row],[Etapa Despacho -  Fin de Carga]]="","",MARÍTIMOS[[#This Row],[Etapa Despacho -  Fin de Carga]]),"")</f>
        <v/>
      </c>
      <c r="AE701" s="11" t="str">
        <f>IFERROR(IF(MARÍTIMOS[[#This Row],[Etapa Despacho -  Salida]]="","",MARÍTIMOS[[#This Row],[Etapa Despacho -  Salida]]),"")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5" t="s">
        <v>181</v>
      </c>
      <c r="BB701" s="53" t="str">
        <f>IFERROR(IF(MARÍTIMOS[[#This Row],[Estatus]]="","",MARÍTIMOS[[#This Row],[Estatus]]),"")</f>
        <v/>
      </c>
      <c r="BC701" s="45"/>
      <c r="BD701" s="52" t="str">
        <f>IFERROR(OLDBD[[#This Row],[Salida de almacén de retiro]]-OLDBD[[#This Row],[Ingreso Almacén de retiro]],"")</f>
        <v/>
      </c>
      <c r="BE701" s="52" t="str">
        <f>IFERROR(OLDBD[[#This Row],[Fin de Carga]]-OLDBD[[#This Row],[Inicio de Carga]],"")</f>
        <v/>
      </c>
    </row>
    <row r="702" spans="1:57" x14ac:dyDescent="0.35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6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Salida]]="","",MARÍTIMOS[[#This Row],[Etapa Retiro - Salida]]),"")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Row],[Hora de Carga]]+MARÍTIMOS[[#This Row],[Hora de Posicionamiento]]),"")</f>
        <v/>
      </c>
      <c r="Z702" s="11" t="str">
        <f>IFERROR(IF(MARÍTIMOS[[#This Row],[Etapa Despacho -  Llegada]]="","",MARÍTIMOS[[#This Row],[Etapa Despacho -  Llegada]]),"")</f>
        <v/>
      </c>
      <c r="AA702" s="11" t="str">
        <f>IFERROR(IF(MARÍTIMOS[[#This Row],[Etapa Despacho -  Registro]]="","",MARÍTIMOS[[#This Row],[Etapa Despacho - 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 Inicio de Carga]]="","",MARÍTIMOS[[#This Row],[Etapa Despacho -  Inicio de Carga]]),"")</f>
        <v/>
      </c>
      <c r="AD702" s="11" t="str">
        <f>IFERROR(IF(MARÍTIMOS[[#This Row],[Etapa Despacho -  Fin de Carga]]="","",MARÍTIMOS[[#This Row],[Etapa Despacho -  Fin de Carga]]),"")</f>
        <v/>
      </c>
      <c r="AE702" s="11" t="str">
        <f>IFERROR(IF(MARÍTIMOS[[#This Row],[Etapa Despacho -  Salida]]="","",MARÍTIMOS[[#This Row],[Etapa Despacho -  Salida]]),"")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5" t="s">
        <v>181</v>
      </c>
      <c r="BB702" s="53" t="str">
        <f>IFERROR(IF(MARÍTIMOS[[#This Row],[Estatus]]="","",MARÍTIMOS[[#This Row],[Estatus]]),"")</f>
        <v/>
      </c>
      <c r="BC702" s="45"/>
      <c r="BD702" s="52" t="str">
        <f>IFERROR(OLDBD[[#This Row],[Salida de almacén de retiro]]-OLDBD[[#This Row],[Ingreso Almacén de retiro]],"")</f>
        <v/>
      </c>
      <c r="BE702" s="52" t="str">
        <f>IFERROR(OLDBD[[#This Row],[Fin de Carga]]-OLDBD[[#This Row],[Inicio de Carga]],"")</f>
        <v/>
      </c>
    </row>
    <row r="703" spans="1:57" x14ac:dyDescent="0.35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6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Salida]]="","",MARÍTIMOS[[#This Row],[Etapa Retiro - Salida]]),"")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Row],[Hora de Carga]]+MARÍTIMOS[[#This Row],[Hora de Posicionamiento]]),"")</f>
        <v/>
      </c>
      <c r="Z703" s="11" t="str">
        <f>IFERROR(IF(MARÍTIMOS[[#This Row],[Etapa Despacho -  Llegada]]="","",MARÍTIMOS[[#This Row],[Etapa Despacho -  Llegada]]),"")</f>
        <v/>
      </c>
      <c r="AA703" s="11" t="str">
        <f>IFERROR(IF(MARÍTIMOS[[#This Row],[Etapa Despacho -  Registro]]="","",MARÍTIMOS[[#This Row],[Etapa Despacho - 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 Inicio de Carga]]="","",MARÍTIMOS[[#This Row],[Etapa Despacho -  Inicio de Carga]]),"")</f>
        <v/>
      </c>
      <c r="AD703" s="11" t="str">
        <f>IFERROR(IF(MARÍTIMOS[[#This Row],[Etapa Despacho -  Fin de Carga]]="","",MARÍTIMOS[[#This Row],[Etapa Despacho -  Fin de Carga]]),"")</f>
        <v/>
      </c>
      <c r="AE703" s="11" t="str">
        <f>IFERROR(IF(MARÍTIMOS[[#This Row],[Etapa Despacho -  Salida]]="","",MARÍTIMOS[[#This Row],[Etapa Despacho -  Salida]]),"")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5" t="s">
        <v>181</v>
      </c>
      <c r="BB703" s="53" t="str">
        <f>IFERROR(IF(MARÍTIMOS[[#This Row],[Estatus]]="","",MARÍTIMOS[[#This Row],[Estatus]]),"")</f>
        <v/>
      </c>
      <c r="BC703" s="45"/>
      <c r="BD703" s="52" t="str">
        <f>IFERROR(OLDBD[[#This Row],[Salida de almacén de retiro]]-OLDBD[[#This Row],[Ingreso Almacén de retiro]],"")</f>
        <v/>
      </c>
      <c r="BE703" s="52" t="str">
        <f>IFERROR(OLDBD[[#This Row],[Fin de Carga]]-OLDBD[[#This Row],[Inicio de Carga]],"")</f>
        <v/>
      </c>
    </row>
    <row r="704" spans="1:57" x14ac:dyDescent="0.35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6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Salida]]="","",MARÍTIMOS[[#This Row],[Etapa Retiro - Salida]]),"")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Row],[Hora de Carga]]+MARÍTIMOS[[#This Row],[Hora de Posicionamiento]]),"")</f>
        <v/>
      </c>
      <c r="Z704" s="11" t="str">
        <f>IFERROR(IF(MARÍTIMOS[[#This Row],[Etapa Despacho -  Llegada]]="","",MARÍTIMOS[[#This Row],[Etapa Despacho -  Llegada]]),"")</f>
        <v/>
      </c>
      <c r="AA704" s="11" t="str">
        <f>IFERROR(IF(MARÍTIMOS[[#This Row],[Etapa Despacho -  Registro]]="","",MARÍTIMOS[[#This Row],[Etapa Despacho - 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 Inicio de Carga]]="","",MARÍTIMOS[[#This Row],[Etapa Despacho -  Inicio de Carga]]),"")</f>
        <v/>
      </c>
      <c r="AD704" s="11" t="str">
        <f>IFERROR(IF(MARÍTIMOS[[#This Row],[Etapa Despacho -  Fin de Carga]]="","",MARÍTIMOS[[#This Row],[Etapa Despacho -  Fin de Carga]]),"")</f>
        <v/>
      </c>
      <c r="AE704" s="11" t="str">
        <f>IFERROR(IF(MARÍTIMOS[[#This Row],[Etapa Despacho -  Salida]]="","",MARÍTIMOS[[#This Row],[Etapa Despacho -  Salida]]),"")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5" t="s">
        <v>181</v>
      </c>
      <c r="BB704" s="53" t="str">
        <f>IFERROR(IF(MARÍTIMOS[[#This Row],[Estatus]]="","",MARÍTIMOS[[#This Row],[Estatus]]),"")</f>
        <v/>
      </c>
      <c r="BC704" s="45"/>
      <c r="BD704" s="52" t="str">
        <f>IFERROR(OLDBD[[#This Row],[Salida de almacén de retiro]]-OLDBD[[#This Row],[Ingreso Almacén de retiro]],"")</f>
        <v/>
      </c>
      <c r="BE704" s="52" t="str">
        <f>IFERROR(OLDBD[[#This Row],[Fin de Carga]]-OLDBD[[#This Row],[Inicio de Carga]],"")</f>
        <v/>
      </c>
    </row>
    <row r="705" spans="1:57" x14ac:dyDescent="0.35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6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Salida]]="","",MARÍTIMOS[[#This Row],[Etapa Retiro - Salida]]),"")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Row],[Hora de Carga]]+MARÍTIMOS[[#This Row],[Hora de Posicionamiento]]),"")</f>
        <v/>
      </c>
      <c r="Z705" s="11" t="str">
        <f>IFERROR(IF(MARÍTIMOS[[#This Row],[Etapa Despacho -  Llegada]]="","",MARÍTIMOS[[#This Row],[Etapa Despacho -  Llegada]]),"")</f>
        <v/>
      </c>
      <c r="AA705" s="11" t="str">
        <f>IFERROR(IF(MARÍTIMOS[[#This Row],[Etapa Despacho -  Registro]]="","",MARÍTIMOS[[#This Row],[Etapa Despacho - 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 Inicio de Carga]]="","",MARÍTIMOS[[#This Row],[Etapa Despacho -  Inicio de Carga]]),"")</f>
        <v/>
      </c>
      <c r="AD705" s="11" t="str">
        <f>IFERROR(IF(MARÍTIMOS[[#This Row],[Etapa Despacho -  Fin de Carga]]="","",MARÍTIMOS[[#This Row],[Etapa Despacho -  Fin de Carga]]),"")</f>
        <v/>
      </c>
      <c r="AE705" s="11" t="str">
        <f>IFERROR(IF(MARÍTIMOS[[#This Row],[Etapa Despacho -  Salida]]="","",MARÍTIMOS[[#This Row],[Etapa Despacho -  Salida]]),"")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5" t="s">
        <v>181</v>
      </c>
      <c r="BB705" s="53" t="str">
        <f>IFERROR(IF(MARÍTIMOS[[#This Row],[Estatus]]="","",MARÍTIMOS[[#This Row],[Estatus]]),"")</f>
        <v/>
      </c>
      <c r="BC705" s="45"/>
      <c r="BD705" s="52" t="str">
        <f>IFERROR(OLDBD[[#This Row],[Salida de almacén de retiro]]-OLDBD[[#This Row],[Ingreso Almacén de retiro]],"")</f>
        <v/>
      </c>
      <c r="BE705" s="52" t="str">
        <f>IFERROR(OLDBD[[#This Row],[Fin de Carga]]-OLDBD[[#This Row],[Inicio de Carga]],"")</f>
        <v/>
      </c>
    </row>
    <row r="706" spans="1:57" x14ac:dyDescent="0.35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6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Salida]]="","",MARÍTIMOS[[#This Row],[Etapa Retiro - Salida]]),"")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Row],[Hora de Carga]]+MARÍTIMOS[[#This Row],[Hora de Posicionamiento]]),"")</f>
        <v/>
      </c>
      <c r="Z706" s="11" t="str">
        <f>IFERROR(IF(MARÍTIMOS[[#This Row],[Etapa Despacho -  Llegada]]="","",MARÍTIMOS[[#This Row],[Etapa Despacho -  Llegada]]),"")</f>
        <v/>
      </c>
      <c r="AA706" s="11" t="str">
        <f>IFERROR(IF(MARÍTIMOS[[#This Row],[Etapa Despacho -  Registro]]="","",MARÍTIMOS[[#This Row],[Etapa Despacho - 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 Inicio de Carga]]="","",MARÍTIMOS[[#This Row],[Etapa Despacho -  Inicio de Carga]]),"")</f>
        <v/>
      </c>
      <c r="AD706" s="11" t="str">
        <f>IFERROR(IF(MARÍTIMOS[[#This Row],[Etapa Despacho -  Fin de Carga]]="","",MARÍTIMOS[[#This Row],[Etapa Despacho -  Fin de Carga]]),"")</f>
        <v/>
      </c>
      <c r="AE706" s="11" t="str">
        <f>IFERROR(IF(MARÍTIMOS[[#This Row],[Etapa Despacho -  Salida]]="","",MARÍTIMOS[[#This Row],[Etapa Despacho -  Salida]]),"")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5" t="s">
        <v>181</v>
      </c>
      <c r="BB706" s="53" t="str">
        <f>IFERROR(IF(MARÍTIMOS[[#This Row],[Estatus]]="","",MARÍTIMOS[[#This Row],[Estatus]]),"")</f>
        <v/>
      </c>
      <c r="BC706" s="45"/>
      <c r="BD706" s="52" t="str">
        <f>IFERROR(OLDBD[[#This Row],[Salida de almacén de retiro]]-OLDBD[[#This Row],[Ingreso Almacén de retiro]],"")</f>
        <v/>
      </c>
      <c r="BE706" s="52" t="str">
        <f>IFERROR(OLDBD[[#This Row],[Fin de Carga]]-OLDBD[[#This Row],[Inicio de Carga]],"")</f>
        <v/>
      </c>
    </row>
    <row r="707" spans="1:57" x14ac:dyDescent="0.35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6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Salida]]="","",MARÍTIMOS[[#This Row],[Etapa Retiro - Salida]]),"")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Row],[Hora de Carga]]+MARÍTIMOS[[#This Row],[Hora de Posicionamiento]]),"")</f>
        <v/>
      </c>
      <c r="Z707" s="11" t="str">
        <f>IFERROR(IF(MARÍTIMOS[[#This Row],[Etapa Despacho -  Llegada]]="","",MARÍTIMOS[[#This Row],[Etapa Despacho -  Llegada]]),"")</f>
        <v/>
      </c>
      <c r="AA707" s="11" t="str">
        <f>IFERROR(IF(MARÍTIMOS[[#This Row],[Etapa Despacho -  Registro]]="","",MARÍTIMOS[[#This Row],[Etapa Despacho - 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 Inicio de Carga]]="","",MARÍTIMOS[[#This Row],[Etapa Despacho -  Inicio de Carga]]),"")</f>
        <v/>
      </c>
      <c r="AD707" s="11" t="str">
        <f>IFERROR(IF(MARÍTIMOS[[#This Row],[Etapa Despacho -  Fin de Carga]]="","",MARÍTIMOS[[#This Row],[Etapa Despacho -  Fin de Carga]]),"")</f>
        <v/>
      </c>
      <c r="AE707" s="11" t="str">
        <f>IFERROR(IF(MARÍTIMOS[[#This Row],[Etapa Despacho -  Salida]]="","",MARÍTIMOS[[#This Row],[Etapa Despacho -  Salida]]),"")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5" t="s">
        <v>181</v>
      </c>
      <c r="BB707" s="53" t="str">
        <f>IFERROR(IF(MARÍTIMOS[[#This Row],[Estatus]]="","",MARÍTIMOS[[#This Row],[Estatus]]),"")</f>
        <v/>
      </c>
      <c r="BC707" s="45"/>
      <c r="BD707" s="52" t="str">
        <f>IFERROR(OLDBD[[#This Row],[Salida de almacén de retiro]]-OLDBD[[#This Row],[Ingreso Almacén de retiro]],"")</f>
        <v/>
      </c>
      <c r="BE707" s="52" t="str">
        <f>IFERROR(OLDBD[[#This Row],[Fin de Carga]]-OLDBD[[#This Row],[Inicio de Carga]],"")</f>
        <v/>
      </c>
    </row>
    <row r="708" spans="1:57" x14ac:dyDescent="0.35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6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Salida]]="","",MARÍTIMOS[[#This Row],[Etapa Retiro - Salida]]),"")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Row],[Hora de Carga]]+MARÍTIMOS[[#This Row],[Hora de Posicionamiento]]),"")</f>
        <v/>
      </c>
      <c r="Z708" s="11" t="str">
        <f>IFERROR(IF(MARÍTIMOS[[#This Row],[Etapa Despacho -  Llegada]]="","",MARÍTIMOS[[#This Row],[Etapa Despacho -  Llegada]]),"")</f>
        <v/>
      </c>
      <c r="AA708" s="11" t="str">
        <f>IFERROR(IF(MARÍTIMOS[[#This Row],[Etapa Despacho -  Registro]]="","",MARÍTIMOS[[#This Row],[Etapa Despacho - 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 Inicio de Carga]]="","",MARÍTIMOS[[#This Row],[Etapa Despacho -  Inicio de Carga]]),"")</f>
        <v/>
      </c>
      <c r="AD708" s="11" t="str">
        <f>IFERROR(IF(MARÍTIMOS[[#This Row],[Etapa Despacho -  Fin de Carga]]="","",MARÍTIMOS[[#This Row],[Etapa Despacho -  Fin de Carga]]),"")</f>
        <v/>
      </c>
      <c r="AE708" s="11" t="str">
        <f>IFERROR(IF(MARÍTIMOS[[#This Row],[Etapa Despacho -  Salida]]="","",MARÍTIMOS[[#This Row],[Etapa Despacho -  Salida]]),"")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5" t="s">
        <v>181</v>
      </c>
      <c r="BB708" s="53" t="str">
        <f>IFERROR(IF(MARÍTIMOS[[#This Row],[Estatus]]="","",MARÍTIMOS[[#This Row],[Estatus]]),"")</f>
        <v/>
      </c>
      <c r="BC708" s="45"/>
      <c r="BD708" s="52" t="str">
        <f>IFERROR(OLDBD[[#This Row],[Salida de almacén de retiro]]-OLDBD[[#This Row],[Ingreso Almacén de retiro]],"")</f>
        <v/>
      </c>
      <c r="BE708" s="52" t="str">
        <f>IFERROR(OLDBD[[#This Row],[Fin de Carga]]-OLDBD[[#This Row],[Inicio de Carga]],"")</f>
        <v/>
      </c>
    </row>
    <row r="709" spans="1:57" x14ac:dyDescent="0.35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6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Salida]]="","",MARÍTIMOS[[#This Row],[Etapa Retiro - Salida]]),"")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Row],[Hora de Carga]]+MARÍTIMOS[[#This Row],[Hora de Posicionamiento]]),"")</f>
        <v/>
      </c>
      <c r="Z709" s="11" t="str">
        <f>IFERROR(IF(MARÍTIMOS[[#This Row],[Etapa Despacho -  Llegada]]="","",MARÍTIMOS[[#This Row],[Etapa Despacho -  Llegada]]),"")</f>
        <v/>
      </c>
      <c r="AA709" s="11" t="str">
        <f>IFERROR(IF(MARÍTIMOS[[#This Row],[Etapa Despacho -  Registro]]="","",MARÍTIMOS[[#This Row],[Etapa Despacho - 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 Inicio de Carga]]="","",MARÍTIMOS[[#This Row],[Etapa Despacho -  Inicio de Carga]]),"")</f>
        <v/>
      </c>
      <c r="AD709" s="11" t="str">
        <f>IFERROR(IF(MARÍTIMOS[[#This Row],[Etapa Despacho -  Fin de Carga]]="","",MARÍTIMOS[[#This Row],[Etapa Despacho -  Fin de Carga]]),"")</f>
        <v/>
      </c>
      <c r="AE709" s="11" t="str">
        <f>IFERROR(IF(MARÍTIMOS[[#This Row],[Etapa Despacho -  Salida]]="","",MARÍTIMOS[[#This Row],[Etapa Despacho -  Salida]]),"")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5" t="s">
        <v>181</v>
      </c>
      <c r="BB709" s="53" t="str">
        <f>IFERROR(IF(MARÍTIMOS[[#This Row],[Estatus]]="","",MARÍTIMOS[[#This Row],[Estatus]]),"")</f>
        <v/>
      </c>
      <c r="BC709" s="45"/>
      <c r="BD709" s="52" t="str">
        <f>IFERROR(OLDBD[[#This Row],[Salida de almacén de retiro]]-OLDBD[[#This Row],[Ingreso Almacén de retiro]],"")</f>
        <v/>
      </c>
      <c r="BE709" s="52" t="str">
        <f>IFERROR(OLDBD[[#This Row],[Fin de Carga]]-OLDBD[[#This Row],[Inicio de Carga]],"")</f>
        <v/>
      </c>
    </row>
    <row r="710" spans="1:57" x14ac:dyDescent="0.35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6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Salida]]="","",MARÍTIMOS[[#This Row],[Etapa Retiro - Salida]]),"")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Row],[Hora de Carga]]+MARÍTIMOS[[#This Row],[Hora de Posicionamiento]]),"")</f>
        <v/>
      </c>
      <c r="Z710" s="11" t="str">
        <f>IFERROR(IF(MARÍTIMOS[[#This Row],[Etapa Despacho -  Llegada]]="","",MARÍTIMOS[[#This Row],[Etapa Despacho -  Llegada]]),"")</f>
        <v/>
      </c>
      <c r="AA710" s="11" t="str">
        <f>IFERROR(IF(MARÍTIMOS[[#This Row],[Etapa Despacho -  Registro]]="","",MARÍTIMOS[[#This Row],[Etapa Despacho - 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 Inicio de Carga]]="","",MARÍTIMOS[[#This Row],[Etapa Despacho -  Inicio de Carga]]),"")</f>
        <v/>
      </c>
      <c r="AD710" s="11" t="str">
        <f>IFERROR(IF(MARÍTIMOS[[#This Row],[Etapa Despacho -  Fin de Carga]]="","",MARÍTIMOS[[#This Row],[Etapa Despacho -  Fin de Carga]]),"")</f>
        <v/>
      </c>
      <c r="AE710" s="11" t="str">
        <f>IFERROR(IF(MARÍTIMOS[[#This Row],[Etapa Despacho -  Salida]]="","",MARÍTIMOS[[#This Row],[Etapa Despacho -  Salida]]),"")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5" t="s">
        <v>181</v>
      </c>
      <c r="BB710" s="53" t="str">
        <f>IFERROR(IF(MARÍTIMOS[[#This Row],[Estatus]]="","",MARÍTIMOS[[#This Row],[Estatus]]),"")</f>
        <v/>
      </c>
      <c r="BC710" s="45"/>
      <c r="BD710" s="52" t="str">
        <f>IFERROR(OLDBD[[#This Row],[Salida de almacén de retiro]]-OLDBD[[#This Row],[Ingreso Almacén de retiro]],"")</f>
        <v/>
      </c>
      <c r="BE710" s="52" t="str">
        <f>IFERROR(OLDBD[[#This Row],[Fin de Carga]]-OLDBD[[#This Row],[Inicio de Carga]],"")</f>
        <v/>
      </c>
    </row>
    <row r="711" spans="1:57" x14ac:dyDescent="0.35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6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Salida]]="","",MARÍTIMOS[[#This Row],[Etapa Retiro - Salida]]),"")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Row],[Hora de Carga]]+MARÍTIMOS[[#This Row],[Hora de Posicionamiento]]),"")</f>
        <v/>
      </c>
      <c r="Z711" s="11" t="str">
        <f>IFERROR(IF(MARÍTIMOS[[#This Row],[Etapa Despacho -  Llegada]]="","",MARÍTIMOS[[#This Row],[Etapa Despacho -  Llegada]]),"")</f>
        <v/>
      </c>
      <c r="AA711" s="11" t="str">
        <f>IFERROR(IF(MARÍTIMOS[[#This Row],[Etapa Despacho -  Registro]]="","",MARÍTIMOS[[#This Row],[Etapa Despacho - 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 Inicio de Carga]]="","",MARÍTIMOS[[#This Row],[Etapa Despacho -  Inicio de Carga]]),"")</f>
        <v/>
      </c>
      <c r="AD711" s="11" t="str">
        <f>IFERROR(IF(MARÍTIMOS[[#This Row],[Etapa Despacho -  Fin de Carga]]="","",MARÍTIMOS[[#This Row],[Etapa Despacho -  Fin de Carga]]),"")</f>
        <v/>
      </c>
      <c r="AE711" s="11" t="str">
        <f>IFERROR(IF(MARÍTIMOS[[#This Row],[Etapa Despacho -  Salida]]="","",MARÍTIMOS[[#This Row],[Etapa Despacho -  Salida]]),"")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5" t="s">
        <v>181</v>
      </c>
      <c r="BB711" s="53" t="str">
        <f>IFERROR(IF(MARÍTIMOS[[#This Row],[Estatus]]="","",MARÍTIMOS[[#This Row],[Estatus]]),"")</f>
        <v/>
      </c>
      <c r="BC711" s="45"/>
      <c r="BD711" s="52" t="str">
        <f>IFERROR(OLDBD[[#This Row],[Salida de almacén de retiro]]-OLDBD[[#This Row],[Ingreso Almacén de retiro]],"")</f>
        <v/>
      </c>
      <c r="BE711" s="52" t="str">
        <f>IFERROR(OLDBD[[#This Row],[Fin de Carga]]-OLDBD[[#This Row],[Inicio de Carga]],"")</f>
        <v/>
      </c>
    </row>
    <row r="712" spans="1:57" x14ac:dyDescent="0.35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6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Salida]]="","",MARÍTIMOS[[#This Row],[Etapa Retiro - Salida]]),"")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Row],[Hora de Carga]]+MARÍTIMOS[[#This Row],[Hora de Posicionamiento]]),"")</f>
        <v/>
      </c>
      <c r="Z712" s="11" t="str">
        <f>IFERROR(IF(MARÍTIMOS[[#This Row],[Etapa Despacho -  Llegada]]="","",MARÍTIMOS[[#This Row],[Etapa Despacho -  Llegada]]),"")</f>
        <v/>
      </c>
      <c r="AA712" s="11" t="str">
        <f>IFERROR(IF(MARÍTIMOS[[#This Row],[Etapa Despacho -  Registro]]="","",MARÍTIMOS[[#This Row],[Etapa Despacho - 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 Inicio de Carga]]="","",MARÍTIMOS[[#This Row],[Etapa Despacho -  Inicio de Carga]]),"")</f>
        <v/>
      </c>
      <c r="AD712" s="11" t="str">
        <f>IFERROR(IF(MARÍTIMOS[[#This Row],[Etapa Despacho -  Fin de Carga]]="","",MARÍTIMOS[[#This Row],[Etapa Despacho -  Fin de Carga]]),"")</f>
        <v/>
      </c>
      <c r="AE712" s="11" t="str">
        <f>IFERROR(IF(MARÍTIMOS[[#This Row],[Etapa Despacho -  Salida]]="","",MARÍTIMOS[[#This Row],[Etapa Despacho -  Salida]]),"")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5" t="s">
        <v>181</v>
      </c>
      <c r="BB712" s="53" t="str">
        <f>IFERROR(IF(MARÍTIMOS[[#This Row],[Estatus]]="","",MARÍTIMOS[[#This Row],[Estatus]]),"")</f>
        <v/>
      </c>
      <c r="BC712" s="45"/>
      <c r="BD712" s="52" t="str">
        <f>IFERROR(OLDBD[[#This Row],[Salida de almacén de retiro]]-OLDBD[[#This Row],[Ingreso Almacén de retiro]],"")</f>
        <v/>
      </c>
      <c r="BE712" s="52" t="str">
        <f>IFERROR(OLDBD[[#This Row],[Fin de Carga]]-OLDBD[[#This Row],[Inicio de Carga]],"")</f>
        <v/>
      </c>
    </row>
    <row r="713" spans="1:57" x14ac:dyDescent="0.35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6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Salida]]="","",MARÍTIMOS[[#This Row],[Etapa Retiro - Salida]]),"")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Row],[Hora de Carga]]+MARÍTIMOS[[#This Row],[Hora de Posicionamiento]]),"")</f>
        <v/>
      </c>
      <c r="Z713" s="11" t="str">
        <f>IFERROR(IF(MARÍTIMOS[[#This Row],[Etapa Despacho -  Llegada]]="","",MARÍTIMOS[[#This Row],[Etapa Despacho -  Llegada]]),"")</f>
        <v/>
      </c>
      <c r="AA713" s="11" t="str">
        <f>IFERROR(IF(MARÍTIMOS[[#This Row],[Etapa Despacho -  Registro]]="","",MARÍTIMOS[[#This Row],[Etapa Despacho - 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 Inicio de Carga]]="","",MARÍTIMOS[[#This Row],[Etapa Despacho -  Inicio de Carga]]),"")</f>
        <v/>
      </c>
      <c r="AD713" s="11" t="str">
        <f>IFERROR(IF(MARÍTIMOS[[#This Row],[Etapa Despacho -  Fin de Carga]]="","",MARÍTIMOS[[#This Row],[Etapa Despacho -  Fin de Carga]]),"")</f>
        <v/>
      </c>
      <c r="AE713" s="11" t="str">
        <f>IFERROR(IF(MARÍTIMOS[[#This Row],[Etapa Despacho -  Salida]]="","",MARÍTIMOS[[#This Row],[Etapa Despacho -  Salida]]),"")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5" t="s">
        <v>181</v>
      </c>
      <c r="BB713" s="53" t="str">
        <f>IFERROR(IF(MARÍTIMOS[[#This Row],[Estatus]]="","",MARÍTIMOS[[#This Row],[Estatus]]),"")</f>
        <v/>
      </c>
      <c r="BC713" s="45"/>
      <c r="BD713" s="52" t="str">
        <f>IFERROR(OLDBD[[#This Row],[Salida de almacén de retiro]]-OLDBD[[#This Row],[Ingreso Almacén de retiro]],"")</f>
        <v/>
      </c>
      <c r="BE713" s="52" t="str">
        <f>IFERROR(OLDBD[[#This Row],[Fin de Carga]]-OLDBD[[#This Row],[Inicio de Carga]],"")</f>
        <v/>
      </c>
    </row>
    <row r="714" spans="1:57" x14ac:dyDescent="0.35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6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Salida]]="","",MARÍTIMOS[[#This Row],[Etapa Retiro - Salida]]),"")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Row],[Hora de Carga]]+MARÍTIMOS[[#This Row],[Hora de Posicionamiento]]),"")</f>
        <v/>
      </c>
      <c r="Z714" s="11" t="str">
        <f>IFERROR(IF(MARÍTIMOS[[#This Row],[Etapa Despacho -  Llegada]]="","",MARÍTIMOS[[#This Row],[Etapa Despacho -  Llegada]]),"")</f>
        <v/>
      </c>
      <c r="AA714" s="11" t="str">
        <f>IFERROR(IF(MARÍTIMOS[[#This Row],[Etapa Despacho -  Registro]]="","",MARÍTIMOS[[#This Row],[Etapa Despacho - 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 Inicio de Carga]]="","",MARÍTIMOS[[#This Row],[Etapa Despacho -  Inicio de Carga]]),"")</f>
        <v/>
      </c>
      <c r="AD714" s="11" t="str">
        <f>IFERROR(IF(MARÍTIMOS[[#This Row],[Etapa Despacho -  Fin de Carga]]="","",MARÍTIMOS[[#This Row],[Etapa Despacho -  Fin de Carga]]),"")</f>
        <v/>
      </c>
      <c r="AE714" s="11" t="str">
        <f>IFERROR(IF(MARÍTIMOS[[#This Row],[Etapa Despacho -  Salida]]="","",MARÍTIMOS[[#This Row],[Etapa Despacho -  Salida]]),"")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5" t="s">
        <v>181</v>
      </c>
      <c r="BB714" s="53" t="str">
        <f>IFERROR(IF(MARÍTIMOS[[#This Row],[Estatus]]="","",MARÍTIMOS[[#This Row],[Estatus]]),"")</f>
        <v/>
      </c>
      <c r="BC714" s="45"/>
      <c r="BD714" s="52" t="str">
        <f>IFERROR(OLDBD[[#This Row],[Salida de almacén de retiro]]-OLDBD[[#This Row],[Ingreso Almacén de retiro]],"")</f>
        <v/>
      </c>
      <c r="BE714" s="52" t="str">
        <f>IFERROR(OLDBD[[#This Row],[Fin de Carga]]-OLDBD[[#This Row],[Inicio de Carga]],"")</f>
        <v/>
      </c>
    </row>
    <row r="715" spans="1:57" x14ac:dyDescent="0.35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6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Salida]]="","",MARÍTIMOS[[#This Row],[Etapa Retiro - Salida]]),"")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Row],[Hora de Carga]]+MARÍTIMOS[[#This Row],[Hora de Posicionamiento]]),"")</f>
        <v/>
      </c>
      <c r="Z715" s="11" t="str">
        <f>IFERROR(IF(MARÍTIMOS[[#This Row],[Etapa Despacho -  Llegada]]="","",MARÍTIMOS[[#This Row],[Etapa Despacho -  Llegada]]),"")</f>
        <v/>
      </c>
      <c r="AA715" s="11" t="str">
        <f>IFERROR(IF(MARÍTIMOS[[#This Row],[Etapa Despacho -  Registro]]="","",MARÍTIMOS[[#This Row],[Etapa Despacho - 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 Inicio de Carga]]="","",MARÍTIMOS[[#This Row],[Etapa Despacho -  Inicio de Carga]]),"")</f>
        <v/>
      </c>
      <c r="AD715" s="11" t="str">
        <f>IFERROR(IF(MARÍTIMOS[[#This Row],[Etapa Despacho -  Fin de Carga]]="","",MARÍTIMOS[[#This Row],[Etapa Despacho -  Fin de Carga]]),"")</f>
        <v/>
      </c>
      <c r="AE715" s="11" t="str">
        <f>IFERROR(IF(MARÍTIMOS[[#This Row],[Etapa Despacho -  Salida]]="","",MARÍTIMOS[[#This Row],[Etapa Despacho -  Salida]]),"")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5" t="s">
        <v>181</v>
      </c>
      <c r="BB715" s="53" t="str">
        <f>IFERROR(IF(MARÍTIMOS[[#This Row],[Estatus]]="","",MARÍTIMOS[[#This Row],[Estatus]]),"")</f>
        <v/>
      </c>
      <c r="BC715" s="45"/>
      <c r="BD715" s="52" t="str">
        <f>IFERROR(OLDBD[[#This Row],[Salida de almacén de retiro]]-OLDBD[[#This Row],[Ingreso Almacén de retiro]],"")</f>
        <v/>
      </c>
      <c r="BE715" s="52" t="str">
        <f>IFERROR(OLDBD[[#This Row],[Fin de Carga]]-OLDBD[[#This Row],[Inicio de Carga]],"")</f>
        <v/>
      </c>
    </row>
    <row r="716" spans="1:57" x14ac:dyDescent="0.35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6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Salida]]="","",MARÍTIMOS[[#This Row],[Etapa Retiro - Salida]]),"")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Row],[Hora de Carga]]+MARÍTIMOS[[#This Row],[Hora de Posicionamiento]]),"")</f>
        <v/>
      </c>
      <c r="Z716" s="11" t="str">
        <f>IFERROR(IF(MARÍTIMOS[[#This Row],[Etapa Despacho -  Llegada]]="","",MARÍTIMOS[[#This Row],[Etapa Despacho -  Llegada]]),"")</f>
        <v/>
      </c>
      <c r="AA716" s="11" t="str">
        <f>IFERROR(IF(MARÍTIMOS[[#This Row],[Etapa Despacho -  Registro]]="","",MARÍTIMOS[[#This Row],[Etapa Despacho - 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 Inicio de Carga]]="","",MARÍTIMOS[[#This Row],[Etapa Despacho -  Inicio de Carga]]),"")</f>
        <v/>
      </c>
      <c r="AD716" s="11" t="str">
        <f>IFERROR(IF(MARÍTIMOS[[#This Row],[Etapa Despacho -  Fin de Carga]]="","",MARÍTIMOS[[#This Row],[Etapa Despacho -  Fin de Carga]]),"")</f>
        <v/>
      </c>
      <c r="AE716" s="11" t="str">
        <f>IFERROR(IF(MARÍTIMOS[[#This Row],[Etapa Despacho -  Salida]]="","",MARÍTIMOS[[#This Row],[Etapa Despacho -  Salida]]),"")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5" t="s">
        <v>181</v>
      </c>
      <c r="BB716" s="53" t="str">
        <f>IFERROR(IF(MARÍTIMOS[[#This Row],[Estatus]]="","",MARÍTIMOS[[#This Row],[Estatus]]),"")</f>
        <v/>
      </c>
      <c r="BC716" s="45"/>
      <c r="BD716" s="52" t="str">
        <f>IFERROR(OLDBD[[#This Row],[Salida de almacén de retiro]]-OLDBD[[#This Row],[Ingreso Almacén de retiro]],"")</f>
        <v/>
      </c>
      <c r="BE716" s="52" t="str">
        <f>IFERROR(OLDBD[[#This Row],[Fin de Carga]]-OLDBD[[#This Row],[Inicio de Carga]],"")</f>
        <v/>
      </c>
    </row>
    <row r="717" spans="1:57" x14ac:dyDescent="0.35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6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Salida]]="","",MARÍTIMOS[[#This Row],[Etapa Retiro - Salida]]),"")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Row],[Hora de Carga]]+MARÍTIMOS[[#This Row],[Hora de Posicionamiento]]),"")</f>
        <v/>
      </c>
      <c r="Z717" s="11" t="str">
        <f>IFERROR(IF(MARÍTIMOS[[#This Row],[Etapa Despacho -  Llegada]]="","",MARÍTIMOS[[#This Row],[Etapa Despacho -  Llegada]]),"")</f>
        <v/>
      </c>
      <c r="AA717" s="11" t="str">
        <f>IFERROR(IF(MARÍTIMOS[[#This Row],[Etapa Despacho -  Registro]]="","",MARÍTIMOS[[#This Row],[Etapa Despacho - 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 Inicio de Carga]]="","",MARÍTIMOS[[#This Row],[Etapa Despacho -  Inicio de Carga]]),"")</f>
        <v/>
      </c>
      <c r="AD717" s="11" t="str">
        <f>IFERROR(IF(MARÍTIMOS[[#This Row],[Etapa Despacho -  Fin de Carga]]="","",MARÍTIMOS[[#This Row],[Etapa Despacho -  Fin de Carga]]),"")</f>
        <v/>
      </c>
      <c r="AE717" s="11" t="str">
        <f>IFERROR(IF(MARÍTIMOS[[#This Row],[Etapa Despacho -  Salida]]="","",MARÍTIMOS[[#This Row],[Etapa Despacho -  Salida]]),"")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5" t="s">
        <v>181</v>
      </c>
      <c r="BB717" s="53" t="str">
        <f>IFERROR(IF(MARÍTIMOS[[#This Row],[Estatus]]="","",MARÍTIMOS[[#This Row],[Estatus]]),"")</f>
        <v/>
      </c>
      <c r="BC717" s="45"/>
      <c r="BD717" s="52" t="str">
        <f>IFERROR(OLDBD[[#This Row],[Salida de almacén de retiro]]-OLDBD[[#This Row],[Ingreso Almacén de retiro]],"")</f>
        <v/>
      </c>
      <c r="BE717" s="52" t="str">
        <f>IFERROR(OLDBD[[#This Row],[Fin de Carga]]-OLDBD[[#This Row],[Inicio de Carga]],"")</f>
        <v/>
      </c>
    </row>
    <row r="718" spans="1:57" x14ac:dyDescent="0.35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6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Salida]]="","",MARÍTIMOS[[#This Row],[Etapa Retiro - Salida]]),"")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Row],[Hora de Carga]]+MARÍTIMOS[[#This Row],[Hora de Posicionamiento]]),"")</f>
        <v/>
      </c>
      <c r="Z718" s="11" t="str">
        <f>IFERROR(IF(MARÍTIMOS[[#This Row],[Etapa Despacho -  Llegada]]="","",MARÍTIMOS[[#This Row],[Etapa Despacho -  Llegada]]),"")</f>
        <v/>
      </c>
      <c r="AA718" s="11" t="str">
        <f>IFERROR(IF(MARÍTIMOS[[#This Row],[Etapa Despacho -  Registro]]="","",MARÍTIMOS[[#This Row],[Etapa Despacho - 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 Inicio de Carga]]="","",MARÍTIMOS[[#This Row],[Etapa Despacho -  Inicio de Carga]]),"")</f>
        <v/>
      </c>
      <c r="AD718" s="11" t="str">
        <f>IFERROR(IF(MARÍTIMOS[[#This Row],[Etapa Despacho -  Fin de Carga]]="","",MARÍTIMOS[[#This Row],[Etapa Despacho -  Fin de Carga]]),"")</f>
        <v/>
      </c>
      <c r="AE718" s="11" t="str">
        <f>IFERROR(IF(MARÍTIMOS[[#This Row],[Etapa Despacho -  Salida]]="","",MARÍTIMOS[[#This Row],[Etapa Despacho -  Salida]]),"")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5" t="s">
        <v>181</v>
      </c>
      <c r="BB718" s="53" t="str">
        <f>IFERROR(IF(MARÍTIMOS[[#This Row],[Estatus]]="","",MARÍTIMOS[[#This Row],[Estatus]]),"")</f>
        <v/>
      </c>
      <c r="BC718" s="45"/>
      <c r="BD718" s="52" t="str">
        <f>IFERROR(OLDBD[[#This Row],[Salida de almacén de retiro]]-OLDBD[[#This Row],[Ingreso Almacén de retiro]],"")</f>
        <v/>
      </c>
      <c r="BE718" s="52" t="str">
        <f>IFERROR(OLDBD[[#This Row],[Fin de Carga]]-OLDBD[[#This Row],[Inicio de Carga]],"")</f>
        <v/>
      </c>
    </row>
    <row r="719" spans="1:57" x14ac:dyDescent="0.35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6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Salida]]="","",MARÍTIMOS[[#This Row],[Etapa Retiro - Salida]]),"")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Row],[Hora de Carga]]+MARÍTIMOS[[#This Row],[Hora de Posicionamiento]]),"")</f>
        <v/>
      </c>
      <c r="Z719" s="11" t="str">
        <f>IFERROR(IF(MARÍTIMOS[[#This Row],[Etapa Despacho -  Llegada]]="","",MARÍTIMOS[[#This Row],[Etapa Despacho -  Llegada]]),"")</f>
        <v/>
      </c>
      <c r="AA719" s="11" t="str">
        <f>IFERROR(IF(MARÍTIMOS[[#This Row],[Etapa Despacho -  Registro]]="","",MARÍTIMOS[[#This Row],[Etapa Despacho - 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 Inicio de Carga]]="","",MARÍTIMOS[[#This Row],[Etapa Despacho -  Inicio de Carga]]),"")</f>
        <v/>
      </c>
      <c r="AD719" s="11" t="str">
        <f>IFERROR(IF(MARÍTIMOS[[#This Row],[Etapa Despacho -  Fin de Carga]]="","",MARÍTIMOS[[#This Row],[Etapa Despacho -  Fin de Carga]]),"")</f>
        <v/>
      </c>
      <c r="AE719" s="11" t="str">
        <f>IFERROR(IF(MARÍTIMOS[[#This Row],[Etapa Despacho -  Salida]]="","",MARÍTIMOS[[#This Row],[Etapa Despacho -  Salida]]),"")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5" t="s">
        <v>181</v>
      </c>
      <c r="BB719" s="53" t="str">
        <f>IFERROR(IF(MARÍTIMOS[[#This Row],[Estatus]]="","",MARÍTIMOS[[#This Row],[Estatus]]),"")</f>
        <v/>
      </c>
      <c r="BC719" s="45"/>
      <c r="BD719" s="52" t="str">
        <f>IFERROR(OLDBD[[#This Row],[Salida de almacén de retiro]]-OLDBD[[#This Row],[Ingreso Almacén de retiro]],"")</f>
        <v/>
      </c>
      <c r="BE719" s="52" t="str">
        <f>IFERROR(OLDBD[[#This Row],[Fin de Carga]]-OLDBD[[#This Row],[Inicio de Carga]],"")</f>
        <v/>
      </c>
    </row>
    <row r="720" spans="1:57" x14ac:dyDescent="0.35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6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Salida]]="","",MARÍTIMOS[[#This Row],[Etapa Retiro - Salida]]),"")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Row],[Hora de Carga]]+MARÍTIMOS[[#This Row],[Hora de Posicionamiento]]),"")</f>
        <v/>
      </c>
      <c r="Z720" s="11" t="str">
        <f>IFERROR(IF(MARÍTIMOS[[#This Row],[Etapa Despacho -  Llegada]]="","",MARÍTIMOS[[#This Row],[Etapa Despacho -  Llegada]]),"")</f>
        <v/>
      </c>
      <c r="AA720" s="11" t="str">
        <f>IFERROR(IF(MARÍTIMOS[[#This Row],[Etapa Despacho -  Registro]]="","",MARÍTIMOS[[#This Row],[Etapa Despacho - 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 Inicio de Carga]]="","",MARÍTIMOS[[#This Row],[Etapa Despacho -  Inicio de Carga]]),"")</f>
        <v/>
      </c>
      <c r="AD720" s="11" t="str">
        <f>IFERROR(IF(MARÍTIMOS[[#This Row],[Etapa Despacho -  Fin de Carga]]="","",MARÍTIMOS[[#This Row],[Etapa Despacho -  Fin de Carga]]),"")</f>
        <v/>
      </c>
      <c r="AE720" s="11" t="str">
        <f>IFERROR(IF(MARÍTIMOS[[#This Row],[Etapa Despacho -  Salida]]="","",MARÍTIMOS[[#This Row],[Etapa Despacho -  Salida]]),"")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5" t="s">
        <v>181</v>
      </c>
      <c r="BB720" s="53" t="str">
        <f>IFERROR(IF(MARÍTIMOS[[#This Row],[Estatus]]="","",MARÍTIMOS[[#This Row],[Estatus]]),"")</f>
        <v/>
      </c>
      <c r="BC720" s="45"/>
      <c r="BD720" s="52" t="str">
        <f>IFERROR(OLDBD[[#This Row],[Salida de almacén de retiro]]-OLDBD[[#This Row],[Ingreso Almacén de retiro]],"")</f>
        <v/>
      </c>
      <c r="BE720" s="52" t="str">
        <f>IFERROR(OLDBD[[#This Row],[Fin de Carga]]-OLDBD[[#This Row],[Inicio de Carga]],"")</f>
        <v/>
      </c>
    </row>
    <row r="721" spans="1:57" x14ac:dyDescent="0.35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6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Salida]]="","",MARÍTIMOS[[#This Row],[Etapa Retiro - Salida]]),"")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Row],[Hora de Carga]]+MARÍTIMOS[[#This Row],[Hora de Posicionamiento]]),"")</f>
        <v/>
      </c>
      <c r="Z721" s="11" t="str">
        <f>IFERROR(IF(MARÍTIMOS[[#This Row],[Etapa Despacho -  Llegada]]="","",MARÍTIMOS[[#This Row],[Etapa Despacho -  Llegada]]),"")</f>
        <v/>
      </c>
      <c r="AA721" s="11" t="str">
        <f>IFERROR(IF(MARÍTIMOS[[#This Row],[Etapa Despacho -  Registro]]="","",MARÍTIMOS[[#This Row],[Etapa Despacho - 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 Inicio de Carga]]="","",MARÍTIMOS[[#This Row],[Etapa Despacho -  Inicio de Carga]]),"")</f>
        <v/>
      </c>
      <c r="AD721" s="11" t="str">
        <f>IFERROR(IF(MARÍTIMOS[[#This Row],[Etapa Despacho -  Fin de Carga]]="","",MARÍTIMOS[[#This Row],[Etapa Despacho -  Fin de Carga]]),"")</f>
        <v/>
      </c>
      <c r="AE721" s="11" t="str">
        <f>IFERROR(IF(MARÍTIMOS[[#This Row],[Etapa Despacho -  Salida]]="","",MARÍTIMOS[[#This Row],[Etapa Despacho -  Salida]]),"")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5" t="s">
        <v>181</v>
      </c>
      <c r="BB721" s="53" t="str">
        <f>IFERROR(IF(MARÍTIMOS[[#This Row],[Estatus]]="","",MARÍTIMOS[[#This Row],[Estatus]]),"")</f>
        <v/>
      </c>
      <c r="BC721" s="45"/>
      <c r="BD721" s="52" t="str">
        <f>IFERROR(OLDBD[[#This Row],[Salida de almacén de retiro]]-OLDBD[[#This Row],[Ingreso Almacén de retiro]],"")</f>
        <v/>
      </c>
      <c r="BE721" s="52" t="str">
        <f>IFERROR(OLDBD[[#This Row],[Fin de Carga]]-OLDBD[[#This Row],[Inicio de Carga]],"")</f>
        <v/>
      </c>
    </row>
    <row r="722" spans="1:57" x14ac:dyDescent="0.35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6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Salida]]="","",MARÍTIMOS[[#This Row],[Etapa Retiro - Salida]]),"")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Row],[Hora de Carga]]+MARÍTIMOS[[#This Row],[Hora de Posicionamiento]]),"")</f>
        <v/>
      </c>
      <c r="Z722" s="11" t="str">
        <f>IFERROR(IF(MARÍTIMOS[[#This Row],[Etapa Despacho -  Llegada]]="","",MARÍTIMOS[[#This Row],[Etapa Despacho -  Llegada]]),"")</f>
        <v/>
      </c>
      <c r="AA722" s="11" t="str">
        <f>IFERROR(IF(MARÍTIMOS[[#This Row],[Etapa Despacho -  Registro]]="","",MARÍTIMOS[[#This Row],[Etapa Despacho - 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 Inicio de Carga]]="","",MARÍTIMOS[[#This Row],[Etapa Despacho -  Inicio de Carga]]),"")</f>
        <v/>
      </c>
      <c r="AD722" s="11" t="str">
        <f>IFERROR(IF(MARÍTIMOS[[#This Row],[Etapa Despacho -  Fin de Carga]]="","",MARÍTIMOS[[#This Row],[Etapa Despacho -  Fin de Carga]]),"")</f>
        <v/>
      </c>
      <c r="AE722" s="11" t="str">
        <f>IFERROR(IF(MARÍTIMOS[[#This Row],[Etapa Despacho -  Salida]]="","",MARÍTIMOS[[#This Row],[Etapa Despacho -  Salida]]),"")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5" t="s">
        <v>181</v>
      </c>
      <c r="BB722" s="53" t="str">
        <f>IFERROR(IF(MARÍTIMOS[[#This Row],[Estatus]]="","",MARÍTIMOS[[#This Row],[Estatus]]),"")</f>
        <v/>
      </c>
      <c r="BC722" s="45"/>
      <c r="BD722" s="52" t="str">
        <f>IFERROR(OLDBD[[#This Row],[Salida de almacén de retiro]]-OLDBD[[#This Row],[Ingreso Almacén de retiro]],"")</f>
        <v/>
      </c>
      <c r="BE722" s="52" t="str">
        <f>IFERROR(OLDBD[[#This Row],[Fin de Carga]]-OLDBD[[#This Row],[Inicio de Carga]],"")</f>
        <v/>
      </c>
    </row>
    <row r="723" spans="1:57" x14ac:dyDescent="0.35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6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Salida]]="","",MARÍTIMOS[[#This Row],[Etapa Retiro - Salida]]),"")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Row],[Hora de Carga]]+MARÍTIMOS[[#This Row],[Hora de Posicionamiento]]),"")</f>
        <v/>
      </c>
      <c r="Z723" s="11" t="str">
        <f>IFERROR(IF(MARÍTIMOS[[#This Row],[Etapa Despacho -  Llegada]]="","",MARÍTIMOS[[#This Row],[Etapa Despacho -  Llegada]]),"")</f>
        <v/>
      </c>
      <c r="AA723" s="11" t="str">
        <f>IFERROR(IF(MARÍTIMOS[[#This Row],[Etapa Despacho -  Registro]]="","",MARÍTIMOS[[#This Row],[Etapa Despacho - 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 Inicio de Carga]]="","",MARÍTIMOS[[#This Row],[Etapa Despacho -  Inicio de Carga]]),"")</f>
        <v/>
      </c>
      <c r="AD723" s="11" t="str">
        <f>IFERROR(IF(MARÍTIMOS[[#This Row],[Etapa Despacho -  Fin de Carga]]="","",MARÍTIMOS[[#This Row],[Etapa Despacho -  Fin de Carga]]),"")</f>
        <v/>
      </c>
      <c r="AE723" s="11" t="str">
        <f>IFERROR(IF(MARÍTIMOS[[#This Row],[Etapa Despacho -  Salida]]="","",MARÍTIMOS[[#This Row],[Etapa Despacho -  Salida]]),"")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5" t="s">
        <v>181</v>
      </c>
      <c r="BB723" s="53" t="str">
        <f>IFERROR(IF(MARÍTIMOS[[#This Row],[Estatus]]="","",MARÍTIMOS[[#This Row],[Estatus]]),"")</f>
        <v/>
      </c>
      <c r="BC723" s="45"/>
      <c r="BD723" s="52" t="str">
        <f>IFERROR(OLDBD[[#This Row],[Salida de almacén de retiro]]-OLDBD[[#This Row],[Ingreso Almacén de retiro]],"")</f>
        <v/>
      </c>
      <c r="BE723" s="52" t="str">
        <f>IFERROR(OLDBD[[#This Row],[Fin de Carga]]-OLDBD[[#This Row],[Inicio de Carga]],"")</f>
        <v/>
      </c>
    </row>
    <row r="724" spans="1:57" x14ac:dyDescent="0.35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6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Salida]]="","",MARÍTIMOS[[#This Row],[Etapa Retiro - Salida]]),"")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Row],[Hora de Carga]]+MARÍTIMOS[[#This Row],[Hora de Posicionamiento]]),"")</f>
        <v/>
      </c>
      <c r="Z724" s="11" t="str">
        <f>IFERROR(IF(MARÍTIMOS[[#This Row],[Etapa Despacho -  Llegada]]="","",MARÍTIMOS[[#This Row],[Etapa Despacho -  Llegada]]),"")</f>
        <v/>
      </c>
      <c r="AA724" s="11" t="str">
        <f>IFERROR(IF(MARÍTIMOS[[#This Row],[Etapa Despacho -  Registro]]="","",MARÍTIMOS[[#This Row],[Etapa Despacho - 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 Inicio de Carga]]="","",MARÍTIMOS[[#This Row],[Etapa Despacho -  Inicio de Carga]]),"")</f>
        <v/>
      </c>
      <c r="AD724" s="11" t="str">
        <f>IFERROR(IF(MARÍTIMOS[[#This Row],[Etapa Despacho -  Fin de Carga]]="","",MARÍTIMOS[[#This Row],[Etapa Despacho -  Fin de Carga]]),"")</f>
        <v/>
      </c>
      <c r="AE724" s="11" t="str">
        <f>IFERROR(IF(MARÍTIMOS[[#This Row],[Etapa Despacho -  Salida]]="","",MARÍTIMOS[[#This Row],[Etapa Despacho -  Salida]]),"")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5" t="s">
        <v>181</v>
      </c>
      <c r="BB724" s="53" t="str">
        <f>IFERROR(IF(MARÍTIMOS[[#This Row],[Estatus]]="","",MARÍTIMOS[[#This Row],[Estatus]]),"")</f>
        <v/>
      </c>
      <c r="BC724" s="45"/>
      <c r="BD724" s="52" t="str">
        <f>IFERROR(OLDBD[[#This Row],[Salida de almacén de retiro]]-OLDBD[[#This Row],[Ingreso Almacén de retiro]],"")</f>
        <v/>
      </c>
      <c r="BE724" s="52" t="str">
        <f>IFERROR(OLDBD[[#This Row],[Fin de Carga]]-OLDBD[[#This Row],[Inicio de Carga]],"")</f>
        <v/>
      </c>
    </row>
    <row r="725" spans="1:57" x14ac:dyDescent="0.35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6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Salida]]="","",MARÍTIMOS[[#This Row],[Etapa Retiro - Salida]]),"")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Row],[Hora de Carga]]+MARÍTIMOS[[#This Row],[Hora de Posicionamiento]]),"")</f>
        <v/>
      </c>
      <c r="Z725" s="11" t="str">
        <f>IFERROR(IF(MARÍTIMOS[[#This Row],[Etapa Despacho -  Llegada]]="","",MARÍTIMOS[[#This Row],[Etapa Despacho -  Llegada]]),"")</f>
        <v/>
      </c>
      <c r="AA725" s="11" t="str">
        <f>IFERROR(IF(MARÍTIMOS[[#This Row],[Etapa Despacho -  Registro]]="","",MARÍTIMOS[[#This Row],[Etapa Despacho - 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 Inicio de Carga]]="","",MARÍTIMOS[[#This Row],[Etapa Despacho -  Inicio de Carga]]),"")</f>
        <v/>
      </c>
      <c r="AD725" s="11" t="str">
        <f>IFERROR(IF(MARÍTIMOS[[#This Row],[Etapa Despacho -  Fin de Carga]]="","",MARÍTIMOS[[#This Row],[Etapa Despacho -  Fin de Carga]]),"")</f>
        <v/>
      </c>
      <c r="AE725" s="11" t="str">
        <f>IFERROR(IF(MARÍTIMOS[[#This Row],[Etapa Despacho -  Salida]]="","",MARÍTIMOS[[#This Row],[Etapa Despacho -  Salida]]),"")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5" t="s">
        <v>181</v>
      </c>
      <c r="BB725" s="53" t="str">
        <f>IFERROR(IF(MARÍTIMOS[[#This Row],[Estatus]]="","",MARÍTIMOS[[#This Row],[Estatus]]),"")</f>
        <v/>
      </c>
      <c r="BC725" s="45"/>
      <c r="BD725" s="52" t="str">
        <f>IFERROR(OLDBD[[#This Row],[Salida de almacén de retiro]]-OLDBD[[#This Row],[Ingreso Almacén de retiro]],"")</f>
        <v/>
      </c>
      <c r="BE725" s="52" t="str">
        <f>IFERROR(OLDBD[[#This Row],[Fin de Carga]]-OLDBD[[#This Row],[Inicio de Carga]],"")</f>
        <v/>
      </c>
    </row>
    <row r="726" spans="1:57" x14ac:dyDescent="0.35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6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Salida]]="","",MARÍTIMOS[[#This Row],[Etapa Retiro - Salida]]),"")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Row],[Hora de Carga]]+MARÍTIMOS[[#This Row],[Hora de Posicionamiento]]),"")</f>
        <v/>
      </c>
      <c r="Z726" s="11" t="str">
        <f>IFERROR(IF(MARÍTIMOS[[#This Row],[Etapa Despacho -  Llegada]]="","",MARÍTIMOS[[#This Row],[Etapa Despacho -  Llegada]]),"")</f>
        <v/>
      </c>
      <c r="AA726" s="11" t="str">
        <f>IFERROR(IF(MARÍTIMOS[[#This Row],[Etapa Despacho -  Registro]]="","",MARÍTIMOS[[#This Row],[Etapa Despacho - 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 Inicio de Carga]]="","",MARÍTIMOS[[#This Row],[Etapa Despacho -  Inicio de Carga]]),"")</f>
        <v/>
      </c>
      <c r="AD726" s="11" t="str">
        <f>IFERROR(IF(MARÍTIMOS[[#This Row],[Etapa Despacho -  Fin de Carga]]="","",MARÍTIMOS[[#This Row],[Etapa Despacho -  Fin de Carga]]),"")</f>
        <v/>
      </c>
      <c r="AE726" s="11" t="str">
        <f>IFERROR(IF(MARÍTIMOS[[#This Row],[Etapa Despacho -  Salida]]="","",MARÍTIMOS[[#This Row],[Etapa Despacho -  Salida]]),"")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5" t="s">
        <v>181</v>
      </c>
      <c r="BB726" s="53" t="str">
        <f>IFERROR(IF(MARÍTIMOS[[#This Row],[Estatus]]="","",MARÍTIMOS[[#This Row],[Estatus]]),"")</f>
        <v/>
      </c>
      <c r="BC726" s="45"/>
      <c r="BD726" s="52" t="str">
        <f>IFERROR(OLDBD[[#This Row],[Salida de almacén de retiro]]-OLDBD[[#This Row],[Ingreso Almacén de retiro]],"")</f>
        <v/>
      </c>
      <c r="BE726" s="52" t="str">
        <f>IFERROR(OLDBD[[#This Row],[Fin de Carga]]-OLDBD[[#This Row],[Inicio de Carga]],"")</f>
        <v/>
      </c>
    </row>
    <row r="727" spans="1:57" x14ac:dyDescent="0.35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6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Salida]]="","",MARÍTIMOS[[#This Row],[Etapa Retiro - Salida]]),"")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Row],[Hora de Carga]]+MARÍTIMOS[[#This Row],[Hora de Posicionamiento]]),"")</f>
        <v/>
      </c>
      <c r="Z727" s="11" t="str">
        <f>IFERROR(IF(MARÍTIMOS[[#This Row],[Etapa Despacho -  Llegada]]="","",MARÍTIMOS[[#This Row],[Etapa Despacho -  Llegada]]),"")</f>
        <v/>
      </c>
      <c r="AA727" s="11" t="str">
        <f>IFERROR(IF(MARÍTIMOS[[#This Row],[Etapa Despacho -  Registro]]="","",MARÍTIMOS[[#This Row],[Etapa Despacho - 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 Inicio de Carga]]="","",MARÍTIMOS[[#This Row],[Etapa Despacho -  Inicio de Carga]]),"")</f>
        <v/>
      </c>
      <c r="AD727" s="11" t="str">
        <f>IFERROR(IF(MARÍTIMOS[[#This Row],[Etapa Despacho -  Fin de Carga]]="","",MARÍTIMOS[[#This Row],[Etapa Despacho -  Fin de Carga]]),"")</f>
        <v/>
      </c>
      <c r="AE727" s="11" t="str">
        <f>IFERROR(IF(MARÍTIMOS[[#This Row],[Etapa Despacho -  Salida]]="","",MARÍTIMOS[[#This Row],[Etapa Despacho -  Salida]]),"")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5" t="s">
        <v>181</v>
      </c>
      <c r="BB727" s="53" t="str">
        <f>IFERROR(IF(MARÍTIMOS[[#This Row],[Estatus]]="","",MARÍTIMOS[[#This Row],[Estatus]]),"")</f>
        <v/>
      </c>
      <c r="BC727" s="45"/>
      <c r="BD727" s="52" t="str">
        <f>IFERROR(OLDBD[[#This Row],[Salida de almacén de retiro]]-OLDBD[[#This Row],[Ingreso Almacén de retiro]],"")</f>
        <v/>
      </c>
      <c r="BE727" s="52" t="str">
        <f>IFERROR(OLDBD[[#This Row],[Fin de Carga]]-OLDBD[[#This Row],[Inicio de Carga]],"")</f>
        <v/>
      </c>
    </row>
    <row r="728" spans="1:57" x14ac:dyDescent="0.35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6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Salida]]="","",MARÍTIMOS[[#This Row],[Etapa Retiro - Salida]]),"")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Row],[Hora de Carga]]+MARÍTIMOS[[#This Row],[Hora de Posicionamiento]]),"")</f>
        <v/>
      </c>
      <c r="Z728" s="11" t="str">
        <f>IFERROR(IF(MARÍTIMOS[[#This Row],[Etapa Despacho -  Llegada]]="","",MARÍTIMOS[[#This Row],[Etapa Despacho -  Llegada]]),"")</f>
        <v/>
      </c>
      <c r="AA728" s="11" t="str">
        <f>IFERROR(IF(MARÍTIMOS[[#This Row],[Etapa Despacho -  Registro]]="","",MARÍTIMOS[[#This Row],[Etapa Despacho - 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 Inicio de Carga]]="","",MARÍTIMOS[[#This Row],[Etapa Despacho -  Inicio de Carga]]),"")</f>
        <v/>
      </c>
      <c r="AD728" s="11" t="str">
        <f>IFERROR(IF(MARÍTIMOS[[#This Row],[Etapa Despacho -  Fin de Carga]]="","",MARÍTIMOS[[#This Row],[Etapa Despacho -  Fin de Carga]]),"")</f>
        <v/>
      </c>
      <c r="AE728" s="11" t="str">
        <f>IFERROR(IF(MARÍTIMOS[[#This Row],[Etapa Despacho -  Salida]]="","",MARÍTIMOS[[#This Row],[Etapa Despacho -  Salida]]),"")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5" t="s">
        <v>181</v>
      </c>
      <c r="BB728" s="53" t="str">
        <f>IFERROR(IF(MARÍTIMOS[[#This Row],[Estatus]]="","",MARÍTIMOS[[#This Row],[Estatus]]),"")</f>
        <v/>
      </c>
      <c r="BC728" s="45"/>
      <c r="BD728" s="52" t="str">
        <f>IFERROR(OLDBD[[#This Row],[Salida de almacén de retiro]]-OLDBD[[#This Row],[Ingreso Almacén de retiro]],"")</f>
        <v/>
      </c>
      <c r="BE728" s="52" t="str">
        <f>IFERROR(OLDBD[[#This Row],[Fin de Carga]]-OLDBD[[#This Row],[Inicio de Carga]],"")</f>
        <v/>
      </c>
    </row>
    <row r="729" spans="1:57" x14ac:dyDescent="0.35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6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Salida]]="","",MARÍTIMOS[[#This Row],[Etapa Retiro - Salida]]),"")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Row],[Hora de Carga]]+MARÍTIMOS[[#This Row],[Hora de Posicionamiento]]),"")</f>
        <v/>
      </c>
      <c r="Z729" s="11" t="str">
        <f>IFERROR(IF(MARÍTIMOS[[#This Row],[Etapa Despacho -  Llegada]]="","",MARÍTIMOS[[#This Row],[Etapa Despacho -  Llegada]]),"")</f>
        <v/>
      </c>
      <c r="AA729" s="11" t="str">
        <f>IFERROR(IF(MARÍTIMOS[[#This Row],[Etapa Despacho -  Registro]]="","",MARÍTIMOS[[#This Row],[Etapa Despacho - 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 Inicio de Carga]]="","",MARÍTIMOS[[#This Row],[Etapa Despacho -  Inicio de Carga]]),"")</f>
        <v/>
      </c>
      <c r="AD729" s="11" t="str">
        <f>IFERROR(IF(MARÍTIMOS[[#This Row],[Etapa Despacho -  Fin de Carga]]="","",MARÍTIMOS[[#This Row],[Etapa Despacho -  Fin de Carga]]),"")</f>
        <v/>
      </c>
      <c r="AE729" s="11" t="str">
        <f>IFERROR(IF(MARÍTIMOS[[#This Row],[Etapa Despacho -  Salida]]="","",MARÍTIMOS[[#This Row],[Etapa Despacho -  Salida]]),"")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5" t="s">
        <v>181</v>
      </c>
      <c r="BB729" s="53" t="str">
        <f>IFERROR(IF(MARÍTIMOS[[#This Row],[Estatus]]="","",MARÍTIMOS[[#This Row],[Estatus]]),"")</f>
        <v/>
      </c>
      <c r="BC729" s="45"/>
      <c r="BD729" s="52" t="str">
        <f>IFERROR(OLDBD[[#This Row],[Salida de almacén de retiro]]-OLDBD[[#This Row],[Ingreso Almacén de retiro]],"")</f>
        <v/>
      </c>
      <c r="BE729" s="52" t="str">
        <f>IFERROR(OLDBD[[#This Row],[Fin de Carga]]-OLDBD[[#This Row],[Inicio de Carga]],"")</f>
        <v/>
      </c>
    </row>
    <row r="730" spans="1:57" x14ac:dyDescent="0.35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6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Salida]]="","",MARÍTIMOS[[#This Row],[Etapa Retiro - Salida]]),"")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Row],[Hora de Carga]]+MARÍTIMOS[[#This Row],[Hora de Posicionamiento]]),"")</f>
        <v/>
      </c>
      <c r="Z730" s="11" t="str">
        <f>IFERROR(IF(MARÍTIMOS[[#This Row],[Etapa Despacho -  Llegada]]="","",MARÍTIMOS[[#This Row],[Etapa Despacho -  Llegada]]),"")</f>
        <v/>
      </c>
      <c r="AA730" s="11" t="str">
        <f>IFERROR(IF(MARÍTIMOS[[#This Row],[Etapa Despacho -  Registro]]="","",MARÍTIMOS[[#This Row],[Etapa Despacho - 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 Inicio de Carga]]="","",MARÍTIMOS[[#This Row],[Etapa Despacho -  Inicio de Carga]]),"")</f>
        <v/>
      </c>
      <c r="AD730" s="11" t="str">
        <f>IFERROR(IF(MARÍTIMOS[[#This Row],[Etapa Despacho -  Fin de Carga]]="","",MARÍTIMOS[[#This Row],[Etapa Despacho -  Fin de Carga]]),"")</f>
        <v/>
      </c>
      <c r="AE730" s="11" t="str">
        <f>IFERROR(IF(MARÍTIMOS[[#This Row],[Etapa Despacho -  Salida]]="","",MARÍTIMOS[[#This Row],[Etapa Despacho -  Salida]]),"")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5" t="s">
        <v>181</v>
      </c>
      <c r="BB730" s="53" t="str">
        <f>IFERROR(IF(MARÍTIMOS[[#This Row],[Estatus]]="","",MARÍTIMOS[[#This Row],[Estatus]]),"")</f>
        <v/>
      </c>
      <c r="BC730" s="45"/>
      <c r="BD730" s="52" t="str">
        <f>IFERROR(OLDBD[[#This Row],[Salida de almacén de retiro]]-OLDBD[[#This Row],[Ingreso Almacén de retiro]],"")</f>
        <v/>
      </c>
      <c r="BE730" s="52" t="str">
        <f>IFERROR(OLDBD[[#This Row],[Fin de Carga]]-OLDBD[[#This Row],[Inicio de Carga]],"")</f>
        <v/>
      </c>
    </row>
    <row r="731" spans="1:57" x14ac:dyDescent="0.35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6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Salida]]="","",MARÍTIMOS[[#This Row],[Etapa Retiro - Salida]]),"")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Row],[Hora de Carga]]+MARÍTIMOS[[#This Row],[Hora de Posicionamiento]]),"")</f>
        <v/>
      </c>
      <c r="Z731" s="11" t="str">
        <f>IFERROR(IF(MARÍTIMOS[[#This Row],[Etapa Despacho -  Llegada]]="","",MARÍTIMOS[[#This Row],[Etapa Despacho -  Llegada]]),"")</f>
        <v/>
      </c>
      <c r="AA731" s="11" t="str">
        <f>IFERROR(IF(MARÍTIMOS[[#This Row],[Etapa Despacho -  Registro]]="","",MARÍTIMOS[[#This Row],[Etapa Despacho - 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 Inicio de Carga]]="","",MARÍTIMOS[[#This Row],[Etapa Despacho -  Inicio de Carga]]),"")</f>
        <v/>
      </c>
      <c r="AD731" s="11" t="str">
        <f>IFERROR(IF(MARÍTIMOS[[#This Row],[Etapa Despacho -  Fin de Carga]]="","",MARÍTIMOS[[#This Row],[Etapa Despacho -  Fin de Carga]]),"")</f>
        <v/>
      </c>
      <c r="AE731" s="11" t="str">
        <f>IFERROR(IF(MARÍTIMOS[[#This Row],[Etapa Despacho -  Salida]]="","",MARÍTIMOS[[#This Row],[Etapa Despacho -  Salida]]),"")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5" t="s">
        <v>181</v>
      </c>
      <c r="BB731" s="53" t="str">
        <f>IFERROR(IF(MARÍTIMOS[[#This Row],[Estatus]]="","",MARÍTIMOS[[#This Row],[Estatus]]),"")</f>
        <v/>
      </c>
      <c r="BC731" s="45"/>
      <c r="BD731" s="52" t="str">
        <f>IFERROR(OLDBD[[#This Row],[Salida de almacén de retiro]]-OLDBD[[#This Row],[Ingreso Almacén de retiro]],"")</f>
        <v/>
      </c>
      <c r="BE731" s="52" t="str">
        <f>IFERROR(OLDBD[[#This Row],[Fin de Carga]]-OLDBD[[#This Row],[Inicio de Carga]],"")</f>
        <v/>
      </c>
    </row>
    <row r="732" spans="1:57" x14ac:dyDescent="0.35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6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Salida]]="","",MARÍTIMOS[[#This Row],[Etapa Retiro - Salida]]),"")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Row],[Hora de Carga]]+MARÍTIMOS[[#This Row],[Hora de Posicionamiento]]),"")</f>
        <v/>
      </c>
      <c r="Z732" s="11" t="str">
        <f>IFERROR(IF(MARÍTIMOS[[#This Row],[Etapa Despacho -  Llegada]]="","",MARÍTIMOS[[#This Row],[Etapa Despacho -  Llegada]]),"")</f>
        <v/>
      </c>
      <c r="AA732" s="11" t="str">
        <f>IFERROR(IF(MARÍTIMOS[[#This Row],[Etapa Despacho -  Registro]]="","",MARÍTIMOS[[#This Row],[Etapa Despacho - 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 Inicio de Carga]]="","",MARÍTIMOS[[#This Row],[Etapa Despacho -  Inicio de Carga]]),"")</f>
        <v/>
      </c>
      <c r="AD732" s="11" t="str">
        <f>IFERROR(IF(MARÍTIMOS[[#This Row],[Etapa Despacho -  Fin de Carga]]="","",MARÍTIMOS[[#This Row],[Etapa Despacho -  Fin de Carga]]),"")</f>
        <v/>
      </c>
      <c r="AE732" s="11" t="str">
        <f>IFERROR(IF(MARÍTIMOS[[#This Row],[Etapa Despacho -  Salida]]="","",MARÍTIMOS[[#This Row],[Etapa Despacho -  Salida]]),"")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5" t="s">
        <v>181</v>
      </c>
      <c r="BB732" s="53" t="str">
        <f>IFERROR(IF(MARÍTIMOS[[#This Row],[Estatus]]="","",MARÍTIMOS[[#This Row],[Estatus]]),"")</f>
        <v/>
      </c>
      <c r="BC732" s="45"/>
      <c r="BD732" s="52" t="str">
        <f>IFERROR(OLDBD[[#This Row],[Salida de almacén de retiro]]-OLDBD[[#This Row],[Ingreso Almacén de retiro]],"")</f>
        <v/>
      </c>
      <c r="BE732" s="52" t="str">
        <f>IFERROR(OLDBD[[#This Row],[Fin de Carga]]-OLDBD[[#This Row],[Inicio de Carga]],"")</f>
        <v/>
      </c>
    </row>
    <row r="733" spans="1:57" x14ac:dyDescent="0.35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6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Salida]]="","",MARÍTIMOS[[#This Row],[Etapa Retiro - Salida]]),"")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Row],[Hora de Carga]]+MARÍTIMOS[[#This Row],[Hora de Posicionamiento]]),"")</f>
        <v/>
      </c>
      <c r="Z733" s="11" t="str">
        <f>IFERROR(IF(MARÍTIMOS[[#This Row],[Etapa Despacho -  Llegada]]="","",MARÍTIMOS[[#This Row],[Etapa Despacho -  Llegada]]),"")</f>
        <v/>
      </c>
      <c r="AA733" s="11" t="str">
        <f>IFERROR(IF(MARÍTIMOS[[#This Row],[Etapa Despacho -  Registro]]="","",MARÍTIMOS[[#This Row],[Etapa Despacho - 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 Inicio de Carga]]="","",MARÍTIMOS[[#This Row],[Etapa Despacho -  Inicio de Carga]]),"")</f>
        <v/>
      </c>
      <c r="AD733" s="11" t="str">
        <f>IFERROR(IF(MARÍTIMOS[[#This Row],[Etapa Despacho -  Fin de Carga]]="","",MARÍTIMOS[[#This Row],[Etapa Despacho -  Fin de Carga]]),"")</f>
        <v/>
      </c>
      <c r="AE733" s="11" t="str">
        <f>IFERROR(IF(MARÍTIMOS[[#This Row],[Etapa Despacho -  Salida]]="","",MARÍTIMOS[[#This Row],[Etapa Despacho -  Salida]]),"")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5" t="s">
        <v>181</v>
      </c>
      <c r="BB733" s="53" t="str">
        <f>IFERROR(IF(MARÍTIMOS[[#This Row],[Estatus]]="","",MARÍTIMOS[[#This Row],[Estatus]]),"")</f>
        <v/>
      </c>
      <c r="BC733" s="45"/>
      <c r="BD733" s="52" t="str">
        <f>IFERROR(OLDBD[[#This Row],[Salida de almacén de retiro]]-OLDBD[[#This Row],[Ingreso Almacén de retiro]],"")</f>
        <v/>
      </c>
      <c r="BE733" s="52" t="str">
        <f>IFERROR(OLDBD[[#This Row],[Fin de Carga]]-OLDBD[[#This Row],[Inicio de Carga]],"")</f>
        <v/>
      </c>
    </row>
    <row r="734" spans="1:57" x14ac:dyDescent="0.35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6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Salida]]="","",MARÍTIMOS[[#This Row],[Etapa Retiro - Salida]]),"")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Row],[Hora de Carga]]+MARÍTIMOS[[#This Row],[Hora de Posicionamiento]]),"")</f>
        <v/>
      </c>
      <c r="Z734" s="11" t="str">
        <f>IFERROR(IF(MARÍTIMOS[[#This Row],[Etapa Despacho -  Llegada]]="","",MARÍTIMOS[[#This Row],[Etapa Despacho -  Llegada]]),"")</f>
        <v/>
      </c>
      <c r="AA734" s="11" t="str">
        <f>IFERROR(IF(MARÍTIMOS[[#This Row],[Etapa Despacho -  Registro]]="","",MARÍTIMOS[[#This Row],[Etapa Despacho - 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 Inicio de Carga]]="","",MARÍTIMOS[[#This Row],[Etapa Despacho -  Inicio de Carga]]),"")</f>
        <v/>
      </c>
      <c r="AD734" s="11" t="str">
        <f>IFERROR(IF(MARÍTIMOS[[#This Row],[Etapa Despacho -  Fin de Carga]]="","",MARÍTIMOS[[#This Row],[Etapa Despacho -  Fin de Carga]]),"")</f>
        <v/>
      </c>
      <c r="AE734" s="11" t="str">
        <f>IFERROR(IF(MARÍTIMOS[[#This Row],[Etapa Despacho -  Salida]]="","",MARÍTIMOS[[#This Row],[Etapa Despacho -  Salida]]),"")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5" t="s">
        <v>181</v>
      </c>
      <c r="BB734" s="53" t="str">
        <f>IFERROR(IF(MARÍTIMOS[[#This Row],[Estatus]]="","",MARÍTIMOS[[#This Row],[Estatus]]),"")</f>
        <v/>
      </c>
      <c r="BC734" s="45"/>
      <c r="BD734" s="52" t="str">
        <f>IFERROR(OLDBD[[#This Row],[Salida de almacén de retiro]]-OLDBD[[#This Row],[Ingreso Almacén de retiro]],"")</f>
        <v/>
      </c>
      <c r="BE734" s="52" t="str">
        <f>IFERROR(OLDBD[[#This Row],[Fin de Carga]]-OLDBD[[#This Row],[Inicio de Carga]],"")</f>
        <v/>
      </c>
    </row>
    <row r="735" spans="1:57" x14ac:dyDescent="0.35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6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Salida]]="","",MARÍTIMOS[[#This Row],[Etapa Retiro - Salida]]),"")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Row],[Hora de Carga]]+MARÍTIMOS[[#This Row],[Hora de Posicionamiento]]),"")</f>
        <v/>
      </c>
      <c r="Z735" s="11" t="str">
        <f>IFERROR(IF(MARÍTIMOS[[#This Row],[Etapa Despacho -  Llegada]]="","",MARÍTIMOS[[#This Row],[Etapa Despacho -  Llegada]]),"")</f>
        <v/>
      </c>
      <c r="AA735" s="11" t="str">
        <f>IFERROR(IF(MARÍTIMOS[[#This Row],[Etapa Despacho -  Registro]]="","",MARÍTIMOS[[#This Row],[Etapa Despacho - 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 Inicio de Carga]]="","",MARÍTIMOS[[#This Row],[Etapa Despacho -  Inicio de Carga]]),"")</f>
        <v/>
      </c>
      <c r="AD735" s="11" t="str">
        <f>IFERROR(IF(MARÍTIMOS[[#This Row],[Etapa Despacho -  Fin de Carga]]="","",MARÍTIMOS[[#This Row],[Etapa Despacho -  Fin de Carga]]),"")</f>
        <v/>
      </c>
      <c r="AE735" s="11" t="str">
        <f>IFERROR(IF(MARÍTIMOS[[#This Row],[Etapa Despacho -  Salida]]="","",MARÍTIMOS[[#This Row],[Etapa Despacho -  Salida]]),"")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5" t="s">
        <v>181</v>
      </c>
      <c r="BB735" s="53" t="str">
        <f>IFERROR(IF(MARÍTIMOS[[#This Row],[Estatus]]="","",MARÍTIMOS[[#This Row],[Estatus]]),"")</f>
        <v/>
      </c>
      <c r="BC735" s="45"/>
      <c r="BD735" s="52" t="str">
        <f>IFERROR(OLDBD[[#This Row],[Salida de almacén de retiro]]-OLDBD[[#This Row],[Ingreso Almacén de retiro]],"")</f>
        <v/>
      </c>
      <c r="BE735" s="52" t="str">
        <f>IFERROR(OLDBD[[#This Row],[Fin de Carga]]-OLDBD[[#This Row],[Inicio de Carga]],"")</f>
        <v/>
      </c>
    </row>
    <row r="736" spans="1:57" x14ac:dyDescent="0.35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6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Salida]]="","",MARÍTIMOS[[#This Row],[Etapa Retiro - Salida]]),"")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Row],[Hora de Carga]]+MARÍTIMOS[[#This Row],[Hora de Posicionamiento]]),"")</f>
        <v/>
      </c>
      <c r="Z736" s="11" t="str">
        <f>IFERROR(IF(MARÍTIMOS[[#This Row],[Etapa Despacho -  Llegada]]="","",MARÍTIMOS[[#This Row],[Etapa Despacho -  Llegada]]),"")</f>
        <v/>
      </c>
      <c r="AA736" s="11" t="str">
        <f>IFERROR(IF(MARÍTIMOS[[#This Row],[Etapa Despacho -  Registro]]="","",MARÍTIMOS[[#This Row],[Etapa Despacho - 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 Inicio de Carga]]="","",MARÍTIMOS[[#This Row],[Etapa Despacho -  Inicio de Carga]]),"")</f>
        <v/>
      </c>
      <c r="AD736" s="11" t="str">
        <f>IFERROR(IF(MARÍTIMOS[[#This Row],[Etapa Despacho -  Fin de Carga]]="","",MARÍTIMOS[[#This Row],[Etapa Despacho -  Fin de Carga]]),"")</f>
        <v/>
      </c>
      <c r="AE736" s="11" t="str">
        <f>IFERROR(IF(MARÍTIMOS[[#This Row],[Etapa Despacho -  Salida]]="","",MARÍTIMOS[[#This Row],[Etapa Despacho -  Salida]]),"")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5" t="s">
        <v>181</v>
      </c>
      <c r="BB736" s="53" t="str">
        <f>IFERROR(IF(MARÍTIMOS[[#This Row],[Estatus]]="","",MARÍTIMOS[[#This Row],[Estatus]]),"")</f>
        <v/>
      </c>
      <c r="BC736" s="45"/>
      <c r="BD736" s="52" t="str">
        <f>IFERROR(OLDBD[[#This Row],[Salida de almacén de retiro]]-OLDBD[[#This Row],[Ingreso Almacén de retiro]],"")</f>
        <v/>
      </c>
      <c r="BE736" s="52" t="str">
        <f>IFERROR(OLDBD[[#This Row],[Fin de Carga]]-OLDBD[[#This Row],[Inicio de Carga]],"")</f>
        <v/>
      </c>
    </row>
    <row r="737" spans="1:57" x14ac:dyDescent="0.35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6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Salida]]="","",MARÍTIMOS[[#This Row],[Etapa Retiro - Salida]]),"")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Row],[Hora de Carga]]+MARÍTIMOS[[#This Row],[Hora de Posicionamiento]]),"")</f>
        <v/>
      </c>
      <c r="Z737" s="11" t="str">
        <f>IFERROR(IF(MARÍTIMOS[[#This Row],[Etapa Despacho -  Llegada]]="","",MARÍTIMOS[[#This Row],[Etapa Despacho -  Llegada]]),"")</f>
        <v/>
      </c>
      <c r="AA737" s="11" t="str">
        <f>IFERROR(IF(MARÍTIMOS[[#This Row],[Etapa Despacho -  Registro]]="","",MARÍTIMOS[[#This Row],[Etapa Despacho - 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 Inicio de Carga]]="","",MARÍTIMOS[[#This Row],[Etapa Despacho -  Inicio de Carga]]),"")</f>
        <v/>
      </c>
      <c r="AD737" s="11" t="str">
        <f>IFERROR(IF(MARÍTIMOS[[#This Row],[Etapa Despacho -  Fin de Carga]]="","",MARÍTIMOS[[#This Row],[Etapa Despacho -  Fin de Carga]]),"")</f>
        <v/>
      </c>
      <c r="AE737" s="11" t="str">
        <f>IFERROR(IF(MARÍTIMOS[[#This Row],[Etapa Despacho -  Salida]]="","",MARÍTIMOS[[#This Row],[Etapa Despacho -  Salida]]),"")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5" t="s">
        <v>181</v>
      </c>
      <c r="BB737" s="53" t="str">
        <f>IFERROR(IF(MARÍTIMOS[[#This Row],[Estatus]]="","",MARÍTIMOS[[#This Row],[Estatus]]),"")</f>
        <v/>
      </c>
      <c r="BC737" s="45"/>
      <c r="BD737" s="52" t="str">
        <f>IFERROR(OLDBD[[#This Row],[Salida de almacén de retiro]]-OLDBD[[#This Row],[Ingreso Almacén de retiro]],"")</f>
        <v/>
      </c>
      <c r="BE737" s="52" t="str">
        <f>IFERROR(OLDBD[[#This Row],[Fin de Carga]]-OLDBD[[#This Row],[Inicio de Carga]],"")</f>
        <v/>
      </c>
    </row>
    <row r="738" spans="1:57" x14ac:dyDescent="0.35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6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Salida]]="","",MARÍTIMOS[[#This Row],[Etapa Retiro - Salida]]),"")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Row],[Hora de Carga]]+MARÍTIMOS[[#This Row],[Hora de Posicionamiento]]),"")</f>
        <v/>
      </c>
      <c r="Z738" s="11" t="str">
        <f>IFERROR(IF(MARÍTIMOS[[#This Row],[Etapa Despacho -  Llegada]]="","",MARÍTIMOS[[#This Row],[Etapa Despacho -  Llegada]]),"")</f>
        <v/>
      </c>
      <c r="AA738" s="11" t="str">
        <f>IFERROR(IF(MARÍTIMOS[[#This Row],[Etapa Despacho -  Registro]]="","",MARÍTIMOS[[#This Row],[Etapa Despacho - 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 Inicio de Carga]]="","",MARÍTIMOS[[#This Row],[Etapa Despacho -  Inicio de Carga]]),"")</f>
        <v/>
      </c>
      <c r="AD738" s="11" t="str">
        <f>IFERROR(IF(MARÍTIMOS[[#This Row],[Etapa Despacho -  Fin de Carga]]="","",MARÍTIMOS[[#This Row],[Etapa Despacho -  Fin de Carga]]),"")</f>
        <v/>
      </c>
      <c r="AE738" s="11" t="str">
        <f>IFERROR(IF(MARÍTIMOS[[#This Row],[Etapa Despacho -  Salida]]="","",MARÍTIMOS[[#This Row],[Etapa Despacho -  Salida]]),"")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5" t="s">
        <v>181</v>
      </c>
      <c r="BB738" s="53" t="str">
        <f>IFERROR(IF(MARÍTIMOS[[#This Row],[Estatus]]="","",MARÍTIMOS[[#This Row],[Estatus]]),"")</f>
        <v/>
      </c>
      <c r="BC738" s="45"/>
      <c r="BD738" s="52" t="str">
        <f>IFERROR(OLDBD[[#This Row],[Salida de almacén de retiro]]-OLDBD[[#This Row],[Ingreso Almacén de retiro]],"")</f>
        <v/>
      </c>
      <c r="BE738" s="52" t="str">
        <f>IFERROR(OLDBD[[#This Row],[Fin de Carga]]-OLDBD[[#This Row],[Inicio de Carga]],"")</f>
        <v/>
      </c>
    </row>
    <row r="739" spans="1:57" x14ac:dyDescent="0.35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6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Salida]]="","",MARÍTIMOS[[#This Row],[Etapa Retiro - Salida]]),"")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Row],[Hora de Carga]]+MARÍTIMOS[[#This Row],[Hora de Posicionamiento]]),"")</f>
        <v/>
      </c>
      <c r="Z739" s="11" t="str">
        <f>IFERROR(IF(MARÍTIMOS[[#This Row],[Etapa Despacho -  Llegada]]="","",MARÍTIMOS[[#This Row],[Etapa Despacho -  Llegada]]),"")</f>
        <v/>
      </c>
      <c r="AA739" s="11" t="str">
        <f>IFERROR(IF(MARÍTIMOS[[#This Row],[Etapa Despacho -  Registro]]="","",MARÍTIMOS[[#This Row],[Etapa Despacho - 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 Inicio de Carga]]="","",MARÍTIMOS[[#This Row],[Etapa Despacho -  Inicio de Carga]]),"")</f>
        <v/>
      </c>
      <c r="AD739" s="11" t="str">
        <f>IFERROR(IF(MARÍTIMOS[[#This Row],[Etapa Despacho -  Fin de Carga]]="","",MARÍTIMOS[[#This Row],[Etapa Despacho -  Fin de Carga]]),"")</f>
        <v/>
      </c>
      <c r="AE739" s="11" t="str">
        <f>IFERROR(IF(MARÍTIMOS[[#This Row],[Etapa Despacho -  Salida]]="","",MARÍTIMOS[[#This Row],[Etapa Despacho -  Salida]]),"")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5" t="s">
        <v>181</v>
      </c>
      <c r="BB739" s="53" t="str">
        <f>IFERROR(IF(MARÍTIMOS[[#This Row],[Estatus]]="","",MARÍTIMOS[[#This Row],[Estatus]]),"")</f>
        <v/>
      </c>
      <c r="BC739" s="45"/>
      <c r="BD739" s="52" t="str">
        <f>IFERROR(OLDBD[[#This Row],[Salida de almacén de retiro]]-OLDBD[[#This Row],[Ingreso Almacén de retiro]],"")</f>
        <v/>
      </c>
      <c r="BE739" s="52" t="str">
        <f>IFERROR(OLDBD[[#This Row],[Fin de Carga]]-OLDBD[[#This Row],[Inicio de Carga]],"")</f>
        <v/>
      </c>
    </row>
    <row r="740" spans="1:57" x14ac:dyDescent="0.35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6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Salida]]="","",MARÍTIMOS[[#This Row],[Etapa Retiro - Salida]]),"")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Row],[Hora de Carga]]+MARÍTIMOS[[#This Row],[Hora de Posicionamiento]]),"")</f>
        <v/>
      </c>
      <c r="Z740" s="11" t="str">
        <f>IFERROR(IF(MARÍTIMOS[[#This Row],[Etapa Despacho -  Llegada]]="","",MARÍTIMOS[[#This Row],[Etapa Despacho -  Llegada]]),"")</f>
        <v/>
      </c>
      <c r="AA740" s="11" t="str">
        <f>IFERROR(IF(MARÍTIMOS[[#This Row],[Etapa Despacho -  Registro]]="","",MARÍTIMOS[[#This Row],[Etapa Despacho - 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 Inicio de Carga]]="","",MARÍTIMOS[[#This Row],[Etapa Despacho -  Inicio de Carga]]),"")</f>
        <v/>
      </c>
      <c r="AD740" s="11" t="str">
        <f>IFERROR(IF(MARÍTIMOS[[#This Row],[Etapa Despacho -  Fin de Carga]]="","",MARÍTIMOS[[#This Row],[Etapa Despacho -  Fin de Carga]]),"")</f>
        <v/>
      </c>
      <c r="AE740" s="11" t="str">
        <f>IFERROR(IF(MARÍTIMOS[[#This Row],[Etapa Despacho -  Salida]]="","",MARÍTIMOS[[#This Row],[Etapa Despacho -  Salida]]),"")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5" t="s">
        <v>181</v>
      </c>
      <c r="BB740" s="53" t="str">
        <f>IFERROR(IF(MARÍTIMOS[[#This Row],[Estatus]]="","",MARÍTIMOS[[#This Row],[Estatus]]),"")</f>
        <v/>
      </c>
      <c r="BC740" s="45"/>
      <c r="BD740" s="52" t="str">
        <f>IFERROR(OLDBD[[#This Row],[Salida de almacén de retiro]]-OLDBD[[#This Row],[Ingreso Almacén de retiro]],"")</f>
        <v/>
      </c>
      <c r="BE740" s="52" t="str">
        <f>IFERROR(OLDBD[[#This Row],[Fin de Carga]]-OLDBD[[#This Row],[Inicio de Carga]],"")</f>
        <v/>
      </c>
    </row>
    <row r="741" spans="1:57" x14ac:dyDescent="0.35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6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Salida]]="","",MARÍTIMOS[[#This Row],[Etapa Retiro - Salida]]),"")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Row],[Hora de Carga]]+MARÍTIMOS[[#This Row],[Hora de Posicionamiento]]),"")</f>
        <v/>
      </c>
      <c r="Z741" s="11" t="str">
        <f>IFERROR(IF(MARÍTIMOS[[#This Row],[Etapa Despacho -  Llegada]]="","",MARÍTIMOS[[#This Row],[Etapa Despacho -  Llegada]]),"")</f>
        <v/>
      </c>
      <c r="AA741" s="11" t="str">
        <f>IFERROR(IF(MARÍTIMOS[[#This Row],[Etapa Despacho -  Registro]]="","",MARÍTIMOS[[#This Row],[Etapa Despacho - 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 Inicio de Carga]]="","",MARÍTIMOS[[#This Row],[Etapa Despacho -  Inicio de Carga]]),"")</f>
        <v/>
      </c>
      <c r="AD741" s="11" t="str">
        <f>IFERROR(IF(MARÍTIMOS[[#This Row],[Etapa Despacho -  Fin de Carga]]="","",MARÍTIMOS[[#This Row],[Etapa Despacho -  Fin de Carga]]),"")</f>
        <v/>
      </c>
      <c r="AE741" s="11" t="str">
        <f>IFERROR(IF(MARÍTIMOS[[#This Row],[Etapa Despacho -  Salida]]="","",MARÍTIMOS[[#This Row],[Etapa Despacho -  Salida]]),"")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5" t="s">
        <v>181</v>
      </c>
      <c r="BB741" s="53" t="str">
        <f>IFERROR(IF(MARÍTIMOS[[#This Row],[Estatus]]="","",MARÍTIMOS[[#This Row],[Estatus]]),"")</f>
        <v/>
      </c>
      <c r="BC741" s="45"/>
      <c r="BD741" s="52" t="str">
        <f>IFERROR(OLDBD[[#This Row],[Salida de almacén de retiro]]-OLDBD[[#This Row],[Ingreso Almacén de retiro]],"")</f>
        <v/>
      </c>
      <c r="BE741" s="52" t="str">
        <f>IFERROR(OLDBD[[#This Row],[Fin de Carga]]-OLDBD[[#This Row],[Inicio de Carga]],"")</f>
        <v/>
      </c>
    </row>
    <row r="742" spans="1:57" x14ac:dyDescent="0.35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6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Salida]]="","",MARÍTIMOS[[#This Row],[Etapa Retiro - Salida]]),"")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Row],[Hora de Carga]]+MARÍTIMOS[[#This Row],[Hora de Posicionamiento]]),"")</f>
        <v/>
      </c>
      <c r="Z742" s="11" t="str">
        <f>IFERROR(IF(MARÍTIMOS[[#This Row],[Etapa Despacho -  Llegada]]="","",MARÍTIMOS[[#This Row],[Etapa Despacho -  Llegada]]),"")</f>
        <v/>
      </c>
      <c r="AA742" s="11" t="str">
        <f>IFERROR(IF(MARÍTIMOS[[#This Row],[Etapa Despacho -  Registro]]="","",MARÍTIMOS[[#This Row],[Etapa Despacho - 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 Inicio de Carga]]="","",MARÍTIMOS[[#This Row],[Etapa Despacho -  Inicio de Carga]]),"")</f>
        <v/>
      </c>
      <c r="AD742" s="11" t="str">
        <f>IFERROR(IF(MARÍTIMOS[[#This Row],[Etapa Despacho -  Fin de Carga]]="","",MARÍTIMOS[[#This Row],[Etapa Despacho -  Fin de Carga]]),"")</f>
        <v/>
      </c>
      <c r="AE742" s="11" t="str">
        <f>IFERROR(IF(MARÍTIMOS[[#This Row],[Etapa Despacho -  Salida]]="","",MARÍTIMOS[[#This Row],[Etapa Despacho -  Salida]]),"")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5" t="s">
        <v>181</v>
      </c>
      <c r="BB742" s="53" t="str">
        <f>IFERROR(IF(MARÍTIMOS[[#This Row],[Estatus]]="","",MARÍTIMOS[[#This Row],[Estatus]]),"")</f>
        <v/>
      </c>
      <c r="BC742" s="45"/>
      <c r="BD742" s="52" t="str">
        <f>IFERROR(OLDBD[[#This Row],[Salida de almacén de retiro]]-OLDBD[[#This Row],[Ingreso Almacén de retiro]],"")</f>
        <v/>
      </c>
      <c r="BE742" s="52" t="str">
        <f>IFERROR(OLDBD[[#This Row],[Fin de Carga]]-OLDBD[[#This Row],[Inicio de Carga]],"")</f>
        <v/>
      </c>
    </row>
    <row r="743" spans="1:57" x14ac:dyDescent="0.35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6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Salida]]="","",MARÍTIMOS[[#This Row],[Etapa Retiro - Salida]]),"")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Row],[Hora de Carga]]+MARÍTIMOS[[#This Row],[Hora de Posicionamiento]]),"")</f>
        <v/>
      </c>
      <c r="Z743" s="11" t="str">
        <f>IFERROR(IF(MARÍTIMOS[[#This Row],[Etapa Despacho -  Llegada]]="","",MARÍTIMOS[[#This Row],[Etapa Despacho -  Llegada]]),"")</f>
        <v/>
      </c>
      <c r="AA743" s="11" t="str">
        <f>IFERROR(IF(MARÍTIMOS[[#This Row],[Etapa Despacho -  Registro]]="","",MARÍTIMOS[[#This Row],[Etapa Despacho - 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 Inicio de Carga]]="","",MARÍTIMOS[[#This Row],[Etapa Despacho -  Inicio de Carga]]),"")</f>
        <v/>
      </c>
      <c r="AD743" s="11" t="str">
        <f>IFERROR(IF(MARÍTIMOS[[#This Row],[Etapa Despacho -  Fin de Carga]]="","",MARÍTIMOS[[#This Row],[Etapa Despacho -  Fin de Carga]]),"")</f>
        <v/>
      </c>
      <c r="AE743" s="11" t="str">
        <f>IFERROR(IF(MARÍTIMOS[[#This Row],[Etapa Despacho -  Salida]]="","",MARÍTIMOS[[#This Row],[Etapa Despacho -  Salida]]),"")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5" t="s">
        <v>181</v>
      </c>
      <c r="BB743" s="53" t="str">
        <f>IFERROR(IF(MARÍTIMOS[[#This Row],[Estatus]]="","",MARÍTIMOS[[#This Row],[Estatus]]),"")</f>
        <v/>
      </c>
      <c r="BC743" s="45"/>
      <c r="BD743" s="52" t="str">
        <f>IFERROR(OLDBD[[#This Row],[Salida de almacén de retiro]]-OLDBD[[#This Row],[Ingreso Almacén de retiro]],"")</f>
        <v/>
      </c>
      <c r="BE743" s="52" t="str">
        <f>IFERROR(OLDBD[[#This Row],[Fin de Carga]]-OLDBD[[#This Row],[Inicio de Carga]],"")</f>
        <v/>
      </c>
    </row>
    <row r="744" spans="1:57" x14ac:dyDescent="0.35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6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Salida]]="","",MARÍTIMOS[[#This Row],[Etapa Retiro - Salida]]),"")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Row],[Hora de Carga]]+MARÍTIMOS[[#This Row],[Hora de Posicionamiento]]),"")</f>
        <v/>
      </c>
      <c r="Z744" s="11" t="str">
        <f>IFERROR(IF(MARÍTIMOS[[#This Row],[Etapa Despacho -  Llegada]]="","",MARÍTIMOS[[#This Row],[Etapa Despacho -  Llegada]]),"")</f>
        <v/>
      </c>
      <c r="AA744" s="11" t="str">
        <f>IFERROR(IF(MARÍTIMOS[[#This Row],[Etapa Despacho -  Registro]]="","",MARÍTIMOS[[#This Row],[Etapa Despacho - 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 Inicio de Carga]]="","",MARÍTIMOS[[#This Row],[Etapa Despacho -  Inicio de Carga]]),"")</f>
        <v/>
      </c>
      <c r="AD744" s="11" t="str">
        <f>IFERROR(IF(MARÍTIMOS[[#This Row],[Etapa Despacho -  Fin de Carga]]="","",MARÍTIMOS[[#This Row],[Etapa Despacho -  Fin de Carga]]),"")</f>
        <v/>
      </c>
      <c r="AE744" s="11" t="str">
        <f>IFERROR(IF(MARÍTIMOS[[#This Row],[Etapa Despacho -  Salida]]="","",MARÍTIMOS[[#This Row],[Etapa Despacho -  Salida]]),"")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5" t="s">
        <v>181</v>
      </c>
      <c r="BB744" s="53" t="str">
        <f>IFERROR(IF(MARÍTIMOS[[#This Row],[Estatus]]="","",MARÍTIMOS[[#This Row],[Estatus]]),"")</f>
        <v/>
      </c>
      <c r="BC744" s="45"/>
      <c r="BD744" s="52" t="str">
        <f>IFERROR(OLDBD[[#This Row],[Salida de almacén de retiro]]-OLDBD[[#This Row],[Ingreso Almacén de retiro]],"")</f>
        <v/>
      </c>
      <c r="BE744" s="52" t="str">
        <f>IFERROR(OLDBD[[#This Row],[Fin de Carga]]-OLDBD[[#This Row],[Inicio de Carga]],"")</f>
        <v/>
      </c>
    </row>
    <row r="745" spans="1:57" x14ac:dyDescent="0.35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6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Salida]]="","",MARÍTIMOS[[#This Row],[Etapa Retiro - Salida]]),"")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Row],[Hora de Carga]]+MARÍTIMOS[[#This Row],[Hora de Posicionamiento]]),"")</f>
        <v/>
      </c>
      <c r="Z745" s="11" t="str">
        <f>IFERROR(IF(MARÍTIMOS[[#This Row],[Etapa Despacho -  Llegada]]="","",MARÍTIMOS[[#This Row],[Etapa Despacho -  Llegada]]),"")</f>
        <v/>
      </c>
      <c r="AA745" s="11" t="str">
        <f>IFERROR(IF(MARÍTIMOS[[#This Row],[Etapa Despacho -  Registro]]="","",MARÍTIMOS[[#This Row],[Etapa Despacho - 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 Inicio de Carga]]="","",MARÍTIMOS[[#This Row],[Etapa Despacho -  Inicio de Carga]]),"")</f>
        <v/>
      </c>
      <c r="AD745" s="11" t="str">
        <f>IFERROR(IF(MARÍTIMOS[[#This Row],[Etapa Despacho -  Fin de Carga]]="","",MARÍTIMOS[[#This Row],[Etapa Despacho -  Fin de Carga]]),"")</f>
        <v/>
      </c>
      <c r="AE745" s="11" t="str">
        <f>IFERROR(IF(MARÍTIMOS[[#This Row],[Etapa Despacho -  Salida]]="","",MARÍTIMOS[[#This Row],[Etapa Despacho -  Salida]]),"")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5" t="s">
        <v>181</v>
      </c>
      <c r="BB745" s="53" t="str">
        <f>IFERROR(IF(MARÍTIMOS[[#This Row],[Estatus]]="","",MARÍTIMOS[[#This Row],[Estatus]]),"")</f>
        <v/>
      </c>
      <c r="BC745" s="45"/>
      <c r="BD745" s="52" t="str">
        <f>IFERROR(OLDBD[[#This Row],[Salida de almacén de retiro]]-OLDBD[[#This Row],[Ingreso Almacén de retiro]],"")</f>
        <v/>
      </c>
      <c r="BE745" s="52" t="str">
        <f>IFERROR(OLDBD[[#This Row],[Fin de Carga]]-OLDBD[[#This Row],[Inicio de Carga]],"")</f>
        <v/>
      </c>
    </row>
    <row r="746" spans="1:57" x14ac:dyDescent="0.35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6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Salida]]="","",MARÍTIMOS[[#This Row],[Etapa Retiro - Salida]]),"")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Row],[Hora de Carga]]+MARÍTIMOS[[#This Row],[Hora de Posicionamiento]]),"")</f>
        <v/>
      </c>
      <c r="Z746" s="11" t="str">
        <f>IFERROR(IF(MARÍTIMOS[[#This Row],[Etapa Despacho -  Llegada]]="","",MARÍTIMOS[[#This Row],[Etapa Despacho -  Llegada]]),"")</f>
        <v/>
      </c>
      <c r="AA746" s="11" t="str">
        <f>IFERROR(IF(MARÍTIMOS[[#This Row],[Etapa Despacho -  Registro]]="","",MARÍTIMOS[[#This Row],[Etapa Despacho - 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 Inicio de Carga]]="","",MARÍTIMOS[[#This Row],[Etapa Despacho -  Inicio de Carga]]),"")</f>
        <v/>
      </c>
      <c r="AD746" s="11" t="str">
        <f>IFERROR(IF(MARÍTIMOS[[#This Row],[Etapa Despacho -  Fin de Carga]]="","",MARÍTIMOS[[#This Row],[Etapa Despacho -  Fin de Carga]]),"")</f>
        <v/>
      </c>
      <c r="AE746" s="11" t="str">
        <f>IFERROR(IF(MARÍTIMOS[[#This Row],[Etapa Despacho -  Salida]]="","",MARÍTIMOS[[#This Row],[Etapa Despacho -  Salida]]),"")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5" t="s">
        <v>181</v>
      </c>
      <c r="BB746" s="53" t="str">
        <f>IFERROR(IF(MARÍTIMOS[[#This Row],[Estatus]]="","",MARÍTIMOS[[#This Row],[Estatus]]),"")</f>
        <v/>
      </c>
      <c r="BC746" s="45"/>
      <c r="BD746" s="52" t="str">
        <f>IFERROR(OLDBD[[#This Row],[Salida de almacén de retiro]]-OLDBD[[#This Row],[Ingreso Almacén de retiro]],"")</f>
        <v/>
      </c>
      <c r="BE746" s="52" t="str">
        <f>IFERROR(OLDBD[[#This Row],[Fin de Carga]]-OLDBD[[#This Row],[Inicio de Carga]],"")</f>
        <v/>
      </c>
    </row>
    <row r="747" spans="1:57" x14ac:dyDescent="0.35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6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Salida]]="","",MARÍTIMOS[[#This Row],[Etapa Retiro - Salida]]),"")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Row],[Hora de Carga]]+MARÍTIMOS[[#This Row],[Hora de Posicionamiento]]),"")</f>
        <v/>
      </c>
      <c r="Z747" s="11" t="str">
        <f>IFERROR(IF(MARÍTIMOS[[#This Row],[Etapa Despacho -  Llegada]]="","",MARÍTIMOS[[#This Row],[Etapa Despacho -  Llegada]]),"")</f>
        <v/>
      </c>
      <c r="AA747" s="11" t="str">
        <f>IFERROR(IF(MARÍTIMOS[[#This Row],[Etapa Despacho -  Registro]]="","",MARÍTIMOS[[#This Row],[Etapa Despacho - 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 Inicio de Carga]]="","",MARÍTIMOS[[#This Row],[Etapa Despacho -  Inicio de Carga]]),"")</f>
        <v/>
      </c>
      <c r="AD747" s="11" t="str">
        <f>IFERROR(IF(MARÍTIMOS[[#This Row],[Etapa Despacho -  Fin de Carga]]="","",MARÍTIMOS[[#This Row],[Etapa Despacho -  Fin de Carga]]),"")</f>
        <v/>
      </c>
      <c r="AE747" s="11" t="str">
        <f>IFERROR(IF(MARÍTIMOS[[#This Row],[Etapa Despacho -  Salida]]="","",MARÍTIMOS[[#This Row],[Etapa Despacho -  Salida]]),"")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5" t="s">
        <v>181</v>
      </c>
      <c r="BB747" s="53" t="str">
        <f>IFERROR(IF(MARÍTIMOS[[#This Row],[Estatus]]="","",MARÍTIMOS[[#This Row],[Estatus]]),"")</f>
        <v/>
      </c>
      <c r="BC747" s="45"/>
      <c r="BD747" s="52" t="str">
        <f>IFERROR(OLDBD[[#This Row],[Salida de almacén de retiro]]-OLDBD[[#This Row],[Ingreso Almacén de retiro]],"")</f>
        <v/>
      </c>
      <c r="BE747" s="52" t="str">
        <f>IFERROR(OLDBD[[#This Row],[Fin de Carga]]-OLDBD[[#This Row],[Inicio de Carga]],"")</f>
        <v/>
      </c>
    </row>
    <row r="748" spans="1:57" x14ac:dyDescent="0.35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6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Salida]]="","",MARÍTIMOS[[#This Row],[Etapa Retiro - Salida]]),"")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Row],[Hora de Carga]]+MARÍTIMOS[[#This Row],[Hora de Posicionamiento]]),"")</f>
        <v/>
      </c>
      <c r="Z748" s="11" t="str">
        <f>IFERROR(IF(MARÍTIMOS[[#This Row],[Etapa Despacho -  Llegada]]="","",MARÍTIMOS[[#This Row],[Etapa Despacho -  Llegada]]),"")</f>
        <v/>
      </c>
      <c r="AA748" s="11" t="str">
        <f>IFERROR(IF(MARÍTIMOS[[#This Row],[Etapa Despacho -  Registro]]="","",MARÍTIMOS[[#This Row],[Etapa Despacho - 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 Inicio de Carga]]="","",MARÍTIMOS[[#This Row],[Etapa Despacho -  Inicio de Carga]]),"")</f>
        <v/>
      </c>
      <c r="AD748" s="11" t="str">
        <f>IFERROR(IF(MARÍTIMOS[[#This Row],[Etapa Despacho -  Fin de Carga]]="","",MARÍTIMOS[[#This Row],[Etapa Despacho -  Fin de Carga]]),"")</f>
        <v/>
      </c>
      <c r="AE748" s="11" t="str">
        <f>IFERROR(IF(MARÍTIMOS[[#This Row],[Etapa Despacho -  Salida]]="","",MARÍTIMOS[[#This Row],[Etapa Despacho -  Salida]]),"")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5" t="s">
        <v>181</v>
      </c>
      <c r="BB748" s="53" t="str">
        <f>IFERROR(IF(MARÍTIMOS[[#This Row],[Estatus]]="","",MARÍTIMOS[[#This Row],[Estatus]]),"")</f>
        <v/>
      </c>
      <c r="BC748" s="45"/>
      <c r="BD748" s="52" t="str">
        <f>IFERROR(OLDBD[[#This Row],[Salida de almacén de retiro]]-OLDBD[[#This Row],[Ingreso Almacén de retiro]],"")</f>
        <v/>
      </c>
      <c r="BE748" s="52" t="str">
        <f>IFERROR(OLDBD[[#This Row],[Fin de Carga]]-OLDBD[[#This Row],[Inicio de Carga]],"")</f>
        <v/>
      </c>
    </row>
    <row r="749" spans="1:57" x14ac:dyDescent="0.35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6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Salida]]="","",MARÍTIMOS[[#This Row],[Etapa Retiro - Salida]]),"")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Row],[Hora de Carga]]+MARÍTIMOS[[#This Row],[Hora de Posicionamiento]]),"")</f>
        <v/>
      </c>
      <c r="Z749" s="11" t="str">
        <f>IFERROR(IF(MARÍTIMOS[[#This Row],[Etapa Despacho -  Llegada]]="","",MARÍTIMOS[[#This Row],[Etapa Despacho -  Llegada]]),"")</f>
        <v/>
      </c>
      <c r="AA749" s="11" t="str">
        <f>IFERROR(IF(MARÍTIMOS[[#This Row],[Etapa Despacho -  Registro]]="","",MARÍTIMOS[[#This Row],[Etapa Despacho - 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 Inicio de Carga]]="","",MARÍTIMOS[[#This Row],[Etapa Despacho -  Inicio de Carga]]),"")</f>
        <v/>
      </c>
      <c r="AD749" s="11" t="str">
        <f>IFERROR(IF(MARÍTIMOS[[#This Row],[Etapa Despacho -  Fin de Carga]]="","",MARÍTIMOS[[#This Row],[Etapa Despacho -  Fin de Carga]]),"")</f>
        <v/>
      </c>
      <c r="AE749" s="11" t="str">
        <f>IFERROR(IF(MARÍTIMOS[[#This Row],[Etapa Despacho -  Salida]]="","",MARÍTIMOS[[#This Row],[Etapa Despacho -  Salida]]),"")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5" t="s">
        <v>181</v>
      </c>
      <c r="BB749" s="53" t="str">
        <f>IFERROR(IF(MARÍTIMOS[[#This Row],[Estatus]]="","",MARÍTIMOS[[#This Row],[Estatus]]),"")</f>
        <v/>
      </c>
      <c r="BC749" s="45"/>
      <c r="BD749" s="52" t="str">
        <f>IFERROR(OLDBD[[#This Row],[Salida de almacén de retiro]]-OLDBD[[#This Row],[Ingreso Almacén de retiro]],"")</f>
        <v/>
      </c>
      <c r="BE749" s="52" t="str">
        <f>IFERROR(OLDBD[[#This Row],[Fin de Carga]]-OLDBD[[#This Row],[Inicio de Carga]],"")</f>
        <v/>
      </c>
    </row>
    <row r="750" spans="1:57" x14ac:dyDescent="0.35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6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Salida]]="","",MARÍTIMOS[[#This Row],[Etapa Retiro - Salida]]),"")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Row],[Hora de Carga]]+MARÍTIMOS[[#This Row],[Hora de Posicionamiento]]),"")</f>
        <v/>
      </c>
      <c r="Z750" s="11" t="str">
        <f>IFERROR(IF(MARÍTIMOS[[#This Row],[Etapa Despacho -  Llegada]]="","",MARÍTIMOS[[#This Row],[Etapa Despacho -  Llegada]]),"")</f>
        <v/>
      </c>
      <c r="AA750" s="11" t="str">
        <f>IFERROR(IF(MARÍTIMOS[[#This Row],[Etapa Despacho -  Registro]]="","",MARÍTIMOS[[#This Row],[Etapa Despacho - 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 Inicio de Carga]]="","",MARÍTIMOS[[#This Row],[Etapa Despacho -  Inicio de Carga]]),"")</f>
        <v/>
      </c>
      <c r="AD750" s="11" t="str">
        <f>IFERROR(IF(MARÍTIMOS[[#This Row],[Etapa Despacho -  Fin de Carga]]="","",MARÍTIMOS[[#This Row],[Etapa Despacho -  Fin de Carga]]),"")</f>
        <v/>
      </c>
      <c r="AE750" s="11" t="str">
        <f>IFERROR(IF(MARÍTIMOS[[#This Row],[Etapa Despacho -  Salida]]="","",MARÍTIMOS[[#This Row],[Etapa Despacho -  Salida]]),"")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5" t="s">
        <v>181</v>
      </c>
      <c r="BB750" s="53" t="str">
        <f>IFERROR(IF(MARÍTIMOS[[#This Row],[Estatus]]="","",MARÍTIMOS[[#This Row],[Estatus]]),"")</f>
        <v/>
      </c>
      <c r="BC750" s="45"/>
      <c r="BD750" s="52" t="str">
        <f>IFERROR(OLDBD[[#This Row],[Salida de almacén de retiro]]-OLDBD[[#This Row],[Ingreso Almacén de retiro]],"")</f>
        <v/>
      </c>
      <c r="BE750" s="52" t="str">
        <f>IFERROR(OLDBD[[#This Row],[Fin de Carga]]-OLDBD[[#This Row],[Inicio de Carga]],"")</f>
        <v/>
      </c>
    </row>
    <row r="751" spans="1:57" x14ac:dyDescent="0.35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6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Salida]]="","",MARÍTIMOS[[#This Row],[Etapa Retiro - Salida]]),"")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Row],[Hora de Carga]]+MARÍTIMOS[[#This Row],[Hora de Posicionamiento]]),"")</f>
        <v/>
      </c>
      <c r="Z751" s="11" t="str">
        <f>IFERROR(IF(MARÍTIMOS[[#This Row],[Etapa Despacho -  Llegada]]="","",MARÍTIMOS[[#This Row],[Etapa Despacho -  Llegada]]),"")</f>
        <v/>
      </c>
      <c r="AA751" s="11" t="str">
        <f>IFERROR(IF(MARÍTIMOS[[#This Row],[Etapa Despacho -  Registro]]="","",MARÍTIMOS[[#This Row],[Etapa Despacho - 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 Inicio de Carga]]="","",MARÍTIMOS[[#This Row],[Etapa Despacho -  Inicio de Carga]]),"")</f>
        <v/>
      </c>
      <c r="AD751" s="11" t="str">
        <f>IFERROR(IF(MARÍTIMOS[[#This Row],[Etapa Despacho -  Fin de Carga]]="","",MARÍTIMOS[[#This Row],[Etapa Despacho -  Fin de Carga]]),"")</f>
        <v/>
      </c>
      <c r="AE751" s="11" t="str">
        <f>IFERROR(IF(MARÍTIMOS[[#This Row],[Etapa Despacho -  Salida]]="","",MARÍTIMOS[[#This Row],[Etapa Despacho -  Salida]]),"")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5" t="s">
        <v>181</v>
      </c>
      <c r="BB751" s="53" t="str">
        <f>IFERROR(IF(MARÍTIMOS[[#This Row],[Estatus]]="","",MARÍTIMOS[[#This Row],[Estatus]]),"")</f>
        <v/>
      </c>
      <c r="BC751" s="45"/>
      <c r="BD751" s="52" t="str">
        <f>IFERROR(OLDBD[[#This Row],[Salida de almacén de retiro]]-OLDBD[[#This Row],[Ingreso Almacén de retiro]],"")</f>
        <v/>
      </c>
      <c r="BE751" s="52" t="str">
        <f>IFERROR(OLDBD[[#This Row],[Fin de Carga]]-OLDBD[[#This Row],[Inicio de Carga]],"")</f>
        <v/>
      </c>
    </row>
    <row r="752" spans="1:57" x14ac:dyDescent="0.35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6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Salida]]="","",MARÍTIMOS[[#This Row],[Etapa Retiro - Salida]]),"")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Row],[Hora de Carga]]+MARÍTIMOS[[#This Row],[Hora de Posicionamiento]]),"")</f>
        <v/>
      </c>
      <c r="Z752" s="11" t="str">
        <f>IFERROR(IF(MARÍTIMOS[[#This Row],[Etapa Despacho -  Llegada]]="","",MARÍTIMOS[[#This Row],[Etapa Despacho -  Llegada]]),"")</f>
        <v/>
      </c>
      <c r="AA752" s="11" t="str">
        <f>IFERROR(IF(MARÍTIMOS[[#This Row],[Etapa Despacho -  Registro]]="","",MARÍTIMOS[[#This Row],[Etapa Despacho - 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 Inicio de Carga]]="","",MARÍTIMOS[[#This Row],[Etapa Despacho -  Inicio de Carga]]),"")</f>
        <v/>
      </c>
      <c r="AD752" s="11" t="str">
        <f>IFERROR(IF(MARÍTIMOS[[#This Row],[Etapa Despacho -  Fin de Carga]]="","",MARÍTIMOS[[#This Row],[Etapa Despacho -  Fin de Carga]]),"")</f>
        <v/>
      </c>
      <c r="AE752" s="11" t="str">
        <f>IFERROR(IF(MARÍTIMOS[[#This Row],[Etapa Despacho -  Salida]]="","",MARÍTIMOS[[#This Row],[Etapa Despacho -  Salida]]),"")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5" t="s">
        <v>181</v>
      </c>
      <c r="BB752" s="53" t="str">
        <f>IFERROR(IF(MARÍTIMOS[[#This Row],[Estatus]]="","",MARÍTIMOS[[#This Row],[Estatus]]),"")</f>
        <v/>
      </c>
      <c r="BC752" s="45"/>
      <c r="BD752" s="52" t="str">
        <f>IFERROR(OLDBD[[#This Row],[Salida de almacén de retiro]]-OLDBD[[#This Row],[Ingreso Almacén de retiro]],"")</f>
        <v/>
      </c>
      <c r="BE752" s="52" t="str">
        <f>IFERROR(OLDBD[[#This Row],[Fin de Carga]]-OLDBD[[#This Row],[Inicio de Carga]],"")</f>
        <v/>
      </c>
    </row>
    <row r="753" spans="1:57" x14ac:dyDescent="0.35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6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Salida]]="","",MARÍTIMOS[[#This Row],[Etapa Retiro - Salida]]),"")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Row],[Hora de Carga]]+MARÍTIMOS[[#This Row],[Hora de Posicionamiento]]),"")</f>
        <v/>
      </c>
      <c r="Z753" s="11" t="str">
        <f>IFERROR(IF(MARÍTIMOS[[#This Row],[Etapa Despacho -  Llegada]]="","",MARÍTIMOS[[#This Row],[Etapa Despacho -  Llegada]]),"")</f>
        <v/>
      </c>
      <c r="AA753" s="11" t="str">
        <f>IFERROR(IF(MARÍTIMOS[[#This Row],[Etapa Despacho -  Registro]]="","",MARÍTIMOS[[#This Row],[Etapa Despacho - 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 Inicio de Carga]]="","",MARÍTIMOS[[#This Row],[Etapa Despacho -  Inicio de Carga]]),"")</f>
        <v/>
      </c>
      <c r="AD753" s="11" t="str">
        <f>IFERROR(IF(MARÍTIMOS[[#This Row],[Etapa Despacho -  Fin de Carga]]="","",MARÍTIMOS[[#This Row],[Etapa Despacho -  Fin de Carga]]),"")</f>
        <v/>
      </c>
      <c r="AE753" s="11" t="str">
        <f>IFERROR(IF(MARÍTIMOS[[#This Row],[Etapa Despacho -  Salida]]="","",MARÍTIMOS[[#This Row],[Etapa Despacho -  Salida]]),"")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5" t="s">
        <v>181</v>
      </c>
      <c r="BB753" s="53" t="str">
        <f>IFERROR(IF(MARÍTIMOS[[#This Row],[Estatus]]="","",MARÍTIMOS[[#This Row],[Estatus]]),"")</f>
        <v/>
      </c>
      <c r="BC753" s="45"/>
      <c r="BD753" s="52" t="str">
        <f>IFERROR(OLDBD[[#This Row],[Salida de almacén de retiro]]-OLDBD[[#This Row],[Ingreso Almacén de retiro]],"")</f>
        <v/>
      </c>
      <c r="BE753" s="52" t="str">
        <f>IFERROR(OLDBD[[#This Row],[Fin de Carga]]-OLDBD[[#This Row],[Inicio de Carga]],"")</f>
        <v/>
      </c>
    </row>
    <row r="754" spans="1:57" x14ac:dyDescent="0.35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6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Salida]]="","",MARÍTIMOS[[#This Row],[Etapa Retiro - Salida]]),"")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Row],[Hora de Carga]]+MARÍTIMOS[[#This Row],[Hora de Posicionamiento]]),"")</f>
        <v/>
      </c>
      <c r="Z754" s="11" t="str">
        <f>IFERROR(IF(MARÍTIMOS[[#This Row],[Etapa Despacho -  Llegada]]="","",MARÍTIMOS[[#This Row],[Etapa Despacho -  Llegada]]),"")</f>
        <v/>
      </c>
      <c r="AA754" s="11" t="str">
        <f>IFERROR(IF(MARÍTIMOS[[#This Row],[Etapa Despacho -  Registro]]="","",MARÍTIMOS[[#This Row],[Etapa Despacho - 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 Inicio de Carga]]="","",MARÍTIMOS[[#This Row],[Etapa Despacho -  Inicio de Carga]]),"")</f>
        <v/>
      </c>
      <c r="AD754" s="11" t="str">
        <f>IFERROR(IF(MARÍTIMOS[[#This Row],[Etapa Despacho -  Fin de Carga]]="","",MARÍTIMOS[[#This Row],[Etapa Despacho -  Fin de Carga]]),"")</f>
        <v/>
      </c>
      <c r="AE754" s="11" t="str">
        <f>IFERROR(IF(MARÍTIMOS[[#This Row],[Etapa Despacho -  Salida]]="","",MARÍTIMOS[[#This Row],[Etapa Despacho -  Salida]]),"")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5" t="s">
        <v>181</v>
      </c>
      <c r="BB754" s="53" t="str">
        <f>IFERROR(IF(MARÍTIMOS[[#This Row],[Estatus]]="","",MARÍTIMOS[[#This Row],[Estatus]]),"")</f>
        <v/>
      </c>
      <c r="BC754" s="45"/>
      <c r="BD754" s="52" t="str">
        <f>IFERROR(OLDBD[[#This Row],[Salida de almacén de retiro]]-OLDBD[[#This Row],[Ingreso Almacén de retiro]],"")</f>
        <v/>
      </c>
      <c r="BE754" s="52" t="str">
        <f>IFERROR(OLDBD[[#This Row],[Fin de Carga]]-OLDBD[[#This Row],[Inicio de Carga]],"")</f>
        <v/>
      </c>
    </row>
    <row r="755" spans="1:57" x14ac:dyDescent="0.35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6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Salida]]="","",MARÍTIMOS[[#This Row],[Etapa Retiro - Salida]]),"")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Row],[Hora de Carga]]+MARÍTIMOS[[#This Row],[Hora de Posicionamiento]]),"")</f>
        <v/>
      </c>
      <c r="Z755" s="11" t="str">
        <f>IFERROR(IF(MARÍTIMOS[[#This Row],[Etapa Despacho -  Llegada]]="","",MARÍTIMOS[[#This Row],[Etapa Despacho -  Llegada]]),"")</f>
        <v/>
      </c>
      <c r="AA755" s="11" t="str">
        <f>IFERROR(IF(MARÍTIMOS[[#This Row],[Etapa Despacho -  Registro]]="","",MARÍTIMOS[[#This Row],[Etapa Despacho - 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 Inicio de Carga]]="","",MARÍTIMOS[[#This Row],[Etapa Despacho -  Inicio de Carga]]),"")</f>
        <v/>
      </c>
      <c r="AD755" s="11" t="str">
        <f>IFERROR(IF(MARÍTIMOS[[#This Row],[Etapa Despacho -  Fin de Carga]]="","",MARÍTIMOS[[#This Row],[Etapa Despacho -  Fin de Carga]]),"")</f>
        <v/>
      </c>
      <c r="AE755" s="11" t="str">
        <f>IFERROR(IF(MARÍTIMOS[[#This Row],[Etapa Despacho -  Salida]]="","",MARÍTIMOS[[#This Row],[Etapa Despacho -  Salida]]),"")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5" t="s">
        <v>181</v>
      </c>
      <c r="BB755" s="53" t="str">
        <f>IFERROR(IF(MARÍTIMOS[[#This Row],[Estatus]]="","",MARÍTIMOS[[#This Row],[Estatus]]),"")</f>
        <v/>
      </c>
      <c r="BC755" s="45"/>
      <c r="BD755" s="52" t="str">
        <f>IFERROR(OLDBD[[#This Row],[Salida de almacén de retiro]]-OLDBD[[#This Row],[Ingreso Almacén de retiro]],"")</f>
        <v/>
      </c>
      <c r="BE755" s="52" t="str">
        <f>IFERROR(OLDBD[[#This Row],[Fin de Carga]]-OLDBD[[#This Row],[Inicio de Carga]],"")</f>
        <v/>
      </c>
    </row>
    <row r="756" spans="1:57" x14ac:dyDescent="0.35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6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Salida]]="","",MARÍTIMOS[[#This Row],[Etapa Retiro - Salida]]),"")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Row],[Hora de Carga]]+MARÍTIMOS[[#This Row],[Hora de Posicionamiento]]),"")</f>
        <v/>
      </c>
      <c r="Z756" s="11" t="str">
        <f>IFERROR(IF(MARÍTIMOS[[#This Row],[Etapa Despacho -  Llegada]]="","",MARÍTIMOS[[#This Row],[Etapa Despacho -  Llegada]]),"")</f>
        <v/>
      </c>
      <c r="AA756" s="11" t="str">
        <f>IFERROR(IF(MARÍTIMOS[[#This Row],[Etapa Despacho -  Registro]]="","",MARÍTIMOS[[#This Row],[Etapa Despacho - 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 Inicio de Carga]]="","",MARÍTIMOS[[#This Row],[Etapa Despacho -  Inicio de Carga]]),"")</f>
        <v/>
      </c>
      <c r="AD756" s="11" t="str">
        <f>IFERROR(IF(MARÍTIMOS[[#This Row],[Etapa Despacho -  Fin de Carga]]="","",MARÍTIMOS[[#This Row],[Etapa Despacho -  Fin de Carga]]),"")</f>
        <v/>
      </c>
      <c r="AE756" s="11" t="str">
        <f>IFERROR(IF(MARÍTIMOS[[#This Row],[Etapa Despacho -  Salida]]="","",MARÍTIMOS[[#This Row],[Etapa Despacho -  Salida]]),"")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5" t="s">
        <v>181</v>
      </c>
      <c r="BB756" s="53" t="str">
        <f>IFERROR(IF(MARÍTIMOS[[#This Row],[Estatus]]="","",MARÍTIMOS[[#This Row],[Estatus]]),"")</f>
        <v/>
      </c>
      <c r="BC756" s="45"/>
      <c r="BD756" s="52" t="str">
        <f>IFERROR(OLDBD[[#This Row],[Salida de almacén de retiro]]-OLDBD[[#This Row],[Ingreso Almacén de retiro]],"")</f>
        <v/>
      </c>
      <c r="BE756" s="52" t="str">
        <f>IFERROR(OLDBD[[#This Row],[Fin de Carga]]-OLDBD[[#This Row],[Inicio de Carga]],"")</f>
        <v/>
      </c>
    </row>
    <row r="757" spans="1:57" x14ac:dyDescent="0.35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6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Salida]]="","",MARÍTIMOS[[#This Row],[Etapa Retiro - Salida]]),"")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Row],[Hora de Carga]]+MARÍTIMOS[[#This Row],[Hora de Posicionamiento]]),"")</f>
        <v/>
      </c>
      <c r="Z757" s="11" t="str">
        <f>IFERROR(IF(MARÍTIMOS[[#This Row],[Etapa Despacho -  Llegada]]="","",MARÍTIMOS[[#This Row],[Etapa Despacho -  Llegada]]),"")</f>
        <v/>
      </c>
      <c r="AA757" s="11" t="str">
        <f>IFERROR(IF(MARÍTIMOS[[#This Row],[Etapa Despacho -  Registro]]="","",MARÍTIMOS[[#This Row],[Etapa Despacho - 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 Inicio de Carga]]="","",MARÍTIMOS[[#This Row],[Etapa Despacho -  Inicio de Carga]]),"")</f>
        <v/>
      </c>
      <c r="AD757" s="11" t="str">
        <f>IFERROR(IF(MARÍTIMOS[[#This Row],[Etapa Despacho -  Fin de Carga]]="","",MARÍTIMOS[[#This Row],[Etapa Despacho -  Fin de Carga]]),"")</f>
        <v/>
      </c>
      <c r="AE757" s="11" t="str">
        <f>IFERROR(IF(MARÍTIMOS[[#This Row],[Etapa Despacho -  Salida]]="","",MARÍTIMOS[[#This Row],[Etapa Despacho -  Salida]]),"")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5" t="s">
        <v>181</v>
      </c>
      <c r="BB757" s="53" t="str">
        <f>IFERROR(IF(MARÍTIMOS[[#This Row],[Estatus]]="","",MARÍTIMOS[[#This Row],[Estatus]]),"")</f>
        <v/>
      </c>
      <c r="BC757" s="45"/>
      <c r="BD757" s="52" t="str">
        <f>IFERROR(OLDBD[[#This Row],[Salida de almacén de retiro]]-OLDBD[[#This Row],[Ingreso Almacén de retiro]],"")</f>
        <v/>
      </c>
      <c r="BE757" s="52" t="str">
        <f>IFERROR(OLDBD[[#This Row],[Fin de Carga]]-OLDBD[[#This Row],[Inicio de Carga]],"")</f>
        <v/>
      </c>
    </row>
    <row r="758" spans="1:57" x14ac:dyDescent="0.35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6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Salida]]="","",MARÍTIMOS[[#This Row],[Etapa Retiro - Salida]]),"")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Row],[Hora de Carga]]+MARÍTIMOS[[#This Row],[Hora de Posicionamiento]]),"")</f>
        <v/>
      </c>
      <c r="Z758" s="11" t="str">
        <f>IFERROR(IF(MARÍTIMOS[[#This Row],[Etapa Despacho -  Llegada]]="","",MARÍTIMOS[[#This Row],[Etapa Despacho -  Llegada]]),"")</f>
        <v/>
      </c>
      <c r="AA758" s="11" t="str">
        <f>IFERROR(IF(MARÍTIMOS[[#This Row],[Etapa Despacho -  Registro]]="","",MARÍTIMOS[[#This Row],[Etapa Despacho - 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 Inicio de Carga]]="","",MARÍTIMOS[[#This Row],[Etapa Despacho -  Inicio de Carga]]),"")</f>
        <v/>
      </c>
      <c r="AD758" s="11" t="str">
        <f>IFERROR(IF(MARÍTIMOS[[#This Row],[Etapa Despacho -  Fin de Carga]]="","",MARÍTIMOS[[#This Row],[Etapa Despacho -  Fin de Carga]]),"")</f>
        <v/>
      </c>
      <c r="AE758" s="11" t="str">
        <f>IFERROR(IF(MARÍTIMOS[[#This Row],[Etapa Despacho -  Salida]]="","",MARÍTIMOS[[#This Row],[Etapa Despacho -  Salida]]),"")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5" t="s">
        <v>181</v>
      </c>
      <c r="BB758" s="53" t="str">
        <f>IFERROR(IF(MARÍTIMOS[[#This Row],[Estatus]]="","",MARÍTIMOS[[#This Row],[Estatus]]),"")</f>
        <v/>
      </c>
      <c r="BC758" s="45"/>
      <c r="BD758" s="52" t="str">
        <f>IFERROR(OLDBD[[#This Row],[Salida de almacén de retiro]]-OLDBD[[#This Row],[Ingreso Almacén de retiro]],"")</f>
        <v/>
      </c>
      <c r="BE758" s="52" t="str">
        <f>IFERROR(OLDBD[[#This Row],[Fin de Carga]]-OLDBD[[#This Row],[Inicio de Carga]],"")</f>
        <v/>
      </c>
    </row>
    <row r="759" spans="1:57" x14ac:dyDescent="0.35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6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Salida]]="","",MARÍTIMOS[[#This Row],[Etapa Retiro - Salida]]),"")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Row],[Hora de Carga]]+MARÍTIMOS[[#This Row],[Hora de Posicionamiento]]),"")</f>
        <v/>
      </c>
      <c r="Z759" s="11" t="str">
        <f>IFERROR(IF(MARÍTIMOS[[#This Row],[Etapa Despacho -  Llegada]]="","",MARÍTIMOS[[#This Row],[Etapa Despacho -  Llegada]]),"")</f>
        <v/>
      </c>
      <c r="AA759" s="11" t="str">
        <f>IFERROR(IF(MARÍTIMOS[[#This Row],[Etapa Despacho -  Registro]]="","",MARÍTIMOS[[#This Row],[Etapa Despacho - 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 Inicio de Carga]]="","",MARÍTIMOS[[#This Row],[Etapa Despacho -  Inicio de Carga]]),"")</f>
        <v/>
      </c>
      <c r="AD759" s="11" t="str">
        <f>IFERROR(IF(MARÍTIMOS[[#This Row],[Etapa Despacho -  Fin de Carga]]="","",MARÍTIMOS[[#This Row],[Etapa Despacho -  Fin de Carga]]),"")</f>
        <v/>
      </c>
      <c r="AE759" s="11" t="str">
        <f>IFERROR(IF(MARÍTIMOS[[#This Row],[Etapa Despacho -  Salida]]="","",MARÍTIMOS[[#This Row],[Etapa Despacho -  Salida]]),"")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5" t="s">
        <v>181</v>
      </c>
      <c r="BB759" s="53" t="str">
        <f>IFERROR(IF(MARÍTIMOS[[#This Row],[Estatus]]="","",MARÍTIMOS[[#This Row],[Estatus]]),"")</f>
        <v/>
      </c>
      <c r="BC759" s="45"/>
      <c r="BD759" s="52" t="str">
        <f>IFERROR(OLDBD[[#This Row],[Salida de almacén de retiro]]-OLDBD[[#This Row],[Ingreso Almacén de retiro]],"")</f>
        <v/>
      </c>
      <c r="BE759" s="52" t="str">
        <f>IFERROR(OLDBD[[#This Row],[Fin de Carga]]-OLDBD[[#This Row],[Inicio de Carga]],"")</f>
        <v/>
      </c>
    </row>
    <row r="760" spans="1:57" x14ac:dyDescent="0.35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6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Salida]]="","",MARÍTIMOS[[#This Row],[Etapa Retiro - Salida]]),"")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Row],[Hora de Carga]]+MARÍTIMOS[[#This Row],[Hora de Posicionamiento]]),"")</f>
        <v/>
      </c>
      <c r="Z760" s="11" t="str">
        <f>IFERROR(IF(MARÍTIMOS[[#This Row],[Etapa Despacho -  Llegada]]="","",MARÍTIMOS[[#This Row],[Etapa Despacho -  Llegada]]),"")</f>
        <v/>
      </c>
      <c r="AA760" s="11" t="str">
        <f>IFERROR(IF(MARÍTIMOS[[#This Row],[Etapa Despacho -  Registro]]="","",MARÍTIMOS[[#This Row],[Etapa Despacho - 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 Inicio de Carga]]="","",MARÍTIMOS[[#This Row],[Etapa Despacho -  Inicio de Carga]]),"")</f>
        <v/>
      </c>
      <c r="AD760" s="11" t="str">
        <f>IFERROR(IF(MARÍTIMOS[[#This Row],[Etapa Despacho -  Fin de Carga]]="","",MARÍTIMOS[[#This Row],[Etapa Despacho -  Fin de Carga]]),"")</f>
        <v/>
      </c>
      <c r="AE760" s="11" t="str">
        <f>IFERROR(IF(MARÍTIMOS[[#This Row],[Etapa Despacho -  Salida]]="","",MARÍTIMOS[[#This Row],[Etapa Despacho -  Salida]]),"")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5" t="s">
        <v>181</v>
      </c>
      <c r="BB760" s="53" t="str">
        <f>IFERROR(IF(MARÍTIMOS[[#This Row],[Estatus]]="","",MARÍTIMOS[[#This Row],[Estatus]]),"")</f>
        <v/>
      </c>
      <c r="BC760" s="45"/>
      <c r="BD760" s="52" t="str">
        <f>IFERROR(OLDBD[[#This Row],[Salida de almacén de retiro]]-OLDBD[[#This Row],[Ingreso Almacén de retiro]],"")</f>
        <v/>
      </c>
      <c r="BE760" s="52" t="str">
        <f>IFERROR(OLDBD[[#This Row],[Fin de Carga]]-OLDBD[[#This Row],[Inicio de Carga]],"")</f>
        <v/>
      </c>
    </row>
    <row r="761" spans="1:57" x14ac:dyDescent="0.35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6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Salida]]="","",MARÍTIMOS[[#This Row],[Etapa Retiro - Salida]]),"")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Row],[Hora de Carga]]+MARÍTIMOS[[#This Row],[Hora de Posicionamiento]]),"")</f>
        <v/>
      </c>
      <c r="Z761" s="11" t="str">
        <f>IFERROR(IF(MARÍTIMOS[[#This Row],[Etapa Despacho -  Llegada]]="","",MARÍTIMOS[[#This Row],[Etapa Despacho -  Llegada]]),"")</f>
        <v/>
      </c>
      <c r="AA761" s="11" t="str">
        <f>IFERROR(IF(MARÍTIMOS[[#This Row],[Etapa Despacho -  Registro]]="","",MARÍTIMOS[[#This Row],[Etapa Despacho - 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 Inicio de Carga]]="","",MARÍTIMOS[[#This Row],[Etapa Despacho -  Inicio de Carga]]),"")</f>
        <v/>
      </c>
      <c r="AD761" s="11" t="str">
        <f>IFERROR(IF(MARÍTIMOS[[#This Row],[Etapa Despacho -  Fin de Carga]]="","",MARÍTIMOS[[#This Row],[Etapa Despacho -  Fin de Carga]]),"")</f>
        <v/>
      </c>
      <c r="AE761" s="11" t="str">
        <f>IFERROR(IF(MARÍTIMOS[[#This Row],[Etapa Despacho -  Salida]]="","",MARÍTIMOS[[#This Row],[Etapa Despacho -  Salida]]),"")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5" t="s">
        <v>181</v>
      </c>
      <c r="BB761" s="53" t="str">
        <f>IFERROR(IF(MARÍTIMOS[[#This Row],[Estatus]]="","",MARÍTIMOS[[#This Row],[Estatus]]),"")</f>
        <v/>
      </c>
      <c r="BC761" s="45"/>
      <c r="BD761" s="52" t="str">
        <f>IFERROR(OLDBD[[#This Row],[Salida de almacén de retiro]]-OLDBD[[#This Row],[Ingreso Almacén de retiro]],"")</f>
        <v/>
      </c>
      <c r="BE761" s="52" t="str">
        <f>IFERROR(OLDBD[[#This Row],[Fin de Carga]]-OLDBD[[#This Row],[Inicio de Carga]],"")</f>
        <v/>
      </c>
    </row>
    <row r="762" spans="1:57" x14ac:dyDescent="0.35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6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Salida]]="","",MARÍTIMOS[[#This Row],[Etapa Retiro - Salida]]),"")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Row],[Hora de Carga]]+MARÍTIMOS[[#This Row],[Hora de Posicionamiento]]),"")</f>
        <v/>
      </c>
      <c r="Z762" s="11" t="str">
        <f>IFERROR(IF(MARÍTIMOS[[#This Row],[Etapa Despacho -  Llegada]]="","",MARÍTIMOS[[#This Row],[Etapa Despacho -  Llegada]]),"")</f>
        <v/>
      </c>
      <c r="AA762" s="11" t="str">
        <f>IFERROR(IF(MARÍTIMOS[[#This Row],[Etapa Despacho -  Registro]]="","",MARÍTIMOS[[#This Row],[Etapa Despacho - 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 Inicio de Carga]]="","",MARÍTIMOS[[#This Row],[Etapa Despacho -  Inicio de Carga]]),"")</f>
        <v/>
      </c>
      <c r="AD762" s="11" t="str">
        <f>IFERROR(IF(MARÍTIMOS[[#This Row],[Etapa Despacho -  Fin de Carga]]="","",MARÍTIMOS[[#This Row],[Etapa Despacho -  Fin de Carga]]),"")</f>
        <v/>
      </c>
      <c r="AE762" s="11" t="str">
        <f>IFERROR(IF(MARÍTIMOS[[#This Row],[Etapa Despacho -  Salida]]="","",MARÍTIMOS[[#This Row],[Etapa Despacho -  Salida]]),"")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5" t="s">
        <v>181</v>
      </c>
      <c r="BB762" s="53" t="str">
        <f>IFERROR(IF(MARÍTIMOS[[#This Row],[Estatus]]="","",MARÍTIMOS[[#This Row],[Estatus]]),"")</f>
        <v/>
      </c>
      <c r="BC762" s="45"/>
      <c r="BD762" s="52" t="str">
        <f>IFERROR(OLDBD[[#This Row],[Salida de almacén de retiro]]-OLDBD[[#This Row],[Ingreso Almacén de retiro]],"")</f>
        <v/>
      </c>
      <c r="BE762" s="52" t="str">
        <f>IFERROR(OLDBD[[#This Row],[Fin de Carga]]-OLDBD[[#This Row],[Inicio de Carga]],"")</f>
        <v/>
      </c>
    </row>
    <row r="763" spans="1:57" x14ac:dyDescent="0.35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6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Salida]]="","",MARÍTIMOS[[#This Row],[Etapa Retiro - Salida]]),"")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Row],[Hora de Carga]]+MARÍTIMOS[[#This Row],[Hora de Posicionamiento]]),"")</f>
        <v/>
      </c>
      <c r="Z763" s="11" t="str">
        <f>IFERROR(IF(MARÍTIMOS[[#This Row],[Etapa Despacho -  Llegada]]="","",MARÍTIMOS[[#This Row],[Etapa Despacho -  Llegada]]),"")</f>
        <v/>
      </c>
      <c r="AA763" s="11" t="str">
        <f>IFERROR(IF(MARÍTIMOS[[#This Row],[Etapa Despacho -  Registro]]="","",MARÍTIMOS[[#This Row],[Etapa Despacho - 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 Inicio de Carga]]="","",MARÍTIMOS[[#This Row],[Etapa Despacho -  Inicio de Carga]]),"")</f>
        <v/>
      </c>
      <c r="AD763" s="11" t="str">
        <f>IFERROR(IF(MARÍTIMOS[[#This Row],[Etapa Despacho -  Fin de Carga]]="","",MARÍTIMOS[[#This Row],[Etapa Despacho -  Fin de Carga]]),"")</f>
        <v/>
      </c>
      <c r="AE763" s="11" t="str">
        <f>IFERROR(IF(MARÍTIMOS[[#This Row],[Etapa Despacho -  Salida]]="","",MARÍTIMOS[[#This Row],[Etapa Despacho -  Salida]]),"")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5" t="s">
        <v>181</v>
      </c>
      <c r="BB763" s="53" t="str">
        <f>IFERROR(IF(MARÍTIMOS[[#This Row],[Estatus]]="","",MARÍTIMOS[[#This Row],[Estatus]]),"")</f>
        <v/>
      </c>
      <c r="BC763" s="45"/>
      <c r="BD763" s="52" t="str">
        <f>IFERROR(OLDBD[[#This Row],[Salida de almacén de retiro]]-OLDBD[[#This Row],[Ingreso Almacén de retiro]],"")</f>
        <v/>
      </c>
      <c r="BE763" s="52" t="str">
        <f>IFERROR(OLDBD[[#This Row],[Fin de Carga]]-OLDBD[[#This Row],[Inicio de Carga]],"")</f>
        <v/>
      </c>
    </row>
    <row r="764" spans="1:57" x14ac:dyDescent="0.35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6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Salida]]="","",MARÍTIMOS[[#This Row],[Etapa Retiro - Salida]]),"")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Row],[Hora de Carga]]+MARÍTIMOS[[#This Row],[Hora de Posicionamiento]]),"")</f>
        <v/>
      </c>
      <c r="Z764" s="11" t="str">
        <f>IFERROR(IF(MARÍTIMOS[[#This Row],[Etapa Despacho -  Llegada]]="","",MARÍTIMOS[[#This Row],[Etapa Despacho -  Llegada]]),"")</f>
        <v/>
      </c>
      <c r="AA764" s="11" t="str">
        <f>IFERROR(IF(MARÍTIMOS[[#This Row],[Etapa Despacho -  Registro]]="","",MARÍTIMOS[[#This Row],[Etapa Despacho - 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 Inicio de Carga]]="","",MARÍTIMOS[[#This Row],[Etapa Despacho -  Inicio de Carga]]),"")</f>
        <v/>
      </c>
      <c r="AD764" s="11" t="str">
        <f>IFERROR(IF(MARÍTIMOS[[#This Row],[Etapa Despacho -  Fin de Carga]]="","",MARÍTIMOS[[#This Row],[Etapa Despacho -  Fin de Carga]]),"")</f>
        <v/>
      </c>
      <c r="AE764" s="11" t="str">
        <f>IFERROR(IF(MARÍTIMOS[[#This Row],[Etapa Despacho -  Salida]]="","",MARÍTIMOS[[#This Row],[Etapa Despacho -  Salida]]),"")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5" t="s">
        <v>181</v>
      </c>
      <c r="BB764" s="53" t="str">
        <f>IFERROR(IF(MARÍTIMOS[[#This Row],[Estatus]]="","",MARÍTIMOS[[#This Row],[Estatus]]),"")</f>
        <v/>
      </c>
      <c r="BC764" s="45"/>
      <c r="BD764" s="52" t="str">
        <f>IFERROR(OLDBD[[#This Row],[Salida de almacén de retiro]]-OLDBD[[#This Row],[Ingreso Almacén de retiro]],"")</f>
        <v/>
      </c>
      <c r="BE764" s="52" t="str">
        <f>IFERROR(OLDBD[[#This Row],[Fin de Carga]]-OLDBD[[#This Row],[Inicio de Carga]],"")</f>
        <v/>
      </c>
    </row>
    <row r="765" spans="1:57" x14ac:dyDescent="0.35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6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Salida]]="","",MARÍTIMOS[[#This Row],[Etapa Retiro - Salida]]),"")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Row],[Hora de Carga]]+MARÍTIMOS[[#This Row],[Hora de Posicionamiento]]),"")</f>
        <v/>
      </c>
      <c r="Z765" s="11" t="str">
        <f>IFERROR(IF(MARÍTIMOS[[#This Row],[Etapa Despacho -  Llegada]]="","",MARÍTIMOS[[#This Row],[Etapa Despacho -  Llegada]]),"")</f>
        <v/>
      </c>
      <c r="AA765" s="11" t="str">
        <f>IFERROR(IF(MARÍTIMOS[[#This Row],[Etapa Despacho -  Registro]]="","",MARÍTIMOS[[#This Row],[Etapa Despacho - 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 Inicio de Carga]]="","",MARÍTIMOS[[#This Row],[Etapa Despacho -  Inicio de Carga]]),"")</f>
        <v/>
      </c>
      <c r="AD765" s="11" t="str">
        <f>IFERROR(IF(MARÍTIMOS[[#This Row],[Etapa Despacho -  Fin de Carga]]="","",MARÍTIMOS[[#This Row],[Etapa Despacho -  Fin de Carga]]),"")</f>
        <v/>
      </c>
      <c r="AE765" s="11" t="str">
        <f>IFERROR(IF(MARÍTIMOS[[#This Row],[Etapa Despacho -  Salida]]="","",MARÍTIMOS[[#This Row],[Etapa Despacho -  Salida]]),"")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5" t="s">
        <v>181</v>
      </c>
      <c r="BB765" s="53" t="str">
        <f>IFERROR(IF(MARÍTIMOS[[#This Row],[Estatus]]="","",MARÍTIMOS[[#This Row],[Estatus]]),"")</f>
        <v/>
      </c>
      <c r="BC765" s="45"/>
      <c r="BD765" s="52" t="str">
        <f>IFERROR(OLDBD[[#This Row],[Salida de almacén de retiro]]-OLDBD[[#This Row],[Ingreso Almacén de retiro]],"")</f>
        <v/>
      </c>
      <c r="BE765" s="52" t="str">
        <f>IFERROR(OLDBD[[#This Row],[Fin de Carga]]-OLDBD[[#This Row],[Inicio de Carga]],"")</f>
        <v/>
      </c>
    </row>
    <row r="766" spans="1:57" x14ac:dyDescent="0.35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6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Salida]]="","",MARÍTIMOS[[#This Row],[Etapa Retiro - Salida]]),"")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Row],[Hora de Carga]]+MARÍTIMOS[[#This Row],[Hora de Posicionamiento]]),"")</f>
        <v/>
      </c>
      <c r="Z766" s="11" t="str">
        <f>IFERROR(IF(MARÍTIMOS[[#This Row],[Etapa Despacho -  Llegada]]="","",MARÍTIMOS[[#This Row],[Etapa Despacho -  Llegada]]),"")</f>
        <v/>
      </c>
      <c r="AA766" s="11" t="str">
        <f>IFERROR(IF(MARÍTIMOS[[#This Row],[Etapa Despacho -  Registro]]="","",MARÍTIMOS[[#This Row],[Etapa Despacho - 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 Inicio de Carga]]="","",MARÍTIMOS[[#This Row],[Etapa Despacho -  Inicio de Carga]]),"")</f>
        <v/>
      </c>
      <c r="AD766" s="11" t="str">
        <f>IFERROR(IF(MARÍTIMOS[[#This Row],[Etapa Despacho -  Fin de Carga]]="","",MARÍTIMOS[[#This Row],[Etapa Despacho -  Fin de Carga]]),"")</f>
        <v/>
      </c>
      <c r="AE766" s="11" t="str">
        <f>IFERROR(IF(MARÍTIMOS[[#This Row],[Etapa Despacho -  Salida]]="","",MARÍTIMOS[[#This Row],[Etapa Despacho -  Salida]]),"")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5" t="s">
        <v>181</v>
      </c>
      <c r="BB766" s="53" t="str">
        <f>IFERROR(IF(MARÍTIMOS[[#This Row],[Estatus]]="","",MARÍTIMOS[[#This Row],[Estatus]]),"")</f>
        <v/>
      </c>
      <c r="BC766" s="45"/>
      <c r="BD766" s="52" t="str">
        <f>IFERROR(OLDBD[[#This Row],[Salida de almacén de retiro]]-OLDBD[[#This Row],[Ingreso Almacén de retiro]],"")</f>
        <v/>
      </c>
      <c r="BE766" s="52" t="str">
        <f>IFERROR(OLDBD[[#This Row],[Fin de Carga]]-OLDBD[[#This Row],[Inicio de Carga]],"")</f>
        <v/>
      </c>
    </row>
    <row r="767" spans="1:57" x14ac:dyDescent="0.35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6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Salida]]="","",MARÍTIMOS[[#This Row],[Etapa Retiro - Salida]]),"")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Row],[Hora de Carga]]+MARÍTIMOS[[#This Row],[Hora de Posicionamiento]]),"")</f>
        <v/>
      </c>
      <c r="Z767" s="11" t="str">
        <f>IFERROR(IF(MARÍTIMOS[[#This Row],[Etapa Despacho -  Llegada]]="","",MARÍTIMOS[[#This Row],[Etapa Despacho -  Llegada]]),"")</f>
        <v/>
      </c>
      <c r="AA767" s="11" t="str">
        <f>IFERROR(IF(MARÍTIMOS[[#This Row],[Etapa Despacho -  Registro]]="","",MARÍTIMOS[[#This Row],[Etapa Despacho - 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 Inicio de Carga]]="","",MARÍTIMOS[[#This Row],[Etapa Despacho -  Inicio de Carga]]),"")</f>
        <v/>
      </c>
      <c r="AD767" s="11" t="str">
        <f>IFERROR(IF(MARÍTIMOS[[#This Row],[Etapa Despacho -  Fin de Carga]]="","",MARÍTIMOS[[#This Row],[Etapa Despacho -  Fin de Carga]]),"")</f>
        <v/>
      </c>
      <c r="AE767" s="11" t="str">
        <f>IFERROR(IF(MARÍTIMOS[[#This Row],[Etapa Despacho -  Salida]]="","",MARÍTIMOS[[#This Row],[Etapa Despacho -  Salida]]),"")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5" t="s">
        <v>181</v>
      </c>
      <c r="BB767" s="53" t="str">
        <f>IFERROR(IF(MARÍTIMOS[[#This Row],[Estatus]]="","",MARÍTIMOS[[#This Row],[Estatus]]),"")</f>
        <v/>
      </c>
      <c r="BC767" s="45"/>
      <c r="BD767" s="52" t="str">
        <f>IFERROR(OLDBD[[#This Row],[Salida de almacén de retiro]]-OLDBD[[#This Row],[Ingreso Almacén de retiro]],"")</f>
        <v/>
      </c>
      <c r="BE767" s="52" t="str">
        <f>IFERROR(OLDBD[[#This Row],[Fin de Carga]]-OLDBD[[#This Row],[Inicio de Carga]],"")</f>
        <v/>
      </c>
    </row>
    <row r="768" spans="1:57" x14ac:dyDescent="0.35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6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Salida]]="","",MARÍTIMOS[[#This Row],[Etapa Retiro - Salida]]),"")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Row],[Hora de Carga]]+MARÍTIMOS[[#This Row],[Hora de Posicionamiento]]),"")</f>
        <v/>
      </c>
      <c r="Z768" s="11" t="str">
        <f>IFERROR(IF(MARÍTIMOS[[#This Row],[Etapa Despacho -  Llegada]]="","",MARÍTIMOS[[#This Row],[Etapa Despacho -  Llegada]]),"")</f>
        <v/>
      </c>
      <c r="AA768" s="11" t="str">
        <f>IFERROR(IF(MARÍTIMOS[[#This Row],[Etapa Despacho -  Registro]]="","",MARÍTIMOS[[#This Row],[Etapa Despacho - 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 Inicio de Carga]]="","",MARÍTIMOS[[#This Row],[Etapa Despacho -  Inicio de Carga]]),"")</f>
        <v/>
      </c>
      <c r="AD768" s="11" t="str">
        <f>IFERROR(IF(MARÍTIMOS[[#This Row],[Etapa Despacho -  Fin de Carga]]="","",MARÍTIMOS[[#This Row],[Etapa Despacho -  Fin de Carga]]),"")</f>
        <v/>
      </c>
      <c r="AE768" s="11" t="str">
        <f>IFERROR(IF(MARÍTIMOS[[#This Row],[Etapa Despacho -  Salida]]="","",MARÍTIMOS[[#This Row],[Etapa Despacho -  Salida]]),"")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5" t="s">
        <v>181</v>
      </c>
      <c r="BB768" s="53" t="str">
        <f>IFERROR(IF(MARÍTIMOS[[#This Row],[Estatus]]="","",MARÍTIMOS[[#This Row],[Estatus]]),"")</f>
        <v/>
      </c>
      <c r="BC768" s="45"/>
      <c r="BD768" s="52" t="str">
        <f>IFERROR(OLDBD[[#This Row],[Salida de almacén de retiro]]-OLDBD[[#This Row],[Ingreso Almacén de retiro]],"")</f>
        <v/>
      </c>
      <c r="BE768" s="52" t="str">
        <f>IFERROR(OLDBD[[#This Row],[Fin de Carga]]-OLDBD[[#This Row],[Inicio de Carga]],"")</f>
        <v/>
      </c>
    </row>
    <row r="769" spans="1:57" x14ac:dyDescent="0.35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6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Salida]]="","",MARÍTIMOS[[#This Row],[Etapa Retiro - Salida]]),"")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Row],[Hora de Carga]]+MARÍTIMOS[[#This Row],[Hora de Posicionamiento]]),"")</f>
        <v/>
      </c>
      <c r="Z769" s="11" t="str">
        <f>IFERROR(IF(MARÍTIMOS[[#This Row],[Etapa Despacho -  Llegada]]="","",MARÍTIMOS[[#This Row],[Etapa Despacho -  Llegada]]),"")</f>
        <v/>
      </c>
      <c r="AA769" s="11" t="str">
        <f>IFERROR(IF(MARÍTIMOS[[#This Row],[Etapa Despacho -  Registro]]="","",MARÍTIMOS[[#This Row],[Etapa Despacho - 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 Inicio de Carga]]="","",MARÍTIMOS[[#This Row],[Etapa Despacho -  Inicio de Carga]]),"")</f>
        <v/>
      </c>
      <c r="AD769" s="11" t="str">
        <f>IFERROR(IF(MARÍTIMOS[[#This Row],[Etapa Despacho -  Fin de Carga]]="","",MARÍTIMOS[[#This Row],[Etapa Despacho -  Fin de Carga]]),"")</f>
        <v/>
      </c>
      <c r="AE769" s="11" t="str">
        <f>IFERROR(IF(MARÍTIMOS[[#This Row],[Etapa Despacho -  Salida]]="","",MARÍTIMOS[[#This Row],[Etapa Despacho -  Salida]]),"")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5" t="s">
        <v>181</v>
      </c>
      <c r="BB769" s="53" t="str">
        <f>IFERROR(IF(MARÍTIMOS[[#This Row],[Estatus]]="","",MARÍTIMOS[[#This Row],[Estatus]]),"")</f>
        <v/>
      </c>
      <c r="BC769" s="45"/>
      <c r="BD769" s="52" t="str">
        <f>IFERROR(OLDBD[[#This Row],[Salida de almacén de retiro]]-OLDBD[[#This Row],[Ingreso Almacén de retiro]],"")</f>
        <v/>
      </c>
      <c r="BE769" s="52" t="str">
        <f>IFERROR(OLDBD[[#This Row],[Fin de Carga]]-OLDBD[[#This Row],[Inicio de Carga]],"")</f>
        <v/>
      </c>
    </row>
    <row r="770" spans="1:57" x14ac:dyDescent="0.35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6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Salida]]="","",MARÍTIMOS[[#This Row],[Etapa Retiro - Salida]]),"")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Row],[Hora de Carga]]+MARÍTIMOS[[#This Row],[Hora de Posicionamiento]]),"")</f>
        <v/>
      </c>
      <c r="Z770" s="11" t="str">
        <f>IFERROR(IF(MARÍTIMOS[[#This Row],[Etapa Despacho -  Llegada]]="","",MARÍTIMOS[[#This Row],[Etapa Despacho -  Llegada]]),"")</f>
        <v/>
      </c>
      <c r="AA770" s="11" t="str">
        <f>IFERROR(IF(MARÍTIMOS[[#This Row],[Etapa Despacho -  Registro]]="","",MARÍTIMOS[[#This Row],[Etapa Despacho - 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 Inicio de Carga]]="","",MARÍTIMOS[[#This Row],[Etapa Despacho -  Inicio de Carga]]),"")</f>
        <v/>
      </c>
      <c r="AD770" s="11" t="str">
        <f>IFERROR(IF(MARÍTIMOS[[#This Row],[Etapa Despacho -  Fin de Carga]]="","",MARÍTIMOS[[#This Row],[Etapa Despacho -  Fin de Carga]]),"")</f>
        <v/>
      </c>
      <c r="AE770" s="11" t="str">
        <f>IFERROR(IF(MARÍTIMOS[[#This Row],[Etapa Despacho -  Salida]]="","",MARÍTIMOS[[#This Row],[Etapa Despacho -  Salida]]),"")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5" t="s">
        <v>181</v>
      </c>
      <c r="BB770" s="53" t="str">
        <f>IFERROR(IF(MARÍTIMOS[[#This Row],[Estatus]]="","",MARÍTIMOS[[#This Row],[Estatus]]),"")</f>
        <v/>
      </c>
      <c r="BC770" s="45"/>
      <c r="BD770" s="52" t="str">
        <f>IFERROR(OLDBD[[#This Row],[Salida de almacén de retiro]]-OLDBD[[#This Row],[Ingreso Almacén de retiro]],"")</f>
        <v/>
      </c>
      <c r="BE770" s="52" t="str">
        <f>IFERROR(OLDBD[[#This Row],[Fin de Carga]]-OLDBD[[#This Row],[Inicio de Carga]],"")</f>
        <v/>
      </c>
    </row>
    <row r="771" spans="1:57" x14ac:dyDescent="0.35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6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Salida]]="","",MARÍTIMOS[[#This Row],[Etapa Retiro - Salida]]),"")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Row],[Hora de Carga]]+MARÍTIMOS[[#This Row],[Hora de Posicionamiento]]),"")</f>
        <v/>
      </c>
      <c r="Z771" s="11" t="str">
        <f>IFERROR(IF(MARÍTIMOS[[#This Row],[Etapa Despacho -  Llegada]]="","",MARÍTIMOS[[#This Row],[Etapa Despacho -  Llegada]]),"")</f>
        <v/>
      </c>
      <c r="AA771" s="11" t="str">
        <f>IFERROR(IF(MARÍTIMOS[[#This Row],[Etapa Despacho -  Registro]]="","",MARÍTIMOS[[#This Row],[Etapa Despacho - 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 Inicio de Carga]]="","",MARÍTIMOS[[#This Row],[Etapa Despacho -  Inicio de Carga]]),"")</f>
        <v/>
      </c>
      <c r="AD771" s="11" t="str">
        <f>IFERROR(IF(MARÍTIMOS[[#This Row],[Etapa Despacho -  Fin de Carga]]="","",MARÍTIMOS[[#This Row],[Etapa Despacho -  Fin de Carga]]),"")</f>
        <v/>
      </c>
      <c r="AE771" s="11" t="str">
        <f>IFERROR(IF(MARÍTIMOS[[#This Row],[Etapa Despacho -  Salida]]="","",MARÍTIMOS[[#This Row],[Etapa Despacho -  Salida]]),"")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5" t="s">
        <v>181</v>
      </c>
      <c r="BB771" s="53" t="str">
        <f>IFERROR(IF(MARÍTIMOS[[#This Row],[Estatus]]="","",MARÍTIMOS[[#This Row],[Estatus]]),"")</f>
        <v/>
      </c>
      <c r="BC771" s="45"/>
      <c r="BD771" s="52" t="str">
        <f>IFERROR(OLDBD[[#This Row],[Salida de almacén de retiro]]-OLDBD[[#This Row],[Ingreso Almacén de retiro]],"")</f>
        <v/>
      </c>
      <c r="BE771" s="52" t="str">
        <f>IFERROR(OLDBD[[#This Row],[Fin de Carga]]-OLDBD[[#This Row],[Inicio de Carga]],"")</f>
        <v/>
      </c>
    </row>
    <row r="772" spans="1:57" x14ac:dyDescent="0.35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6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Salida]]="","",MARÍTIMOS[[#This Row],[Etapa Retiro - Salida]]),"")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Row],[Hora de Carga]]+MARÍTIMOS[[#This Row],[Hora de Posicionamiento]]),"")</f>
        <v/>
      </c>
      <c r="Z772" s="11" t="str">
        <f>IFERROR(IF(MARÍTIMOS[[#This Row],[Etapa Despacho -  Llegada]]="","",MARÍTIMOS[[#This Row],[Etapa Despacho -  Llegada]]),"")</f>
        <v/>
      </c>
      <c r="AA772" s="11" t="str">
        <f>IFERROR(IF(MARÍTIMOS[[#This Row],[Etapa Despacho -  Registro]]="","",MARÍTIMOS[[#This Row],[Etapa Despacho - 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 Inicio de Carga]]="","",MARÍTIMOS[[#This Row],[Etapa Despacho -  Inicio de Carga]]),"")</f>
        <v/>
      </c>
      <c r="AD772" s="11" t="str">
        <f>IFERROR(IF(MARÍTIMOS[[#This Row],[Etapa Despacho -  Fin de Carga]]="","",MARÍTIMOS[[#This Row],[Etapa Despacho -  Fin de Carga]]),"")</f>
        <v/>
      </c>
      <c r="AE772" s="11" t="str">
        <f>IFERROR(IF(MARÍTIMOS[[#This Row],[Etapa Despacho -  Salida]]="","",MARÍTIMOS[[#This Row],[Etapa Despacho -  Salida]]),"")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5" t="s">
        <v>181</v>
      </c>
      <c r="BB772" s="53" t="str">
        <f>IFERROR(IF(MARÍTIMOS[[#This Row],[Estatus]]="","",MARÍTIMOS[[#This Row],[Estatus]]),"")</f>
        <v/>
      </c>
      <c r="BC772" s="45"/>
      <c r="BD772" s="52" t="str">
        <f>IFERROR(OLDBD[[#This Row],[Salida de almacén de retiro]]-OLDBD[[#This Row],[Ingreso Almacén de retiro]],"")</f>
        <v/>
      </c>
      <c r="BE772" s="52" t="str">
        <f>IFERROR(OLDBD[[#This Row],[Fin de Carga]]-OLDBD[[#This Row],[Inicio de Carga]],"")</f>
        <v/>
      </c>
    </row>
    <row r="773" spans="1:57" x14ac:dyDescent="0.35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6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Salida]]="","",MARÍTIMOS[[#This Row],[Etapa Retiro - Salida]]),"")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Row],[Hora de Carga]]+MARÍTIMOS[[#This Row],[Hora de Posicionamiento]]),"")</f>
        <v/>
      </c>
      <c r="Z773" s="11" t="str">
        <f>IFERROR(IF(MARÍTIMOS[[#This Row],[Etapa Despacho -  Llegada]]="","",MARÍTIMOS[[#This Row],[Etapa Despacho -  Llegada]]),"")</f>
        <v/>
      </c>
      <c r="AA773" s="11" t="str">
        <f>IFERROR(IF(MARÍTIMOS[[#This Row],[Etapa Despacho -  Registro]]="","",MARÍTIMOS[[#This Row],[Etapa Despacho - 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 Inicio de Carga]]="","",MARÍTIMOS[[#This Row],[Etapa Despacho -  Inicio de Carga]]),"")</f>
        <v/>
      </c>
      <c r="AD773" s="11" t="str">
        <f>IFERROR(IF(MARÍTIMOS[[#This Row],[Etapa Despacho -  Fin de Carga]]="","",MARÍTIMOS[[#This Row],[Etapa Despacho -  Fin de Carga]]),"")</f>
        <v/>
      </c>
      <c r="AE773" s="11" t="str">
        <f>IFERROR(IF(MARÍTIMOS[[#This Row],[Etapa Despacho -  Salida]]="","",MARÍTIMOS[[#This Row],[Etapa Despacho -  Salida]]),"")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5" t="s">
        <v>181</v>
      </c>
      <c r="BB773" s="53" t="str">
        <f>IFERROR(IF(MARÍTIMOS[[#This Row],[Estatus]]="","",MARÍTIMOS[[#This Row],[Estatus]]),"")</f>
        <v/>
      </c>
      <c r="BC773" s="45"/>
      <c r="BD773" s="52" t="str">
        <f>IFERROR(OLDBD[[#This Row],[Salida de almacén de retiro]]-OLDBD[[#This Row],[Ingreso Almacén de retiro]],"")</f>
        <v/>
      </c>
      <c r="BE773" s="52" t="str">
        <f>IFERROR(OLDBD[[#This Row],[Fin de Carga]]-OLDBD[[#This Row],[Inicio de Carga]],"")</f>
        <v/>
      </c>
    </row>
    <row r="774" spans="1:57" x14ac:dyDescent="0.35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6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Salida]]="","",MARÍTIMOS[[#This Row],[Etapa Retiro - Salida]]),"")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Row],[Hora de Carga]]+MARÍTIMOS[[#This Row],[Hora de Posicionamiento]]),"")</f>
        <v/>
      </c>
      <c r="Z774" s="11" t="str">
        <f>IFERROR(IF(MARÍTIMOS[[#This Row],[Etapa Despacho -  Llegada]]="","",MARÍTIMOS[[#This Row],[Etapa Despacho -  Llegada]]),"")</f>
        <v/>
      </c>
      <c r="AA774" s="11" t="str">
        <f>IFERROR(IF(MARÍTIMOS[[#This Row],[Etapa Despacho -  Registro]]="","",MARÍTIMOS[[#This Row],[Etapa Despacho - 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 Inicio de Carga]]="","",MARÍTIMOS[[#This Row],[Etapa Despacho -  Inicio de Carga]]),"")</f>
        <v/>
      </c>
      <c r="AD774" s="11" t="str">
        <f>IFERROR(IF(MARÍTIMOS[[#This Row],[Etapa Despacho -  Fin de Carga]]="","",MARÍTIMOS[[#This Row],[Etapa Despacho -  Fin de Carga]]),"")</f>
        <v/>
      </c>
      <c r="AE774" s="11" t="str">
        <f>IFERROR(IF(MARÍTIMOS[[#This Row],[Etapa Despacho -  Salida]]="","",MARÍTIMOS[[#This Row],[Etapa Despacho -  Salida]]),"")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5" t="s">
        <v>181</v>
      </c>
      <c r="BB774" s="53" t="str">
        <f>IFERROR(IF(MARÍTIMOS[[#This Row],[Estatus]]="","",MARÍTIMOS[[#This Row],[Estatus]]),"")</f>
        <v/>
      </c>
      <c r="BC774" s="45"/>
      <c r="BD774" s="52" t="str">
        <f>IFERROR(OLDBD[[#This Row],[Salida de almacén de retiro]]-OLDBD[[#This Row],[Ingreso Almacén de retiro]],"")</f>
        <v/>
      </c>
      <c r="BE774" s="52" t="str">
        <f>IFERROR(OLDBD[[#This Row],[Fin de Carga]]-OLDBD[[#This Row],[Inicio de Carga]],"")</f>
        <v/>
      </c>
    </row>
    <row r="775" spans="1:57" x14ac:dyDescent="0.35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6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Salida]]="","",MARÍTIMOS[[#This Row],[Etapa Retiro - Salida]]),"")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Row],[Hora de Carga]]+MARÍTIMOS[[#This Row],[Hora de Posicionamiento]]),"")</f>
        <v/>
      </c>
      <c r="Z775" s="11" t="str">
        <f>IFERROR(IF(MARÍTIMOS[[#This Row],[Etapa Despacho -  Llegada]]="","",MARÍTIMOS[[#This Row],[Etapa Despacho -  Llegada]]),"")</f>
        <v/>
      </c>
      <c r="AA775" s="11" t="str">
        <f>IFERROR(IF(MARÍTIMOS[[#This Row],[Etapa Despacho -  Registro]]="","",MARÍTIMOS[[#This Row],[Etapa Despacho - 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 Inicio de Carga]]="","",MARÍTIMOS[[#This Row],[Etapa Despacho -  Inicio de Carga]]),"")</f>
        <v/>
      </c>
      <c r="AD775" s="11" t="str">
        <f>IFERROR(IF(MARÍTIMOS[[#This Row],[Etapa Despacho -  Fin de Carga]]="","",MARÍTIMOS[[#This Row],[Etapa Despacho -  Fin de Carga]]),"")</f>
        <v/>
      </c>
      <c r="AE775" s="11" t="str">
        <f>IFERROR(IF(MARÍTIMOS[[#This Row],[Etapa Despacho -  Salida]]="","",MARÍTIMOS[[#This Row],[Etapa Despacho -  Salida]]),"")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5" t="s">
        <v>181</v>
      </c>
      <c r="BB775" s="53" t="str">
        <f>IFERROR(IF(MARÍTIMOS[[#This Row],[Estatus]]="","",MARÍTIMOS[[#This Row],[Estatus]]),"")</f>
        <v/>
      </c>
      <c r="BC775" s="45"/>
      <c r="BD775" s="52" t="str">
        <f>IFERROR(OLDBD[[#This Row],[Salida de almacén de retiro]]-OLDBD[[#This Row],[Ingreso Almacén de retiro]],"")</f>
        <v/>
      </c>
      <c r="BE775" s="52" t="str">
        <f>IFERROR(OLDBD[[#This Row],[Fin de Carga]]-OLDBD[[#This Row],[Inicio de Carga]],"")</f>
        <v/>
      </c>
    </row>
    <row r="776" spans="1:57" x14ac:dyDescent="0.35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6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Salida]]="","",MARÍTIMOS[[#This Row],[Etapa Retiro - Salida]]),"")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Row],[Hora de Carga]]+MARÍTIMOS[[#This Row],[Hora de Posicionamiento]]),"")</f>
        <v/>
      </c>
      <c r="Z776" s="11" t="str">
        <f>IFERROR(IF(MARÍTIMOS[[#This Row],[Etapa Despacho -  Llegada]]="","",MARÍTIMOS[[#This Row],[Etapa Despacho -  Llegada]]),"")</f>
        <v/>
      </c>
      <c r="AA776" s="11" t="str">
        <f>IFERROR(IF(MARÍTIMOS[[#This Row],[Etapa Despacho -  Registro]]="","",MARÍTIMOS[[#This Row],[Etapa Despacho - 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 Inicio de Carga]]="","",MARÍTIMOS[[#This Row],[Etapa Despacho -  Inicio de Carga]]),"")</f>
        <v/>
      </c>
      <c r="AD776" s="11" t="str">
        <f>IFERROR(IF(MARÍTIMOS[[#This Row],[Etapa Despacho -  Fin de Carga]]="","",MARÍTIMOS[[#This Row],[Etapa Despacho -  Fin de Carga]]),"")</f>
        <v/>
      </c>
      <c r="AE776" s="11" t="str">
        <f>IFERROR(IF(MARÍTIMOS[[#This Row],[Etapa Despacho -  Salida]]="","",MARÍTIMOS[[#This Row],[Etapa Despacho -  Salida]]),"")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5" t="s">
        <v>181</v>
      </c>
      <c r="BB776" s="53" t="str">
        <f>IFERROR(IF(MARÍTIMOS[[#This Row],[Estatus]]="","",MARÍTIMOS[[#This Row],[Estatus]]),"")</f>
        <v/>
      </c>
      <c r="BC776" s="45"/>
      <c r="BD776" s="52" t="str">
        <f>IFERROR(OLDBD[[#This Row],[Salida de almacén de retiro]]-OLDBD[[#This Row],[Ingreso Almacén de retiro]],"")</f>
        <v/>
      </c>
      <c r="BE776" s="52" t="str">
        <f>IFERROR(OLDBD[[#This Row],[Fin de Carga]]-OLDBD[[#This Row],[Inicio de Carga]],"")</f>
        <v/>
      </c>
    </row>
    <row r="777" spans="1:57" x14ac:dyDescent="0.35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6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Salida]]="","",MARÍTIMOS[[#This Row],[Etapa Retiro - Salida]]),"")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Row],[Hora de Carga]]+MARÍTIMOS[[#This Row],[Hora de Posicionamiento]]),"")</f>
        <v/>
      </c>
      <c r="Z777" s="11" t="str">
        <f>IFERROR(IF(MARÍTIMOS[[#This Row],[Etapa Despacho -  Llegada]]="","",MARÍTIMOS[[#This Row],[Etapa Despacho -  Llegada]]),"")</f>
        <v/>
      </c>
      <c r="AA777" s="11" t="str">
        <f>IFERROR(IF(MARÍTIMOS[[#This Row],[Etapa Despacho -  Registro]]="","",MARÍTIMOS[[#This Row],[Etapa Despacho - 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 Inicio de Carga]]="","",MARÍTIMOS[[#This Row],[Etapa Despacho -  Inicio de Carga]]),"")</f>
        <v/>
      </c>
      <c r="AD777" s="11" t="str">
        <f>IFERROR(IF(MARÍTIMOS[[#This Row],[Etapa Despacho -  Fin de Carga]]="","",MARÍTIMOS[[#This Row],[Etapa Despacho -  Fin de Carga]]),"")</f>
        <v/>
      </c>
      <c r="AE777" s="11" t="str">
        <f>IFERROR(IF(MARÍTIMOS[[#This Row],[Etapa Despacho -  Salida]]="","",MARÍTIMOS[[#This Row],[Etapa Despacho -  Salida]]),"")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5" t="s">
        <v>181</v>
      </c>
      <c r="BB777" s="53" t="str">
        <f>IFERROR(IF(MARÍTIMOS[[#This Row],[Estatus]]="","",MARÍTIMOS[[#This Row],[Estatus]]),"")</f>
        <v/>
      </c>
      <c r="BC777" s="45"/>
      <c r="BD777" s="52" t="str">
        <f>IFERROR(OLDBD[[#This Row],[Salida de almacén de retiro]]-OLDBD[[#This Row],[Ingreso Almacén de retiro]],"")</f>
        <v/>
      </c>
      <c r="BE777" s="52" t="str">
        <f>IFERROR(OLDBD[[#This Row],[Fin de Carga]]-OLDBD[[#This Row],[Inicio de Carga]],"")</f>
        <v/>
      </c>
    </row>
    <row r="778" spans="1:57" x14ac:dyDescent="0.35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6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Salida]]="","",MARÍTIMOS[[#This Row],[Etapa Retiro - Salida]]),"")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Row],[Hora de Carga]]+MARÍTIMOS[[#This Row],[Hora de Posicionamiento]]),"")</f>
        <v/>
      </c>
      <c r="Z778" s="11" t="str">
        <f>IFERROR(IF(MARÍTIMOS[[#This Row],[Etapa Despacho -  Llegada]]="","",MARÍTIMOS[[#This Row],[Etapa Despacho -  Llegada]]),"")</f>
        <v/>
      </c>
      <c r="AA778" s="11" t="str">
        <f>IFERROR(IF(MARÍTIMOS[[#This Row],[Etapa Despacho -  Registro]]="","",MARÍTIMOS[[#This Row],[Etapa Despacho - 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 Inicio de Carga]]="","",MARÍTIMOS[[#This Row],[Etapa Despacho -  Inicio de Carga]]),"")</f>
        <v/>
      </c>
      <c r="AD778" s="11" t="str">
        <f>IFERROR(IF(MARÍTIMOS[[#This Row],[Etapa Despacho -  Fin de Carga]]="","",MARÍTIMOS[[#This Row],[Etapa Despacho -  Fin de Carga]]),"")</f>
        <v/>
      </c>
      <c r="AE778" s="11" t="str">
        <f>IFERROR(IF(MARÍTIMOS[[#This Row],[Etapa Despacho -  Salida]]="","",MARÍTIMOS[[#This Row],[Etapa Despacho -  Salida]]),"")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5" t="s">
        <v>181</v>
      </c>
      <c r="BB778" s="53" t="str">
        <f>IFERROR(IF(MARÍTIMOS[[#This Row],[Estatus]]="","",MARÍTIMOS[[#This Row],[Estatus]]),"")</f>
        <v/>
      </c>
      <c r="BC778" s="45"/>
      <c r="BD778" s="52" t="str">
        <f>IFERROR(OLDBD[[#This Row],[Salida de almacén de retiro]]-OLDBD[[#This Row],[Ingreso Almacén de retiro]],"")</f>
        <v/>
      </c>
      <c r="BE778" s="52" t="str">
        <f>IFERROR(OLDBD[[#This Row],[Fin de Carga]]-OLDBD[[#This Row],[Inicio de Carga]],"")</f>
        <v/>
      </c>
    </row>
    <row r="779" spans="1:57" x14ac:dyDescent="0.35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6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Salida]]="","",MARÍTIMOS[[#This Row],[Etapa Retiro - Salida]]),"")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Row],[Hora de Carga]]+MARÍTIMOS[[#This Row],[Hora de Posicionamiento]]),"")</f>
        <v/>
      </c>
      <c r="Z779" s="11" t="str">
        <f>IFERROR(IF(MARÍTIMOS[[#This Row],[Etapa Despacho -  Llegada]]="","",MARÍTIMOS[[#This Row],[Etapa Despacho -  Llegada]]),"")</f>
        <v/>
      </c>
      <c r="AA779" s="11" t="str">
        <f>IFERROR(IF(MARÍTIMOS[[#This Row],[Etapa Despacho -  Registro]]="","",MARÍTIMOS[[#This Row],[Etapa Despacho - 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 Inicio de Carga]]="","",MARÍTIMOS[[#This Row],[Etapa Despacho -  Inicio de Carga]]),"")</f>
        <v/>
      </c>
      <c r="AD779" s="11" t="str">
        <f>IFERROR(IF(MARÍTIMOS[[#This Row],[Etapa Despacho -  Fin de Carga]]="","",MARÍTIMOS[[#This Row],[Etapa Despacho -  Fin de Carga]]),"")</f>
        <v/>
      </c>
      <c r="AE779" s="11" t="str">
        <f>IFERROR(IF(MARÍTIMOS[[#This Row],[Etapa Despacho -  Salida]]="","",MARÍTIMOS[[#This Row],[Etapa Despacho -  Salida]]),"")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5" t="s">
        <v>181</v>
      </c>
      <c r="BB779" s="53" t="str">
        <f>IFERROR(IF(MARÍTIMOS[[#This Row],[Estatus]]="","",MARÍTIMOS[[#This Row],[Estatus]]),"")</f>
        <v/>
      </c>
      <c r="BC779" s="45"/>
      <c r="BD779" s="52" t="str">
        <f>IFERROR(OLDBD[[#This Row],[Salida de almacén de retiro]]-OLDBD[[#This Row],[Ingreso Almacén de retiro]],"")</f>
        <v/>
      </c>
      <c r="BE779" s="52" t="str">
        <f>IFERROR(OLDBD[[#This Row],[Fin de Carga]]-OLDBD[[#This Row],[Inicio de Carga]],"")</f>
        <v/>
      </c>
    </row>
    <row r="780" spans="1:57" x14ac:dyDescent="0.35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6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Salida]]="","",MARÍTIMOS[[#This Row],[Etapa Retiro - Salida]]),"")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Row],[Hora de Carga]]+MARÍTIMOS[[#This Row],[Hora de Posicionamiento]]),"")</f>
        <v/>
      </c>
      <c r="Z780" s="11" t="str">
        <f>IFERROR(IF(MARÍTIMOS[[#This Row],[Etapa Despacho -  Llegada]]="","",MARÍTIMOS[[#This Row],[Etapa Despacho -  Llegada]]),"")</f>
        <v/>
      </c>
      <c r="AA780" s="11" t="str">
        <f>IFERROR(IF(MARÍTIMOS[[#This Row],[Etapa Despacho -  Registro]]="","",MARÍTIMOS[[#This Row],[Etapa Despacho - 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 Inicio de Carga]]="","",MARÍTIMOS[[#This Row],[Etapa Despacho -  Inicio de Carga]]),"")</f>
        <v/>
      </c>
      <c r="AD780" s="11" t="str">
        <f>IFERROR(IF(MARÍTIMOS[[#This Row],[Etapa Despacho -  Fin de Carga]]="","",MARÍTIMOS[[#This Row],[Etapa Despacho -  Fin de Carga]]),"")</f>
        <v/>
      </c>
      <c r="AE780" s="11" t="str">
        <f>IFERROR(IF(MARÍTIMOS[[#This Row],[Etapa Despacho -  Salida]]="","",MARÍTIMOS[[#This Row],[Etapa Despacho -  Salida]]),"")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5" t="s">
        <v>181</v>
      </c>
      <c r="BB780" s="53" t="str">
        <f>IFERROR(IF(MARÍTIMOS[[#This Row],[Estatus]]="","",MARÍTIMOS[[#This Row],[Estatus]]),"")</f>
        <v/>
      </c>
      <c r="BC780" s="45"/>
      <c r="BD780" s="52" t="str">
        <f>IFERROR(OLDBD[[#This Row],[Salida de almacén de retiro]]-OLDBD[[#This Row],[Ingreso Almacén de retiro]],"")</f>
        <v/>
      </c>
      <c r="BE780" s="52" t="str">
        <f>IFERROR(OLDBD[[#This Row],[Fin de Carga]]-OLDBD[[#This Row],[Inicio de Carga]],"")</f>
        <v/>
      </c>
    </row>
    <row r="781" spans="1:57" x14ac:dyDescent="0.35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6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Salida]]="","",MARÍTIMOS[[#This Row],[Etapa Retiro - Salida]]),"")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Row],[Hora de Carga]]+MARÍTIMOS[[#This Row],[Hora de Posicionamiento]]),"")</f>
        <v/>
      </c>
      <c r="Z781" s="11" t="str">
        <f>IFERROR(IF(MARÍTIMOS[[#This Row],[Etapa Despacho -  Llegada]]="","",MARÍTIMOS[[#This Row],[Etapa Despacho -  Llegada]]),"")</f>
        <v/>
      </c>
      <c r="AA781" s="11" t="str">
        <f>IFERROR(IF(MARÍTIMOS[[#This Row],[Etapa Despacho -  Registro]]="","",MARÍTIMOS[[#This Row],[Etapa Despacho - 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 Inicio de Carga]]="","",MARÍTIMOS[[#This Row],[Etapa Despacho -  Inicio de Carga]]),"")</f>
        <v/>
      </c>
      <c r="AD781" s="11" t="str">
        <f>IFERROR(IF(MARÍTIMOS[[#This Row],[Etapa Despacho -  Fin de Carga]]="","",MARÍTIMOS[[#This Row],[Etapa Despacho -  Fin de Carga]]),"")</f>
        <v/>
      </c>
      <c r="AE781" s="11" t="str">
        <f>IFERROR(IF(MARÍTIMOS[[#This Row],[Etapa Despacho -  Salida]]="","",MARÍTIMOS[[#This Row],[Etapa Despacho -  Salida]]),"")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5" t="s">
        <v>181</v>
      </c>
      <c r="BB781" s="53" t="str">
        <f>IFERROR(IF(MARÍTIMOS[[#This Row],[Estatus]]="","",MARÍTIMOS[[#This Row],[Estatus]]),"")</f>
        <v/>
      </c>
      <c r="BC781" s="45"/>
      <c r="BD781" s="52" t="str">
        <f>IFERROR(OLDBD[[#This Row],[Salida de almacén de retiro]]-OLDBD[[#This Row],[Ingreso Almacén de retiro]],"")</f>
        <v/>
      </c>
      <c r="BE781" s="52" t="str">
        <f>IFERROR(OLDBD[[#This Row],[Fin de Carga]]-OLDBD[[#This Row],[Inicio de Carga]],"")</f>
        <v/>
      </c>
    </row>
    <row r="782" spans="1:57" x14ac:dyDescent="0.35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6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Salida]]="","",MARÍTIMOS[[#This Row],[Etapa Retiro - Salida]]),"")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Row],[Hora de Carga]]+MARÍTIMOS[[#This Row],[Hora de Posicionamiento]]),"")</f>
        <v/>
      </c>
      <c r="Z782" s="11" t="str">
        <f>IFERROR(IF(MARÍTIMOS[[#This Row],[Etapa Despacho -  Llegada]]="","",MARÍTIMOS[[#This Row],[Etapa Despacho -  Llegada]]),"")</f>
        <v/>
      </c>
      <c r="AA782" s="11" t="str">
        <f>IFERROR(IF(MARÍTIMOS[[#This Row],[Etapa Despacho -  Registro]]="","",MARÍTIMOS[[#This Row],[Etapa Despacho - 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 Inicio de Carga]]="","",MARÍTIMOS[[#This Row],[Etapa Despacho -  Inicio de Carga]]),"")</f>
        <v/>
      </c>
      <c r="AD782" s="11" t="str">
        <f>IFERROR(IF(MARÍTIMOS[[#This Row],[Etapa Despacho -  Fin de Carga]]="","",MARÍTIMOS[[#This Row],[Etapa Despacho -  Fin de Carga]]),"")</f>
        <v/>
      </c>
      <c r="AE782" s="11" t="str">
        <f>IFERROR(IF(MARÍTIMOS[[#This Row],[Etapa Despacho -  Salida]]="","",MARÍTIMOS[[#This Row],[Etapa Despacho -  Salida]]),"")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5" t="s">
        <v>181</v>
      </c>
      <c r="BB782" s="53" t="str">
        <f>IFERROR(IF(MARÍTIMOS[[#This Row],[Estatus]]="","",MARÍTIMOS[[#This Row],[Estatus]]),"")</f>
        <v/>
      </c>
      <c r="BC782" s="45"/>
      <c r="BD782" s="52" t="str">
        <f>IFERROR(OLDBD[[#This Row],[Salida de almacén de retiro]]-OLDBD[[#This Row],[Ingreso Almacén de retiro]],"")</f>
        <v/>
      </c>
      <c r="BE782" s="52" t="str">
        <f>IFERROR(OLDBD[[#This Row],[Fin de Carga]]-OLDBD[[#This Row],[Inicio de Carga]],"")</f>
        <v/>
      </c>
    </row>
    <row r="783" spans="1:57" x14ac:dyDescent="0.35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6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Salida]]="","",MARÍTIMOS[[#This Row],[Etapa Retiro - Salida]]),"")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Row],[Hora de Carga]]+MARÍTIMOS[[#This Row],[Hora de Posicionamiento]]),"")</f>
        <v/>
      </c>
      <c r="Z783" s="11" t="str">
        <f>IFERROR(IF(MARÍTIMOS[[#This Row],[Etapa Despacho -  Llegada]]="","",MARÍTIMOS[[#This Row],[Etapa Despacho -  Llegada]]),"")</f>
        <v/>
      </c>
      <c r="AA783" s="11" t="str">
        <f>IFERROR(IF(MARÍTIMOS[[#This Row],[Etapa Despacho -  Registro]]="","",MARÍTIMOS[[#This Row],[Etapa Despacho - 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 Inicio de Carga]]="","",MARÍTIMOS[[#This Row],[Etapa Despacho -  Inicio de Carga]]),"")</f>
        <v/>
      </c>
      <c r="AD783" s="11" t="str">
        <f>IFERROR(IF(MARÍTIMOS[[#This Row],[Etapa Despacho -  Fin de Carga]]="","",MARÍTIMOS[[#This Row],[Etapa Despacho -  Fin de Carga]]),"")</f>
        <v/>
      </c>
      <c r="AE783" s="11" t="str">
        <f>IFERROR(IF(MARÍTIMOS[[#This Row],[Etapa Despacho -  Salida]]="","",MARÍTIMOS[[#This Row],[Etapa Despacho -  Salida]]),"")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5" t="s">
        <v>181</v>
      </c>
      <c r="BB783" s="53" t="str">
        <f>IFERROR(IF(MARÍTIMOS[[#This Row],[Estatus]]="","",MARÍTIMOS[[#This Row],[Estatus]]),"")</f>
        <v/>
      </c>
      <c r="BC783" s="45"/>
      <c r="BD783" s="52" t="str">
        <f>IFERROR(OLDBD[[#This Row],[Salida de almacén de retiro]]-OLDBD[[#This Row],[Ingreso Almacén de retiro]],"")</f>
        <v/>
      </c>
      <c r="BE783" s="52" t="str">
        <f>IFERROR(OLDBD[[#This Row],[Fin de Carga]]-OLDBD[[#This Row],[Inicio de Carga]],"")</f>
        <v/>
      </c>
    </row>
    <row r="784" spans="1:57" x14ac:dyDescent="0.35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6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Salida]]="","",MARÍTIMOS[[#This Row],[Etapa Retiro - Salida]]),"")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Row],[Hora de Carga]]+MARÍTIMOS[[#This Row],[Hora de Posicionamiento]]),"")</f>
        <v/>
      </c>
      <c r="Z784" s="11" t="str">
        <f>IFERROR(IF(MARÍTIMOS[[#This Row],[Etapa Despacho -  Llegada]]="","",MARÍTIMOS[[#This Row],[Etapa Despacho -  Llegada]]),"")</f>
        <v/>
      </c>
      <c r="AA784" s="11" t="str">
        <f>IFERROR(IF(MARÍTIMOS[[#This Row],[Etapa Despacho -  Registro]]="","",MARÍTIMOS[[#This Row],[Etapa Despacho - 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 Inicio de Carga]]="","",MARÍTIMOS[[#This Row],[Etapa Despacho -  Inicio de Carga]]),"")</f>
        <v/>
      </c>
      <c r="AD784" s="11" t="str">
        <f>IFERROR(IF(MARÍTIMOS[[#This Row],[Etapa Despacho -  Fin de Carga]]="","",MARÍTIMOS[[#This Row],[Etapa Despacho -  Fin de Carga]]),"")</f>
        <v/>
      </c>
      <c r="AE784" s="11" t="str">
        <f>IFERROR(IF(MARÍTIMOS[[#This Row],[Etapa Despacho -  Salida]]="","",MARÍTIMOS[[#This Row],[Etapa Despacho -  Salida]]),"")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5" t="s">
        <v>181</v>
      </c>
      <c r="BB784" s="53" t="str">
        <f>IFERROR(IF(MARÍTIMOS[[#This Row],[Estatus]]="","",MARÍTIMOS[[#This Row],[Estatus]]),"")</f>
        <v/>
      </c>
      <c r="BC784" s="45"/>
      <c r="BD784" s="52" t="str">
        <f>IFERROR(OLDBD[[#This Row],[Salida de almacén de retiro]]-OLDBD[[#This Row],[Ingreso Almacén de retiro]],"")</f>
        <v/>
      </c>
      <c r="BE784" s="52" t="str">
        <f>IFERROR(OLDBD[[#This Row],[Fin de Carga]]-OLDBD[[#This Row],[Inicio de Carga]],"")</f>
        <v/>
      </c>
    </row>
    <row r="785" spans="1:57" x14ac:dyDescent="0.35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6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Salida]]="","",MARÍTIMOS[[#This Row],[Etapa Retiro - Salida]]),"")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Row],[Hora de Carga]]+MARÍTIMOS[[#This Row],[Hora de Posicionamiento]]),"")</f>
        <v/>
      </c>
      <c r="Z785" s="11" t="str">
        <f>IFERROR(IF(MARÍTIMOS[[#This Row],[Etapa Despacho -  Llegada]]="","",MARÍTIMOS[[#This Row],[Etapa Despacho -  Llegada]]),"")</f>
        <v/>
      </c>
      <c r="AA785" s="11" t="str">
        <f>IFERROR(IF(MARÍTIMOS[[#This Row],[Etapa Despacho -  Registro]]="","",MARÍTIMOS[[#This Row],[Etapa Despacho - 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 Inicio de Carga]]="","",MARÍTIMOS[[#This Row],[Etapa Despacho -  Inicio de Carga]]),"")</f>
        <v/>
      </c>
      <c r="AD785" s="11" t="str">
        <f>IFERROR(IF(MARÍTIMOS[[#This Row],[Etapa Despacho -  Fin de Carga]]="","",MARÍTIMOS[[#This Row],[Etapa Despacho -  Fin de Carga]]),"")</f>
        <v/>
      </c>
      <c r="AE785" s="11" t="str">
        <f>IFERROR(IF(MARÍTIMOS[[#This Row],[Etapa Despacho -  Salida]]="","",MARÍTIMOS[[#This Row],[Etapa Despacho -  Salida]]),"")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5" t="s">
        <v>181</v>
      </c>
      <c r="BB785" s="53" t="str">
        <f>IFERROR(IF(MARÍTIMOS[[#This Row],[Estatus]]="","",MARÍTIMOS[[#This Row],[Estatus]]),"")</f>
        <v/>
      </c>
      <c r="BC785" s="45"/>
      <c r="BD785" s="52" t="str">
        <f>IFERROR(OLDBD[[#This Row],[Salida de almacén de retiro]]-OLDBD[[#This Row],[Ingreso Almacén de retiro]],"")</f>
        <v/>
      </c>
      <c r="BE785" s="52" t="str">
        <f>IFERROR(OLDBD[[#This Row],[Fin de Carga]]-OLDBD[[#This Row],[Inicio de Carga]],"")</f>
        <v/>
      </c>
    </row>
    <row r="786" spans="1:57" x14ac:dyDescent="0.35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6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Salida]]="","",MARÍTIMOS[[#This Row],[Etapa Retiro - Salida]]),"")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Row],[Hora de Carga]]+MARÍTIMOS[[#This Row],[Hora de Posicionamiento]]),"")</f>
        <v/>
      </c>
      <c r="Z786" s="11" t="str">
        <f>IFERROR(IF(MARÍTIMOS[[#This Row],[Etapa Despacho -  Llegada]]="","",MARÍTIMOS[[#This Row],[Etapa Despacho -  Llegada]]),"")</f>
        <v/>
      </c>
      <c r="AA786" s="11" t="str">
        <f>IFERROR(IF(MARÍTIMOS[[#This Row],[Etapa Despacho -  Registro]]="","",MARÍTIMOS[[#This Row],[Etapa Despacho - 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 Inicio de Carga]]="","",MARÍTIMOS[[#This Row],[Etapa Despacho -  Inicio de Carga]]),"")</f>
        <v/>
      </c>
      <c r="AD786" s="11" t="str">
        <f>IFERROR(IF(MARÍTIMOS[[#This Row],[Etapa Despacho -  Fin de Carga]]="","",MARÍTIMOS[[#This Row],[Etapa Despacho -  Fin de Carga]]),"")</f>
        <v/>
      </c>
      <c r="AE786" s="11" t="str">
        <f>IFERROR(IF(MARÍTIMOS[[#This Row],[Etapa Despacho -  Salida]]="","",MARÍTIMOS[[#This Row],[Etapa Despacho -  Salida]]),"")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5" t="s">
        <v>181</v>
      </c>
      <c r="BB786" s="53" t="str">
        <f>IFERROR(IF(MARÍTIMOS[[#This Row],[Estatus]]="","",MARÍTIMOS[[#This Row],[Estatus]]),"")</f>
        <v/>
      </c>
      <c r="BC786" s="45"/>
      <c r="BD786" s="52" t="str">
        <f>IFERROR(OLDBD[[#This Row],[Salida de almacén de retiro]]-OLDBD[[#This Row],[Ingreso Almacén de retiro]],"")</f>
        <v/>
      </c>
      <c r="BE786" s="52" t="str">
        <f>IFERROR(OLDBD[[#This Row],[Fin de Carga]]-OLDBD[[#This Row],[Inicio de Carga]],"")</f>
        <v/>
      </c>
    </row>
    <row r="787" spans="1:57" x14ac:dyDescent="0.35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6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Salida]]="","",MARÍTIMOS[[#This Row],[Etapa Retiro - Salida]]),"")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Row],[Hora de Carga]]+MARÍTIMOS[[#This Row],[Hora de Posicionamiento]]),"")</f>
        <v/>
      </c>
      <c r="Z787" s="11" t="str">
        <f>IFERROR(IF(MARÍTIMOS[[#This Row],[Etapa Despacho -  Llegada]]="","",MARÍTIMOS[[#This Row],[Etapa Despacho -  Llegada]]),"")</f>
        <v/>
      </c>
      <c r="AA787" s="11" t="str">
        <f>IFERROR(IF(MARÍTIMOS[[#This Row],[Etapa Despacho -  Registro]]="","",MARÍTIMOS[[#This Row],[Etapa Despacho - 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 Inicio de Carga]]="","",MARÍTIMOS[[#This Row],[Etapa Despacho -  Inicio de Carga]]),"")</f>
        <v/>
      </c>
      <c r="AD787" s="11" t="str">
        <f>IFERROR(IF(MARÍTIMOS[[#This Row],[Etapa Despacho -  Fin de Carga]]="","",MARÍTIMOS[[#This Row],[Etapa Despacho -  Fin de Carga]]),"")</f>
        <v/>
      </c>
      <c r="AE787" s="11" t="str">
        <f>IFERROR(IF(MARÍTIMOS[[#This Row],[Etapa Despacho -  Salida]]="","",MARÍTIMOS[[#This Row],[Etapa Despacho -  Salida]]),"")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5" t="s">
        <v>181</v>
      </c>
      <c r="BB787" s="53" t="str">
        <f>IFERROR(IF(MARÍTIMOS[[#This Row],[Estatus]]="","",MARÍTIMOS[[#This Row],[Estatus]]),"")</f>
        <v/>
      </c>
      <c r="BC787" s="45"/>
      <c r="BD787" s="52" t="str">
        <f>IFERROR(OLDBD[[#This Row],[Salida de almacén de retiro]]-OLDBD[[#This Row],[Ingreso Almacén de retiro]],"")</f>
        <v/>
      </c>
      <c r="BE787" s="52" t="str">
        <f>IFERROR(OLDBD[[#This Row],[Fin de Carga]]-OLDBD[[#This Row],[Inicio de Carga]],"")</f>
        <v/>
      </c>
    </row>
    <row r="788" spans="1:57" x14ac:dyDescent="0.35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6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Salida]]="","",MARÍTIMOS[[#This Row],[Etapa Retiro - Salida]]),"")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Row],[Hora de Carga]]+MARÍTIMOS[[#This Row],[Hora de Posicionamiento]]),"")</f>
        <v/>
      </c>
      <c r="Z788" s="11" t="str">
        <f>IFERROR(IF(MARÍTIMOS[[#This Row],[Etapa Despacho -  Llegada]]="","",MARÍTIMOS[[#This Row],[Etapa Despacho -  Llegada]]),"")</f>
        <v/>
      </c>
      <c r="AA788" s="11" t="str">
        <f>IFERROR(IF(MARÍTIMOS[[#This Row],[Etapa Despacho -  Registro]]="","",MARÍTIMOS[[#This Row],[Etapa Despacho - 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 Inicio de Carga]]="","",MARÍTIMOS[[#This Row],[Etapa Despacho -  Inicio de Carga]]),"")</f>
        <v/>
      </c>
      <c r="AD788" s="11" t="str">
        <f>IFERROR(IF(MARÍTIMOS[[#This Row],[Etapa Despacho -  Fin de Carga]]="","",MARÍTIMOS[[#This Row],[Etapa Despacho -  Fin de Carga]]),"")</f>
        <v/>
      </c>
      <c r="AE788" s="11" t="str">
        <f>IFERROR(IF(MARÍTIMOS[[#This Row],[Etapa Despacho -  Salida]]="","",MARÍTIMOS[[#This Row],[Etapa Despacho -  Salida]]),"")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5" t="s">
        <v>181</v>
      </c>
      <c r="BB788" s="53" t="str">
        <f>IFERROR(IF(MARÍTIMOS[[#This Row],[Estatus]]="","",MARÍTIMOS[[#This Row],[Estatus]]),"")</f>
        <v/>
      </c>
      <c r="BC788" s="45"/>
      <c r="BD788" s="52" t="str">
        <f>IFERROR(OLDBD[[#This Row],[Salida de almacén de retiro]]-OLDBD[[#This Row],[Ingreso Almacén de retiro]],"")</f>
        <v/>
      </c>
      <c r="BE788" s="52" t="str">
        <f>IFERROR(OLDBD[[#This Row],[Fin de Carga]]-OLDBD[[#This Row],[Inicio de Carga]],"")</f>
        <v/>
      </c>
    </row>
    <row r="789" spans="1:57" x14ac:dyDescent="0.35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6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Salida]]="","",MARÍTIMOS[[#This Row],[Etapa Retiro - Salida]]),"")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Row],[Hora de Carga]]+MARÍTIMOS[[#This Row],[Hora de Posicionamiento]]),"")</f>
        <v/>
      </c>
      <c r="Z789" s="11" t="str">
        <f>IFERROR(IF(MARÍTIMOS[[#This Row],[Etapa Despacho -  Llegada]]="","",MARÍTIMOS[[#This Row],[Etapa Despacho -  Llegada]]),"")</f>
        <v/>
      </c>
      <c r="AA789" s="11" t="str">
        <f>IFERROR(IF(MARÍTIMOS[[#This Row],[Etapa Despacho -  Registro]]="","",MARÍTIMOS[[#This Row],[Etapa Despacho - 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 Inicio de Carga]]="","",MARÍTIMOS[[#This Row],[Etapa Despacho -  Inicio de Carga]]),"")</f>
        <v/>
      </c>
      <c r="AD789" s="11" t="str">
        <f>IFERROR(IF(MARÍTIMOS[[#This Row],[Etapa Despacho -  Fin de Carga]]="","",MARÍTIMOS[[#This Row],[Etapa Despacho -  Fin de Carga]]),"")</f>
        <v/>
      </c>
      <c r="AE789" s="11" t="str">
        <f>IFERROR(IF(MARÍTIMOS[[#This Row],[Etapa Despacho -  Salida]]="","",MARÍTIMOS[[#This Row],[Etapa Despacho -  Salida]]),"")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5" t="s">
        <v>181</v>
      </c>
      <c r="BB789" s="53" t="str">
        <f>IFERROR(IF(MARÍTIMOS[[#This Row],[Estatus]]="","",MARÍTIMOS[[#This Row],[Estatus]]),"")</f>
        <v/>
      </c>
      <c r="BC789" s="45"/>
      <c r="BD789" s="52" t="str">
        <f>IFERROR(OLDBD[[#This Row],[Salida de almacén de retiro]]-OLDBD[[#This Row],[Ingreso Almacén de retiro]],"")</f>
        <v/>
      </c>
      <c r="BE789" s="52" t="str">
        <f>IFERROR(OLDBD[[#This Row],[Fin de Carga]]-OLDBD[[#This Row],[Inicio de Carga]],"")</f>
        <v/>
      </c>
    </row>
    <row r="790" spans="1:57" x14ac:dyDescent="0.35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6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Salida]]="","",MARÍTIMOS[[#This Row],[Etapa Retiro - Salida]]),"")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Row],[Hora de Carga]]+MARÍTIMOS[[#This Row],[Hora de Posicionamiento]]),"")</f>
        <v/>
      </c>
      <c r="Z790" s="11" t="str">
        <f>IFERROR(IF(MARÍTIMOS[[#This Row],[Etapa Despacho -  Llegada]]="","",MARÍTIMOS[[#This Row],[Etapa Despacho -  Llegada]]),"")</f>
        <v/>
      </c>
      <c r="AA790" s="11" t="str">
        <f>IFERROR(IF(MARÍTIMOS[[#This Row],[Etapa Despacho -  Registro]]="","",MARÍTIMOS[[#This Row],[Etapa Despacho - 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 Inicio de Carga]]="","",MARÍTIMOS[[#This Row],[Etapa Despacho -  Inicio de Carga]]),"")</f>
        <v/>
      </c>
      <c r="AD790" s="11" t="str">
        <f>IFERROR(IF(MARÍTIMOS[[#This Row],[Etapa Despacho -  Fin de Carga]]="","",MARÍTIMOS[[#This Row],[Etapa Despacho -  Fin de Carga]]),"")</f>
        <v/>
      </c>
      <c r="AE790" s="11" t="str">
        <f>IFERROR(IF(MARÍTIMOS[[#This Row],[Etapa Despacho -  Salida]]="","",MARÍTIMOS[[#This Row],[Etapa Despacho -  Salida]]),"")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5" t="s">
        <v>181</v>
      </c>
      <c r="BB790" s="53" t="str">
        <f>IFERROR(IF(MARÍTIMOS[[#This Row],[Estatus]]="","",MARÍTIMOS[[#This Row],[Estatus]]),"")</f>
        <v/>
      </c>
      <c r="BC790" s="45"/>
      <c r="BD790" s="52" t="str">
        <f>IFERROR(OLDBD[[#This Row],[Salida de almacén de retiro]]-OLDBD[[#This Row],[Ingreso Almacén de retiro]],"")</f>
        <v/>
      </c>
      <c r="BE790" s="52" t="str">
        <f>IFERROR(OLDBD[[#This Row],[Fin de Carga]]-OLDBD[[#This Row],[Inicio de Carga]],"")</f>
        <v/>
      </c>
    </row>
    <row r="791" spans="1:57" x14ac:dyDescent="0.35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6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Salida]]="","",MARÍTIMOS[[#This Row],[Etapa Retiro - Salida]]),"")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Row],[Hora de Carga]]+MARÍTIMOS[[#This Row],[Hora de Posicionamiento]]),"")</f>
        <v/>
      </c>
      <c r="Z791" s="11" t="str">
        <f>IFERROR(IF(MARÍTIMOS[[#This Row],[Etapa Despacho -  Llegada]]="","",MARÍTIMOS[[#This Row],[Etapa Despacho -  Llegada]]),"")</f>
        <v/>
      </c>
      <c r="AA791" s="11" t="str">
        <f>IFERROR(IF(MARÍTIMOS[[#This Row],[Etapa Despacho -  Registro]]="","",MARÍTIMOS[[#This Row],[Etapa Despacho - 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 Inicio de Carga]]="","",MARÍTIMOS[[#This Row],[Etapa Despacho -  Inicio de Carga]]),"")</f>
        <v/>
      </c>
      <c r="AD791" s="11" t="str">
        <f>IFERROR(IF(MARÍTIMOS[[#This Row],[Etapa Despacho -  Fin de Carga]]="","",MARÍTIMOS[[#This Row],[Etapa Despacho -  Fin de Carga]]),"")</f>
        <v/>
      </c>
      <c r="AE791" s="11" t="str">
        <f>IFERROR(IF(MARÍTIMOS[[#This Row],[Etapa Despacho -  Salida]]="","",MARÍTIMOS[[#This Row],[Etapa Despacho -  Salida]]),"")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5" t="s">
        <v>181</v>
      </c>
      <c r="BB791" s="53" t="str">
        <f>IFERROR(IF(MARÍTIMOS[[#This Row],[Estatus]]="","",MARÍTIMOS[[#This Row],[Estatus]]),"")</f>
        <v/>
      </c>
      <c r="BC791" s="45"/>
      <c r="BD791" s="52" t="str">
        <f>IFERROR(OLDBD[[#This Row],[Salida de almacén de retiro]]-OLDBD[[#This Row],[Ingreso Almacén de retiro]],"")</f>
        <v/>
      </c>
      <c r="BE791" s="52" t="str">
        <f>IFERROR(OLDBD[[#This Row],[Fin de Carga]]-OLDBD[[#This Row],[Inicio de Carga]],"")</f>
        <v/>
      </c>
    </row>
    <row r="792" spans="1:57" x14ac:dyDescent="0.35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6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Salida]]="","",MARÍTIMOS[[#This Row],[Etapa Retiro - Salida]]),"")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Row],[Hora de Carga]]+MARÍTIMOS[[#This Row],[Hora de Posicionamiento]]),"")</f>
        <v/>
      </c>
      <c r="Z792" s="11" t="str">
        <f>IFERROR(IF(MARÍTIMOS[[#This Row],[Etapa Despacho -  Llegada]]="","",MARÍTIMOS[[#This Row],[Etapa Despacho -  Llegada]]),"")</f>
        <v/>
      </c>
      <c r="AA792" s="11" t="str">
        <f>IFERROR(IF(MARÍTIMOS[[#This Row],[Etapa Despacho -  Registro]]="","",MARÍTIMOS[[#This Row],[Etapa Despacho - 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 Inicio de Carga]]="","",MARÍTIMOS[[#This Row],[Etapa Despacho -  Inicio de Carga]]),"")</f>
        <v/>
      </c>
      <c r="AD792" s="11" t="str">
        <f>IFERROR(IF(MARÍTIMOS[[#This Row],[Etapa Despacho -  Fin de Carga]]="","",MARÍTIMOS[[#This Row],[Etapa Despacho -  Fin de Carga]]),"")</f>
        <v/>
      </c>
      <c r="AE792" s="11" t="str">
        <f>IFERROR(IF(MARÍTIMOS[[#This Row],[Etapa Despacho -  Salida]]="","",MARÍTIMOS[[#This Row],[Etapa Despacho -  Salida]]),"")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5" t="s">
        <v>181</v>
      </c>
      <c r="BB792" s="53" t="str">
        <f>IFERROR(IF(MARÍTIMOS[[#This Row],[Estatus]]="","",MARÍTIMOS[[#This Row],[Estatus]]),"")</f>
        <v/>
      </c>
      <c r="BC792" s="45"/>
      <c r="BD792" s="52" t="str">
        <f>IFERROR(OLDBD[[#This Row],[Salida de almacén de retiro]]-OLDBD[[#This Row],[Ingreso Almacén de retiro]],"")</f>
        <v/>
      </c>
      <c r="BE792" s="52" t="str">
        <f>IFERROR(OLDBD[[#This Row],[Fin de Carga]]-OLDBD[[#This Row],[Inicio de Carga]],"")</f>
        <v/>
      </c>
    </row>
    <row r="793" spans="1:57" x14ac:dyDescent="0.35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6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Salida]]="","",MARÍTIMOS[[#This Row],[Etapa Retiro - Salida]]),"")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Row],[Hora de Carga]]+MARÍTIMOS[[#This Row],[Hora de Posicionamiento]]),"")</f>
        <v/>
      </c>
      <c r="Z793" s="11" t="str">
        <f>IFERROR(IF(MARÍTIMOS[[#This Row],[Etapa Despacho -  Llegada]]="","",MARÍTIMOS[[#This Row],[Etapa Despacho -  Llegada]]),"")</f>
        <v/>
      </c>
      <c r="AA793" s="11" t="str">
        <f>IFERROR(IF(MARÍTIMOS[[#This Row],[Etapa Despacho -  Registro]]="","",MARÍTIMOS[[#This Row],[Etapa Despacho - 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 Inicio de Carga]]="","",MARÍTIMOS[[#This Row],[Etapa Despacho -  Inicio de Carga]]),"")</f>
        <v/>
      </c>
      <c r="AD793" s="11" t="str">
        <f>IFERROR(IF(MARÍTIMOS[[#This Row],[Etapa Despacho -  Fin de Carga]]="","",MARÍTIMOS[[#This Row],[Etapa Despacho -  Fin de Carga]]),"")</f>
        <v/>
      </c>
      <c r="AE793" s="11" t="str">
        <f>IFERROR(IF(MARÍTIMOS[[#This Row],[Etapa Despacho -  Salida]]="","",MARÍTIMOS[[#This Row],[Etapa Despacho -  Salida]]),"")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5" t="s">
        <v>181</v>
      </c>
      <c r="BB793" s="53" t="str">
        <f>IFERROR(IF(MARÍTIMOS[[#This Row],[Estatus]]="","",MARÍTIMOS[[#This Row],[Estatus]]),"")</f>
        <v/>
      </c>
      <c r="BC793" s="45"/>
      <c r="BD793" s="52" t="str">
        <f>IFERROR(OLDBD[[#This Row],[Salida de almacén de retiro]]-OLDBD[[#This Row],[Ingreso Almacén de retiro]],"")</f>
        <v/>
      </c>
      <c r="BE793" s="52" t="str">
        <f>IFERROR(OLDBD[[#This Row],[Fin de Carga]]-OLDBD[[#This Row],[Inicio de Carga]],"")</f>
        <v/>
      </c>
    </row>
    <row r="794" spans="1:57" x14ac:dyDescent="0.35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6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Salida]]="","",MARÍTIMOS[[#This Row],[Etapa Retiro - Salida]]),"")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Row],[Hora de Carga]]+MARÍTIMOS[[#This Row],[Hora de Posicionamiento]]),"")</f>
        <v/>
      </c>
      <c r="Z794" s="11" t="str">
        <f>IFERROR(IF(MARÍTIMOS[[#This Row],[Etapa Despacho -  Llegada]]="","",MARÍTIMOS[[#This Row],[Etapa Despacho -  Llegada]]),"")</f>
        <v/>
      </c>
      <c r="AA794" s="11" t="str">
        <f>IFERROR(IF(MARÍTIMOS[[#This Row],[Etapa Despacho -  Registro]]="","",MARÍTIMOS[[#This Row],[Etapa Despacho - 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 Inicio de Carga]]="","",MARÍTIMOS[[#This Row],[Etapa Despacho -  Inicio de Carga]]),"")</f>
        <v/>
      </c>
      <c r="AD794" s="11" t="str">
        <f>IFERROR(IF(MARÍTIMOS[[#This Row],[Etapa Despacho -  Fin de Carga]]="","",MARÍTIMOS[[#This Row],[Etapa Despacho -  Fin de Carga]]),"")</f>
        <v/>
      </c>
      <c r="AE794" s="11" t="str">
        <f>IFERROR(IF(MARÍTIMOS[[#This Row],[Etapa Despacho -  Salida]]="","",MARÍTIMOS[[#This Row],[Etapa Despacho -  Salida]]),"")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5" t="s">
        <v>181</v>
      </c>
      <c r="BB794" s="53" t="str">
        <f>IFERROR(IF(MARÍTIMOS[[#This Row],[Estatus]]="","",MARÍTIMOS[[#This Row],[Estatus]]),"")</f>
        <v/>
      </c>
      <c r="BC794" s="45"/>
      <c r="BD794" s="52" t="str">
        <f>IFERROR(OLDBD[[#This Row],[Salida de almacén de retiro]]-OLDBD[[#This Row],[Ingreso Almacén de retiro]],"")</f>
        <v/>
      </c>
      <c r="BE794" s="52" t="str">
        <f>IFERROR(OLDBD[[#This Row],[Fin de Carga]]-OLDBD[[#This Row],[Inicio de Carga]],"")</f>
        <v/>
      </c>
    </row>
    <row r="795" spans="1:57" x14ac:dyDescent="0.35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6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Salida]]="","",MARÍTIMOS[[#This Row],[Etapa Retiro - Salida]]),"")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Row],[Hora de Carga]]+MARÍTIMOS[[#This Row],[Hora de Posicionamiento]]),"")</f>
        <v/>
      </c>
      <c r="Z795" s="11" t="str">
        <f>IFERROR(IF(MARÍTIMOS[[#This Row],[Etapa Despacho -  Llegada]]="","",MARÍTIMOS[[#This Row],[Etapa Despacho -  Llegada]]),"")</f>
        <v/>
      </c>
      <c r="AA795" s="11" t="str">
        <f>IFERROR(IF(MARÍTIMOS[[#This Row],[Etapa Despacho -  Registro]]="","",MARÍTIMOS[[#This Row],[Etapa Despacho - 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 Inicio de Carga]]="","",MARÍTIMOS[[#This Row],[Etapa Despacho -  Inicio de Carga]]),"")</f>
        <v/>
      </c>
      <c r="AD795" s="11" t="str">
        <f>IFERROR(IF(MARÍTIMOS[[#This Row],[Etapa Despacho -  Fin de Carga]]="","",MARÍTIMOS[[#This Row],[Etapa Despacho -  Fin de Carga]]),"")</f>
        <v/>
      </c>
      <c r="AE795" s="11" t="str">
        <f>IFERROR(IF(MARÍTIMOS[[#This Row],[Etapa Despacho -  Salida]]="","",MARÍTIMOS[[#This Row],[Etapa Despacho -  Salida]]),"")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5" t="s">
        <v>181</v>
      </c>
      <c r="BB795" s="53" t="str">
        <f>IFERROR(IF(MARÍTIMOS[[#This Row],[Estatus]]="","",MARÍTIMOS[[#This Row],[Estatus]]),"")</f>
        <v/>
      </c>
      <c r="BC795" s="45"/>
      <c r="BD795" s="52" t="str">
        <f>IFERROR(OLDBD[[#This Row],[Salida de almacén de retiro]]-OLDBD[[#This Row],[Ingreso Almacén de retiro]],"")</f>
        <v/>
      </c>
      <c r="BE795" s="52" t="str">
        <f>IFERROR(OLDBD[[#This Row],[Fin de Carga]]-OLDBD[[#This Row],[Inicio de Carga]],"")</f>
        <v/>
      </c>
    </row>
    <row r="796" spans="1:57" x14ac:dyDescent="0.35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6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Salida]]="","",MARÍTIMOS[[#This Row],[Etapa Retiro - Salida]]),"")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Row],[Hora de Carga]]+MARÍTIMOS[[#This Row],[Hora de Posicionamiento]]),"")</f>
        <v/>
      </c>
      <c r="Z796" s="11" t="str">
        <f>IFERROR(IF(MARÍTIMOS[[#This Row],[Etapa Despacho -  Llegada]]="","",MARÍTIMOS[[#This Row],[Etapa Despacho -  Llegada]]),"")</f>
        <v/>
      </c>
      <c r="AA796" s="11" t="str">
        <f>IFERROR(IF(MARÍTIMOS[[#This Row],[Etapa Despacho -  Registro]]="","",MARÍTIMOS[[#This Row],[Etapa Despacho - 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 Inicio de Carga]]="","",MARÍTIMOS[[#This Row],[Etapa Despacho -  Inicio de Carga]]),"")</f>
        <v/>
      </c>
      <c r="AD796" s="11" t="str">
        <f>IFERROR(IF(MARÍTIMOS[[#This Row],[Etapa Despacho -  Fin de Carga]]="","",MARÍTIMOS[[#This Row],[Etapa Despacho -  Fin de Carga]]),"")</f>
        <v/>
      </c>
      <c r="AE796" s="11" t="str">
        <f>IFERROR(IF(MARÍTIMOS[[#This Row],[Etapa Despacho -  Salida]]="","",MARÍTIMOS[[#This Row],[Etapa Despacho -  Salida]]),"")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5" t="s">
        <v>181</v>
      </c>
      <c r="BB796" s="53" t="str">
        <f>IFERROR(IF(MARÍTIMOS[[#This Row],[Estatus]]="","",MARÍTIMOS[[#This Row],[Estatus]]),"")</f>
        <v/>
      </c>
      <c r="BC796" s="45"/>
      <c r="BD796" s="52" t="str">
        <f>IFERROR(OLDBD[[#This Row],[Salida de almacén de retiro]]-OLDBD[[#This Row],[Ingreso Almacén de retiro]],"")</f>
        <v/>
      </c>
      <c r="BE796" s="52" t="str">
        <f>IFERROR(OLDBD[[#This Row],[Fin de Carga]]-OLDBD[[#This Row],[Inicio de Carga]],"")</f>
        <v/>
      </c>
    </row>
    <row r="797" spans="1:57" x14ac:dyDescent="0.35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6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Salida]]="","",MARÍTIMOS[[#This Row],[Etapa Retiro - Salida]]),"")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Row],[Hora de Carga]]+MARÍTIMOS[[#This Row],[Hora de Posicionamiento]]),"")</f>
        <v/>
      </c>
      <c r="Z797" s="11" t="str">
        <f>IFERROR(IF(MARÍTIMOS[[#This Row],[Etapa Despacho -  Llegada]]="","",MARÍTIMOS[[#This Row],[Etapa Despacho -  Llegada]]),"")</f>
        <v/>
      </c>
      <c r="AA797" s="11" t="str">
        <f>IFERROR(IF(MARÍTIMOS[[#This Row],[Etapa Despacho -  Registro]]="","",MARÍTIMOS[[#This Row],[Etapa Despacho - 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 Inicio de Carga]]="","",MARÍTIMOS[[#This Row],[Etapa Despacho -  Inicio de Carga]]),"")</f>
        <v/>
      </c>
      <c r="AD797" s="11" t="str">
        <f>IFERROR(IF(MARÍTIMOS[[#This Row],[Etapa Despacho -  Fin de Carga]]="","",MARÍTIMOS[[#This Row],[Etapa Despacho -  Fin de Carga]]),"")</f>
        <v/>
      </c>
      <c r="AE797" s="11" t="str">
        <f>IFERROR(IF(MARÍTIMOS[[#This Row],[Etapa Despacho -  Salida]]="","",MARÍTIMOS[[#This Row],[Etapa Despacho -  Salida]]),"")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5" t="s">
        <v>181</v>
      </c>
      <c r="BB797" s="53" t="str">
        <f>IFERROR(IF(MARÍTIMOS[[#This Row],[Estatus]]="","",MARÍTIMOS[[#This Row],[Estatus]]),"")</f>
        <v/>
      </c>
      <c r="BC797" s="45"/>
      <c r="BD797" s="52" t="str">
        <f>IFERROR(OLDBD[[#This Row],[Salida de almacén de retiro]]-OLDBD[[#This Row],[Ingreso Almacén de retiro]],"")</f>
        <v/>
      </c>
      <c r="BE797" s="52" t="str">
        <f>IFERROR(OLDBD[[#This Row],[Fin de Carga]]-OLDBD[[#This Row],[Inicio de Carga]],"")</f>
        <v/>
      </c>
    </row>
    <row r="798" spans="1:57" x14ac:dyDescent="0.35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6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Salida]]="","",MARÍTIMOS[[#This Row],[Etapa Retiro - Salida]]),"")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Row],[Hora de Carga]]+MARÍTIMOS[[#This Row],[Hora de Posicionamiento]]),"")</f>
        <v/>
      </c>
      <c r="Z798" s="11" t="str">
        <f>IFERROR(IF(MARÍTIMOS[[#This Row],[Etapa Despacho -  Llegada]]="","",MARÍTIMOS[[#This Row],[Etapa Despacho -  Llegada]]),"")</f>
        <v/>
      </c>
      <c r="AA798" s="11" t="str">
        <f>IFERROR(IF(MARÍTIMOS[[#This Row],[Etapa Despacho -  Registro]]="","",MARÍTIMOS[[#This Row],[Etapa Despacho - 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 Inicio de Carga]]="","",MARÍTIMOS[[#This Row],[Etapa Despacho -  Inicio de Carga]]),"")</f>
        <v/>
      </c>
      <c r="AD798" s="11" t="str">
        <f>IFERROR(IF(MARÍTIMOS[[#This Row],[Etapa Despacho -  Fin de Carga]]="","",MARÍTIMOS[[#This Row],[Etapa Despacho -  Fin de Carga]]),"")</f>
        <v/>
      </c>
      <c r="AE798" s="11" t="str">
        <f>IFERROR(IF(MARÍTIMOS[[#This Row],[Etapa Despacho -  Salida]]="","",MARÍTIMOS[[#This Row],[Etapa Despacho -  Salida]]),"")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5" t="s">
        <v>181</v>
      </c>
      <c r="BB798" s="53" t="str">
        <f>IFERROR(IF(MARÍTIMOS[[#This Row],[Estatus]]="","",MARÍTIMOS[[#This Row],[Estatus]]),"")</f>
        <v/>
      </c>
      <c r="BC798" s="45"/>
      <c r="BD798" s="52" t="str">
        <f>IFERROR(OLDBD[[#This Row],[Salida de almacén de retiro]]-OLDBD[[#This Row],[Ingreso Almacén de retiro]],"")</f>
        <v/>
      </c>
      <c r="BE798" s="52" t="str">
        <f>IFERROR(OLDBD[[#This Row],[Fin de Carga]]-OLDBD[[#This Row],[Inicio de Carga]],"")</f>
        <v/>
      </c>
    </row>
    <row r="799" spans="1:57" x14ac:dyDescent="0.35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6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Salida]]="","",MARÍTIMOS[[#This Row],[Etapa Retiro - Salida]]),"")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Row],[Hora de Carga]]+MARÍTIMOS[[#This Row],[Hora de Posicionamiento]]),"")</f>
        <v/>
      </c>
      <c r="Z799" s="11" t="str">
        <f>IFERROR(IF(MARÍTIMOS[[#This Row],[Etapa Despacho -  Llegada]]="","",MARÍTIMOS[[#This Row],[Etapa Despacho -  Llegada]]),"")</f>
        <v/>
      </c>
      <c r="AA799" s="11" t="str">
        <f>IFERROR(IF(MARÍTIMOS[[#This Row],[Etapa Despacho -  Registro]]="","",MARÍTIMOS[[#This Row],[Etapa Despacho - 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 Inicio de Carga]]="","",MARÍTIMOS[[#This Row],[Etapa Despacho -  Inicio de Carga]]),"")</f>
        <v/>
      </c>
      <c r="AD799" s="11" t="str">
        <f>IFERROR(IF(MARÍTIMOS[[#This Row],[Etapa Despacho -  Fin de Carga]]="","",MARÍTIMOS[[#This Row],[Etapa Despacho -  Fin de Carga]]),"")</f>
        <v/>
      </c>
      <c r="AE799" s="11" t="str">
        <f>IFERROR(IF(MARÍTIMOS[[#This Row],[Etapa Despacho -  Salida]]="","",MARÍTIMOS[[#This Row],[Etapa Despacho -  Salida]]),"")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5" t="s">
        <v>181</v>
      </c>
      <c r="BB799" s="53" t="str">
        <f>IFERROR(IF(MARÍTIMOS[[#This Row],[Estatus]]="","",MARÍTIMOS[[#This Row],[Estatus]]),"")</f>
        <v/>
      </c>
      <c r="BC799" s="45"/>
      <c r="BD799" s="52" t="str">
        <f>IFERROR(OLDBD[[#This Row],[Salida de almacén de retiro]]-OLDBD[[#This Row],[Ingreso Almacén de retiro]],"")</f>
        <v/>
      </c>
      <c r="BE799" s="52" t="str">
        <f>IFERROR(OLDBD[[#This Row],[Fin de Carga]]-OLDBD[[#This Row],[Inicio de Carga]],"")</f>
        <v/>
      </c>
    </row>
    <row r="800" spans="1:57" x14ac:dyDescent="0.35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6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Salida]]="","",MARÍTIMOS[[#This Row],[Etapa Retiro - Salida]]),"")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Row],[Hora de Carga]]+MARÍTIMOS[[#This Row],[Hora de Posicionamiento]]),"")</f>
        <v/>
      </c>
      <c r="Z800" s="11" t="str">
        <f>IFERROR(IF(MARÍTIMOS[[#This Row],[Etapa Despacho -  Llegada]]="","",MARÍTIMOS[[#This Row],[Etapa Despacho -  Llegada]]),"")</f>
        <v/>
      </c>
      <c r="AA800" s="11" t="str">
        <f>IFERROR(IF(MARÍTIMOS[[#This Row],[Etapa Despacho -  Registro]]="","",MARÍTIMOS[[#This Row],[Etapa Despacho - 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 Inicio de Carga]]="","",MARÍTIMOS[[#This Row],[Etapa Despacho -  Inicio de Carga]]),"")</f>
        <v/>
      </c>
      <c r="AD800" s="11" t="str">
        <f>IFERROR(IF(MARÍTIMOS[[#This Row],[Etapa Despacho -  Fin de Carga]]="","",MARÍTIMOS[[#This Row],[Etapa Despacho -  Fin de Carga]]),"")</f>
        <v/>
      </c>
      <c r="AE800" s="11" t="str">
        <f>IFERROR(IF(MARÍTIMOS[[#This Row],[Etapa Despacho -  Salida]]="","",MARÍTIMOS[[#This Row],[Etapa Despacho -  Salida]]),"")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5" t="s">
        <v>181</v>
      </c>
      <c r="BB800" s="53" t="str">
        <f>IFERROR(IF(MARÍTIMOS[[#This Row],[Estatus]]="","",MARÍTIMOS[[#This Row],[Estatus]]),"")</f>
        <v/>
      </c>
      <c r="BC800" s="45"/>
      <c r="BD800" s="52" t="str">
        <f>IFERROR(OLDBD[[#This Row],[Salida de almacén de retiro]]-OLDBD[[#This Row],[Ingreso Almacén de retiro]],"")</f>
        <v/>
      </c>
      <c r="BE800" s="52" t="str">
        <f>IFERROR(OLDBD[[#This Row],[Fin de Carga]]-OLDBD[[#This Row],[Inicio de Carga]],"")</f>
        <v/>
      </c>
    </row>
    <row r="801" spans="1:57" x14ac:dyDescent="0.35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6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Salida]]="","",MARÍTIMOS[[#This Row],[Etapa Retiro - Salida]]),"")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Row],[Hora de Carga]]+MARÍTIMOS[[#This Row],[Hora de Posicionamiento]]),"")</f>
        <v/>
      </c>
      <c r="Z801" s="11" t="str">
        <f>IFERROR(IF(MARÍTIMOS[[#This Row],[Etapa Despacho -  Llegada]]="","",MARÍTIMOS[[#This Row],[Etapa Despacho -  Llegada]]),"")</f>
        <v/>
      </c>
      <c r="AA801" s="11" t="str">
        <f>IFERROR(IF(MARÍTIMOS[[#This Row],[Etapa Despacho -  Registro]]="","",MARÍTIMOS[[#This Row],[Etapa Despacho - 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 Inicio de Carga]]="","",MARÍTIMOS[[#This Row],[Etapa Despacho -  Inicio de Carga]]),"")</f>
        <v/>
      </c>
      <c r="AD801" s="11" t="str">
        <f>IFERROR(IF(MARÍTIMOS[[#This Row],[Etapa Despacho -  Fin de Carga]]="","",MARÍTIMOS[[#This Row],[Etapa Despacho -  Fin de Carga]]),"")</f>
        <v/>
      </c>
      <c r="AE801" s="11" t="str">
        <f>IFERROR(IF(MARÍTIMOS[[#This Row],[Etapa Despacho -  Salida]]="","",MARÍTIMOS[[#This Row],[Etapa Despacho -  Salida]]),"")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5" t="s">
        <v>181</v>
      </c>
      <c r="BB801" s="53" t="str">
        <f>IFERROR(IF(MARÍTIMOS[[#This Row],[Estatus]]="","",MARÍTIMOS[[#This Row],[Estatus]]),"")</f>
        <v/>
      </c>
      <c r="BC801" s="45"/>
      <c r="BD801" s="52" t="str">
        <f>IFERROR(OLDBD[[#This Row],[Salida de almacén de retiro]]-OLDBD[[#This Row],[Ingreso Almacén de retiro]],"")</f>
        <v/>
      </c>
      <c r="BE801" s="52" t="str">
        <f>IFERROR(OLDBD[[#This Row],[Fin de Carga]]-OLDBD[[#This Row],[Inicio de Carga]],"")</f>
        <v/>
      </c>
    </row>
    <row r="802" spans="1:57" x14ac:dyDescent="0.35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6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Salida]]="","",MARÍTIMOS[[#This Row],[Etapa Retiro - Salida]]),"")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Row],[Hora de Carga]]+MARÍTIMOS[[#This Row],[Hora de Posicionamiento]]),"")</f>
        <v/>
      </c>
      <c r="Z802" s="11" t="str">
        <f>IFERROR(IF(MARÍTIMOS[[#This Row],[Etapa Despacho -  Llegada]]="","",MARÍTIMOS[[#This Row],[Etapa Despacho -  Llegada]]),"")</f>
        <v/>
      </c>
      <c r="AA802" s="11" t="str">
        <f>IFERROR(IF(MARÍTIMOS[[#This Row],[Etapa Despacho -  Registro]]="","",MARÍTIMOS[[#This Row],[Etapa Despacho - 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 Inicio de Carga]]="","",MARÍTIMOS[[#This Row],[Etapa Despacho -  Inicio de Carga]]),"")</f>
        <v/>
      </c>
      <c r="AD802" s="11" t="str">
        <f>IFERROR(IF(MARÍTIMOS[[#This Row],[Etapa Despacho -  Fin de Carga]]="","",MARÍTIMOS[[#This Row],[Etapa Despacho -  Fin de Carga]]),"")</f>
        <v/>
      </c>
      <c r="AE802" s="11" t="str">
        <f>IFERROR(IF(MARÍTIMOS[[#This Row],[Etapa Despacho -  Salida]]="","",MARÍTIMOS[[#This Row],[Etapa Despacho -  Salida]]),"")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5" t="s">
        <v>181</v>
      </c>
      <c r="BB802" s="53" t="str">
        <f>IFERROR(IF(MARÍTIMOS[[#This Row],[Estatus]]="","",MARÍTIMOS[[#This Row],[Estatus]]),"")</f>
        <v/>
      </c>
      <c r="BC802" s="45"/>
      <c r="BD802" s="52" t="str">
        <f>IFERROR(OLDBD[[#This Row],[Salida de almacén de retiro]]-OLDBD[[#This Row],[Ingreso Almacén de retiro]],"")</f>
        <v/>
      </c>
      <c r="BE802" s="52" t="str">
        <f>IFERROR(OLDBD[[#This Row],[Fin de Carga]]-OLDBD[[#This Row],[Inicio de Carga]],"")</f>
        <v/>
      </c>
    </row>
    <row r="803" spans="1:57" x14ac:dyDescent="0.35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6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Salida]]="","",MARÍTIMOS[[#This Row],[Etapa Retiro - Salida]]),"")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Row],[Hora de Carga]]+MARÍTIMOS[[#This Row],[Hora de Posicionamiento]]),"")</f>
        <v/>
      </c>
      <c r="Z803" s="11" t="str">
        <f>IFERROR(IF(MARÍTIMOS[[#This Row],[Etapa Despacho -  Llegada]]="","",MARÍTIMOS[[#This Row],[Etapa Despacho -  Llegada]]),"")</f>
        <v/>
      </c>
      <c r="AA803" s="11" t="str">
        <f>IFERROR(IF(MARÍTIMOS[[#This Row],[Etapa Despacho -  Registro]]="","",MARÍTIMOS[[#This Row],[Etapa Despacho - 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 Inicio de Carga]]="","",MARÍTIMOS[[#This Row],[Etapa Despacho -  Inicio de Carga]]),"")</f>
        <v/>
      </c>
      <c r="AD803" s="11" t="str">
        <f>IFERROR(IF(MARÍTIMOS[[#This Row],[Etapa Despacho -  Fin de Carga]]="","",MARÍTIMOS[[#This Row],[Etapa Despacho -  Fin de Carga]]),"")</f>
        <v/>
      </c>
      <c r="AE803" s="11" t="str">
        <f>IFERROR(IF(MARÍTIMOS[[#This Row],[Etapa Despacho -  Salida]]="","",MARÍTIMOS[[#This Row],[Etapa Despacho -  Salida]]),"")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5" t="s">
        <v>181</v>
      </c>
      <c r="BB803" s="53" t="str">
        <f>IFERROR(IF(MARÍTIMOS[[#This Row],[Estatus]]="","",MARÍTIMOS[[#This Row],[Estatus]]),"")</f>
        <v/>
      </c>
      <c r="BC803" s="45"/>
      <c r="BD803" s="52" t="str">
        <f>IFERROR(OLDBD[[#This Row],[Salida de almacén de retiro]]-OLDBD[[#This Row],[Ingreso Almacén de retiro]],"")</f>
        <v/>
      </c>
      <c r="BE803" s="52" t="str">
        <f>IFERROR(OLDBD[[#This Row],[Fin de Carga]]-OLDBD[[#This Row],[Inicio de Carga]],"")</f>
        <v/>
      </c>
    </row>
    <row r="804" spans="1:57" x14ac:dyDescent="0.35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6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Salida]]="","",MARÍTIMOS[[#This Row],[Etapa Retiro - Salida]]),"")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Row],[Hora de Carga]]+MARÍTIMOS[[#This Row],[Hora de Posicionamiento]]),"")</f>
        <v/>
      </c>
      <c r="Z804" s="11" t="str">
        <f>IFERROR(IF(MARÍTIMOS[[#This Row],[Etapa Despacho -  Llegada]]="","",MARÍTIMOS[[#This Row],[Etapa Despacho -  Llegada]]),"")</f>
        <v/>
      </c>
      <c r="AA804" s="11" t="str">
        <f>IFERROR(IF(MARÍTIMOS[[#This Row],[Etapa Despacho -  Registro]]="","",MARÍTIMOS[[#This Row],[Etapa Despacho - 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 Inicio de Carga]]="","",MARÍTIMOS[[#This Row],[Etapa Despacho -  Inicio de Carga]]),"")</f>
        <v/>
      </c>
      <c r="AD804" s="11" t="str">
        <f>IFERROR(IF(MARÍTIMOS[[#This Row],[Etapa Despacho -  Fin de Carga]]="","",MARÍTIMOS[[#This Row],[Etapa Despacho -  Fin de Carga]]),"")</f>
        <v/>
      </c>
      <c r="AE804" s="11" t="str">
        <f>IFERROR(IF(MARÍTIMOS[[#This Row],[Etapa Despacho -  Salida]]="","",MARÍTIMOS[[#This Row],[Etapa Despacho -  Salida]]),"")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5" t="s">
        <v>181</v>
      </c>
      <c r="BB804" s="53" t="str">
        <f>IFERROR(IF(MARÍTIMOS[[#This Row],[Estatus]]="","",MARÍTIMOS[[#This Row],[Estatus]]),"")</f>
        <v/>
      </c>
      <c r="BC804" s="45"/>
      <c r="BD804" s="52" t="str">
        <f>IFERROR(OLDBD[[#This Row],[Salida de almacén de retiro]]-OLDBD[[#This Row],[Ingreso Almacén de retiro]],"")</f>
        <v/>
      </c>
      <c r="BE804" s="52" t="str">
        <f>IFERROR(OLDBD[[#This Row],[Fin de Carga]]-OLDBD[[#This Row],[Inicio de Carga]],"")</f>
        <v/>
      </c>
    </row>
    <row r="805" spans="1:57" x14ac:dyDescent="0.35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6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Salida]]="","",MARÍTIMOS[[#This Row],[Etapa Retiro - Salida]]),"")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Row],[Hora de Carga]]+MARÍTIMOS[[#This Row],[Hora de Posicionamiento]]),"")</f>
        <v/>
      </c>
      <c r="Z805" s="11" t="str">
        <f>IFERROR(IF(MARÍTIMOS[[#This Row],[Etapa Despacho -  Llegada]]="","",MARÍTIMOS[[#This Row],[Etapa Despacho -  Llegada]]),"")</f>
        <v/>
      </c>
      <c r="AA805" s="11" t="str">
        <f>IFERROR(IF(MARÍTIMOS[[#This Row],[Etapa Despacho -  Registro]]="","",MARÍTIMOS[[#This Row],[Etapa Despacho - 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 Inicio de Carga]]="","",MARÍTIMOS[[#This Row],[Etapa Despacho -  Inicio de Carga]]),"")</f>
        <v/>
      </c>
      <c r="AD805" s="11" t="str">
        <f>IFERROR(IF(MARÍTIMOS[[#This Row],[Etapa Despacho -  Fin de Carga]]="","",MARÍTIMOS[[#This Row],[Etapa Despacho -  Fin de Carga]]),"")</f>
        <v/>
      </c>
      <c r="AE805" s="11" t="str">
        <f>IFERROR(IF(MARÍTIMOS[[#This Row],[Etapa Despacho -  Salida]]="","",MARÍTIMOS[[#This Row],[Etapa Despacho -  Salida]]),"")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5" t="s">
        <v>181</v>
      </c>
      <c r="BB805" s="53" t="str">
        <f>IFERROR(IF(MARÍTIMOS[[#This Row],[Estatus]]="","",MARÍTIMOS[[#This Row],[Estatus]]),"")</f>
        <v/>
      </c>
      <c r="BC805" s="45"/>
      <c r="BD805" s="52" t="str">
        <f>IFERROR(OLDBD[[#This Row],[Salida de almacén de retiro]]-OLDBD[[#This Row],[Ingreso Almacén de retiro]],"")</f>
        <v/>
      </c>
      <c r="BE805" s="52" t="str">
        <f>IFERROR(OLDBD[[#This Row],[Fin de Carga]]-OLDBD[[#This Row],[Inicio de Carga]],"")</f>
        <v/>
      </c>
    </row>
    <row r="806" spans="1:57" x14ac:dyDescent="0.35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6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Salida]]="","",MARÍTIMOS[[#This Row],[Etapa Retiro - Salida]]),"")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Row],[Hora de Carga]]+MARÍTIMOS[[#This Row],[Hora de Posicionamiento]]),"")</f>
        <v/>
      </c>
      <c r="Z806" s="11" t="str">
        <f>IFERROR(IF(MARÍTIMOS[[#This Row],[Etapa Despacho -  Llegada]]="","",MARÍTIMOS[[#This Row],[Etapa Despacho -  Llegada]]),"")</f>
        <v/>
      </c>
      <c r="AA806" s="11" t="str">
        <f>IFERROR(IF(MARÍTIMOS[[#This Row],[Etapa Despacho -  Registro]]="","",MARÍTIMOS[[#This Row],[Etapa Despacho - 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 Inicio de Carga]]="","",MARÍTIMOS[[#This Row],[Etapa Despacho -  Inicio de Carga]]),"")</f>
        <v/>
      </c>
      <c r="AD806" s="11" t="str">
        <f>IFERROR(IF(MARÍTIMOS[[#This Row],[Etapa Despacho -  Fin de Carga]]="","",MARÍTIMOS[[#This Row],[Etapa Despacho -  Fin de Carga]]),"")</f>
        <v/>
      </c>
      <c r="AE806" s="11" t="str">
        <f>IFERROR(IF(MARÍTIMOS[[#This Row],[Etapa Despacho -  Salida]]="","",MARÍTIMOS[[#This Row],[Etapa Despacho -  Salida]]),"")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5" t="s">
        <v>181</v>
      </c>
      <c r="BB806" s="53" t="str">
        <f>IFERROR(IF(MARÍTIMOS[[#This Row],[Estatus]]="","",MARÍTIMOS[[#This Row],[Estatus]]),"")</f>
        <v/>
      </c>
      <c r="BC806" s="45"/>
      <c r="BD806" s="52" t="str">
        <f>IFERROR(OLDBD[[#This Row],[Salida de almacén de retiro]]-OLDBD[[#This Row],[Ingreso Almacén de retiro]],"")</f>
        <v/>
      </c>
      <c r="BE806" s="52" t="str">
        <f>IFERROR(OLDBD[[#This Row],[Fin de Carga]]-OLDBD[[#This Row],[Inicio de Carga]],"")</f>
        <v/>
      </c>
    </row>
    <row r="807" spans="1:57" x14ac:dyDescent="0.35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6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Salida]]="","",MARÍTIMOS[[#This Row],[Etapa Retiro - Salida]]),"")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Row],[Hora de Carga]]+MARÍTIMOS[[#This Row],[Hora de Posicionamiento]]),"")</f>
        <v/>
      </c>
      <c r="Z807" s="11" t="str">
        <f>IFERROR(IF(MARÍTIMOS[[#This Row],[Etapa Despacho -  Llegada]]="","",MARÍTIMOS[[#This Row],[Etapa Despacho -  Llegada]]),"")</f>
        <v/>
      </c>
      <c r="AA807" s="11" t="str">
        <f>IFERROR(IF(MARÍTIMOS[[#This Row],[Etapa Despacho -  Registro]]="","",MARÍTIMOS[[#This Row],[Etapa Despacho - 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 Inicio de Carga]]="","",MARÍTIMOS[[#This Row],[Etapa Despacho -  Inicio de Carga]]),"")</f>
        <v/>
      </c>
      <c r="AD807" s="11" t="str">
        <f>IFERROR(IF(MARÍTIMOS[[#This Row],[Etapa Despacho -  Fin de Carga]]="","",MARÍTIMOS[[#This Row],[Etapa Despacho -  Fin de Carga]]),"")</f>
        <v/>
      </c>
      <c r="AE807" s="11" t="str">
        <f>IFERROR(IF(MARÍTIMOS[[#This Row],[Etapa Despacho -  Salida]]="","",MARÍTIMOS[[#This Row],[Etapa Despacho -  Salida]]),"")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5" t="s">
        <v>181</v>
      </c>
      <c r="BB807" s="53" t="str">
        <f>IFERROR(IF(MARÍTIMOS[[#This Row],[Estatus]]="","",MARÍTIMOS[[#This Row],[Estatus]]),"")</f>
        <v/>
      </c>
      <c r="BC807" s="45"/>
      <c r="BD807" s="52" t="str">
        <f>IFERROR(OLDBD[[#This Row],[Salida de almacén de retiro]]-OLDBD[[#This Row],[Ingreso Almacén de retiro]],"")</f>
        <v/>
      </c>
      <c r="BE807" s="52" t="str">
        <f>IFERROR(OLDBD[[#This Row],[Fin de Carga]]-OLDBD[[#This Row],[Inicio de Carga]],"")</f>
        <v/>
      </c>
    </row>
    <row r="808" spans="1:57" x14ac:dyDescent="0.35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6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Salida]]="","",MARÍTIMOS[[#This Row],[Etapa Retiro - Salida]]),"")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Row],[Hora de Carga]]+MARÍTIMOS[[#This Row],[Hora de Posicionamiento]]),"")</f>
        <v/>
      </c>
      <c r="Z808" s="11" t="str">
        <f>IFERROR(IF(MARÍTIMOS[[#This Row],[Etapa Despacho -  Llegada]]="","",MARÍTIMOS[[#This Row],[Etapa Despacho -  Llegada]]),"")</f>
        <v/>
      </c>
      <c r="AA808" s="11" t="str">
        <f>IFERROR(IF(MARÍTIMOS[[#This Row],[Etapa Despacho -  Registro]]="","",MARÍTIMOS[[#This Row],[Etapa Despacho - 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 Inicio de Carga]]="","",MARÍTIMOS[[#This Row],[Etapa Despacho -  Inicio de Carga]]),"")</f>
        <v/>
      </c>
      <c r="AD808" s="11" t="str">
        <f>IFERROR(IF(MARÍTIMOS[[#This Row],[Etapa Despacho -  Fin de Carga]]="","",MARÍTIMOS[[#This Row],[Etapa Despacho -  Fin de Carga]]),"")</f>
        <v/>
      </c>
      <c r="AE808" s="11" t="str">
        <f>IFERROR(IF(MARÍTIMOS[[#This Row],[Etapa Despacho -  Salida]]="","",MARÍTIMOS[[#This Row],[Etapa Despacho -  Salida]]),"")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5" t="s">
        <v>181</v>
      </c>
      <c r="BB808" s="53" t="str">
        <f>IFERROR(IF(MARÍTIMOS[[#This Row],[Estatus]]="","",MARÍTIMOS[[#This Row],[Estatus]]),"")</f>
        <v/>
      </c>
      <c r="BC808" s="45"/>
      <c r="BD808" s="52" t="str">
        <f>IFERROR(OLDBD[[#This Row],[Salida de almacén de retiro]]-OLDBD[[#This Row],[Ingreso Almacén de retiro]],"")</f>
        <v/>
      </c>
      <c r="BE808" s="52" t="str">
        <f>IFERROR(OLDBD[[#This Row],[Fin de Carga]]-OLDBD[[#This Row],[Inicio de Carga]],"")</f>
        <v/>
      </c>
    </row>
    <row r="809" spans="1:57" x14ac:dyDescent="0.35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6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Salida]]="","",MARÍTIMOS[[#This Row],[Etapa Retiro - Salida]]),"")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Row],[Hora de Carga]]+MARÍTIMOS[[#This Row],[Hora de Posicionamiento]]),"")</f>
        <v/>
      </c>
      <c r="Z809" s="11" t="str">
        <f>IFERROR(IF(MARÍTIMOS[[#This Row],[Etapa Despacho -  Llegada]]="","",MARÍTIMOS[[#This Row],[Etapa Despacho -  Llegada]]),"")</f>
        <v/>
      </c>
      <c r="AA809" s="11" t="str">
        <f>IFERROR(IF(MARÍTIMOS[[#This Row],[Etapa Despacho -  Registro]]="","",MARÍTIMOS[[#This Row],[Etapa Despacho - 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 Inicio de Carga]]="","",MARÍTIMOS[[#This Row],[Etapa Despacho -  Inicio de Carga]]),"")</f>
        <v/>
      </c>
      <c r="AD809" s="11" t="str">
        <f>IFERROR(IF(MARÍTIMOS[[#This Row],[Etapa Despacho -  Fin de Carga]]="","",MARÍTIMOS[[#This Row],[Etapa Despacho -  Fin de Carga]]),"")</f>
        <v/>
      </c>
      <c r="AE809" s="11" t="str">
        <f>IFERROR(IF(MARÍTIMOS[[#This Row],[Etapa Despacho -  Salida]]="","",MARÍTIMOS[[#This Row],[Etapa Despacho -  Salida]]),"")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5" t="s">
        <v>181</v>
      </c>
      <c r="BB809" s="53" t="str">
        <f>IFERROR(IF(MARÍTIMOS[[#This Row],[Estatus]]="","",MARÍTIMOS[[#This Row],[Estatus]]),"")</f>
        <v/>
      </c>
      <c r="BC809" s="45"/>
      <c r="BD809" s="52" t="str">
        <f>IFERROR(OLDBD[[#This Row],[Salida de almacén de retiro]]-OLDBD[[#This Row],[Ingreso Almacén de retiro]],"")</f>
        <v/>
      </c>
      <c r="BE809" s="52" t="str">
        <f>IFERROR(OLDBD[[#This Row],[Fin de Carga]]-OLDBD[[#This Row],[Inicio de Carga]],"")</f>
        <v/>
      </c>
    </row>
    <row r="810" spans="1:57" x14ac:dyDescent="0.35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6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Salida]]="","",MARÍTIMOS[[#This Row],[Etapa Retiro - Salida]]),"")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Row],[Hora de Carga]]+MARÍTIMOS[[#This Row],[Hora de Posicionamiento]]),"")</f>
        <v/>
      </c>
      <c r="Z810" s="11" t="str">
        <f>IFERROR(IF(MARÍTIMOS[[#This Row],[Etapa Despacho -  Llegada]]="","",MARÍTIMOS[[#This Row],[Etapa Despacho -  Llegada]]),"")</f>
        <v/>
      </c>
      <c r="AA810" s="11" t="str">
        <f>IFERROR(IF(MARÍTIMOS[[#This Row],[Etapa Despacho -  Registro]]="","",MARÍTIMOS[[#This Row],[Etapa Despacho - 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 Inicio de Carga]]="","",MARÍTIMOS[[#This Row],[Etapa Despacho -  Inicio de Carga]]),"")</f>
        <v/>
      </c>
      <c r="AD810" s="11" t="str">
        <f>IFERROR(IF(MARÍTIMOS[[#This Row],[Etapa Despacho -  Fin de Carga]]="","",MARÍTIMOS[[#This Row],[Etapa Despacho -  Fin de Carga]]),"")</f>
        <v/>
      </c>
      <c r="AE810" s="11" t="str">
        <f>IFERROR(IF(MARÍTIMOS[[#This Row],[Etapa Despacho -  Salida]]="","",MARÍTIMOS[[#This Row],[Etapa Despacho -  Salida]]),"")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5" t="s">
        <v>181</v>
      </c>
      <c r="BB810" s="53" t="str">
        <f>IFERROR(IF(MARÍTIMOS[[#This Row],[Estatus]]="","",MARÍTIMOS[[#This Row],[Estatus]]),"")</f>
        <v/>
      </c>
      <c r="BC810" s="45"/>
      <c r="BD810" s="52" t="str">
        <f>IFERROR(OLDBD[[#This Row],[Salida de almacén de retiro]]-OLDBD[[#This Row],[Ingreso Almacén de retiro]],"")</f>
        <v/>
      </c>
      <c r="BE810" s="52" t="str">
        <f>IFERROR(OLDBD[[#This Row],[Fin de Carga]]-OLDBD[[#This Row],[Inicio de Carga]],"")</f>
        <v/>
      </c>
    </row>
    <row r="811" spans="1:57" x14ac:dyDescent="0.35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6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Salida]]="","",MARÍTIMOS[[#This Row],[Etapa Retiro - Salida]]),"")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Row],[Hora de Carga]]+MARÍTIMOS[[#This Row],[Hora de Posicionamiento]]),"")</f>
        <v/>
      </c>
      <c r="Z811" s="11" t="str">
        <f>IFERROR(IF(MARÍTIMOS[[#This Row],[Etapa Despacho -  Llegada]]="","",MARÍTIMOS[[#This Row],[Etapa Despacho -  Llegada]]),"")</f>
        <v/>
      </c>
      <c r="AA811" s="11" t="str">
        <f>IFERROR(IF(MARÍTIMOS[[#This Row],[Etapa Despacho -  Registro]]="","",MARÍTIMOS[[#This Row],[Etapa Despacho - 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 Inicio de Carga]]="","",MARÍTIMOS[[#This Row],[Etapa Despacho -  Inicio de Carga]]),"")</f>
        <v/>
      </c>
      <c r="AD811" s="11" t="str">
        <f>IFERROR(IF(MARÍTIMOS[[#This Row],[Etapa Despacho -  Fin de Carga]]="","",MARÍTIMOS[[#This Row],[Etapa Despacho -  Fin de Carga]]),"")</f>
        <v/>
      </c>
      <c r="AE811" s="11" t="str">
        <f>IFERROR(IF(MARÍTIMOS[[#This Row],[Etapa Despacho -  Salida]]="","",MARÍTIMOS[[#This Row],[Etapa Despacho -  Salida]]),"")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5" t="s">
        <v>181</v>
      </c>
      <c r="BB811" s="53" t="str">
        <f>IFERROR(IF(MARÍTIMOS[[#This Row],[Estatus]]="","",MARÍTIMOS[[#This Row],[Estatus]]),"")</f>
        <v/>
      </c>
      <c r="BC811" s="45"/>
      <c r="BD811" s="52" t="str">
        <f>IFERROR(OLDBD[[#This Row],[Salida de almacén de retiro]]-OLDBD[[#This Row],[Ingreso Almacén de retiro]],"")</f>
        <v/>
      </c>
      <c r="BE811" s="52" t="str">
        <f>IFERROR(OLDBD[[#This Row],[Fin de Carga]]-OLDBD[[#This Row],[Inicio de Carga]],"")</f>
        <v/>
      </c>
    </row>
    <row r="812" spans="1:57" x14ac:dyDescent="0.35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6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Salida]]="","",MARÍTIMOS[[#This Row],[Etapa Retiro - Salida]]),"")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Row],[Hora de Carga]]+MARÍTIMOS[[#This Row],[Hora de Posicionamiento]]),"")</f>
        <v/>
      </c>
      <c r="Z812" s="11" t="str">
        <f>IFERROR(IF(MARÍTIMOS[[#This Row],[Etapa Despacho -  Llegada]]="","",MARÍTIMOS[[#This Row],[Etapa Despacho -  Llegada]]),"")</f>
        <v/>
      </c>
      <c r="AA812" s="11" t="str">
        <f>IFERROR(IF(MARÍTIMOS[[#This Row],[Etapa Despacho -  Registro]]="","",MARÍTIMOS[[#This Row],[Etapa Despacho - 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 Inicio de Carga]]="","",MARÍTIMOS[[#This Row],[Etapa Despacho -  Inicio de Carga]]),"")</f>
        <v/>
      </c>
      <c r="AD812" s="11" t="str">
        <f>IFERROR(IF(MARÍTIMOS[[#This Row],[Etapa Despacho -  Fin de Carga]]="","",MARÍTIMOS[[#This Row],[Etapa Despacho -  Fin de Carga]]),"")</f>
        <v/>
      </c>
      <c r="AE812" s="11" t="str">
        <f>IFERROR(IF(MARÍTIMOS[[#This Row],[Etapa Despacho -  Salida]]="","",MARÍTIMOS[[#This Row],[Etapa Despacho -  Salida]]),"")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5" t="s">
        <v>181</v>
      </c>
      <c r="BB812" s="53" t="str">
        <f>IFERROR(IF(MARÍTIMOS[[#This Row],[Estatus]]="","",MARÍTIMOS[[#This Row],[Estatus]]),"")</f>
        <v/>
      </c>
      <c r="BC812" s="45"/>
      <c r="BD812" s="52" t="str">
        <f>IFERROR(OLDBD[[#This Row],[Salida de almacén de retiro]]-OLDBD[[#This Row],[Ingreso Almacén de retiro]],"")</f>
        <v/>
      </c>
      <c r="BE812" s="52" t="str">
        <f>IFERROR(OLDBD[[#This Row],[Fin de Carga]]-OLDBD[[#This Row],[Inicio de Carga]],"")</f>
        <v/>
      </c>
    </row>
    <row r="813" spans="1:57" x14ac:dyDescent="0.35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6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Salida]]="","",MARÍTIMOS[[#This Row],[Etapa Retiro - Salida]]),"")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Row],[Hora de Carga]]+MARÍTIMOS[[#This Row],[Hora de Posicionamiento]]),"")</f>
        <v/>
      </c>
      <c r="Z813" s="11" t="str">
        <f>IFERROR(IF(MARÍTIMOS[[#This Row],[Etapa Despacho -  Llegada]]="","",MARÍTIMOS[[#This Row],[Etapa Despacho -  Llegada]]),"")</f>
        <v/>
      </c>
      <c r="AA813" s="11" t="str">
        <f>IFERROR(IF(MARÍTIMOS[[#This Row],[Etapa Despacho -  Registro]]="","",MARÍTIMOS[[#This Row],[Etapa Despacho - 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 Inicio de Carga]]="","",MARÍTIMOS[[#This Row],[Etapa Despacho -  Inicio de Carga]]),"")</f>
        <v/>
      </c>
      <c r="AD813" s="11" t="str">
        <f>IFERROR(IF(MARÍTIMOS[[#This Row],[Etapa Despacho -  Fin de Carga]]="","",MARÍTIMOS[[#This Row],[Etapa Despacho -  Fin de Carga]]),"")</f>
        <v/>
      </c>
      <c r="AE813" s="11" t="str">
        <f>IFERROR(IF(MARÍTIMOS[[#This Row],[Etapa Despacho -  Salida]]="","",MARÍTIMOS[[#This Row],[Etapa Despacho -  Salida]]),"")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5" t="s">
        <v>181</v>
      </c>
      <c r="BB813" s="53" t="str">
        <f>IFERROR(IF(MARÍTIMOS[[#This Row],[Estatus]]="","",MARÍTIMOS[[#This Row],[Estatus]]),"")</f>
        <v/>
      </c>
      <c r="BC813" s="45"/>
      <c r="BD813" s="52" t="str">
        <f>IFERROR(OLDBD[[#This Row],[Salida de almacén de retiro]]-OLDBD[[#This Row],[Ingreso Almacén de retiro]],"")</f>
        <v/>
      </c>
      <c r="BE813" s="52" t="str">
        <f>IFERROR(OLDBD[[#This Row],[Fin de Carga]]-OLDBD[[#This Row],[Inicio de Carga]],"")</f>
        <v/>
      </c>
    </row>
    <row r="814" spans="1:57" x14ac:dyDescent="0.35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6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Salida]]="","",MARÍTIMOS[[#This Row],[Etapa Retiro - Salida]]),"")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Row],[Hora de Carga]]+MARÍTIMOS[[#This Row],[Hora de Posicionamiento]]),"")</f>
        <v/>
      </c>
      <c r="Z814" s="11" t="str">
        <f>IFERROR(IF(MARÍTIMOS[[#This Row],[Etapa Despacho -  Llegada]]="","",MARÍTIMOS[[#This Row],[Etapa Despacho -  Llegada]]),"")</f>
        <v/>
      </c>
      <c r="AA814" s="11" t="str">
        <f>IFERROR(IF(MARÍTIMOS[[#This Row],[Etapa Despacho -  Registro]]="","",MARÍTIMOS[[#This Row],[Etapa Despacho - 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 Inicio de Carga]]="","",MARÍTIMOS[[#This Row],[Etapa Despacho -  Inicio de Carga]]),"")</f>
        <v/>
      </c>
      <c r="AD814" s="11" t="str">
        <f>IFERROR(IF(MARÍTIMOS[[#This Row],[Etapa Despacho -  Fin de Carga]]="","",MARÍTIMOS[[#This Row],[Etapa Despacho -  Fin de Carga]]),"")</f>
        <v/>
      </c>
      <c r="AE814" s="11" t="str">
        <f>IFERROR(IF(MARÍTIMOS[[#This Row],[Etapa Despacho -  Salida]]="","",MARÍTIMOS[[#This Row],[Etapa Despacho -  Salida]]),"")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5" t="s">
        <v>181</v>
      </c>
      <c r="BB814" s="53" t="str">
        <f>IFERROR(IF(MARÍTIMOS[[#This Row],[Estatus]]="","",MARÍTIMOS[[#This Row],[Estatus]]),"")</f>
        <v/>
      </c>
      <c r="BC814" s="45"/>
      <c r="BD814" s="52" t="str">
        <f>IFERROR(OLDBD[[#This Row],[Salida de almacén de retiro]]-OLDBD[[#This Row],[Ingreso Almacén de retiro]],"")</f>
        <v/>
      </c>
      <c r="BE814" s="52" t="str">
        <f>IFERROR(OLDBD[[#This Row],[Fin de Carga]]-OLDBD[[#This Row],[Inicio de Carga]],"")</f>
        <v/>
      </c>
    </row>
    <row r="815" spans="1:57" x14ac:dyDescent="0.35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6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Salida]]="","",MARÍTIMOS[[#This Row],[Etapa Retiro - Salida]]),"")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Row],[Hora de Carga]]+MARÍTIMOS[[#This Row],[Hora de Posicionamiento]]),"")</f>
        <v/>
      </c>
      <c r="Z815" s="11" t="str">
        <f>IFERROR(IF(MARÍTIMOS[[#This Row],[Etapa Despacho -  Llegada]]="","",MARÍTIMOS[[#This Row],[Etapa Despacho -  Llegada]]),"")</f>
        <v/>
      </c>
      <c r="AA815" s="11" t="str">
        <f>IFERROR(IF(MARÍTIMOS[[#This Row],[Etapa Despacho -  Registro]]="","",MARÍTIMOS[[#This Row],[Etapa Despacho - 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 Inicio de Carga]]="","",MARÍTIMOS[[#This Row],[Etapa Despacho -  Inicio de Carga]]),"")</f>
        <v/>
      </c>
      <c r="AD815" s="11" t="str">
        <f>IFERROR(IF(MARÍTIMOS[[#This Row],[Etapa Despacho -  Fin de Carga]]="","",MARÍTIMOS[[#This Row],[Etapa Despacho -  Fin de Carga]]),"")</f>
        <v/>
      </c>
      <c r="AE815" s="11" t="str">
        <f>IFERROR(IF(MARÍTIMOS[[#This Row],[Etapa Despacho -  Salida]]="","",MARÍTIMOS[[#This Row],[Etapa Despacho -  Salida]]),"")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5" t="s">
        <v>181</v>
      </c>
      <c r="BB815" s="53" t="str">
        <f>IFERROR(IF(MARÍTIMOS[[#This Row],[Estatus]]="","",MARÍTIMOS[[#This Row],[Estatus]]),"")</f>
        <v/>
      </c>
      <c r="BC815" s="45"/>
      <c r="BD815" s="52" t="str">
        <f>IFERROR(OLDBD[[#This Row],[Salida de almacén de retiro]]-OLDBD[[#This Row],[Ingreso Almacén de retiro]],"")</f>
        <v/>
      </c>
      <c r="BE815" s="52" t="str">
        <f>IFERROR(OLDBD[[#This Row],[Fin de Carga]]-OLDBD[[#This Row],[Inicio de Carga]],"")</f>
        <v/>
      </c>
    </row>
    <row r="816" spans="1:57" x14ac:dyDescent="0.35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6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Salida]]="","",MARÍTIMOS[[#This Row],[Etapa Retiro - Salida]]),"")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Row],[Hora de Carga]]+MARÍTIMOS[[#This Row],[Hora de Posicionamiento]]),"")</f>
        <v/>
      </c>
      <c r="Z816" s="11" t="str">
        <f>IFERROR(IF(MARÍTIMOS[[#This Row],[Etapa Despacho -  Llegada]]="","",MARÍTIMOS[[#This Row],[Etapa Despacho -  Llegada]]),"")</f>
        <v/>
      </c>
      <c r="AA816" s="11" t="str">
        <f>IFERROR(IF(MARÍTIMOS[[#This Row],[Etapa Despacho -  Registro]]="","",MARÍTIMOS[[#This Row],[Etapa Despacho - 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 Inicio de Carga]]="","",MARÍTIMOS[[#This Row],[Etapa Despacho -  Inicio de Carga]]),"")</f>
        <v/>
      </c>
      <c r="AD816" s="11" t="str">
        <f>IFERROR(IF(MARÍTIMOS[[#This Row],[Etapa Despacho -  Fin de Carga]]="","",MARÍTIMOS[[#This Row],[Etapa Despacho -  Fin de Carga]]),"")</f>
        <v/>
      </c>
      <c r="AE816" s="11" t="str">
        <f>IFERROR(IF(MARÍTIMOS[[#This Row],[Etapa Despacho -  Salida]]="","",MARÍTIMOS[[#This Row],[Etapa Despacho -  Salida]]),"")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5" t="s">
        <v>181</v>
      </c>
      <c r="BB816" s="53" t="str">
        <f>IFERROR(IF(MARÍTIMOS[[#This Row],[Estatus]]="","",MARÍTIMOS[[#This Row],[Estatus]]),"")</f>
        <v/>
      </c>
      <c r="BC816" s="45"/>
      <c r="BD816" s="52" t="str">
        <f>IFERROR(OLDBD[[#This Row],[Salida de almacén de retiro]]-OLDBD[[#This Row],[Ingreso Almacén de retiro]],"")</f>
        <v/>
      </c>
      <c r="BE816" s="52" t="str">
        <f>IFERROR(OLDBD[[#This Row],[Fin de Carga]]-OLDBD[[#This Row],[Inicio de Carga]],"")</f>
        <v/>
      </c>
    </row>
    <row r="817" spans="1:57" x14ac:dyDescent="0.35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6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Salida]]="","",MARÍTIMOS[[#This Row],[Etapa Retiro - Salida]]),"")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Row],[Hora de Carga]]+MARÍTIMOS[[#This Row],[Hora de Posicionamiento]]),"")</f>
        <v/>
      </c>
      <c r="Z817" s="11" t="str">
        <f>IFERROR(IF(MARÍTIMOS[[#This Row],[Etapa Despacho -  Llegada]]="","",MARÍTIMOS[[#This Row],[Etapa Despacho -  Llegada]]),"")</f>
        <v/>
      </c>
      <c r="AA817" s="11" t="str">
        <f>IFERROR(IF(MARÍTIMOS[[#This Row],[Etapa Despacho -  Registro]]="","",MARÍTIMOS[[#This Row],[Etapa Despacho - 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 Inicio de Carga]]="","",MARÍTIMOS[[#This Row],[Etapa Despacho -  Inicio de Carga]]),"")</f>
        <v/>
      </c>
      <c r="AD817" s="11" t="str">
        <f>IFERROR(IF(MARÍTIMOS[[#This Row],[Etapa Despacho -  Fin de Carga]]="","",MARÍTIMOS[[#This Row],[Etapa Despacho -  Fin de Carga]]),"")</f>
        <v/>
      </c>
      <c r="AE817" s="11" t="str">
        <f>IFERROR(IF(MARÍTIMOS[[#This Row],[Etapa Despacho -  Salida]]="","",MARÍTIMOS[[#This Row],[Etapa Despacho -  Salida]]),"")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5" t="s">
        <v>181</v>
      </c>
      <c r="BB817" s="53" t="str">
        <f>IFERROR(IF(MARÍTIMOS[[#This Row],[Estatus]]="","",MARÍTIMOS[[#This Row],[Estatus]]),"")</f>
        <v/>
      </c>
      <c r="BC817" s="45"/>
      <c r="BD817" s="52" t="str">
        <f>IFERROR(OLDBD[[#This Row],[Salida de almacén de retiro]]-OLDBD[[#This Row],[Ingreso Almacén de retiro]],"")</f>
        <v/>
      </c>
      <c r="BE817" s="52" t="str">
        <f>IFERROR(OLDBD[[#This Row],[Fin de Carga]]-OLDBD[[#This Row],[Inicio de Carga]],"")</f>
        <v/>
      </c>
    </row>
    <row r="818" spans="1:57" x14ac:dyDescent="0.35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6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Salida]]="","",MARÍTIMOS[[#This Row],[Etapa Retiro - Salida]]),"")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Row],[Hora de Carga]]+MARÍTIMOS[[#This Row],[Hora de Posicionamiento]]),"")</f>
        <v/>
      </c>
      <c r="Z818" s="11" t="str">
        <f>IFERROR(IF(MARÍTIMOS[[#This Row],[Etapa Despacho -  Llegada]]="","",MARÍTIMOS[[#This Row],[Etapa Despacho -  Llegada]]),"")</f>
        <v/>
      </c>
      <c r="AA818" s="11" t="str">
        <f>IFERROR(IF(MARÍTIMOS[[#This Row],[Etapa Despacho -  Registro]]="","",MARÍTIMOS[[#This Row],[Etapa Despacho - 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 Inicio de Carga]]="","",MARÍTIMOS[[#This Row],[Etapa Despacho -  Inicio de Carga]]),"")</f>
        <v/>
      </c>
      <c r="AD818" s="11" t="str">
        <f>IFERROR(IF(MARÍTIMOS[[#This Row],[Etapa Despacho -  Fin de Carga]]="","",MARÍTIMOS[[#This Row],[Etapa Despacho -  Fin de Carga]]),"")</f>
        <v/>
      </c>
      <c r="AE818" s="11" t="str">
        <f>IFERROR(IF(MARÍTIMOS[[#This Row],[Etapa Despacho -  Salida]]="","",MARÍTIMOS[[#This Row],[Etapa Despacho -  Salida]]),"")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5" t="s">
        <v>181</v>
      </c>
      <c r="BB818" s="53" t="str">
        <f>IFERROR(IF(MARÍTIMOS[[#This Row],[Estatus]]="","",MARÍTIMOS[[#This Row],[Estatus]]),"")</f>
        <v/>
      </c>
      <c r="BC818" s="45"/>
      <c r="BD818" s="52" t="str">
        <f>IFERROR(OLDBD[[#This Row],[Salida de almacén de retiro]]-OLDBD[[#This Row],[Ingreso Almacén de retiro]],"")</f>
        <v/>
      </c>
      <c r="BE818" s="52" t="str">
        <f>IFERROR(OLDBD[[#This Row],[Fin de Carga]]-OLDBD[[#This Row],[Inicio de Carga]],"")</f>
        <v/>
      </c>
    </row>
    <row r="819" spans="1:57" x14ac:dyDescent="0.35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6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Salida]]="","",MARÍTIMOS[[#This Row],[Etapa Retiro - Salida]]),"")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Row],[Hora de Carga]]+MARÍTIMOS[[#This Row],[Hora de Posicionamiento]]),"")</f>
        <v/>
      </c>
      <c r="Z819" s="11" t="str">
        <f>IFERROR(IF(MARÍTIMOS[[#This Row],[Etapa Despacho -  Llegada]]="","",MARÍTIMOS[[#This Row],[Etapa Despacho -  Llegada]]),"")</f>
        <v/>
      </c>
      <c r="AA819" s="11" t="str">
        <f>IFERROR(IF(MARÍTIMOS[[#This Row],[Etapa Despacho -  Registro]]="","",MARÍTIMOS[[#This Row],[Etapa Despacho - 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 Inicio de Carga]]="","",MARÍTIMOS[[#This Row],[Etapa Despacho -  Inicio de Carga]]),"")</f>
        <v/>
      </c>
      <c r="AD819" s="11" t="str">
        <f>IFERROR(IF(MARÍTIMOS[[#This Row],[Etapa Despacho -  Fin de Carga]]="","",MARÍTIMOS[[#This Row],[Etapa Despacho -  Fin de Carga]]),"")</f>
        <v/>
      </c>
      <c r="AE819" s="11" t="str">
        <f>IFERROR(IF(MARÍTIMOS[[#This Row],[Etapa Despacho -  Salida]]="","",MARÍTIMOS[[#This Row],[Etapa Despacho -  Salida]]),"")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5" t="s">
        <v>181</v>
      </c>
      <c r="BB819" s="53" t="str">
        <f>IFERROR(IF(MARÍTIMOS[[#This Row],[Estatus]]="","",MARÍTIMOS[[#This Row],[Estatus]]),"")</f>
        <v/>
      </c>
      <c r="BC819" s="45"/>
      <c r="BD819" s="52" t="str">
        <f>IFERROR(OLDBD[[#This Row],[Salida de almacén de retiro]]-OLDBD[[#This Row],[Ingreso Almacén de retiro]],"")</f>
        <v/>
      </c>
      <c r="BE819" s="52" t="str">
        <f>IFERROR(OLDBD[[#This Row],[Fin de Carga]]-OLDBD[[#This Row],[Inicio de Carga]],"")</f>
        <v/>
      </c>
    </row>
    <row r="820" spans="1:57" x14ac:dyDescent="0.35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6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Salida]]="","",MARÍTIMOS[[#This Row],[Etapa Retiro - Salida]]),"")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Row],[Hora de Carga]]+MARÍTIMOS[[#This Row],[Hora de Posicionamiento]]),"")</f>
        <v/>
      </c>
      <c r="Z820" s="11" t="str">
        <f>IFERROR(IF(MARÍTIMOS[[#This Row],[Etapa Despacho -  Llegada]]="","",MARÍTIMOS[[#This Row],[Etapa Despacho -  Llegada]]),"")</f>
        <v/>
      </c>
      <c r="AA820" s="11" t="str">
        <f>IFERROR(IF(MARÍTIMOS[[#This Row],[Etapa Despacho -  Registro]]="","",MARÍTIMOS[[#This Row],[Etapa Despacho - 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 Inicio de Carga]]="","",MARÍTIMOS[[#This Row],[Etapa Despacho -  Inicio de Carga]]),"")</f>
        <v/>
      </c>
      <c r="AD820" s="11" t="str">
        <f>IFERROR(IF(MARÍTIMOS[[#This Row],[Etapa Despacho -  Fin de Carga]]="","",MARÍTIMOS[[#This Row],[Etapa Despacho -  Fin de Carga]]),"")</f>
        <v/>
      </c>
      <c r="AE820" s="11" t="str">
        <f>IFERROR(IF(MARÍTIMOS[[#This Row],[Etapa Despacho -  Salida]]="","",MARÍTIMOS[[#This Row],[Etapa Despacho -  Salida]]),"")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5" t="s">
        <v>181</v>
      </c>
      <c r="BB820" s="53" t="str">
        <f>IFERROR(IF(MARÍTIMOS[[#This Row],[Estatus]]="","",MARÍTIMOS[[#This Row],[Estatus]]),"")</f>
        <v/>
      </c>
      <c r="BC820" s="45"/>
      <c r="BD820" s="52" t="str">
        <f>IFERROR(OLDBD[[#This Row],[Salida de almacén de retiro]]-OLDBD[[#This Row],[Ingreso Almacén de retiro]],"")</f>
        <v/>
      </c>
      <c r="BE820" s="52" t="str">
        <f>IFERROR(OLDBD[[#This Row],[Fin de Carga]]-OLDBD[[#This Row],[Inicio de Carga]],"")</f>
        <v/>
      </c>
    </row>
    <row r="821" spans="1:57" x14ac:dyDescent="0.35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6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Salida]]="","",MARÍTIMOS[[#This Row],[Etapa Retiro - Salida]]),"")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Row],[Hora de Carga]]+MARÍTIMOS[[#This Row],[Hora de Posicionamiento]]),"")</f>
        <v/>
      </c>
      <c r="Z821" s="11" t="str">
        <f>IFERROR(IF(MARÍTIMOS[[#This Row],[Etapa Despacho -  Llegada]]="","",MARÍTIMOS[[#This Row],[Etapa Despacho -  Llegada]]),"")</f>
        <v/>
      </c>
      <c r="AA821" s="11" t="str">
        <f>IFERROR(IF(MARÍTIMOS[[#This Row],[Etapa Despacho -  Registro]]="","",MARÍTIMOS[[#This Row],[Etapa Despacho - 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 Inicio de Carga]]="","",MARÍTIMOS[[#This Row],[Etapa Despacho -  Inicio de Carga]]),"")</f>
        <v/>
      </c>
      <c r="AD821" s="11" t="str">
        <f>IFERROR(IF(MARÍTIMOS[[#This Row],[Etapa Despacho -  Fin de Carga]]="","",MARÍTIMOS[[#This Row],[Etapa Despacho -  Fin de Carga]]),"")</f>
        <v/>
      </c>
      <c r="AE821" s="11" t="str">
        <f>IFERROR(IF(MARÍTIMOS[[#This Row],[Etapa Despacho -  Salida]]="","",MARÍTIMOS[[#This Row],[Etapa Despacho -  Salida]]),"")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5" t="s">
        <v>181</v>
      </c>
      <c r="BB821" s="53" t="str">
        <f>IFERROR(IF(MARÍTIMOS[[#This Row],[Estatus]]="","",MARÍTIMOS[[#This Row],[Estatus]]),"")</f>
        <v/>
      </c>
      <c r="BC821" s="45"/>
      <c r="BD821" s="52" t="str">
        <f>IFERROR(OLDBD[[#This Row],[Salida de almacén de retiro]]-OLDBD[[#This Row],[Ingreso Almacén de retiro]],"")</f>
        <v/>
      </c>
      <c r="BE821" s="52" t="str">
        <f>IFERROR(OLDBD[[#This Row],[Fin de Carga]]-OLDBD[[#This Row],[Inicio de Carga]],"")</f>
        <v/>
      </c>
    </row>
    <row r="822" spans="1:57" x14ac:dyDescent="0.35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6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Salida]]="","",MARÍTIMOS[[#This Row],[Etapa Retiro - Salida]]),"")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Row],[Hora de Carga]]+MARÍTIMOS[[#This Row],[Hora de Posicionamiento]]),"")</f>
        <v/>
      </c>
      <c r="Z822" s="11" t="str">
        <f>IFERROR(IF(MARÍTIMOS[[#This Row],[Etapa Despacho -  Llegada]]="","",MARÍTIMOS[[#This Row],[Etapa Despacho -  Llegada]]),"")</f>
        <v/>
      </c>
      <c r="AA822" s="11" t="str">
        <f>IFERROR(IF(MARÍTIMOS[[#This Row],[Etapa Despacho -  Registro]]="","",MARÍTIMOS[[#This Row],[Etapa Despacho - 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 Inicio de Carga]]="","",MARÍTIMOS[[#This Row],[Etapa Despacho -  Inicio de Carga]]),"")</f>
        <v/>
      </c>
      <c r="AD822" s="11" t="str">
        <f>IFERROR(IF(MARÍTIMOS[[#This Row],[Etapa Despacho -  Fin de Carga]]="","",MARÍTIMOS[[#This Row],[Etapa Despacho -  Fin de Carga]]),"")</f>
        <v/>
      </c>
      <c r="AE822" s="11" t="str">
        <f>IFERROR(IF(MARÍTIMOS[[#This Row],[Etapa Despacho -  Salida]]="","",MARÍTIMOS[[#This Row],[Etapa Despacho -  Salida]]),"")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5" t="s">
        <v>181</v>
      </c>
      <c r="BB822" s="53" t="str">
        <f>IFERROR(IF(MARÍTIMOS[[#This Row],[Estatus]]="","",MARÍTIMOS[[#This Row],[Estatus]]),"")</f>
        <v/>
      </c>
      <c r="BC822" s="45"/>
      <c r="BD822" s="52" t="str">
        <f>IFERROR(OLDBD[[#This Row],[Salida de almacén de retiro]]-OLDBD[[#This Row],[Ingreso Almacén de retiro]],"")</f>
        <v/>
      </c>
      <c r="BE822" s="52" t="str">
        <f>IFERROR(OLDBD[[#This Row],[Fin de Carga]]-OLDBD[[#This Row],[Inicio de Carga]],"")</f>
        <v/>
      </c>
    </row>
    <row r="823" spans="1:57" x14ac:dyDescent="0.35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6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Salida]]="","",MARÍTIMOS[[#This Row],[Etapa Retiro - Salida]]),"")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Row],[Hora de Carga]]+MARÍTIMOS[[#This Row],[Hora de Posicionamiento]]),"")</f>
        <v/>
      </c>
      <c r="Z823" s="11" t="str">
        <f>IFERROR(IF(MARÍTIMOS[[#This Row],[Etapa Despacho -  Llegada]]="","",MARÍTIMOS[[#This Row],[Etapa Despacho -  Llegada]]),"")</f>
        <v/>
      </c>
      <c r="AA823" s="11" t="str">
        <f>IFERROR(IF(MARÍTIMOS[[#This Row],[Etapa Despacho -  Registro]]="","",MARÍTIMOS[[#This Row],[Etapa Despacho - 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 Inicio de Carga]]="","",MARÍTIMOS[[#This Row],[Etapa Despacho -  Inicio de Carga]]),"")</f>
        <v/>
      </c>
      <c r="AD823" s="11" t="str">
        <f>IFERROR(IF(MARÍTIMOS[[#This Row],[Etapa Despacho -  Fin de Carga]]="","",MARÍTIMOS[[#This Row],[Etapa Despacho -  Fin de Carga]]),"")</f>
        <v/>
      </c>
      <c r="AE823" s="11" t="str">
        <f>IFERROR(IF(MARÍTIMOS[[#This Row],[Etapa Despacho -  Salida]]="","",MARÍTIMOS[[#This Row],[Etapa Despacho -  Salida]]),"")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5" t="s">
        <v>181</v>
      </c>
      <c r="BB823" s="53" t="str">
        <f>IFERROR(IF(MARÍTIMOS[[#This Row],[Estatus]]="","",MARÍTIMOS[[#This Row],[Estatus]]),"")</f>
        <v/>
      </c>
      <c r="BC823" s="45"/>
      <c r="BD823" s="52" t="str">
        <f>IFERROR(OLDBD[[#This Row],[Salida de almacén de retiro]]-OLDBD[[#This Row],[Ingreso Almacén de retiro]],"")</f>
        <v/>
      </c>
      <c r="BE823" s="52" t="str">
        <f>IFERROR(OLDBD[[#This Row],[Fin de Carga]]-OLDBD[[#This Row],[Inicio de Carga]],"")</f>
        <v/>
      </c>
    </row>
    <row r="824" spans="1:57" x14ac:dyDescent="0.35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6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Salida]]="","",MARÍTIMOS[[#This Row],[Etapa Retiro - Salida]]),"")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Row],[Hora de Carga]]+MARÍTIMOS[[#This Row],[Hora de Posicionamiento]]),"")</f>
        <v/>
      </c>
      <c r="Z824" s="11" t="str">
        <f>IFERROR(IF(MARÍTIMOS[[#This Row],[Etapa Despacho -  Llegada]]="","",MARÍTIMOS[[#This Row],[Etapa Despacho -  Llegada]]),"")</f>
        <v/>
      </c>
      <c r="AA824" s="11" t="str">
        <f>IFERROR(IF(MARÍTIMOS[[#This Row],[Etapa Despacho -  Registro]]="","",MARÍTIMOS[[#This Row],[Etapa Despacho - 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 Inicio de Carga]]="","",MARÍTIMOS[[#This Row],[Etapa Despacho -  Inicio de Carga]]),"")</f>
        <v/>
      </c>
      <c r="AD824" s="11" t="str">
        <f>IFERROR(IF(MARÍTIMOS[[#This Row],[Etapa Despacho -  Fin de Carga]]="","",MARÍTIMOS[[#This Row],[Etapa Despacho -  Fin de Carga]]),"")</f>
        <v/>
      </c>
      <c r="AE824" s="11" t="str">
        <f>IFERROR(IF(MARÍTIMOS[[#This Row],[Etapa Despacho -  Salida]]="","",MARÍTIMOS[[#This Row],[Etapa Despacho -  Salida]]),"")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5" t="s">
        <v>181</v>
      </c>
      <c r="BB824" s="53" t="str">
        <f>IFERROR(IF(MARÍTIMOS[[#This Row],[Estatus]]="","",MARÍTIMOS[[#This Row],[Estatus]]),"")</f>
        <v/>
      </c>
      <c r="BC824" s="45"/>
      <c r="BD824" s="52" t="str">
        <f>IFERROR(OLDBD[[#This Row],[Salida de almacén de retiro]]-OLDBD[[#This Row],[Ingreso Almacén de retiro]],"")</f>
        <v/>
      </c>
      <c r="BE824" s="52" t="str">
        <f>IFERROR(OLDBD[[#This Row],[Fin de Carga]]-OLDBD[[#This Row],[Inicio de Carga]],"")</f>
        <v/>
      </c>
    </row>
    <row r="825" spans="1:57" x14ac:dyDescent="0.35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6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Salida]]="","",MARÍTIMOS[[#This Row],[Etapa Retiro - Salida]]),"")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Row],[Hora de Carga]]+MARÍTIMOS[[#This Row],[Hora de Posicionamiento]]),"")</f>
        <v/>
      </c>
      <c r="Z825" s="11" t="str">
        <f>IFERROR(IF(MARÍTIMOS[[#This Row],[Etapa Despacho -  Llegada]]="","",MARÍTIMOS[[#This Row],[Etapa Despacho -  Llegada]]),"")</f>
        <v/>
      </c>
      <c r="AA825" s="11" t="str">
        <f>IFERROR(IF(MARÍTIMOS[[#This Row],[Etapa Despacho -  Registro]]="","",MARÍTIMOS[[#This Row],[Etapa Despacho - 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 Inicio de Carga]]="","",MARÍTIMOS[[#This Row],[Etapa Despacho -  Inicio de Carga]]),"")</f>
        <v/>
      </c>
      <c r="AD825" s="11" t="str">
        <f>IFERROR(IF(MARÍTIMOS[[#This Row],[Etapa Despacho -  Fin de Carga]]="","",MARÍTIMOS[[#This Row],[Etapa Despacho -  Fin de Carga]]),"")</f>
        <v/>
      </c>
      <c r="AE825" s="11" t="str">
        <f>IFERROR(IF(MARÍTIMOS[[#This Row],[Etapa Despacho -  Salida]]="","",MARÍTIMOS[[#This Row],[Etapa Despacho -  Salida]]),"")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5" t="s">
        <v>181</v>
      </c>
      <c r="BB825" s="53" t="str">
        <f>IFERROR(IF(MARÍTIMOS[[#This Row],[Estatus]]="","",MARÍTIMOS[[#This Row],[Estatus]]),"")</f>
        <v/>
      </c>
      <c r="BC825" s="45"/>
      <c r="BD825" s="52" t="str">
        <f>IFERROR(OLDBD[[#This Row],[Salida de almacén de retiro]]-OLDBD[[#This Row],[Ingreso Almacén de retiro]],"")</f>
        <v/>
      </c>
      <c r="BE825" s="52" t="str">
        <f>IFERROR(OLDBD[[#This Row],[Fin de Carga]]-OLDBD[[#This Row],[Inicio de Carga]],"")</f>
        <v/>
      </c>
    </row>
    <row r="826" spans="1:57" x14ac:dyDescent="0.35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6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Salida]]="","",MARÍTIMOS[[#This Row],[Etapa Retiro - Salida]]),"")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Row],[Hora de Carga]]+MARÍTIMOS[[#This Row],[Hora de Posicionamiento]]),"")</f>
        <v/>
      </c>
      <c r="Z826" s="11" t="str">
        <f>IFERROR(IF(MARÍTIMOS[[#This Row],[Etapa Despacho -  Llegada]]="","",MARÍTIMOS[[#This Row],[Etapa Despacho -  Llegada]]),"")</f>
        <v/>
      </c>
      <c r="AA826" s="11" t="str">
        <f>IFERROR(IF(MARÍTIMOS[[#This Row],[Etapa Despacho -  Registro]]="","",MARÍTIMOS[[#This Row],[Etapa Despacho - 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 Inicio de Carga]]="","",MARÍTIMOS[[#This Row],[Etapa Despacho -  Inicio de Carga]]),"")</f>
        <v/>
      </c>
      <c r="AD826" s="11" t="str">
        <f>IFERROR(IF(MARÍTIMOS[[#This Row],[Etapa Despacho -  Fin de Carga]]="","",MARÍTIMOS[[#This Row],[Etapa Despacho -  Fin de Carga]]),"")</f>
        <v/>
      </c>
      <c r="AE826" s="11" t="str">
        <f>IFERROR(IF(MARÍTIMOS[[#This Row],[Etapa Despacho -  Salida]]="","",MARÍTIMOS[[#This Row],[Etapa Despacho -  Salida]]),"")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5" t="s">
        <v>181</v>
      </c>
      <c r="BB826" s="53" t="str">
        <f>IFERROR(IF(MARÍTIMOS[[#This Row],[Estatus]]="","",MARÍTIMOS[[#This Row],[Estatus]]),"")</f>
        <v/>
      </c>
      <c r="BC826" s="45"/>
      <c r="BD826" s="52" t="str">
        <f>IFERROR(OLDBD[[#This Row],[Salida de almacén de retiro]]-OLDBD[[#This Row],[Ingreso Almacén de retiro]],"")</f>
        <v/>
      </c>
      <c r="BE826" s="52" t="str">
        <f>IFERROR(OLDBD[[#This Row],[Fin de Carga]]-OLDBD[[#This Row],[Inicio de Carga]],"")</f>
        <v/>
      </c>
    </row>
    <row r="827" spans="1:57" x14ac:dyDescent="0.35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6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Salida]]="","",MARÍTIMOS[[#This Row],[Etapa Retiro - Salida]]),"")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Row],[Hora de Carga]]+MARÍTIMOS[[#This Row],[Hora de Posicionamiento]]),"")</f>
        <v/>
      </c>
      <c r="Z827" s="11" t="str">
        <f>IFERROR(IF(MARÍTIMOS[[#This Row],[Etapa Despacho -  Llegada]]="","",MARÍTIMOS[[#This Row],[Etapa Despacho -  Llegada]]),"")</f>
        <v/>
      </c>
      <c r="AA827" s="11" t="str">
        <f>IFERROR(IF(MARÍTIMOS[[#This Row],[Etapa Despacho -  Registro]]="","",MARÍTIMOS[[#This Row],[Etapa Despacho - 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 Inicio de Carga]]="","",MARÍTIMOS[[#This Row],[Etapa Despacho -  Inicio de Carga]]),"")</f>
        <v/>
      </c>
      <c r="AD827" s="11" t="str">
        <f>IFERROR(IF(MARÍTIMOS[[#This Row],[Etapa Despacho -  Fin de Carga]]="","",MARÍTIMOS[[#This Row],[Etapa Despacho -  Fin de Carga]]),"")</f>
        <v/>
      </c>
      <c r="AE827" s="11" t="str">
        <f>IFERROR(IF(MARÍTIMOS[[#This Row],[Etapa Despacho -  Salida]]="","",MARÍTIMOS[[#This Row],[Etapa Despacho -  Salida]]),"")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5" t="s">
        <v>181</v>
      </c>
      <c r="BB827" s="53" t="str">
        <f>IFERROR(IF(MARÍTIMOS[[#This Row],[Estatus]]="","",MARÍTIMOS[[#This Row],[Estatus]]),"")</f>
        <v/>
      </c>
      <c r="BC827" s="45"/>
      <c r="BD827" s="52" t="str">
        <f>IFERROR(OLDBD[[#This Row],[Salida de almacén de retiro]]-OLDBD[[#This Row],[Ingreso Almacén de retiro]],"")</f>
        <v/>
      </c>
      <c r="BE827" s="52" t="str">
        <f>IFERROR(OLDBD[[#This Row],[Fin de Carga]]-OLDBD[[#This Row],[Inicio de Carga]],"")</f>
        <v/>
      </c>
    </row>
    <row r="828" spans="1:57" x14ac:dyDescent="0.35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6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Salida]]="","",MARÍTIMOS[[#This Row],[Etapa Retiro - Salida]]),"")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Row],[Hora de Carga]]+MARÍTIMOS[[#This Row],[Hora de Posicionamiento]]),"")</f>
        <v/>
      </c>
      <c r="Z828" s="11" t="str">
        <f>IFERROR(IF(MARÍTIMOS[[#This Row],[Etapa Despacho -  Llegada]]="","",MARÍTIMOS[[#This Row],[Etapa Despacho -  Llegada]]),"")</f>
        <v/>
      </c>
      <c r="AA828" s="11" t="str">
        <f>IFERROR(IF(MARÍTIMOS[[#This Row],[Etapa Despacho -  Registro]]="","",MARÍTIMOS[[#This Row],[Etapa Despacho - 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 Inicio de Carga]]="","",MARÍTIMOS[[#This Row],[Etapa Despacho -  Inicio de Carga]]),"")</f>
        <v/>
      </c>
      <c r="AD828" s="11" t="str">
        <f>IFERROR(IF(MARÍTIMOS[[#This Row],[Etapa Despacho -  Fin de Carga]]="","",MARÍTIMOS[[#This Row],[Etapa Despacho -  Fin de Carga]]),"")</f>
        <v/>
      </c>
      <c r="AE828" s="11" t="str">
        <f>IFERROR(IF(MARÍTIMOS[[#This Row],[Etapa Despacho -  Salida]]="","",MARÍTIMOS[[#This Row],[Etapa Despacho -  Salida]]),"")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5" t="s">
        <v>181</v>
      </c>
      <c r="BB828" s="53" t="str">
        <f>IFERROR(IF(MARÍTIMOS[[#This Row],[Estatus]]="","",MARÍTIMOS[[#This Row],[Estatus]]),"")</f>
        <v/>
      </c>
      <c r="BC828" s="45"/>
      <c r="BD828" s="52" t="str">
        <f>IFERROR(OLDBD[[#This Row],[Salida de almacén de retiro]]-OLDBD[[#This Row],[Ingreso Almacén de retiro]],"")</f>
        <v/>
      </c>
      <c r="BE828" s="52" t="str">
        <f>IFERROR(OLDBD[[#This Row],[Fin de Carga]]-OLDBD[[#This Row],[Inicio de Carga]],"")</f>
        <v/>
      </c>
    </row>
    <row r="829" spans="1:57" x14ac:dyDescent="0.35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6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Salida]]="","",MARÍTIMOS[[#This Row],[Etapa Retiro - Salida]]),"")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Row],[Hora de Carga]]+MARÍTIMOS[[#This Row],[Hora de Posicionamiento]]),"")</f>
        <v/>
      </c>
      <c r="Z829" s="11" t="str">
        <f>IFERROR(IF(MARÍTIMOS[[#This Row],[Etapa Despacho -  Llegada]]="","",MARÍTIMOS[[#This Row],[Etapa Despacho -  Llegada]]),"")</f>
        <v/>
      </c>
      <c r="AA829" s="11" t="str">
        <f>IFERROR(IF(MARÍTIMOS[[#This Row],[Etapa Despacho -  Registro]]="","",MARÍTIMOS[[#This Row],[Etapa Despacho - 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 Inicio de Carga]]="","",MARÍTIMOS[[#This Row],[Etapa Despacho -  Inicio de Carga]]),"")</f>
        <v/>
      </c>
      <c r="AD829" s="11" t="str">
        <f>IFERROR(IF(MARÍTIMOS[[#This Row],[Etapa Despacho -  Fin de Carga]]="","",MARÍTIMOS[[#This Row],[Etapa Despacho -  Fin de Carga]]),"")</f>
        <v/>
      </c>
      <c r="AE829" s="11" t="str">
        <f>IFERROR(IF(MARÍTIMOS[[#This Row],[Etapa Despacho -  Salida]]="","",MARÍTIMOS[[#This Row],[Etapa Despacho -  Salida]]),"")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5" t="s">
        <v>181</v>
      </c>
      <c r="BB829" s="53" t="str">
        <f>IFERROR(IF(MARÍTIMOS[[#This Row],[Estatus]]="","",MARÍTIMOS[[#This Row],[Estatus]]),"")</f>
        <v/>
      </c>
      <c r="BC829" s="45"/>
      <c r="BD829" s="52" t="str">
        <f>IFERROR(OLDBD[[#This Row],[Salida de almacén de retiro]]-OLDBD[[#This Row],[Ingreso Almacén de retiro]],"")</f>
        <v/>
      </c>
      <c r="BE829" s="52" t="str">
        <f>IFERROR(OLDBD[[#This Row],[Fin de Carga]]-OLDBD[[#This Row],[Inicio de Carga]],"")</f>
        <v/>
      </c>
    </row>
    <row r="830" spans="1:57" x14ac:dyDescent="0.35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6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Salida]]="","",MARÍTIMOS[[#This Row],[Etapa Retiro - Salida]]),"")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Row],[Hora de Carga]]+MARÍTIMOS[[#This Row],[Hora de Posicionamiento]]),"")</f>
        <v/>
      </c>
      <c r="Z830" s="11" t="str">
        <f>IFERROR(IF(MARÍTIMOS[[#This Row],[Etapa Despacho -  Llegada]]="","",MARÍTIMOS[[#This Row],[Etapa Despacho -  Llegada]]),"")</f>
        <v/>
      </c>
      <c r="AA830" s="11" t="str">
        <f>IFERROR(IF(MARÍTIMOS[[#This Row],[Etapa Despacho -  Registro]]="","",MARÍTIMOS[[#This Row],[Etapa Despacho - 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 Inicio de Carga]]="","",MARÍTIMOS[[#This Row],[Etapa Despacho -  Inicio de Carga]]),"")</f>
        <v/>
      </c>
      <c r="AD830" s="11" t="str">
        <f>IFERROR(IF(MARÍTIMOS[[#This Row],[Etapa Despacho -  Fin de Carga]]="","",MARÍTIMOS[[#This Row],[Etapa Despacho -  Fin de Carga]]),"")</f>
        <v/>
      </c>
      <c r="AE830" s="11" t="str">
        <f>IFERROR(IF(MARÍTIMOS[[#This Row],[Etapa Despacho -  Salida]]="","",MARÍTIMOS[[#This Row],[Etapa Despacho -  Salida]]),"")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5" t="s">
        <v>181</v>
      </c>
      <c r="BB830" s="53" t="str">
        <f>IFERROR(IF(MARÍTIMOS[[#This Row],[Estatus]]="","",MARÍTIMOS[[#This Row],[Estatus]]),"")</f>
        <v/>
      </c>
      <c r="BC830" s="45"/>
      <c r="BD830" s="52" t="str">
        <f>IFERROR(OLDBD[[#This Row],[Salida de almacén de retiro]]-OLDBD[[#This Row],[Ingreso Almacén de retiro]],"")</f>
        <v/>
      </c>
      <c r="BE830" s="52" t="str">
        <f>IFERROR(OLDBD[[#This Row],[Fin de Carga]]-OLDBD[[#This Row],[Inicio de Carga]],"")</f>
        <v/>
      </c>
    </row>
    <row r="831" spans="1:57" x14ac:dyDescent="0.35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6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Salida]]="","",MARÍTIMOS[[#This Row],[Etapa Retiro - Salida]]),"")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Row],[Hora de Carga]]+MARÍTIMOS[[#This Row],[Hora de Posicionamiento]]),"")</f>
        <v/>
      </c>
      <c r="Z831" s="11" t="str">
        <f>IFERROR(IF(MARÍTIMOS[[#This Row],[Etapa Despacho -  Llegada]]="","",MARÍTIMOS[[#This Row],[Etapa Despacho -  Llegada]]),"")</f>
        <v/>
      </c>
      <c r="AA831" s="11" t="str">
        <f>IFERROR(IF(MARÍTIMOS[[#This Row],[Etapa Despacho -  Registro]]="","",MARÍTIMOS[[#This Row],[Etapa Despacho - 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 Inicio de Carga]]="","",MARÍTIMOS[[#This Row],[Etapa Despacho -  Inicio de Carga]]),"")</f>
        <v/>
      </c>
      <c r="AD831" s="11" t="str">
        <f>IFERROR(IF(MARÍTIMOS[[#This Row],[Etapa Despacho -  Fin de Carga]]="","",MARÍTIMOS[[#This Row],[Etapa Despacho -  Fin de Carga]]),"")</f>
        <v/>
      </c>
      <c r="AE831" s="11" t="str">
        <f>IFERROR(IF(MARÍTIMOS[[#This Row],[Etapa Despacho -  Salida]]="","",MARÍTIMOS[[#This Row],[Etapa Despacho -  Salida]]),"")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5" t="s">
        <v>181</v>
      </c>
      <c r="BB831" s="53" t="str">
        <f>IFERROR(IF(MARÍTIMOS[[#This Row],[Estatus]]="","",MARÍTIMOS[[#This Row],[Estatus]]),"")</f>
        <v/>
      </c>
      <c r="BC831" s="45"/>
      <c r="BD831" s="52" t="str">
        <f>IFERROR(OLDBD[[#This Row],[Salida de almacén de retiro]]-OLDBD[[#This Row],[Ingreso Almacén de retiro]],"")</f>
        <v/>
      </c>
      <c r="BE831" s="52" t="str">
        <f>IFERROR(OLDBD[[#This Row],[Fin de Carga]]-OLDBD[[#This Row],[Inicio de Carga]],"")</f>
        <v/>
      </c>
    </row>
    <row r="832" spans="1:57" x14ac:dyDescent="0.35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6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Salida]]="","",MARÍTIMOS[[#This Row],[Etapa Retiro - Salida]]),"")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Row],[Hora de Carga]]+MARÍTIMOS[[#This Row],[Hora de Posicionamiento]]),"")</f>
        <v/>
      </c>
      <c r="Z832" s="11" t="str">
        <f>IFERROR(IF(MARÍTIMOS[[#This Row],[Etapa Despacho -  Llegada]]="","",MARÍTIMOS[[#This Row],[Etapa Despacho -  Llegada]]),"")</f>
        <v/>
      </c>
      <c r="AA832" s="11" t="str">
        <f>IFERROR(IF(MARÍTIMOS[[#This Row],[Etapa Despacho -  Registro]]="","",MARÍTIMOS[[#This Row],[Etapa Despacho - 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 Inicio de Carga]]="","",MARÍTIMOS[[#This Row],[Etapa Despacho -  Inicio de Carga]]),"")</f>
        <v/>
      </c>
      <c r="AD832" s="11" t="str">
        <f>IFERROR(IF(MARÍTIMOS[[#This Row],[Etapa Despacho -  Fin de Carga]]="","",MARÍTIMOS[[#This Row],[Etapa Despacho -  Fin de Carga]]),"")</f>
        <v/>
      </c>
      <c r="AE832" s="11" t="str">
        <f>IFERROR(IF(MARÍTIMOS[[#This Row],[Etapa Despacho -  Salida]]="","",MARÍTIMOS[[#This Row],[Etapa Despacho -  Salida]]),"")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5" t="s">
        <v>181</v>
      </c>
      <c r="BB832" s="53" t="str">
        <f>IFERROR(IF(MARÍTIMOS[[#This Row],[Estatus]]="","",MARÍTIMOS[[#This Row],[Estatus]]),"")</f>
        <v/>
      </c>
      <c r="BC832" s="45"/>
      <c r="BD832" s="52" t="str">
        <f>IFERROR(OLDBD[[#This Row],[Salida de almacén de retiro]]-OLDBD[[#This Row],[Ingreso Almacén de retiro]],"")</f>
        <v/>
      </c>
      <c r="BE832" s="52" t="str">
        <f>IFERROR(OLDBD[[#This Row],[Fin de Carga]]-OLDBD[[#This Row],[Inicio de Carga]],"")</f>
        <v/>
      </c>
    </row>
    <row r="833" spans="1:57" x14ac:dyDescent="0.35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6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Salida]]="","",MARÍTIMOS[[#This Row],[Etapa Retiro - Salida]]),"")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Row],[Hora de Carga]]+MARÍTIMOS[[#This Row],[Hora de Posicionamiento]]),"")</f>
        <v/>
      </c>
      <c r="Z833" s="11" t="str">
        <f>IFERROR(IF(MARÍTIMOS[[#This Row],[Etapa Despacho -  Llegada]]="","",MARÍTIMOS[[#This Row],[Etapa Despacho -  Llegada]]),"")</f>
        <v/>
      </c>
      <c r="AA833" s="11" t="str">
        <f>IFERROR(IF(MARÍTIMOS[[#This Row],[Etapa Despacho -  Registro]]="","",MARÍTIMOS[[#This Row],[Etapa Despacho - 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 Inicio de Carga]]="","",MARÍTIMOS[[#This Row],[Etapa Despacho -  Inicio de Carga]]),"")</f>
        <v/>
      </c>
      <c r="AD833" s="11" t="str">
        <f>IFERROR(IF(MARÍTIMOS[[#This Row],[Etapa Despacho -  Fin de Carga]]="","",MARÍTIMOS[[#This Row],[Etapa Despacho -  Fin de Carga]]),"")</f>
        <v/>
      </c>
      <c r="AE833" s="11" t="str">
        <f>IFERROR(IF(MARÍTIMOS[[#This Row],[Etapa Despacho -  Salida]]="","",MARÍTIMOS[[#This Row],[Etapa Despacho -  Salida]]),"")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5" t="s">
        <v>181</v>
      </c>
      <c r="BB833" s="53" t="str">
        <f>IFERROR(IF(MARÍTIMOS[[#This Row],[Estatus]]="","",MARÍTIMOS[[#This Row],[Estatus]]),"")</f>
        <v/>
      </c>
      <c r="BC833" s="45"/>
      <c r="BD833" s="52" t="str">
        <f>IFERROR(OLDBD[[#This Row],[Salida de almacén de retiro]]-OLDBD[[#This Row],[Ingreso Almacén de retiro]],"")</f>
        <v/>
      </c>
      <c r="BE833" s="52" t="str">
        <f>IFERROR(OLDBD[[#This Row],[Fin de Carga]]-OLDBD[[#This Row],[Inicio de Carga]],"")</f>
        <v/>
      </c>
    </row>
    <row r="834" spans="1:57" x14ac:dyDescent="0.35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6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Salida]]="","",MARÍTIMOS[[#This Row],[Etapa Retiro - Salida]]),"")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Row],[Hora de Carga]]+MARÍTIMOS[[#This Row],[Hora de Posicionamiento]]),"")</f>
        <v/>
      </c>
      <c r="Z834" s="11" t="str">
        <f>IFERROR(IF(MARÍTIMOS[[#This Row],[Etapa Despacho -  Llegada]]="","",MARÍTIMOS[[#This Row],[Etapa Despacho -  Llegada]]),"")</f>
        <v/>
      </c>
      <c r="AA834" s="11" t="str">
        <f>IFERROR(IF(MARÍTIMOS[[#This Row],[Etapa Despacho -  Registro]]="","",MARÍTIMOS[[#This Row],[Etapa Despacho - 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 Inicio de Carga]]="","",MARÍTIMOS[[#This Row],[Etapa Despacho -  Inicio de Carga]]),"")</f>
        <v/>
      </c>
      <c r="AD834" s="11" t="str">
        <f>IFERROR(IF(MARÍTIMOS[[#This Row],[Etapa Despacho -  Fin de Carga]]="","",MARÍTIMOS[[#This Row],[Etapa Despacho -  Fin de Carga]]),"")</f>
        <v/>
      </c>
      <c r="AE834" s="11" t="str">
        <f>IFERROR(IF(MARÍTIMOS[[#This Row],[Etapa Despacho -  Salida]]="","",MARÍTIMOS[[#This Row],[Etapa Despacho -  Salida]]),"")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5" t="s">
        <v>181</v>
      </c>
      <c r="BB834" s="53" t="str">
        <f>IFERROR(IF(MARÍTIMOS[[#This Row],[Estatus]]="","",MARÍTIMOS[[#This Row],[Estatus]]),"")</f>
        <v/>
      </c>
      <c r="BC834" s="45"/>
      <c r="BD834" s="52" t="str">
        <f>IFERROR(OLDBD[[#This Row],[Salida de almacén de retiro]]-OLDBD[[#This Row],[Ingreso Almacén de retiro]],"")</f>
        <v/>
      </c>
      <c r="BE834" s="52" t="str">
        <f>IFERROR(OLDBD[[#This Row],[Fin de Carga]]-OLDBD[[#This Row],[Inicio de Carga]],"")</f>
        <v/>
      </c>
    </row>
    <row r="835" spans="1:57" x14ac:dyDescent="0.35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6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Salida]]="","",MARÍTIMOS[[#This Row],[Etapa Retiro - Salida]]),"")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Row],[Hora de Carga]]+MARÍTIMOS[[#This Row],[Hora de Posicionamiento]]),"")</f>
        <v/>
      </c>
      <c r="Z835" s="11" t="str">
        <f>IFERROR(IF(MARÍTIMOS[[#This Row],[Etapa Despacho -  Llegada]]="","",MARÍTIMOS[[#This Row],[Etapa Despacho -  Llegada]]),"")</f>
        <v/>
      </c>
      <c r="AA835" s="11" t="str">
        <f>IFERROR(IF(MARÍTIMOS[[#This Row],[Etapa Despacho -  Registro]]="","",MARÍTIMOS[[#This Row],[Etapa Despacho - 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 Inicio de Carga]]="","",MARÍTIMOS[[#This Row],[Etapa Despacho -  Inicio de Carga]]),"")</f>
        <v/>
      </c>
      <c r="AD835" s="11" t="str">
        <f>IFERROR(IF(MARÍTIMOS[[#This Row],[Etapa Despacho -  Fin de Carga]]="","",MARÍTIMOS[[#This Row],[Etapa Despacho -  Fin de Carga]]),"")</f>
        <v/>
      </c>
      <c r="AE835" s="11" t="str">
        <f>IFERROR(IF(MARÍTIMOS[[#This Row],[Etapa Despacho -  Salida]]="","",MARÍTIMOS[[#This Row],[Etapa Despacho -  Salida]]),"")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5" t="s">
        <v>181</v>
      </c>
      <c r="BB835" s="53" t="str">
        <f>IFERROR(IF(MARÍTIMOS[[#This Row],[Estatus]]="","",MARÍTIMOS[[#This Row],[Estatus]]),"")</f>
        <v/>
      </c>
      <c r="BC835" s="45"/>
      <c r="BD835" s="52" t="str">
        <f>IFERROR(OLDBD[[#This Row],[Salida de almacén de retiro]]-OLDBD[[#This Row],[Ingreso Almacén de retiro]],"")</f>
        <v/>
      </c>
      <c r="BE835" s="52" t="str">
        <f>IFERROR(OLDBD[[#This Row],[Fin de Carga]]-OLDBD[[#This Row],[Inicio de Carga]],"")</f>
        <v/>
      </c>
    </row>
    <row r="836" spans="1:57" x14ac:dyDescent="0.35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6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Salida]]="","",MARÍTIMOS[[#This Row],[Etapa Retiro - Salida]]),"")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Row],[Hora de Carga]]+MARÍTIMOS[[#This Row],[Hora de Posicionamiento]]),"")</f>
        <v/>
      </c>
      <c r="Z836" s="11" t="str">
        <f>IFERROR(IF(MARÍTIMOS[[#This Row],[Etapa Despacho -  Llegada]]="","",MARÍTIMOS[[#This Row],[Etapa Despacho -  Llegada]]),"")</f>
        <v/>
      </c>
      <c r="AA836" s="11" t="str">
        <f>IFERROR(IF(MARÍTIMOS[[#This Row],[Etapa Despacho -  Registro]]="","",MARÍTIMOS[[#This Row],[Etapa Despacho - 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 Inicio de Carga]]="","",MARÍTIMOS[[#This Row],[Etapa Despacho -  Inicio de Carga]]),"")</f>
        <v/>
      </c>
      <c r="AD836" s="11" t="str">
        <f>IFERROR(IF(MARÍTIMOS[[#This Row],[Etapa Despacho -  Fin de Carga]]="","",MARÍTIMOS[[#This Row],[Etapa Despacho -  Fin de Carga]]),"")</f>
        <v/>
      </c>
      <c r="AE836" s="11" t="str">
        <f>IFERROR(IF(MARÍTIMOS[[#This Row],[Etapa Despacho -  Salida]]="","",MARÍTIMOS[[#This Row],[Etapa Despacho -  Salida]]),"")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5" t="s">
        <v>181</v>
      </c>
      <c r="BB836" s="53" t="str">
        <f>IFERROR(IF(MARÍTIMOS[[#This Row],[Estatus]]="","",MARÍTIMOS[[#This Row],[Estatus]]),"")</f>
        <v/>
      </c>
      <c r="BC836" s="45"/>
      <c r="BD836" s="52" t="str">
        <f>IFERROR(OLDBD[[#This Row],[Salida de almacén de retiro]]-OLDBD[[#This Row],[Ingreso Almacén de retiro]],"")</f>
        <v/>
      </c>
      <c r="BE836" s="52" t="str">
        <f>IFERROR(OLDBD[[#This Row],[Fin de Carga]]-OLDBD[[#This Row],[Inicio de Carga]],"")</f>
        <v/>
      </c>
    </row>
    <row r="837" spans="1:57" x14ac:dyDescent="0.35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6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Salida]]="","",MARÍTIMOS[[#This Row],[Etapa Retiro - Salida]]),"")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Row],[Hora de Carga]]+MARÍTIMOS[[#This Row],[Hora de Posicionamiento]]),"")</f>
        <v/>
      </c>
      <c r="Z837" s="11" t="str">
        <f>IFERROR(IF(MARÍTIMOS[[#This Row],[Etapa Despacho -  Llegada]]="","",MARÍTIMOS[[#This Row],[Etapa Despacho -  Llegada]]),"")</f>
        <v/>
      </c>
      <c r="AA837" s="11" t="str">
        <f>IFERROR(IF(MARÍTIMOS[[#This Row],[Etapa Despacho -  Registro]]="","",MARÍTIMOS[[#This Row],[Etapa Despacho - 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 Inicio de Carga]]="","",MARÍTIMOS[[#This Row],[Etapa Despacho -  Inicio de Carga]]),"")</f>
        <v/>
      </c>
      <c r="AD837" s="11" t="str">
        <f>IFERROR(IF(MARÍTIMOS[[#This Row],[Etapa Despacho -  Fin de Carga]]="","",MARÍTIMOS[[#This Row],[Etapa Despacho -  Fin de Carga]]),"")</f>
        <v/>
      </c>
      <c r="AE837" s="11" t="str">
        <f>IFERROR(IF(MARÍTIMOS[[#This Row],[Etapa Despacho -  Salida]]="","",MARÍTIMOS[[#This Row],[Etapa Despacho -  Salida]]),"")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5" t="s">
        <v>181</v>
      </c>
      <c r="BB837" s="53" t="str">
        <f>IFERROR(IF(MARÍTIMOS[[#This Row],[Estatus]]="","",MARÍTIMOS[[#This Row],[Estatus]]),"")</f>
        <v/>
      </c>
      <c r="BC837" s="45"/>
      <c r="BD837" s="52" t="str">
        <f>IFERROR(OLDBD[[#This Row],[Salida de almacén de retiro]]-OLDBD[[#This Row],[Ingreso Almacén de retiro]],"")</f>
        <v/>
      </c>
      <c r="BE837" s="52" t="str">
        <f>IFERROR(OLDBD[[#This Row],[Fin de Carga]]-OLDBD[[#This Row],[Inicio de Carga]],"")</f>
        <v/>
      </c>
    </row>
    <row r="838" spans="1:57" x14ac:dyDescent="0.35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6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Salida]]="","",MARÍTIMOS[[#This Row],[Etapa Retiro - Salida]]),"")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Row],[Hora de Carga]]+MARÍTIMOS[[#This Row],[Hora de Posicionamiento]]),"")</f>
        <v/>
      </c>
      <c r="Z838" s="11" t="str">
        <f>IFERROR(IF(MARÍTIMOS[[#This Row],[Etapa Despacho -  Llegada]]="","",MARÍTIMOS[[#This Row],[Etapa Despacho -  Llegada]]),"")</f>
        <v/>
      </c>
      <c r="AA838" s="11" t="str">
        <f>IFERROR(IF(MARÍTIMOS[[#This Row],[Etapa Despacho -  Registro]]="","",MARÍTIMOS[[#This Row],[Etapa Despacho - 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 Inicio de Carga]]="","",MARÍTIMOS[[#This Row],[Etapa Despacho -  Inicio de Carga]]),"")</f>
        <v/>
      </c>
      <c r="AD838" s="11" t="str">
        <f>IFERROR(IF(MARÍTIMOS[[#This Row],[Etapa Despacho -  Fin de Carga]]="","",MARÍTIMOS[[#This Row],[Etapa Despacho -  Fin de Carga]]),"")</f>
        <v/>
      </c>
      <c r="AE838" s="11" t="str">
        <f>IFERROR(IF(MARÍTIMOS[[#This Row],[Etapa Despacho -  Salida]]="","",MARÍTIMOS[[#This Row],[Etapa Despacho -  Salida]]),"")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5" t="s">
        <v>181</v>
      </c>
      <c r="BB838" s="53" t="str">
        <f>IFERROR(IF(MARÍTIMOS[[#This Row],[Estatus]]="","",MARÍTIMOS[[#This Row],[Estatus]]),"")</f>
        <v/>
      </c>
      <c r="BC838" s="45"/>
      <c r="BD838" s="52" t="str">
        <f>IFERROR(OLDBD[[#This Row],[Salida de almacén de retiro]]-OLDBD[[#This Row],[Ingreso Almacén de retiro]],"")</f>
        <v/>
      </c>
      <c r="BE838" s="52" t="str">
        <f>IFERROR(OLDBD[[#This Row],[Fin de Carga]]-OLDBD[[#This Row],[Inicio de Carga]],"")</f>
        <v/>
      </c>
    </row>
    <row r="839" spans="1:57" x14ac:dyDescent="0.35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6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Salida]]="","",MARÍTIMOS[[#This Row],[Etapa Retiro - Salida]]),"")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Row],[Hora de Carga]]+MARÍTIMOS[[#This Row],[Hora de Posicionamiento]]),"")</f>
        <v/>
      </c>
      <c r="Z839" s="11" t="str">
        <f>IFERROR(IF(MARÍTIMOS[[#This Row],[Etapa Despacho -  Llegada]]="","",MARÍTIMOS[[#This Row],[Etapa Despacho -  Llegada]]),"")</f>
        <v/>
      </c>
      <c r="AA839" s="11" t="str">
        <f>IFERROR(IF(MARÍTIMOS[[#This Row],[Etapa Despacho -  Registro]]="","",MARÍTIMOS[[#This Row],[Etapa Despacho - 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 Inicio de Carga]]="","",MARÍTIMOS[[#This Row],[Etapa Despacho -  Inicio de Carga]]),"")</f>
        <v/>
      </c>
      <c r="AD839" s="11" t="str">
        <f>IFERROR(IF(MARÍTIMOS[[#This Row],[Etapa Despacho -  Fin de Carga]]="","",MARÍTIMOS[[#This Row],[Etapa Despacho -  Fin de Carga]]),"")</f>
        <v/>
      </c>
      <c r="AE839" s="11" t="str">
        <f>IFERROR(IF(MARÍTIMOS[[#This Row],[Etapa Despacho -  Salida]]="","",MARÍTIMOS[[#This Row],[Etapa Despacho -  Salida]]),"")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5" t="s">
        <v>181</v>
      </c>
      <c r="BB839" s="53" t="str">
        <f>IFERROR(IF(MARÍTIMOS[[#This Row],[Estatus]]="","",MARÍTIMOS[[#This Row],[Estatus]]),"")</f>
        <v/>
      </c>
      <c r="BC839" s="45"/>
      <c r="BD839" s="52" t="str">
        <f>IFERROR(OLDBD[[#This Row],[Salida de almacén de retiro]]-OLDBD[[#This Row],[Ingreso Almacén de retiro]],"")</f>
        <v/>
      </c>
      <c r="BE839" s="52" t="str">
        <f>IFERROR(OLDBD[[#This Row],[Fin de Carga]]-OLDBD[[#This Row],[Inicio de Carga]],"")</f>
        <v/>
      </c>
    </row>
    <row r="840" spans="1:57" x14ac:dyDescent="0.35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6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Salida]]="","",MARÍTIMOS[[#This Row],[Etapa Retiro - Salida]]),"")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Row],[Hora de Carga]]+MARÍTIMOS[[#This Row],[Hora de Posicionamiento]]),"")</f>
        <v/>
      </c>
      <c r="Z840" s="11" t="str">
        <f>IFERROR(IF(MARÍTIMOS[[#This Row],[Etapa Despacho -  Llegada]]="","",MARÍTIMOS[[#This Row],[Etapa Despacho -  Llegada]]),"")</f>
        <v/>
      </c>
      <c r="AA840" s="11" t="str">
        <f>IFERROR(IF(MARÍTIMOS[[#This Row],[Etapa Despacho -  Registro]]="","",MARÍTIMOS[[#This Row],[Etapa Despacho - 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 Inicio de Carga]]="","",MARÍTIMOS[[#This Row],[Etapa Despacho -  Inicio de Carga]]),"")</f>
        <v/>
      </c>
      <c r="AD840" s="11" t="str">
        <f>IFERROR(IF(MARÍTIMOS[[#This Row],[Etapa Despacho -  Fin de Carga]]="","",MARÍTIMOS[[#This Row],[Etapa Despacho -  Fin de Carga]]),"")</f>
        <v/>
      </c>
      <c r="AE840" s="11" t="str">
        <f>IFERROR(IF(MARÍTIMOS[[#This Row],[Etapa Despacho -  Salida]]="","",MARÍTIMOS[[#This Row],[Etapa Despacho -  Salida]]),"")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5" t="s">
        <v>181</v>
      </c>
      <c r="BB840" s="53" t="str">
        <f>IFERROR(IF(MARÍTIMOS[[#This Row],[Estatus]]="","",MARÍTIMOS[[#This Row],[Estatus]]),"")</f>
        <v/>
      </c>
      <c r="BC840" s="45"/>
      <c r="BD840" s="52" t="str">
        <f>IFERROR(OLDBD[[#This Row],[Salida de almacén de retiro]]-OLDBD[[#This Row],[Ingreso Almacén de retiro]],"")</f>
        <v/>
      </c>
      <c r="BE840" s="52" t="str">
        <f>IFERROR(OLDBD[[#This Row],[Fin de Carga]]-OLDBD[[#This Row],[Inicio de Carga]],"")</f>
        <v/>
      </c>
    </row>
    <row r="841" spans="1:57" x14ac:dyDescent="0.35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6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Salida]]="","",MARÍTIMOS[[#This Row],[Etapa Retiro - Salida]]),"")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Row],[Hora de Carga]]+MARÍTIMOS[[#This Row],[Hora de Posicionamiento]]),"")</f>
        <v/>
      </c>
      <c r="Z841" s="11" t="str">
        <f>IFERROR(IF(MARÍTIMOS[[#This Row],[Etapa Despacho -  Llegada]]="","",MARÍTIMOS[[#This Row],[Etapa Despacho -  Llegada]]),"")</f>
        <v/>
      </c>
      <c r="AA841" s="11" t="str">
        <f>IFERROR(IF(MARÍTIMOS[[#This Row],[Etapa Despacho -  Registro]]="","",MARÍTIMOS[[#This Row],[Etapa Despacho - 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 Inicio de Carga]]="","",MARÍTIMOS[[#This Row],[Etapa Despacho -  Inicio de Carga]]),"")</f>
        <v/>
      </c>
      <c r="AD841" s="11" t="str">
        <f>IFERROR(IF(MARÍTIMOS[[#This Row],[Etapa Despacho -  Fin de Carga]]="","",MARÍTIMOS[[#This Row],[Etapa Despacho -  Fin de Carga]]),"")</f>
        <v/>
      </c>
      <c r="AE841" s="11" t="str">
        <f>IFERROR(IF(MARÍTIMOS[[#This Row],[Etapa Despacho -  Salida]]="","",MARÍTIMOS[[#This Row],[Etapa Despacho -  Salida]]),"")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5" t="s">
        <v>181</v>
      </c>
      <c r="BB841" s="53" t="str">
        <f>IFERROR(IF(MARÍTIMOS[[#This Row],[Estatus]]="","",MARÍTIMOS[[#This Row],[Estatus]]),"")</f>
        <v/>
      </c>
      <c r="BC841" s="45"/>
      <c r="BD841" s="52" t="str">
        <f>IFERROR(OLDBD[[#This Row],[Salida de almacén de retiro]]-OLDBD[[#This Row],[Ingreso Almacén de retiro]],"")</f>
        <v/>
      </c>
      <c r="BE841" s="52" t="str">
        <f>IFERROR(OLDBD[[#This Row],[Fin de Carga]]-OLDBD[[#This Row],[Inicio de Carga]],"")</f>
        <v/>
      </c>
    </row>
    <row r="842" spans="1:57" x14ac:dyDescent="0.35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6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Salida]]="","",MARÍTIMOS[[#This Row],[Etapa Retiro - Salida]]),"")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Row],[Hora de Carga]]+MARÍTIMOS[[#This Row],[Hora de Posicionamiento]]),"")</f>
        <v/>
      </c>
      <c r="Z842" s="11" t="str">
        <f>IFERROR(IF(MARÍTIMOS[[#This Row],[Etapa Despacho -  Llegada]]="","",MARÍTIMOS[[#This Row],[Etapa Despacho -  Llegada]]),"")</f>
        <v/>
      </c>
      <c r="AA842" s="11" t="str">
        <f>IFERROR(IF(MARÍTIMOS[[#This Row],[Etapa Despacho -  Registro]]="","",MARÍTIMOS[[#This Row],[Etapa Despacho - 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 Inicio de Carga]]="","",MARÍTIMOS[[#This Row],[Etapa Despacho -  Inicio de Carga]]),"")</f>
        <v/>
      </c>
      <c r="AD842" s="11" t="str">
        <f>IFERROR(IF(MARÍTIMOS[[#This Row],[Etapa Despacho -  Fin de Carga]]="","",MARÍTIMOS[[#This Row],[Etapa Despacho -  Fin de Carga]]),"")</f>
        <v/>
      </c>
      <c r="AE842" s="11" t="str">
        <f>IFERROR(IF(MARÍTIMOS[[#This Row],[Etapa Despacho -  Salida]]="","",MARÍTIMOS[[#This Row],[Etapa Despacho -  Salida]]),"")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5" t="s">
        <v>181</v>
      </c>
      <c r="BB842" s="53" t="str">
        <f>IFERROR(IF(MARÍTIMOS[[#This Row],[Estatus]]="","",MARÍTIMOS[[#This Row],[Estatus]]),"")</f>
        <v/>
      </c>
      <c r="BC842" s="45"/>
      <c r="BD842" s="52" t="str">
        <f>IFERROR(OLDBD[[#This Row],[Salida de almacén de retiro]]-OLDBD[[#This Row],[Ingreso Almacén de retiro]],"")</f>
        <v/>
      </c>
      <c r="BE842" s="52" t="str">
        <f>IFERROR(OLDBD[[#This Row],[Fin de Carga]]-OLDBD[[#This Row],[Inicio de Carga]],"")</f>
        <v/>
      </c>
    </row>
    <row r="843" spans="1:57" x14ac:dyDescent="0.35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6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Salida]]="","",MARÍTIMOS[[#This Row],[Etapa Retiro - Salida]]),"")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Row],[Hora de Carga]]+MARÍTIMOS[[#This Row],[Hora de Posicionamiento]]),"")</f>
        <v/>
      </c>
      <c r="Z843" s="11" t="str">
        <f>IFERROR(IF(MARÍTIMOS[[#This Row],[Etapa Despacho -  Llegada]]="","",MARÍTIMOS[[#This Row],[Etapa Despacho -  Llegada]]),"")</f>
        <v/>
      </c>
      <c r="AA843" s="11" t="str">
        <f>IFERROR(IF(MARÍTIMOS[[#This Row],[Etapa Despacho -  Registro]]="","",MARÍTIMOS[[#This Row],[Etapa Despacho - 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 Inicio de Carga]]="","",MARÍTIMOS[[#This Row],[Etapa Despacho -  Inicio de Carga]]),"")</f>
        <v/>
      </c>
      <c r="AD843" s="11" t="str">
        <f>IFERROR(IF(MARÍTIMOS[[#This Row],[Etapa Despacho -  Fin de Carga]]="","",MARÍTIMOS[[#This Row],[Etapa Despacho -  Fin de Carga]]),"")</f>
        <v/>
      </c>
      <c r="AE843" s="11" t="str">
        <f>IFERROR(IF(MARÍTIMOS[[#This Row],[Etapa Despacho -  Salida]]="","",MARÍTIMOS[[#This Row],[Etapa Despacho -  Salida]]),"")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5" t="s">
        <v>181</v>
      </c>
      <c r="BB843" s="53" t="str">
        <f>IFERROR(IF(MARÍTIMOS[[#This Row],[Estatus]]="","",MARÍTIMOS[[#This Row],[Estatus]]),"")</f>
        <v/>
      </c>
      <c r="BC843" s="45"/>
      <c r="BD843" s="52" t="str">
        <f>IFERROR(OLDBD[[#This Row],[Salida de almacén de retiro]]-OLDBD[[#This Row],[Ingreso Almacén de retiro]],"")</f>
        <v/>
      </c>
      <c r="BE843" s="52" t="str">
        <f>IFERROR(OLDBD[[#This Row],[Fin de Carga]]-OLDBD[[#This Row],[Inicio de Carga]],"")</f>
        <v/>
      </c>
    </row>
    <row r="844" spans="1:57" x14ac:dyDescent="0.35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6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Salida]]="","",MARÍTIMOS[[#This Row],[Etapa Retiro - Salida]]),"")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Row],[Hora de Carga]]+MARÍTIMOS[[#This Row],[Hora de Posicionamiento]]),"")</f>
        <v/>
      </c>
      <c r="Z844" s="11" t="str">
        <f>IFERROR(IF(MARÍTIMOS[[#This Row],[Etapa Despacho -  Llegada]]="","",MARÍTIMOS[[#This Row],[Etapa Despacho -  Llegada]]),"")</f>
        <v/>
      </c>
      <c r="AA844" s="11" t="str">
        <f>IFERROR(IF(MARÍTIMOS[[#This Row],[Etapa Despacho -  Registro]]="","",MARÍTIMOS[[#This Row],[Etapa Despacho - 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 Inicio de Carga]]="","",MARÍTIMOS[[#This Row],[Etapa Despacho -  Inicio de Carga]]),"")</f>
        <v/>
      </c>
      <c r="AD844" s="11" t="str">
        <f>IFERROR(IF(MARÍTIMOS[[#This Row],[Etapa Despacho -  Fin de Carga]]="","",MARÍTIMOS[[#This Row],[Etapa Despacho -  Fin de Carga]]),"")</f>
        <v/>
      </c>
      <c r="AE844" s="11" t="str">
        <f>IFERROR(IF(MARÍTIMOS[[#This Row],[Etapa Despacho -  Salida]]="","",MARÍTIMOS[[#This Row],[Etapa Despacho -  Salida]]),"")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5" t="s">
        <v>181</v>
      </c>
      <c r="BB844" s="53" t="str">
        <f>IFERROR(IF(MARÍTIMOS[[#This Row],[Estatus]]="","",MARÍTIMOS[[#This Row],[Estatus]]),"")</f>
        <v/>
      </c>
      <c r="BC844" s="45"/>
      <c r="BD844" s="52" t="str">
        <f>IFERROR(OLDBD[[#This Row],[Salida de almacén de retiro]]-OLDBD[[#This Row],[Ingreso Almacén de retiro]],"")</f>
        <v/>
      </c>
      <c r="BE844" s="52" t="str">
        <f>IFERROR(OLDBD[[#This Row],[Fin de Carga]]-OLDBD[[#This Row],[Inicio de Carga]],"")</f>
        <v/>
      </c>
    </row>
    <row r="845" spans="1:57" x14ac:dyDescent="0.35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6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Salida]]="","",MARÍTIMOS[[#This Row],[Etapa Retiro - Salida]]),"")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Row],[Hora de Carga]]+MARÍTIMOS[[#This Row],[Hora de Posicionamiento]]),"")</f>
        <v/>
      </c>
      <c r="Z845" s="11" t="str">
        <f>IFERROR(IF(MARÍTIMOS[[#This Row],[Etapa Despacho -  Llegada]]="","",MARÍTIMOS[[#This Row],[Etapa Despacho -  Llegada]]),"")</f>
        <v/>
      </c>
      <c r="AA845" s="11" t="str">
        <f>IFERROR(IF(MARÍTIMOS[[#This Row],[Etapa Despacho -  Registro]]="","",MARÍTIMOS[[#This Row],[Etapa Despacho - 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 Inicio de Carga]]="","",MARÍTIMOS[[#This Row],[Etapa Despacho -  Inicio de Carga]]),"")</f>
        <v/>
      </c>
      <c r="AD845" s="11" t="str">
        <f>IFERROR(IF(MARÍTIMOS[[#This Row],[Etapa Despacho -  Fin de Carga]]="","",MARÍTIMOS[[#This Row],[Etapa Despacho -  Fin de Carga]]),"")</f>
        <v/>
      </c>
      <c r="AE845" s="11" t="str">
        <f>IFERROR(IF(MARÍTIMOS[[#This Row],[Etapa Despacho -  Salida]]="","",MARÍTIMOS[[#This Row],[Etapa Despacho -  Salida]]),"")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5" t="s">
        <v>181</v>
      </c>
      <c r="BB845" s="53" t="str">
        <f>IFERROR(IF(MARÍTIMOS[[#This Row],[Estatus]]="","",MARÍTIMOS[[#This Row],[Estatus]]),"")</f>
        <v/>
      </c>
      <c r="BC845" s="45"/>
      <c r="BD845" s="52" t="str">
        <f>IFERROR(OLDBD[[#This Row],[Salida de almacén de retiro]]-OLDBD[[#This Row],[Ingreso Almacén de retiro]],"")</f>
        <v/>
      </c>
      <c r="BE845" s="52" t="str">
        <f>IFERROR(OLDBD[[#This Row],[Fin de Carga]]-OLDBD[[#This Row],[Inicio de Carga]],"")</f>
        <v/>
      </c>
    </row>
    <row r="846" spans="1:57" x14ac:dyDescent="0.35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6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Salida]]="","",MARÍTIMOS[[#This Row],[Etapa Retiro - Salida]]),"")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Row],[Hora de Carga]]+MARÍTIMOS[[#This Row],[Hora de Posicionamiento]]),"")</f>
        <v/>
      </c>
      <c r="Z846" s="11" t="str">
        <f>IFERROR(IF(MARÍTIMOS[[#This Row],[Etapa Despacho -  Llegada]]="","",MARÍTIMOS[[#This Row],[Etapa Despacho -  Llegada]]),"")</f>
        <v/>
      </c>
      <c r="AA846" s="11" t="str">
        <f>IFERROR(IF(MARÍTIMOS[[#This Row],[Etapa Despacho -  Registro]]="","",MARÍTIMOS[[#This Row],[Etapa Despacho - 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 Inicio de Carga]]="","",MARÍTIMOS[[#This Row],[Etapa Despacho -  Inicio de Carga]]),"")</f>
        <v/>
      </c>
      <c r="AD846" s="11" t="str">
        <f>IFERROR(IF(MARÍTIMOS[[#This Row],[Etapa Despacho -  Fin de Carga]]="","",MARÍTIMOS[[#This Row],[Etapa Despacho -  Fin de Carga]]),"")</f>
        <v/>
      </c>
      <c r="AE846" s="11" t="str">
        <f>IFERROR(IF(MARÍTIMOS[[#This Row],[Etapa Despacho -  Salida]]="","",MARÍTIMOS[[#This Row],[Etapa Despacho -  Salida]]),"")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5" t="s">
        <v>181</v>
      </c>
      <c r="BB846" s="53" t="str">
        <f>IFERROR(IF(MARÍTIMOS[[#This Row],[Estatus]]="","",MARÍTIMOS[[#This Row],[Estatus]]),"")</f>
        <v/>
      </c>
      <c r="BC846" s="45"/>
      <c r="BD846" s="52" t="str">
        <f>IFERROR(OLDBD[[#This Row],[Salida de almacén de retiro]]-OLDBD[[#This Row],[Ingreso Almacén de retiro]],"")</f>
        <v/>
      </c>
      <c r="BE846" s="52" t="str">
        <f>IFERROR(OLDBD[[#This Row],[Fin de Carga]]-OLDBD[[#This Row],[Inicio de Carga]],"")</f>
        <v/>
      </c>
    </row>
    <row r="847" spans="1:57" x14ac:dyDescent="0.35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6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Salida]]="","",MARÍTIMOS[[#This Row],[Etapa Retiro - Salida]]),"")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Row],[Hora de Carga]]+MARÍTIMOS[[#This Row],[Hora de Posicionamiento]]),"")</f>
        <v/>
      </c>
      <c r="Z847" s="11" t="str">
        <f>IFERROR(IF(MARÍTIMOS[[#This Row],[Etapa Despacho -  Llegada]]="","",MARÍTIMOS[[#This Row],[Etapa Despacho -  Llegada]]),"")</f>
        <v/>
      </c>
      <c r="AA847" s="11" t="str">
        <f>IFERROR(IF(MARÍTIMOS[[#This Row],[Etapa Despacho -  Registro]]="","",MARÍTIMOS[[#This Row],[Etapa Despacho - 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 Inicio de Carga]]="","",MARÍTIMOS[[#This Row],[Etapa Despacho -  Inicio de Carga]]),"")</f>
        <v/>
      </c>
      <c r="AD847" s="11" t="str">
        <f>IFERROR(IF(MARÍTIMOS[[#This Row],[Etapa Despacho -  Fin de Carga]]="","",MARÍTIMOS[[#This Row],[Etapa Despacho -  Fin de Carga]]),"")</f>
        <v/>
      </c>
      <c r="AE847" s="11" t="str">
        <f>IFERROR(IF(MARÍTIMOS[[#This Row],[Etapa Despacho -  Salida]]="","",MARÍTIMOS[[#This Row],[Etapa Despacho -  Salida]]),"")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5" t="s">
        <v>181</v>
      </c>
      <c r="BB847" s="53" t="str">
        <f>IFERROR(IF(MARÍTIMOS[[#This Row],[Estatus]]="","",MARÍTIMOS[[#This Row],[Estatus]]),"")</f>
        <v/>
      </c>
      <c r="BC847" s="45"/>
      <c r="BD847" s="52" t="str">
        <f>IFERROR(OLDBD[[#This Row],[Salida de almacén de retiro]]-OLDBD[[#This Row],[Ingreso Almacén de retiro]],"")</f>
        <v/>
      </c>
      <c r="BE847" s="52" t="str">
        <f>IFERROR(OLDBD[[#This Row],[Fin de Carga]]-OLDBD[[#This Row],[Inicio de Carga]],"")</f>
        <v/>
      </c>
    </row>
    <row r="848" spans="1:57" x14ac:dyDescent="0.35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6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Salida]]="","",MARÍTIMOS[[#This Row],[Etapa Retiro - Salida]]),"")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Row],[Hora de Carga]]+MARÍTIMOS[[#This Row],[Hora de Posicionamiento]]),"")</f>
        <v/>
      </c>
      <c r="Z848" s="11" t="str">
        <f>IFERROR(IF(MARÍTIMOS[[#This Row],[Etapa Despacho -  Llegada]]="","",MARÍTIMOS[[#This Row],[Etapa Despacho -  Llegada]]),"")</f>
        <v/>
      </c>
      <c r="AA848" s="11" t="str">
        <f>IFERROR(IF(MARÍTIMOS[[#This Row],[Etapa Despacho -  Registro]]="","",MARÍTIMOS[[#This Row],[Etapa Despacho - 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 Inicio de Carga]]="","",MARÍTIMOS[[#This Row],[Etapa Despacho -  Inicio de Carga]]),"")</f>
        <v/>
      </c>
      <c r="AD848" s="11" t="str">
        <f>IFERROR(IF(MARÍTIMOS[[#This Row],[Etapa Despacho -  Fin de Carga]]="","",MARÍTIMOS[[#This Row],[Etapa Despacho -  Fin de Carga]]),"")</f>
        <v/>
      </c>
      <c r="AE848" s="11" t="str">
        <f>IFERROR(IF(MARÍTIMOS[[#This Row],[Etapa Despacho -  Salida]]="","",MARÍTIMOS[[#This Row],[Etapa Despacho -  Salida]]),"")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5" t="s">
        <v>181</v>
      </c>
      <c r="BB848" s="53" t="str">
        <f>IFERROR(IF(MARÍTIMOS[[#This Row],[Estatus]]="","",MARÍTIMOS[[#This Row],[Estatus]]),"")</f>
        <v/>
      </c>
      <c r="BC848" s="45"/>
      <c r="BD848" s="52" t="str">
        <f>IFERROR(OLDBD[[#This Row],[Salida de almacén de retiro]]-OLDBD[[#This Row],[Ingreso Almacén de retiro]],"")</f>
        <v/>
      </c>
      <c r="BE848" s="52" t="str">
        <f>IFERROR(OLDBD[[#This Row],[Fin de Carga]]-OLDBD[[#This Row],[Inicio de Carga]],"")</f>
        <v/>
      </c>
    </row>
    <row r="849" spans="1:57" x14ac:dyDescent="0.35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6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Salida]]="","",MARÍTIMOS[[#This Row],[Etapa Retiro - Salida]]),"")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Row],[Hora de Carga]]+MARÍTIMOS[[#This Row],[Hora de Posicionamiento]]),"")</f>
        <v/>
      </c>
      <c r="Z849" s="11" t="str">
        <f>IFERROR(IF(MARÍTIMOS[[#This Row],[Etapa Despacho -  Llegada]]="","",MARÍTIMOS[[#This Row],[Etapa Despacho -  Llegada]]),"")</f>
        <v/>
      </c>
      <c r="AA849" s="11" t="str">
        <f>IFERROR(IF(MARÍTIMOS[[#This Row],[Etapa Despacho -  Registro]]="","",MARÍTIMOS[[#This Row],[Etapa Despacho - 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 Inicio de Carga]]="","",MARÍTIMOS[[#This Row],[Etapa Despacho -  Inicio de Carga]]),"")</f>
        <v/>
      </c>
      <c r="AD849" s="11" t="str">
        <f>IFERROR(IF(MARÍTIMOS[[#This Row],[Etapa Despacho -  Fin de Carga]]="","",MARÍTIMOS[[#This Row],[Etapa Despacho -  Fin de Carga]]),"")</f>
        <v/>
      </c>
      <c r="AE849" s="11" t="str">
        <f>IFERROR(IF(MARÍTIMOS[[#This Row],[Etapa Despacho -  Salida]]="","",MARÍTIMOS[[#This Row],[Etapa Despacho -  Salida]]),"")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5" t="s">
        <v>181</v>
      </c>
      <c r="BB849" s="53" t="str">
        <f>IFERROR(IF(MARÍTIMOS[[#This Row],[Estatus]]="","",MARÍTIMOS[[#This Row],[Estatus]]),"")</f>
        <v/>
      </c>
      <c r="BC849" s="45"/>
      <c r="BD849" s="52" t="str">
        <f>IFERROR(OLDBD[[#This Row],[Salida de almacén de retiro]]-OLDBD[[#This Row],[Ingreso Almacén de retiro]],"")</f>
        <v/>
      </c>
      <c r="BE849" s="52" t="str">
        <f>IFERROR(OLDBD[[#This Row],[Fin de Carga]]-OLDBD[[#This Row],[Inicio de Carga]],"")</f>
        <v/>
      </c>
    </row>
    <row r="850" spans="1:57" x14ac:dyDescent="0.35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6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Salida]]="","",MARÍTIMOS[[#This Row],[Etapa Retiro - Salida]]),"")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Row],[Hora de Carga]]+MARÍTIMOS[[#This Row],[Hora de Posicionamiento]]),"")</f>
        <v/>
      </c>
      <c r="Z850" s="11" t="str">
        <f>IFERROR(IF(MARÍTIMOS[[#This Row],[Etapa Despacho -  Llegada]]="","",MARÍTIMOS[[#This Row],[Etapa Despacho -  Llegada]]),"")</f>
        <v/>
      </c>
      <c r="AA850" s="11" t="str">
        <f>IFERROR(IF(MARÍTIMOS[[#This Row],[Etapa Despacho -  Registro]]="","",MARÍTIMOS[[#This Row],[Etapa Despacho - 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 Inicio de Carga]]="","",MARÍTIMOS[[#This Row],[Etapa Despacho -  Inicio de Carga]]),"")</f>
        <v/>
      </c>
      <c r="AD850" s="11" t="str">
        <f>IFERROR(IF(MARÍTIMOS[[#This Row],[Etapa Despacho -  Fin de Carga]]="","",MARÍTIMOS[[#This Row],[Etapa Despacho -  Fin de Carga]]),"")</f>
        <v/>
      </c>
      <c r="AE850" s="11" t="str">
        <f>IFERROR(IF(MARÍTIMOS[[#This Row],[Etapa Despacho -  Salida]]="","",MARÍTIMOS[[#This Row],[Etapa Despacho -  Salida]]),"")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5" t="s">
        <v>181</v>
      </c>
      <c r="BB850" s="53" t="str">
        <f>IFERROR(IF(MARÍTIMOS[[#This Row],[Estatus]]="","",MARÍTIMOS[[#This Row],[Estatus]]),"")</f>
        <v/>
      </c>
      <c r="BC850" s="45"/>
      <c r="BD850" s="52" t="str">
        <f>IFERROR(OLDBD[[#This Row],[Salida de almacén de retiro]]-OLDBD[[#This Row],[Ingreso Almacén de retiro]],"")</f>
        <v/>
      </c>
      <c r="BE850" s="52" t="str">
        <f>IFERROR(OLDBD[[#This Row],[Fin de Carga]]-OLDBD[[#This Row],[Inicio de Carga]],"")</f>
        <v/>
      </c>
    </row>
    <row r="851" spans="1:57" x14ac:dyDescent="0.35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6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Salida]]="","",MARÍTIMOS[[#This Row],[Etapa Retiro - Salida]]),"")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Row],[Hora de Carga]]+MARÍTIMOS[[#This Row],[Hora de Posicionamiento]]),"")</f>
        <v/>
      </c>
      <c r="Z851" s="11" t="str">
        <f>IFERROR(IF(MARÍTIMOS[[#This Row],[Etapa Despacho -  Llegada]]="","",MARÍTIMOS[[#This Row],[Etapa Despacho -  Llegada]]),"")</f>
        <v/>
      </c>
      <c r="AA851" s="11" t="str">
        <f>IFERROR(IF(MARÍTIMOS[[#This Row],[Etapa Despacho -  Registro]]="","",MARÍTIMOS[[#This Row],[Etapa Despacho - 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 Inicio de Carga]]="","",MARÍTIMOS[[#This Row],[Etapa Despacho -  Inicio de Carga]]),"")</f>
        <v/>
      </c>
      <c r="AD851" s="11" t="str">
        <f>IFERROR(IF(MARÍTIMOS[[#This Row],[Etapa Despacho -  Fin de Carga]]="","",MARÍTIMOS[[#This Row],[Etapa Despacho -  Fin de Carga]]),"")</f>
        <v/>
      </c>
      <c r="AE851" s="11" t="str">
        <f>IFERROR(IF(MARÍTIMOS[[#This Row],[Etapa Despacho -  Salida]]="","",MARÍTIMOS[[#This Row],[Etapa Despacho -  Salida]]),"")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5" t="s">
        <v>181</v>
      </c>
      <c r="BB851" s="53" t="str">
        <f>IFERROR(IF(MARÍTIMOS[[#This Row],[Estatus]]="","",MARÍTIMOS[[#This Row],[Estatus]]),"")</f>
        <v/>
      </c>
      <c r="BC851" s="45"/>
      <c r="BD851" s="52" t="str">
        <f>IFERROR(OLDBD[[#This Row],[Salida de almacén de retiro]]-OLDBD[[#This Row],[Ingreso Almacén de retiro]],"")</f>
        <v/>
      </c>
      <c r="BE851" s="52" t="str">
        <f>IFERROR(OLDBD[[#This Row],[Fin de Carga]]-OLDBD[[#This Row],[Inicio de Carga]],"")</f>
        <v/>
      </c>
    </row>
    <row r="852" spans="1:57" x14ac:dyDescent="0.35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6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Salida]]="","",MARÍTIMOS[[#This Row],[Etapa Retiro - Salida]]),"")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Row],[Hora de Carga]]+MARÍTIMOS[[#This Row],[Hora de Posicionamiento]]),"")</f>
        <v/>
      </c>
      <c r="Z852" s="11" t="str">
        <f>IFERROR(IF(MARÍTIMOS[[#This Row],[Etapa Despacho -  Llegada]]="","",MARÍTIMOS[[#This Row],[Etapa Despacho -  Llegada]]),"")</f>
        <v/>
      </c>
      <c r="AA852" s="11" t="str">
        <f>IFERROR(IF(MARÍTIMOS[[#This Row],[Etapa Despacho -  Registro]]="","",MARÍTIMOS[[#This Row],[Etapa Despacho - 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 Inicio de Carga]]="","",MARÍTIMOS[[#This Row],[Etapa Despacho -  Inicio de Carga]]),"")</f>
        <v/>
      </c>
      <c r="AD852" s="11" t="str">
        <f>IFERROR(IF(MARÍTIMOS[[#This Row],[Etapa Despacho -  Fin de Carga]]="","",MARÍTIMOS[[#This Row],[Etapa Despacho -  Fin de Carga]]),"")</f>
        <v/>
      </c>
      <c r="AE852" s="11" t="str">
        <f>IFERROR(IF(MARÍTIMOS[[#This Row],[Etapa Despacho -  Salida]]="","",MARÍTIMOS[[#This Row],[Etapa Despacho -  Salida]]),"")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5" t="s">
        <v>181</v>
      </c>
      <c r="BB852" s="53" t="str">
        <f>IFERROR(IF(MARÍTIMOS[[#This Row],[Estatus]]="","",MARÍTIMOS[[#This Row],[Estatus]]),"")</f>
        <v/>
      </c>
      <c r="BC852" s="45"/>
      <c r="BD852" s="52" t="str">
        <f>IFERROR(OLDBD[[#This Row],[Salida de almacén de retiro]]-OLDBD[[#This Row],[Ingreso Almacén de retiro]],"")</f>
        <v/>
      </c>
      <c r="BE852" s="52" t="str">
        <f>IFERROR(OLDBD[[#This Row],[Fin de Carga]]-OLDBD[[#This Row],[Inicio de Carga]],"")</f>
        <v/>
      </c>
    </row>
    <row r="853" spans="1:57" x14ac:dyDescent="0.35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6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Salida]]="","",MARÍTIMOS[[#This Row],[Etapa Retiro - Salida]]),"")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Row],[Hora de Carga]]+MARÍTIMOS[[#This Row],[Hora de Posicionamiento]]),"")</f>
        <v/>
      </c>
      <c r="Z853" s="11" t="str">
        <f>IFERROR(IF(MARÍTIMOS[[#This Row],[Etapa Despacho -  Llegada]]="","",MARÍTIMOS[[#This Row],[Etapa Despacho -  Llegada]]),"")</f>
        <v/>
      </c>
      <c r="AA853" s="11" t="str">
        <f>IFERROR(IF(MARÍTIMOS[[#This Row],[Etapa Despacho -  Registro]]="","",MARÍTIMOS[[#This Row],[Etapa Despacho - 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 Inicio de Carga]]="","",MARÍTIMOS[[#This Row],[Etapa Despacho -  Inicio de Carga]]),"")</f>
        <v/>
      </c>
      <c r="AD853" s="11" t="str">
        <f>IFERROR(IF(MARÍTIMOS[[#This Row],[Etapa Despacho -  Fin de Carga]]="","",MARÍTIMOS[[#This Row],[Etapa Despacho -  Fin de Carga]]),"")</f>
        <v/>
      </c>
      <c r="AE853" s="11" t="str">
        <f>IFERROR(IF(MARÍTIMOS[[#This Row],[Etapa Despacho -  Salida]]="","",MARÍTIMOS[[#This Row],[Etapa Despacho -  Salida]]),"")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5" t="s">
        <v>181</v>
      </c>
      <c r="BB853" s="53" t="str">
        <f>IFERROR(IF(MARÍTIMOS[[#This Row],[Estatus]]="","",MARÍTIMOS[[#This Row],[Estatus]]),"")</f>
        <v/>
      </c>
      <c r="BC853" s="45"/>
      <c r="BD853" s="52" t="str">
        <f>IFERROR(OLDBD[[#This Row],[Salida de almacén de retiro]]-OLDBD[[#This Row],[Ingreso Almacén de retiro]],"")</f>
        <v/>
      </c>
      <c r="BE853" s="52" t="str">
        <f>IFERROR(OLDBD[[#This Row],[Fin de Carga]]-OLDBD[[#This Row],[Inicio de Carga]],"")</f>
        <v/>
      </c>
    </row>
    <row r="854" spans="1:57" x14ac:dyDescent="0.35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6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Salida]]="","",MARÍTIMOS[[#This Row],[Etapa Retiro - Salida]]),"")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Row],[Hora de Carga]]+MARÍTIMOS[[#This Row],[Hora de Posicionamiento]]),"")</f>
        <v/>
      </c>
      <c r="Z854" s="11" t="str">
        <f>IFERROR(IF(MARÍTIMOS[[#This Row],[Etapa Despacho -  Llegada]]="","",MARÍTIMOS[[#This Row],[Etapa Despacho -  Llegada]]),"")</f>
        <v/>
      </c>
      <c r="AA854" s="11" t="str">
        <f>IFERROR(IF(MARÍTIMOS[[#This Row],[Etapa Despacho -  Registro]]="","",MARÍTIMOS[[#This Row],[Etapa Despacho - 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 Inicio de Carga]]="","",MARÍTIMOS[[#This Row],[Etapa Despacho -  Inicio de Carga]]),"")</f>
        <v/>
      </c>
      <c r="AD854" s="11" t="str">
        <f>IFERROR(IF(MARÍTIMOS[[#This Row],[Etapa Despacho -  Fin de Carga]]="","",MARÍTIMOS[[#This Row],[Etapa Despacho -  Fin de Carga]]),"")</f>
        <v/>
      </c>
      <c r="AE854" s="11" t="str">
        <f>IFERROR(IF(MARÍTIMOS[[#This Row],[Etapa Despacho -  Salida]]="","",MARÍTIMOS[[#This Row],[Etapa Despacho -  Salida]]),"")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5" t="s">
        <v>181</v>
      </c>
      <c r="BB854" s="53" t="str">
        <f>IFERROR(IF(MARÍTIMOS[[#This Row],[Estatus]]="","",MARÍTIMOS[[#This Row],[Estatus]]),"")</f>
        <v/>
      </c>
      <c r="BC854" s="45"/>
      <c r="BD854" s="52" t="str">
        <f>IFERROR(OLDBD[[#This Row],[Salida de almacén de retiro]]-OLDBD[[#This Row],[Ingreso Almacén de retiro]],"")</f>
        <v/>
      </c>
      <c r="BE854" s="52" t="str">
        <f>IFERROR(OLDBD[[#This Row],[Fin de Carga]]-OLDBD[[#This Row],[Inicio de Carga]],"")</f>
        <v/>
      </c>
    </row>
    <row r="855" spans="1:57" x14ac:dyDescent="0.35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6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Salida]]="","",MARÍTIMOS[[#This Row],[Etapa Retiro - Salida]]),"")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Row],[Hora de Carga]]+MARÍTIMOS[[#This Row],[Hora de Posicionamiento]]),"")</f>
        <v/>
      </c>
      <c r="Z855" s="11" t="str">
        <f>IFERROR(IF(MARÍTIMOS[[#This Row],[Etapa Despacho -  Llegada]]="","",MARÍTIMOS[[#This Row],[Etapa Despacho -  Llegada]]),"")</f>
        <v/>
      </c>
      <c r="AA855" s="11" t="str">
        <f>IFERROR(IF(MARÍTIMOS[[#This Row],[Etapa Despacho -  Registro]]="","",MARÍTIMOS[[#This Row],[Etapa Despacho - 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 Inicio de Carga]]="","",MARÍTIMOS[[#This Row],[Etapa Despacho -  Inicio de Carga]]),"")</f>
        <v/>
      </c>
      <c r="AD855" s="11" t="str">
        <f>IFERROR(IF(MARÍTIMOS[[#This Row],[Etapa Despacho -  Fin de Carga]]="","",MARÍTIMOS[[#This Row],[Etapa Despacho -  Fin de Carga]]),"")</f>
        <v/>
      </c>
      <c r="AE855" s="11" t="str">
        <f>IFERROR(IF(MARÍTIMOS[[#This Row],[Etapa Despacho -  Salida]]="","",MARÍTIMOS[[#This Row],[Etapa Despacho -  Salida]]),"")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5" t="s">
        <v>181</v>
      </c>
      <c r="BB855" s="53" t="str">
        <f>IFERROR(IF(MARÍTIMOS[[#This Row],[Estatus]]="","",MARÍTIMOS[[#This Row],[Estatus]]),"")</f>
        <v/>
      </c>
      <c r="BC855" s="45"/>
      <c r="BD855" s="52" t="str">
        <f>IFERROR(OLDBD[[#This Row],[Salida de almacén de retiro]]-OLDBD[[#This Row],[Ingreso Almacén de retiro]],"")</f>
        <v/>
      </c>
      <c r="BE855" s="52" t="str">
        <f>IFERROR(OLDBD[[#This Row],[Fin de Carga]]-OLDBD[[#This Row],[Inicio de Carga]],"")</f>
        <v/>
      </c>
    </row>
    <row r="856" spans="1:57" x14ac:dyDescent="0.35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6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Salida]]="","",MARÍTIMOS[[#This Row],[Etapa Retiro - Salida]]),"")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Row],[Hora de Carga]]+MARÍTIMOS[[#This Row],[Hora de Posicionamiento]]),"")</f>
        <v/>
      </c>
      <c r="Z856" s="11" t="str">
        <f>IFERROR(IF(MARÍTIMOS[[#This Row],[Etapa Despacho -  Llegada]]="","",MARÍTIMOS[[#This Row],[Etapa Despacho -  Llegada]]),"")</f>
        <v/>
      </c>
      <c r="AA856" s="11" t="str">
        <f>IFERROR(IF(MARÍTIMOS[[#This Row],[Etapa Despacho -  Registro]]="","",MARÍTIMOS[[#This Row],[Etapa Despacho - 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 Inicio de Carga]]="","",MARÍTIMOS[[#This Row],[Etapa Despacho -  Inicio de Carga]]),"")</f>
        <v/>
      </c>
      <c r="AD856" s="11" t="str">
        <f>IFERROR(IF(MARÍTIMOS[[#This Row],[Etapa Despacho -  Fin de Carga]]="","",MARÍTIMOS[[#This Row],[Etapa Despacho -  Fin de Carga]]),"")</f>
        <v/>
      </c>
      <c r="AE856" s="11" t="str">
        <f>IFERROR(IF(MARÍTIMOS[[#This Row],[Etapa Despacho -  Salida]]="","",MARÍTIMOS[[#This Row],[Etapa Despacho -  Salida]]),"")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5" t="s">
        <v>181</v>
      </c>
      <c r="BB856" s="53" t="str">
        <f>IFERROR(IF(MARÍTIMOS[[#This Row],[Estatus]]="","",MARÍTIMOS[[#This Row],[Estatus]]),"")</f>
        <v/>
      </c>
      <c r="BC856" s="45"/>
      <c r="BD856" s="52" t="str">
        <f>IFERROR(OLDBD[[#This Row],[Salida de almacén de retiro]]-OLDBD[[#This Row],[Ingreso Almacén de retiro]],"")</f>
        <v/>
      </c>
      <c r="BE856" s="52" t="str">
        <f>IFERROR(OLDBD[[#This Row],[Fin de Carga]]-OLDBD[[#This Row],[Inicio de Carga]],"")</f>
        <v/>
      </c>
    </row>
    <row r="857" spans="1:57" x14ac:dyDescent="0.35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6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Salida]]="","",MARÍTIMOS[[#This Row],[Etapa Retiro - Salida]]),"")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Row],[Hora de Carga]]+MARÍTIMOS[[#This Row],[Hora de Posicionamiento]]),"")</f>
        <v/>
      </c>
      <c r="Z857" s="11" t="str">
        <f>IFERROR(IF(MARÍTIMOS[[#This Row],[Etapa Despacho -  Llegada]]="","",MARÍTIMOS[[#This Row],[Etapa Despacho -  Llegada]]),"")</f>
        <v/>
      </c>
      <c r="AA857" s="11" t="str">
        <f>IFERROR(IF(MARÍTIMOS[[#This Row],[Etapa Despacho -  Registro]]="","",MARÍTIMOS[[#This Row],[Etapa Despacho - 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 Inicio de Carga]]="","",MARÍTIMOS[[#This Row],[Etapa Despacho -  Inicio de Carga]]),"")</f>
        <v/>
      </c>
      <c r="AD857" s="11" t="str">
        <f>IFERROR(IF(MARÍTIMOS[[#This Row],[Etapa Despacho -  Fin de Carga]]="","",MARÍTIMOS[[#This Row],[Etapa Despacho -  Fin de Carga]]),"")</f>
        <v/>
      </c>
      <c r="AE857" s="11" t="str">
        <f>IFERROR(IF(MARÍTIMOS[[#This Row],[Etapa Despacho -  Salida]]="","",MARÍTIMOS[[#This Row],[Etapa Despacho -  Salida]]),"")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5" t="s">
        <v>181</v>
      </c>
      <c r="BB857" s="53" t="str">
        <f>IFERROR(IF(MARÍTIMOS[[#This Row],[Estatus]]="","",MARÍTIMOS[[#This Row],[Estatus]]),"")</f>
        <v/>
      </c>
      <c r="BC857" s="45"/>
      <c r="BD857" s="52" t="str">
        <f>IFERROR(OLDBD[[#This Row],[Salida de almacén de retiro]]-OLDBD[[#This Row],[Ingreso Almacén de retiro]],"")</f>
        <v/>
      </c>
      <c r="BE857" s="52" t="str">
        <f>IFERROR(OLDBD[[#This Row],[Fin de Carga]]-OLDBD[[#This Row],[Inicio de Carga]],"")</f>
        <v/>
      </c>
    </row>
    <row r="858" spans="1:57" x14ac:dyDescent="0.35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6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Salida]]="","",MARÍTIMOS[[#This Row],[Etapa Retiro - Salida]]),"")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Row],[Hora de Carga]]+MARÍTIMOS[[#This Row],[Hora de Posicionamiento]]),"")</f>
        <v/>
      </c>
      <c r="Z858" s="11" t="str">
        <f>IFERROR(IF(MARÍTIMOS[[#This Row],[Etapa Despacho -  Llegada]]="","",MARÍTIMOS[[#This Row],[Etapa Despacho -  Llegada]]),"")</f>
        <v/>
      </c>
      <c r="AA858" s="11" t="str">
        <f>IFERROR(IF(MARÍTIMOS[[#This Row],[Etapa Despacho -  Registro]]="","",MARÍTIMOS[[#This Row],[Etapa Despacho - 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 Inicio de Carga]]="","",MARÍTIMOS[[#This Row],[Etapa Despacho -  Inicio de Carga]]),"")</f>
        <v/>
      </c>
      <c r="AD858" s="11" t="str">
        <f>IFERROR(IF(MARÍTIMOS[[#This Row],[Etapa Despacho -  Fin de Carga]]="","",MARÍTIMOS[[#This Row],[Etapa Despacho -  Fin de Carga]]),"")</f>
        <v/>
      </c>
      <c r="AE858" s="11" t="str">
        <f>IFERROR(IF(MARÍTIMOS[[#This Row],[Etapa Despacho -  Salida]]="","",MARÍTIMOS[[#This Row],[Etapa Despacho -  Salida]]),"")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5" t="s">
        <v>181</v>
      </c>
      <c r="BB858" s="53" t="str">
        <f>IFERROR(IF(MARÍTIMOS[[#This Row],[Estatus]]="","",MARÍTIMOS[[#This Row],[Estatus]]),"")</f>
        <v/>
      </c>
      <c r="BC858" s="45"/>
      <c r="BD858" s="52" t="str">
        <f>IFERROR(OLDBD[[#This Row],[Salida de almacén de retiro]]-OLDBD[[#This Row],[Ingreso Almacén de retiro]],"")</f>
        <v/>
      </c>
      <c r="BE858" s="52" t="str">
        <f>IFERROR(OLDBD[[#This Row],[Fin de Carga]]-OLDBD[[#This Row],[Inicio de Carga]],"")</f>
        <v/>
      </c>
    </row>
    <row r="859" spans="1:57" x14ac:dyDescent="0.35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6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Salida]]="","",MARÍTIMOS[[#This Row],[Etapa Retiro - Salida]]),"")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Row],[Hora de Carga]]+MARÍTIMOS[[#This Row],[Hora de Posicionamiento]]),"")</f>
        <v/>
      </c>
      <c r="Z859" s="11" t="str">
        <f>IFERROR(IF(MARÍTIMOS[[#This Row],[Etapa Despacho -  Llegada]]="","",MARÍTIMOS[[#This Row],[Etapa Despacho -  Llegada]]),"")</f>
        <v/>
      </c>
      <c r="AA859" s="11" t="str">
        <f>IFERROR(IF(MARÍTIMOS[[#This Row],[Etapa Despacho -  Registro]]="","",MARÍTIMOS[[#This Row],[Etapa Despacho - 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 Inicio de Carga]]="","",MARÍTIMOS[[#This Row],[Etapa Despacho -  Inicio de Carga]]),"")</f>
        <v/>
      </c>
      <c r="AD859" s="11" t="str">
        <f>IFERROR(IF(MARÍTIMOS[[#This Row],[Etapa Despacho -  Fin de Carga]]="","",MARÍTIMOS[[#This Row],[Etapa Despacho -  Fin de Carga]]),"")</f>
        <v/>
      </c>
      <c r="AE859" s="11" t="str">
        <f>IFERROR(IF(MARÍTIMOS[[#This Row],[Etapa Despacho -  Salida]]="","",MARÍTIMOS[[#This Row],[Etapa Despacho -  Salida]]),"")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5" t="s">
        <v>181</v>
      </c>
      <c r="BB859" s="53" t="str">
        <f>IFERROR(IF(MARÍTIMOS[[#This Row],[Estatus]]="","",MARÍTIMOS[[#This Row],[Estatus]]),"")</f>
        <v/>
      </c>
      <c r="BC859" s="45"/>
      <c r="BD859" s="52" t="str">
        <f>IFERROR(OLDBD[[#This Row],[Salida de almacén de retiro]]-OLDBD[[#This Row],[Ingreso Almacén de retiro]],"")</f>
        <v/>
      </c>
      <c r="BE859" s="52" t="str">
        <f>IFERROR(OLDBD[[#This Row],[Fin de Carga]]-OLDBD[[#This Row],[Inicio de Carga]],"")</f>
        <v/>
      </c>
    </row>
    <row r="860" spans="1:57" x14ac:dyDescent="0.35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6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Salida]]="","",MARÍTIMOS[[#This Row],[Etapa Retiro - Salida]]),"")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Row],[Hora de Carga]]+MARÍTIMOS[[#This Row],[Hora de Posicionamiento]]),"")</f>
        <v/>
      </c>
      <c r="Z860" s="11" t="str">
        <f>IFERROR(IF(MARÍTIMOS[[#This Row],[Etapa Despacho -  Llegada]]="","",MARÍTIMOS[[#This Row],[Etapa Despacho -  Llegada]]),"")</f>
        <v/>
      </c>
      <c r="AA860" s="11" t="str">
        <f>IFERROR(IF(MARÍTIMOS[[#This Row],[Etapa Despacho -  Registro]]="","",MARÍTIMOS[[#This Row],[Etapa Despacho - 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 Inicio de Carga]]="","",MARÍTIMOS[[#This Row],[Etapa Despacho -  Inicio de Carga]]),"")</f>
        <v/>
      </c>
      <c r="AD860" s="11" t="str">
        <f>IFERROR(IF(MARÍTIMOS[[#This Row],[Etapa Despacho -  Fin de Carga]]="","",MARÍTIMOS[[#This Row],[Etapa Despacho -  Fin de Carga]]),"")</f>
        <v/>
      </c>
      <c r="AE860" s="11" t="str">
        <f>IFERROR(IF(MARÍTIMOS[[#This Row],[Etapa Despacho -  Salida]]="","",MARÍTIMOS[[#This Row],[Etapa Despacho -  Salida]]),"")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5" t="s">
        <v>181</v>
      </c>
      <c r="BB860" s="53" t="str">
        <f>IFERROR(IF(MARÍTIMOS[[#This Row],[Estatus]]="","",MARÍTIMOS[[#This Row],[Estatus]]),"")</f>
        <v/>
      </c>
      <c r="BC860" s="45"/>
      <c r="BD860" s="52" t="str">
        <f>IFERROR(OLDBD[[#This Row],[Salida de almacén de retiro]]-OLDBD[[#This Row],[Ingreso Almacén de retiro]],"")</f>
        <v/>
      </c>
      <c r="BE860" s="52" t="str">
        <f>IFERROR(OLDBD[[#This Row],[Fin de Carga]]-OLDBD[[#This Row],[Inicio de Carga]],"")</f>
        <v/>
      </c>
    </row>
    <row r="861" spans="1:57" x14ac:dyDescent="0.35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6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Salida]]="","",MARÍTIMOS[[#This Row],[Etapa Retiro - Salida]]),"")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Row],[Hora de Carga]]+MARÍTIMOS[[#This Row],[Hora de Posicionamiento]]),"")</f>
        <v/>
      </c>
      <c r="Z861" s="11" t="str">
        <f>IFERROR(IF(MARÍTIMOS[[#This Row],[Etapa Despacho -  Llegada]]="","",MARÍTIMOS[[#This Row],[Etapa Despacho -  Llegada]]),"")</f>
        <v/>
      </c>
      <c r="AA861" s="11" t="str">
        <f>IFERROR(IF(MARÍTIMOS[[#This Row],[Etapa Despacho -  Registro]]="","",MARÍTIMOS[[#This Row],[Etapa Despacho - 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 Inicio de Carga]]="","",MARÍTIMOS[[#This Row],[Etapa Despacho -  Inicio de Carga]]),"")</f>
        <v/>
      </c>
      <c r="AD861" s="11" t="str">
        <f>IFERROR(IF(MARÍTIMOS[[#This Row],[Etapa Despacho -  Fin de Carga]]="","",MARÍTIMOS[[#This Row],[Etapa Despacho -  Fin de Carga]]),"")</f>
        <v/>
      </c>
      <c r="AE861" s="11" t="str">
        <f>IFERROR(IF(MARÍTIMOS[[#This Row],[Etapa Despacho -  Salida]]="","",MARÍTIMOS[[#This Row],[Etapa Despacho -  Salida]]),"")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5" t="s">
        <v>181</v>
      </c>
      <c r="BB861" s="53" t="str">
        <f>IFERROR(IF(MARÍTIMOS[[#This Row],[Estatus]]="","",MARÍTIMOS[[#This Row],[Estatus]]),"")</f>
        <v/>
      </c>
      <c r="BC861" s="45"/>
      <c r="BD861" s="52" t="str">
        <f>IFERROR(OLDBD[[#This Row],[Salida de almacén de retiro]]-OLDBD[[#This Row],[Ingreso Almacén de retiro]],"")</f>
        <v/>
      </c>
      <c r="BE861" s="52" t="str">
        <f>IFERROR(OLDBD[[#This Row],[Fin de Carga]]-OLDBD[[#This Row],[Inicio de Carga]],"")</f>
        <v/>
      </c>
    </row>
    <row r="862" spans="1:57" x14ac:dyDescent="0.35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6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Salida]]="","",MARÍTIMOS[[#This Row],[Etapa Retiro - Salida]]),"")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Row],[Hora de Carga]]+MARÍTIMOS[[#This Row],[Hora de Posicionamiento]]),"")</f>
        <v/>
      </c>
      <c r="Z862" s="11" t="str">
        <f>IFERROR(IF(MARÍTIMOS[[#This Row],[Etapa Despacho -  Llegada]]="","",MARÍTIMOS[[#This Row],[Etapa Despacho -  Llegada]]),"")</f>
        <v/>
      </c>
      <c r="AA862" s="11" t="str">
        <f>IFERROR(IF(MARÍTIMOS[[#This Row],[Etapa Despacho -  Registro]]="","",MARÍTIMOS[[#This Row],[Etapa Despacho - 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 Inicio de Carga]]="","",MARÍTIMOS[[#This Row],[Etapa Despacho -  Inicio de Carga]]),"")</f>
        <v/>
      </c>
      <c r="AD862" s="11" t="str">
        <f>IFERROR(IF(MARÍTIMOS[[#This Row],[Etapa Despacho -  Fin de Carga]]="","",MARÍTIMOS[[#This Row],[Etapa Despacho -  Fin de Carga]]),"")</f>
        <v/>
      </c>
      <c r="AE862" s="11" t="str">
        <f>IFERROR(IF(MARÍTIMOS[[#This Row],[Etapa Despacho -  Salida]]="","",MARÍTIMOS[[#This Row],[Etapa Despacho -  Salida]]),"")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5" t="s">
        <v>181</v>
      </c>
      <c r="BB862" s="53" t="str">
        <f>IFERROR(IF(MARÍTIMOS[[#This Row],[Estatus]]="","",MARÍTIMOS[[#This Row],[Estatus]]),"")</f>
        <v/>
      </c>
      <c r="BC862" s="45"/>
      <c r="BD862" s="52" t="str">
        <f>IFERROR(OLDBD[[#This Row],[Salida de almacén de retiro]]-OLDBD[[#This Row],[Ingreso Almacén de retiro]],"")</f>
        <v/>
      </c>
      <c r="BE862" s="52" t="str">
        <f>IFERROR(OLDBD[[#This Row],[Fin de Carga]]-OLDBD[[#This Row],[Inicio de Carga]],"")</f>
        <v/>
      </c>
    </row>
    <row r="863" spans="1:57" x14ac:dyDescent="0.35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6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Salida]]="","",MARÍTIMOS[[#This Row],[Etapa Retiro - Salida]]),"")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Row],[Hora de Carga]]+MARÍTIMOS[[#This Row],[Hora de Posicionamiento]]),"")</f>
        <v/>
      </c>
      <c r="Z863" s="11" t="str">
        <f>IFERROR(IF(MARÍTIMOS[[#This Row],[Etapa Despacho -  Llegada]]="","",MARÍTIMOS[[#This Row],[Etapa Despacho -  Llegada]]),"")</f>
        <v/>
      </c>
      <c r="AA863" s="11" t="str">
        <f>IFERROR(IF(MARÍTIMOS[[#This Row],[Etapa Despacho -  Registro]]="","",MARÍTIMOS[[#This Row],[Etapa Despacho - 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 Inicio de Carga]]="","",MARÍTIMOS[[#This Row],[Etapa Despacho -  Inicio de Carga]]),"")</f>
        <v/>
      </c>
      <c r="AD863" s="11" t="str">
        <f>IFERROR(IF(MARÍTIMOS[[#This Row],[Etapa Despacho -  Fin de Carga]]="","",MARÍTIMOS[[#This Row],[Etapa Despacho -  Fin de Carga]]),"")</f>
        <v/>
      </c>
      <c r="AE863" s="11" t="str">
        <f>IFERROR(IF(MARÍTIMOS[[#This Row],[Etapa Despacho -  Salida]]="","",MARÍTIMOS[[#This Row],[Etapa Despacho -  Salida]]),"")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5" t="s">
        <v>181</v>
      </c>
      <c r="BB863" s="53" t="str">
        <f>IFERROR(IF(MARÍTIMOS[[#This Row],[Estatus]]="","",MARÍTIMOS[[#This Row],[Estatus]]),"")</f>
        <v/>
      </c>
      <c r="BC863" s="45"/>
      <c r="BD863" s="52" t="str">
        <f>IFERROR(OLDBD[[#This Row],[Salida de almacén de retiro]]-OLDBD[[#This Row],[Ingreso Almacén de retiro]],"")</f>
        <v/>
      </c>
      <c r="BE863" s="52" t="str">
        <f>IFERROR(OLDBD[[#This Row],[Fin de Carga]]-OLDBD[[#This Row],[Inicio de Carga]],"")</f>
        <v/>
      </c>
    </row>
    <row r="864" spans="1:57" x14ac:dyDescent="0.35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6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Salida]]="","",MARÍTIMOS[[#This Row],[Etapa Retiro - Salida]]),"")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Row],[Hora de Carga]]+MARÍTIMOS[[#This Row],[Hora de Posicionamiento]]),"")</f>
        <v/>
      </c>
      <c r="Z864" s="11" t="str">
        <f>IFERROR(IF(MARÍTIMOS[[#This Row],[Etapa Despacho -  Llegada]]="","",MARÍTIMOS[[#This Row],[Etapa Despacho -  Llegada]]),"")</f>
        <v/>
      </c>
      <c r="AA864" s="11" t="str">
        <f>IFERROR(IF(MARÍTIMOS[[#This Row],[Etapa Despacho -  Registro]]="","",MARÍTIMOS[[#This Row],[Etapa Despacho - 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 Inicio de Carga]]="","",MARÍTIMOS[[#This Row],[Etapa Despacho -  Inicio de Carga]]),"")</f>
        <v/>
      </c>
      <c r="AD864" s="11" t="str">
        <f>IFERROR(IF(MARÍTIMOS[[#This Row],[Etapa Despacho -  Fin de Carga]]="","",MARÍTIMOS[[#This Row],[Etapa Despacho -  Fin de Carga]]),"")</f>
        <v/>
      </c>
      <c r="AE864" s="11" t="str">
        <f>IFERROR(IF(MARÍTIMOS[[#This Row],[Etapa Despacho -  Salida]]="","",MARÍTIMOS[[#This Row],[Etapa Despacho -  Salida]]),"")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5" t="s">
        <v>181</v>
      </c>
      <c r="BB864" s="53" t="str">
        <f>IFERROR(IF(MARÍTIMOS[[#This Row],[Estatus]]="","",MARÍTIMOS[[#This Row],[Estatus]]),"")</f>
        <v/>
      </c>
      <c r="BC864" s="45"/>
      <c r="BD864" s="52" t="str">
        <f>IFERROR(OLDBD[[#This Row],[Salida de almacén de retiro]]-OLDBD[[#This Row],[Ingreso Almacén de retiro]],"")</f>
        <v/>
      </c>
      <c r="BE864" s="52" t="str">
        <f>IFERROR(OLDBD[[#This Row],[Fin de Carga]]-OLDBD[[#This Row],[Inicio de Carga]],"")</f>
        <v/>
      </c>
    </row>
    <row r="865" spans="1:57" x14ac:dyDescent="0.35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6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Salida]]="","",MARÍTIMOS[[#This Row],[Etapa Retiro - Salida]]),"")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Row],[Hora de Carga]]+MARÍTIMOS[[#This Row],[Hora de Posicionamiento]]),"")</f>
        <v/>
      </c>
      <c r="Z865" s="11" t="str">
        <f>IFERROR(IF(MARÍTIMOS[[#This Row],[Etapa Despacho -  Llegada]]="","",MARÍTIMOS[[#This Row],[Etapa Despacho -  Llegada]]),"")</f>
        <v/>
      </c>
      <c r="AA865" s="11" t="str">
        <f>IFERROR(IF(MARÍTIMOS[[#This Row],[Etapa Despacho -  Registro]]="","",MARÍTIMOS[[#This Row],[Etapa Despacho - 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 Inicio de Carga]]="","",MARÍTIMOS[[#This Row],[Etapa Despacho -  Inicio de Carga]]),"")</f>
        <v/>
      </c>
      <c r="AD865" s="11" t="str">
        <f>IFERROR(IF(MARÍTIMOS[[#This Row],[Etapa Despacho -  Fin de Carga]]="","",MARÍTIMOS[[#This Row],[Etapa Despacho -  Fin de Carga]]),"")</f>
        <v/>
      </c>
      <c r="AE865" s="11" t="str">
        <f>IFERROR(IF(MARÍTIMOS[[#This Row],[Etapa Despacho -  Salida]]="","",MARÍTIMOS[[#This Row],[Etapa Despacho -  Salida]]),"")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5" t="s">
        <v>181</v>
      </c>
      <c r="BB865" s="53" t="str">
        <f>IFERROR(IF(MARÍTIMOS[[#This Row],[Estatus]]="","",MARÍTIMOS[[#This Row],[Estatus]]),"")</f>
        <v/>
      </c>
      <c r="BC865" s="45"/>
      <c r="BD865" s="52" t="str">
        <f>IFERROR(OLDBD[[#This Row],[Salida de almacén de retiro]]-OLDBD[[#This Row],[Ingreso Almacén de retiro]],"")</f>
        <v/>
      </c>
      <c r="BE865" s="52" t="str">
        <f>IFERROR(OLDBD[[#This Row],[Fin de Carga]]-OLDBD[[#This Row],[Inicio de Carga]],"")</f>
        <v/>
      </c>
    </row>
    <row r="866" spans="1:57" x14ac:dyDescent="0.35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6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Salida]]="","",MARÍTIMOS[[#This Row],[Etapa Retiro - Salida]]),"")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Row],[Hora de Carga]]+MARÍTIMOS[[#This Row],[Hora de Posicionamiento]]),"")</f>
        <v/>
      </c>
      <c r="Z866" s="11" t="str">
        <f>IFERROR(IF(MARÍTIMOS[[#This Row],[Etapa Despacho -  Llegada]]="","",MARÍTIMOS[[#This Row],[Etapa Despacho -  Llegada]]),"")</f>
        <v/>
      </c>
      <c r="AA866" s="11" t="str">
        <f>IFERROR(IF(MARÍTIMOS[[#This Row],[Etapa Despacho -  Registro]]="","",MARÍTIMOS[[#This Row],[Etapa Despacho - 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 Inicio de Carga]]="","",MARÍTIMOS[[#This Row],[Etapa Despacho -  Inicio de Carga]]),"")</f>
        <v/>
      </c>
      <c r="AD866" s="11" t="str">
        <f>IFERROR(IF(MARÍTIMOS[[#This Row],[Etapa Despacho -  Fin de Carga]]="","",MARÍTIMOS[[#This Row],[Etapa Despacho -  Fin de Carga]]),"")</f>
        <v/>
      </c>
      <c r="AE866" s="11" t="str">
        <f>IFERROR(IF(MARÍTIMOS[[#This Row],[Etapa Despacho -  Salida]]="","",MARÍTIMOS[[#This Row],[Etapa Despacho -  Salida]]),"")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5" t="s">
        <v>181</v>
      </c>
      <c r="BB866" s="53" t="str">
        <f>IFERROR(IF(MARÍTIMOS[[#This Row],[Estatus]]="","",MARÍTIMOS[[#This Row],[Estatus]]),"")</f>
        <v/>
      </c>
      <c r="BC866" s="45"/>
      <c r="BD866" s="52" t="str">
        <f>IFERROR(OLDBD[[#This Row],[Salida de almacén de retiro]]-OLDBD[[#This Row],[Ingreso Almacén de retiro]],"")</f>
        <v/>
      </c>
      <c r="BE866" s="52" t="str">
        <f>IFERROR(OLDBD[[#This Row],[Fin de Carga]]-OLDBD[[#This Row],[Inicio de Carga]],"")</f>
        <v/>
      </c>
    </row>
    <row r="867" spans="1:57" x14ac:dyDescent="0.35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6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Salida]]="","",MARÍTIMOS[[#This Row],[Etapa Retiro - Salida]]),"")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Row],[Hora de Carga]]+MARÍTIMOS[[#This Row],[Hora de Posicionamiento]]),"")</f>
        <v/>
      </c>
      <c r="Z867" s="11" t="str">
        <f>IFERROR(IF(MARÍTIMOS[[#This Row],[Etapa Despacho -  Llegada]]="","",MARÍTIMOS[[#This Row],[Etapa Despacho -  Llegada]]),"")</f>
        <v/>
      </c>
      <c r="AA867" s="11" t="str">
        <f>IFERROR(IF(MARÍTIMOS[[#This Row],[Etapa Despacho -  Registro]]="","",MARÍTIMOS[[#This Row],[Etapa Despacho - 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 Inicio de Carga]]="","",MARÍTIMOS[[#This Row],[Etapa Despacho -  Inicio de Carga]]),"")</f>
        <v/>
      </c>
      <c r="AD867" s="11" t="str">
        <f>IFERROR(IF(MARÍTIMOS[[#This Row],[Etapa Despacho -  Fin de Carga]]="","",MARÍTIMOS[[#This Row],[Etapa Despacho -  Fin de Carga]]),"")</f>
        <v/>
      </c>
      <c r="AE867" s="11" t="str">
        <f>IFERROR(IF(MARÍTIMOS[[#This Row],[Etapa Despacho -  Salida]]="","",MARÍTIMOS[[#This Row],[Etapa Despacho -  Salida]]),"")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5" t="s">
        <v>181</v>
      </c>
      <c r="BB867" s="53" t="str">
        <f>IFERROR(IF(MARÍTIMOS[[#This Row],[Estatus]]="","",MARÍTIMOS[[#This Row],[Estatus]]),"")</f>
        <v/>
      </c>
      <c r="BC867" s="45"/>
      <c r="BD867" s="52" t="str">
        <f>IFERROR(OLDBD[[#This Row],[Salida de almacén de retiro]]-OLDBD[[#This Row],[Ingreso Almacén de retiro]],"")</f>
        <v/>
      </c>
      <c r="BE867" s="52" t="str">
        <f>IFERROR(OLDBD[[#This Row],[Fin de Carga]]-OLDBD[[#This Row],[Inicio de Carga]],"")</f>
        <v/>
      </c>
    </row>
    <row r="868" spans="1:57" x14ac:dyDescent="0.35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6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Salida]]="","",MARÍTIMOS[[#This Row],[Etapa Retiro - Salida]]),"")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Row],[Hora de Carga]]+MARÍTIMOS[[#This Row],[Hora de Posicionamiento]]),"")</f>
        <v/>
      </c>
      <c r="Z868" s="11" t="str">
        <f>IFERROR(IF(MARÍTIMOS[[#This Row],[Etapa Despacho -  Llegada]]="","",MARÍTIMOS[[#This Row],[Etapa Despacho -  Llegada]]),"")</f>
        <v/>
      </c>
      <c r="AA868" s="11" t="str">
        <f>IFERROR(IF(MARÍTIMOS[[#This Row],[Etapa Despacho -  Registro]]="","",MARÍTIMOS[[#This Row],[Etapa Despacho - 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 Inicio de Carga]]="","",MARÍTIMOS[[#This Row],[Etapa Despacho -  Inicio de Carga]]),"")</f>
        <v/>
      </c>
      <c r="AD868" s="11" t="str">
        <f>IFERROR(IF(MARÍTIMOS[[#This Row],[Etapa Despacho -  Fin de Carga]]="","",MARÍTIMOS[[#This Row],[Etapa Despacho -  Fin de Carga]]),"")</f>
        <v/>
      </c>
      <c r="AE868" s="11" t="str">
        <f>IFERROR(IF(MARÍTIMOS[[#This Row],[Etapa Despacho -  Salida]]="","",MARÍTIMOS[[#This Row],[Etapa Despacho -  Salida]]),"")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5" t="s">
        <v>181</v>
      </c>
      <c r="BB868" s="53" t="str">
        <f>IFERROR(IF(MARÍTIMOS[[#This Row],[Estatus]]="","",MARÍTIMOS[[#This Row],[Estatus]]),"")</f>
        <v/>
      </c>
      <c r="BC868" s="45"/>
      <c r="BD868" s="52" t="str">
        <f>IFERROR(OLDBD[[#This Row],[Salida de almacén de retiro]]-OLDBD[[#This Row],[Ingreso Almacén de retiro]],"")</f>
        <v/>
      </c>
      <c r="BE868" s="52" t="str">
        <f>IFERROR(OLDBD[[#This Row],[Fin de Carga]]-OLDBD[[#This Row],[Inicio de Carga]],"")</f>
        <v/>
      </c>
    </row>
    <row r="869" spans="1:57" x14ac:dyDescent="0.35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6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Salida]]="","",MARÍTIMOS[[#This Row],[Etapa Retiro - Salida]]),"")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Row],[Hora de Carga]]+MARÍTIMOS[[#This Row],[Hora de Posicionamiento]]),"")</f>
        <v/>
      </c>
      <c r="Z869" s="11" t="str">
        <f>IFERROR(IF(MARÍTIMOS[[#This Row],[Etapa Despacho -  Llegada]]="","",MARÍTIMOS[[#This Row],[Etapa Despacho -  Llegada]]),"")</f>
        <v/>
      </c>
      <c r="AA869" s="11" t="str">
        <f>IFERROR(IF(MARÍTIMOS[[#This Row],[Etapa Despacho -  Registro]]="","",MARÍTIMOS[[#This Row],[Etapa Despacho - 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 Inicio de Carga]]="","",MARÍTIMOS[[#This Row],[Etapa Despacho -  Inicio de Carga]]),"")</f>
        <v/>
      </c>
      <c r="AD869" s="11" t="str">
        <f>IFERROR(IF(MARÍTIMOS[[#This Row],[Etapa Despacho -  Fin de Carga]]="","",MARÍTIMOS[[#This Row],[Etapa Despacho -  Fin de Carga]]),"")</f>
        <v/>
      </c>
      <c r="AE869" s="11" t="str">
        <f>IFERROR(IF(MARÍTIMOS[[#This Row],[Etapa Despacho -  Salida]]="","",MARÍTIMOS[[#This Row],[Etapa Despacho -  Salida]]),"")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5" t="s">
        <v>181</v>
      </c>
      <c r="BB869" s="53" t="str">
        <f>IFERROR(IF(MARÍTIMOS[[#This Row],[Estatus]]="","",MARÍTIMOS[[#This Row],[Estatus]]),"")</f>
        <v/>
      </c>
      <c r="BC869" s="45"/>
      <c r="BD869" s="52" t="str">
        <f>IFERROR(OLDBD[[#This Row],[Salida de almacén de retiro]]-OLDBD[[#This Row],[Ingreso Almacén de retiro]],"")</f>
        <v/>
      </c>
      <c r="BE869" s="52" t="str">
        <f>IFERROR(OLDBD[[#This Row],[Fin de Carga]]-OLDBD[[#This Row],[Inicio de Carga]],"")</f>
        <v/>
      </c>
    </row>
    <row r="870" spans="1:57" x14ac:dyDescent="0.35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6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Salida]]="","",MARÍTIMOS[[#This Row],[Etapa Retiro - Salida]]),"")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Row],[Hora de Carga]]+MARÍTIMOS[[#This Row],[Hora de Posicionamiento]]),"")</f>
        <v/>
      </c>
      <c r="Z870" s="11" t="str">
        <f>IFERROR(IF(MARÍTIMOS[[#This Row],[Etapa Despacho -  Llegada]]="","",MARÍTIMOS[[#This Row],[Etapa Despacho -  Llegada]]),"")</f>
        <v/>
      </c>
      <c r="AA870" s="11" t="str">
        <f>IFERROR(IF(MARÍTIMOS[[#This Row],[Etapa Despacho -  Registro]]="","",MARÍTIMOS[[#This Row],[Etapa Despacho - 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 Inicio de Carga]]="","",MARÍTIMOS[[#This Row],[Etapa Despacho -  Inicio de Carga]]),"")</f>
        <v/>
      </c>
      <c r="AD870" s="11" t="str">
        <f>IFERROR(IF(MARÍTIMOS[[#This Row],[Etapa Despacho -  Fin de Carga]]="","",MARÍTIMOS[[#This Row],[Etapa Despacho -  Fin de Carga]]),"")</f>
        <v/>
      </c>
      <c r="AE870" s="11" t="str">
        <f>IFERROR(IF(MARÍTIMOS[[#This Row],[Etapa Despacho -  Salida]]="","",MARÍTIMOS[[#This Row],[Etapa Despacho -  Salida]]),"")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5" t="s">
        <v>181</v>
      </c>
      <c r="BB870" s="53" t="str">
        <f>IFERROR(IF(MARÍTIMOS[[#This Row],[Estatus]]="","",MARÍTIMOS[[#This Row],[Estatus]]),"")</f>
        <v/>
      </c>
      <c r="BC870" s="45"/>
      <c r="BD870" s="52" t="str">
        <f>IFERROR(OLDBD[[#This Row],[Salida de almacén de retiro]]-OLDBD[[#This Row],[Ingreso Almacén de retiro]],"")</f>
        <v/>
      </c>
      <c r="BE870" s="52" t="str">
        <f>IFERROR(OLDBD[[#This Row],[Fin de Carga]]-OLDBD[[#This Row],[Inicio de Carga]],"")</f>
        <v/>
      </c>
    </row>
    <row r="871" spans="1:57" x14ac:dyDescent="0.35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6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Salida]]="","",MARÍTIMOS[[#This Row],[Etapa Retiro - Salida]]),"")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Row],[Hora de Carga]]+MARÍTIMOS[[#This Row],[Hora de Posicionamiento]]),"")</f>
        <v/>
      </c>
      <c r="Z871" s="11" t="str">
        <f>IFERROR(IF(MARÍTIMOS[[#This Row],[Etapa Despacho -  Llegada]]="","",MARÍTIMOS[[#This Row],[Etapa Despacho -  Llegada]]),"")</f>
        <v/>
      </c>
      <c r="AA871" s="11" t="str">
        <f>IFERROR(IF(MARÍTIMOS[[#This Row],[Etapa Despacho -  Registro]]="","",MARÍTIMOS[[#This Row],[Etapa Despacho - 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 Inicio de Carga]]="","",MARÍTIMOS[[#This Row],[Etapa Despacho -  Inicio de Carga]]),"")</f>
        <v/>
      </c>
      <c r="AD871" s="11" t="str">
        <f>IFERROR(IF(MARÍTIMOS[[#This Row],[Etapa Despacho -  Fin de Carga]]="","",MARÍTIMOS[[#This Row],[Etapa Despacho -  Fin de Carga]]),"")</f>
        <v/>
      </c>
      <c r="AE871" s="11" t="str">
        <f>IFERROR(IF(MARÍTIMOS[[#This Row],[Etapa Despacho -  Salida]]="","",MARÍTIMOS[[#This Row],[Etapa Despacho -  Salida]]),"")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5" t="s">
        <v>181</v>
      </c>
      <c r="BB871" s="53" t="str">
        <f>IFERROR(IF(MARÍTIMOS[[#This Row],[Estatus]]="","",MARÍTIMOS[[#This Row],[Estatus]]),"")</f>
        <v/>
      </c>
      <c r="BC871" s="45"/>
      <c r="BD871" s="52" t="str">
        <f>IFERROR(OLDBD[[#This Row],[Salida de almacén de retiro]]-OLDBD[[#This Row],[Ingreso Almacén de retiro]],"")</f>
        <v/>
      </c>
      <c r="BE871" s="52" t="str">
        <f>IFERROR(OLDBD[[#This Row],[Fin de Carga]]-OLDBD[[#This Row],[Inicio de Carga]],"")</f>
        <v/>
      </c>
    </row>
    <row r="872" spans="1:57" x14ac:dyDescent="0.35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6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Salida]]="","",MARÍTIMOS[[#This Row],[Etapa Retiro - Salida]]),"")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Row],[Hora de Carga]]+MARÍTIMOS[[#This Row],[Hora de Posicionamiento]]),"")</f>
        <v/>
      </c>
      <c r="Z872" s="11" t="str">
        <f>IFERROR(IF(MARÍTIMOS[[#This Row],[Etapa Despacho -  Llegada]]="","",MARÍTIMOS[[#This Row],[Etapa Despacho -  Llegada]]),"")</f>
        <v/>
      </c>
      <c r="AA872" s="11" t="str">
        <f>IFERROR(IF(MARÍTIMOS[[#This Row],[Etapa Despacho -  Registro]]="","",MARÍTIMOS[[#This Row],[Etapa Despacho - 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 Inicio de Carga]]="","",MARÍTIMOS[[#This Row],[Etapa Despacho -  Inicio de Carga]]),"")</f>
        <v/>
      </c>
      <c r="AD872" s="11" t="str">
        <f>IFERROR(IF(MARÍTIMOS[[#This Row],[Etapa Despacho -  Fin de Carga]]="","",MARÍTIMOS[[#This Row],[Etapa Despacho -  Fin de Carga]]),"")</f>
        <v/>
      </c>
      <c r="AE872" s="11" t="str">
        <f>IFERROR(IF(MARÍTIMOS[[#This Row],[Etapa Despacho -  Salida]]="","",MARÍTIMOS[[#This Row],[Etapa Despacho -  Salida]]),"")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5" t="s">
        <v>181</v>
      </c>
      <c r="BB872" s="53" t="str">
        <f>IFERROR(IF(MARÍTIMOS[[#This Row],[Estatus]]="","",MARÍTIMOS[[#This Row],[Estatus]]),"")</f>
        <v/>
      </c>
      <c r="BC872" s="45"/>
      <c r="BD872" s="52" t="str">
        <f>IFERROR(OLDBD[[#This Row],[Salida de almacén de retiro]]-OLDBD[[#This Row],[Ingreso Almacén de retiro]],"")</f>
        <v/>
      </c>
      <c r="BE872" s="52" t="str">
        <f>IFERROR(OLDBD[[#This Row],[Fin de Carga]]-OLDBD[[#This Row],[Inicio de Carga]],"")</f>
        <v/>
      </c>
    </row>
    <row r="873" spans="1:57" x14ac:dyDescent="0.35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6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Salida]]="","",MARÍTIMOS[[#This Row],[Etapa Retiro - Salida]]),"")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Row],[Hora de Carga]]+MARÍTIMOS[[#This Row],[Hora de Posicionamiento]]),"")</f>
        <v/>
      </c>
      <c r="Z873" s="11" t="str">
        <f>IFERROR(IF(MARÍTIMOS[[#This Row],[Etapa Despacho -  Llegada]]="","",MARÍTIMOS[[#This Row],[Etapa Despacho -  Llegada]]),"")</f>
        <v/>
      </c>
      <c r="AA873" s="11" t="str">
        <f>IFERROR(IF(MARÍTIMOS[[#This Row],[Etapa Despacho -  Registro]]="","",MARÍTIMOS[[#This Row],[Etapa Despacho - 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 Inicio de Carga]]="","",MARÍTIMOS[[#This Row],[Etapa Despacho -  Inicio de Carga]]),"")</f>
        <v/>
      </c>
      <c r="AD873" s="11" t="str">
        <f>IFERROR(IF(MARÍTIMOS[[#This Row],[Etapa Despacho -  Fin de Carga]]="","",MARÍTIMOS[[#This Row],[Etapa Despacho -  Fin de Carga]]),"")</f>
        <v/>
      </c>
      <c r="AE873" s="11" t="str">
        <f>IFERROR(IF(MARÍTIMOS[[#This Row],[Etapa Despacho -  Salida]]="","",MARÍTIMOS[[#This Row],[Etapa Despacho -  Salida]]),"")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5" t="s">
        <v>181</v>
      </c>
      <c r="BB873" s="53" t="str">
        <f>IFERROR(IF(MARÍTIMOS[[#This Row],[Estatus]]="","",MARÍTIMOS[[#This Row],[Estatus]]),"")</f>
        <v/>
      </c>
      <c r="BC873" s="45"/>
      <c r="BD873" s="52" t="str">
        <f>IFERROR(OLDBD[[#This Row],[Salida de almacén de retiro]]-OLDBD[[#This Row],[Ingreso Almacén de retiro]],"")</f>
        <v/>
      </c>
      <c r="BE873" s="52" t="str">
        <f>IFERROR(OLDBD[[#This Row],[Fin de Carga]]-OLDBD[[#This Row],[Inicio de Carga]],"")</f>
        <v/>
      </c>
    </row>
    <row r="874" spans="1:57" x14ac:dyDescent="0.35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6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Salida]]="","",MARÍTIMOS[[#This Row],[Etapa Retiro - Salida]]),"")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Row],[Hora de Carga]]+MARÍTIMOS[[#This Row],[Hora de Posicionamiento]]),"")</f>
        <v/>
      </c>
      <c r="Z874" s="11" t="str">
        <f>IFERROR(IF(MARÍTIMOS[[#This Row],[Etapa Despacho -  Llegada]]="","",MARÍTIMOS[[#This Row],[Etapa Despacho -  Llegada]]),"")</f>
        <v/>
      </c>
      <c r="AA874" s="11" t="str">
        <f>IFERROR(IF(MARÍTIMOS[[#This Row],[Etapa Despacho -  Registro]]="","",MARÍTIMOS[[#This Row],[Etapa Despacho - 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 Inicio de Carga]]="","",MARÍTIMOS[[#This Row],[Etapa Despacho -  Inicio de Carga]]),"")</f>
        <v/>
      </c>
      <c r="AD874" s="11" t="str">
        <f>IFERROR(IF(MARÍTIMOS[[#This Row],[Etapa Despacho -  Fin de Carga]]="","",MARÍTIMOS[[#This Row],[Etapa Despacho -  Fin de Carga]]),"")</f>
        <v/>
      </c>
      <c r="AE874" s="11" t="str">
        <f>IFERROR(IF(MARÍTIMOS[[#This Row],[Etapa Despacho -  Salida]]="","",MARÍTIMOS[[#This Row],[Etapa Despacho -  Salida]]),"")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5" t="s">
        <v>181</v>
      </c>
      <c r="BB874" s="53" t="str">
        <f>IFERROR(IF(MARÍTIMOS[[#This Row],[Estatus]]="","",MARÍTIMOS[[#This Row],[Estatus]]),"")</f>
        <v/>
      </c>
      <c r="BC874" s="45"/>
      <c r="BD874" s="52" t="str">
        <f>IFERROR(OLDBD[[#This Row],[Salida de almacén de retiro]]-OLDBD[[#This Row],[Ingreso Almacén de retiro]],"")</f>
        <v/>
      </c>
      <c r="BE874" s="52" t="str">
        <f>IFERROR(OLDBD[[#This Row],[Fin de Carga]]-OLDBD[[#This Row],[Inicio de Carga]],"")</f>
        <v/>
      </c>
    </row>
    <row r="875" spans="1:57" x14ac:dyDescent="0.35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6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Salida]]="","",MARÍTIMOS[[#This Row],[Etapa Retiro - Salida]]),"")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Row],[Hora de Carga]]+MARÍTIMOS[[#This Row],[Hora de Posicionamiento]]),"")</f>
        <v/>
      </c>
      <c r="Z875" s="11" t="str">
        <f>IFERROR(IF(MARÍTIMOS[[#This Row],[Etapa Despacho -  Llegada]]="","",MARÍTIMOS[[#This Row],[Etapa Despacho -  Llegada]]),"")</f>
        <v/>
      </c>
      <c r="AA875" s="11" t="str">
        <f>IFERROR(IF(MARÍTIMOS[[#This Row],[Etapa Despacho -  Registro]]="","",MARÍTIMOS[[#This Row],[Etapa Despacho - 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 Inicio de Carga]]="","",MARÍTIMOS[[#This Row],[Etapa Despacho -  Inicio de Carga]]),"")</f>
        <v/>
      </c>
      <c r="AD875" s="11" t="str">
        <f>IFERROR(IF(MARÍTIMOS[[#This Row],[Etapa Despacho -  Fin de Carga]]="","",MARÍTIMOS[[#This Row],[Etapa Despacho -  Fin de Carga]]),"")</f>
        <v/>
      </c>
      <c r="AE875" s="11" t="str">
        <f>IFERROR(IF(MARÍTIMOS[[#This Row],[Etapa Despacho -  Salida]]="","",MARÍTIMOS[[#This Row],[Etapa Despacho -  Salida]]),"")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5" t="s">
        <v>181</v>
      </c>
      <c r="BB875" s="53" t="str">
        <f>IFERROR(IF(MARÍTIMOS[[#This Row],[Estatus]]="","",MARÍTIMOS[[#This Row],[Estatus]]),"")</f>
        <v/>
      </c>
      <c r="BC875" s="45"/>
      <c r="BD875" s="52" t="str">
        <f>IFERROR(OLDBD[[#This Row],[Salida de almacén de retiro]]-OLDBD[[#This Row],[Ingreso Almacén de retiro]],"")</f>
        <v/>
      </c>
      <c r="BE875" s="52" t="str">
        <f>IFERROR(OLDBD[[#This Row],[Fin de Carga]]-OLDBD[[#This Row],[Inicio de Carga]],"")</f>
        <v/>
      </c>
    </row>
    <row r="876" spans="1:57" x14ac:dyDescent="0.35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6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Salida]]="","",MARÍTIMOS[[#This Row],[Etapa Retiro - Salida]]),"")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Row],[Hora de Carga]]+MARÍTIMOS[[#This Row],[Hora de Posicionamiento]]),"")</f>
        <v/>
      </c>
      <c r="Z876" s="11" t="str">
        <f>IFERROR(IF(MARÍTIMOS[[#This Row],[Etapa Despacho -  Llegada]]="","",MARÍTIMOS[[#This Row],[Etapa Despacho -  Llegada]]),"")</f>
        <v/>
      </c>
      <c r="AA876" s="11" t="str">
        <f>IFERROR(IF(MARÍTIMOS[[#This Row],[Etapa Despacho -  Registro]]="","",MARÍTIMOS[[#This Row],[Etapa Despacho - 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 Inicio de Carga]]="","",MARÍTIMOS[[#This Row],[Etapa Despacho -  Inicio de Carga]]),"")</f>
        <v/>
      </c>
      <c r="AD876" s="11" t="str">
        <f>IFERROR(IF(MARÍTIMOS[[#This Row],[Etapa Despacho -  Fin de Carga]]="","",MARÍTIMOS[[#This Row],[Etapa Despacho -  Fin de Carga]]),"")</f>
        <v/>
      </c>
      <c r="AE876" s="11" t="str">
        <f>IFERROR(IF(MARÍTIMOS[[#This Row],[Etapa Despacho -  Salida]]="","",MARÍTIMOS[[#This Row],[Etapa Despacho -  Salida]]),"")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5" t="s">
        <v>181</v>
      </c>
      <c r="BB876" s="53" t="str">
        <f>IFERROR(IF(MARÍTIMOS[[#This Row],[Estatus]]="","",MARÍTIMOS[[#This Row],[Estatus]]),"")</f>
        <v/>
      </c>
      <c r="BC876" s="45"/>
      <c r="BD876" s="52" t="str">
        <f>IFERROR(OLDBD[[#This Row],[Salida de almacén de retiro]]-OLDBD[[#This Row],[Ingreso Almacén de retiro]],"")</f>
        <v/>
      </c>
      <c r="BE876" s="52" t="str">
        <f>IFERROR(OLDBD[[#This Row],[Fin de Carga]]-OLDBD[[#This Row],[Inicio de Carga]],"")</f>
        <v/>
      </c>
    </row>
    <row r="877" spans="1:57" x14ac:dyDescent="0.35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6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Salida]]="","",MARÍTIMOS[[#This Row],[Etapa Retiro - Salida]]),"")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Row],[Hora de Carga]]+MARÍTIMOS[[#This Row],[Hora de Posicionamiento]]),"")</f>
        <v/>
      </c>
      <c r="Z877" s="11" t="str">
        <f>IFERROR(IF(MARÍTIMOS[[#This Row],[Etapa Despacho -  Llegada]]="","",MARÍTIMOS[[#This Row],[Etapa Despacho -  Llegada]]),"")</f>
        <v/>
      </c>
      <c r="AA877" s="11" t="str">
        <f>IFERROR(IF(MARÍTIMOS[[#This Row],[Etapa Despacho -  Registro]]="","",MARÍTIMOS[[#This Row],[Etapa Despacho - 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 Inicio de Carga]]="","",MARÍTIMOS[[#This Row],[Etapa Despacho -  Inicio de Carga]]),"")</f>
        <v/>
      </c>
      <c r="AD877" s="11" t="str">
        <f>IFERROR(IF(MARÍTIMOS[[#This Row],[Etapa Despacho -  Fin de Carga]]="","",MARÍTIMOS[[#This Row],[Etapa Despacho -  Fin de Carga]]),"")</f>
        <v/>
      </c>
      <c r="AE877" s="11" t="str">
        <f>IFERROR(IF(MARÍTIMOS[[#This Row],[Etapa Despacho -  Salida]]="","",MARÍTIMOS[[#This Row],[Etapa Despacho -  Salida]]),"")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5" t="s">
        <v>181</v>
      </c>
      <c r="BB877" s="53" t="str">
        <f>IFERROR(IF(MARÍTIMOS[[#This Row],[Estatus]]="","",MARÍTIMOS[[#This Row],[Estatus]]),"")</f>
        <v/>
      </c>
      <c r="BC877" s="45"/>
      <c r="BD877" s="52" t="str">
        <f>IFERROR(OLDBD[[#This Row],[Salida de almacén de retiro]]-OLDBD[[#This Row],[Ingreso Almacén de retiro]],"")</f>
        <v/>
      </c>
      <c r="BE877" s="52" t="str">
        <f>IFERROR(OLDBD[[#This Row],[Fin de Carga]]-OLDBD[[#This Row],[Inicio de Carga]],"")</f>
        <v/>
      </c>
    </row>
    <row r="878" spans="1:57" x14ac:dyDescent="0.35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6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Salida]]="","",MARÍTIMOS[[#This Row],[Etapa Retiro - Salida]]),"")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Row],[Hora de Carga]]+MARÍTIMOS[[#This Row],[Hora de Posicionamiento]]),"")</f>
        <v/>
      </c>
      <c r="Z878" s="11" t="str">
        <f>IFERROR(IF(MARÍTIMOS[[#This Row],[Etapa Despacho -  Llegada]]="","",MARÍTIMOS[[#This Row],[Etapa Despacho -  Llegada]]),"")</f>
        <v/>
      </c>
      <c r="AA878" s="11" t="str">
        <f>IFERROR(IF(MARÍTIMOS[[#This Row],[Etapa Despacho -  Registro]]="","",MARÍTIMOS[[#This Row],[Etapa Despacho - 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 Inicio de Carga]]="","",MARÍTIMOS[[#This Row],[Etapa Despacho -  Inicio de Carga]]),"")</f>
        <v/>
      </c>
      <c r="AD878" s="11" t="str">
        <f>IFERROR(IF(MARÍTIMOS[[#This Row],[Etapa Despacho -  Fin de Carga]]="","",MARÍTIMOS[[#This Row],[Etapa Despacho -  Fin de Carga]]),"")</f>
        <v/>
      </c>
      <c r="AE878" s="11" t="str">
        <f>IFERROR(IF(MARÍTIMOS[[#This Row],[Etapa Despacho -  Salida]]="","",MARÍTIMOS[[#This Row],[Etapa Despacho -  Salida]]),"")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5" t="s">
        <v>181</v>
      </c>
      <c r="BB878" s="53" t="str">
        <f>IFERROR(IF(MARÍTIMOS[[#This Row],[Estatus]]="","",MARÍTIMOS[[#This Row],[Estatus]]),"")</f>
        <v/>
      </c>
      <c r="BC878" s="45"/>
      <c r="BD878" s="52" t="str">
        <f>IFERROR(OLDBD[[#This Row],[Salida de almacén de retiro]]-OLDBD[[#This Row],[Ingreso Almacén de retiro]],"")</f>
        <v/>
      </c>
      <c r="BE878" s="52" t="str">
        <f>IFERROR(OLDBD[[#This Row],[Fin de Carga]]-OLDBD[[#This Row],[Inicio de Carga]],"")</f>
        <v/>
      </c>
    </row>
    <row r="879" spans="1:57" x14ac:dyDescent="0.35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6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Salida]]="","",MARÍTIMOS[[#This Row],[Etapa Retiro - Salida]]),"")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Row],[Hora de Carga]]+MARÍTIMOS[[#This Row],[Hora de Posicionamiento]]),"")</f>
        <v/>
      </c>
      <c r="Z879" s="11" t="str">
        <f>IFERROR(IF(MARÍTIMOS[[#This Row],[Etapa Despacho -  Llegada]]="","",MARÍTIMOS[[#This Row],[Etapa Despacho -  Llegada]]),"")</f>
        <v/>
      </c>
      <c r="AA879" s="11" t="str">
        <f>IFERROR(IF(MARÍTIMOS[[#This Row],[Etapa Despacho -  Registro]]="","",MARÍTIMOS[[#This Row],[Etapa Despacho - 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 Inicio de Carga]]="","",MARÍTIMOS[[#This Row],[Etapa Despacho -  Inicio de Carga]]),"")</f>
        <v/>
      </c>
      <c r="AD879" s="11" t="str">
        <f>IFERROR(IF(MARÍTIMOS[[#This Row],[Etapa Despacho -  Fin de Carga]]="","",MARÍTIMOS[[#This Row],[Etapa Despacho -  Fin de Carga]]),"")</f>
        <v/>
      </c>
      <c r="AE879" s="11" t="str">
        <f>IFERROR(IF(MARÍTIMOS[[#This Row],[Etapa Despacho -  Salida]]="","",MARÍTIMOS[[#This Row],[Etapa Despacho -  Salida]]),"")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5" t="s">
        <v>181</v>
      </c>
      <c r="BB879" s="53" t="str">
        <f>IFERROR(IF(MARÍTIMOS[[#This Row],[Estatus]]="","",MARÍTIMOS[[#This Row],[Estatus]]),"")</f>
        <v/>
      </c>
      <c r="BC879" s="45"/>
      <c r="BD879" s="52" t="str">
        <f>IFERROR(OLDBD[[#This Row],[Salida de almacén de retiro]]-OLDBD[[#This Row],[Ingreso Almacén de retiro]],"")</f>
        <v/>
      </c>
      <c r="BE879" s="52" t="str">
        <f>IFERROR(OLDBD[[#This Row],[Fin de Carga]]-OLDBD[[#This Row],[Inicio de Carga]],"")</f>
        <v/>
      </c>
    </row>
    <row r="880" spans="1:57" x14ac:dyDescent="0.35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6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Salida]]="","",MARÍTIMOS[[#This Row],[Etapa Retiro - Salida]]),"")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Row],[Hora de Carga]]+MARÍTIMOS[[#This Row],[Hora de Posicionamiento]]),"")</f>
        <v/>
      </c>
      <c r="Z880" s="11" t="str">
        <f>IFERROR(IF(MARÍTIMOS[[#This Row],[Etapa Despacho -  Llegada]]="","",MARÍTIMOS[[#This Row],[Etapa Despacho -  Llegada]]),"")</f>
        <v/>
      </c>
      <c r="AA880" s="11" t="str">
        <f>IFERROR(IF(MARÍTIMOS[[#This Row],[Etapa Despacho -  Registro]]="","",MARÍTIMOS[[#This Row],[Etapa Despacho - 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 Inicio de Carga]]="","",MARÍTIMOS[[#This Row],[Etapa Despacho -  Inicio de Carga]]),"")</f>
        <v/>
      </c>
      <c r="AD880" s="11" t="str">
        <f>IFERROR(IF(MARÍTIMOS[[#This Row],[Etapa Despacho -  Fin de Carga]]="","",MARÍTIMOS[[#This Row],[Etapa Despacho -  Fin de Carga]]),"")</f>
        <v/>
      </c>
      <c r="AE880" s="11" t="str">
        <f>IFERROR(IF(MARÍTIMOS[[#This Row],[Etapa Despacho -  Salida]]="","",MARÍTIMOS[[#This Row],[Etapa Despacho -  Salida]]),"")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5" t="s">
        <v>181</v>
      </c>
      <c r="BB880" s="53" t="str">
        <f>IFERROR(IF(MARÍTIMOS[[#This Row],[Estatus]]="","",MARÍTIMOS[[#This Row],[Estatus]]),"")</f>
        <v/>
      </c>
      <c r="BC880" s="45"/>
      <c r="BD880" s="52" t="str">
        <f>IFERROR(OLDBD[[#This Row],[Salida de almacén de retiro]]-OLDBD[[#This Row],[Ingreso Almacén de retiro]],"")</f>
        <v/>
      </c>
      <c r="BE880" s="52" t="str">
        <f>IFERROR(OLDBD[[#This Row],[Fin de Carga]]-OLDBD[[#This Row],[Inicio de Carga]],"")</f>
        <v/>
      </c>
    </row>
    <row r="881" spans="1:57" x14ac:dyDescent="0.35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6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Salida]]="","",MARÍTIMOS[[#This Row],[Etapa Retiro - Salida]]),"")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Row],[Hora de Carga]]+MARÍTIMOS[[#This Row],[Hora de Posicionamiento]]),"")</f>
        <v/>
      </c>
      <c r="Z881" s="11" t="str">
        <f>IFERROR(IF(MARÍTIMOS[[#This Row],[Etapa Despacho -  Llegada]]="","",MARÍTIMOS[[#This Row],[Etapa Despacho -  Llegada]]),"")</f>
        <v/>
      </c>
      <c r="AA881" s="11" t="str">
        <f>IFERROR(IF(MARÍTIMOS[[#This Row],[Etapa Despacho -  Registro]]="","",MARÍTIMOS[[#This Row],[Etapa Despacho - 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 Inicio de Carga]]="","",MARÍTIMOS[[#This Row],[Etapa Despacho -  Inicio de Carga]]),"")</f>
        <v/>
      </c>
      <c r="AD881" s="11" t="str">
        <f>IFERROR(IF(MARÍTIMOS[[#This Row],[Etapa Despacho -  Fin de Carga]]="","",MARÍTIMOS[[#This Row],[Etapa Despacho -  Fin de Carga]]),"")</f>
        <v/>
      </c>
      <c r="AE881" s="11" t="str">
        <f>IFERROR(IF(MARÍTIMOS[[#This Row],[Etapa Despacho -  Salida]]="","",MARÍTIMOS[[#This Row],[Etapa Despacho -  Salida]]),"")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5" t="s">
        <v>181</v>
      </c>
      <c r="BB881" s="53" t="str">
        <f>IFERROR(IF(MARÍTIMOS[[#This Row],[Estatus]]="","",MARÍTIMOS[[#This Row],[Estatus]]),"")</f>
        <v/>
      </c>
      <c r="BC881" s="45"/>
      <c r="BD881" s="52" t="str">
        <f>IFERROR(OLDBD[[#This Row],[Salida de almacén de retiro]]-OLDBD[[#This Row],[Ingreso Almacén de retiro]],"")</f>
        <v/>
      </c>
      <c r="BE881" s="52" t="str">
        <f>IFERROR(OLDBD[[#This Row],[Fin de Carga]]-OLDBD[[#This Row],[Inicio de Carga]],"")</f>
        <v/>
      </c>
    </row>
    <row r="882" spans="1:57" x14ac:dyDescent="0.35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6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Salida]]="","",MARÍTIMOS[[#This Row],[Etapa Retiro - Salida]]),"")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Row],[Hora de Carga]]+MARÍTIMOS[[#This Row],[Hora de Posicionamiento]]),"")</f>
        <v/>
      </c>
      <c r="Z882" s="11" t="str">
        <f>IFERROR(IF(MARÍTIMOS[[#This Row],[Etapa Despacho -  Llegada]]="","",MARÍTIMOS[[#This Row],[Etapa Despacho -  Llegada]]),"")</f>
        <v/>
      </c>
      <c r="AA882" s="11" t="str">
        <f>IFERROR(IF(MARÍTIMOS[[#This Row],[Etapa Despacho -  Registro]]="","",MARÍTIMOS[[#This Row],[Etapa Despacho - 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 Inicio de Carga]]="","",MARÍTIMOS[[#This Row],[Etapa Despacho -  Inicio de Carga]]),"")</f>
        <v/>
      </c>
      <c r="AD882" s="11" t="str">
        <f>IFERROR(IF(MARÍTIMOS[[#This Row],[Etapa Despacho -  Fin de Carga]]="","",MARÍTIMOS[[#This Row],[Etapa Despacho -  Fin de Carga]]),"")</f>
        <v/>
      </c>
      <c r="AE882" s="11" t="str">
        <f>IFERROR(IF(MARÍTIMOS[[#This Row],[Etapa Despacho -  Salida]]="","",MARÍTIMOS[[#This Row],[Etapa Despacho -  Salida]]),"")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5" t="s">
        <v>181</v>
      </c>
      <c r="BB882" s="53" t="str">
        <f>IFERROR(IF(MARÍTIMOS[[#This Row],[Estatus]]="","",MARÍTIMOS[[#This Row],[Estatus]]),"")</f>
        <v/>
      </c>
      <c r="BC882" s="45"/>
      <c r="BD882" s="52" t="str">
        <f>IFERROR(OLDBD[[#This Row],[Salida de almacén de retiro]]-OLDBD[[#This Row],[Ingreso Almacén de retiro]],"")</f>
        <v/>
      </c>
      <c r="BE882" s="52" t="str">
        <f>IFERROR(OLDBD[[#This Row],[Fin de Carga]]-OLDBD[[#This Row],[Inicio de Carga]],"")</f>
        <v/>
      </c>
    </row>
    <row r="883" spans="1:57" x14ac:dyDescent="0.35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6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Salida]]="","",MARÍTIMOS[[#This Row],[Etapa Retiro - Salida]]),"")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Row],[Hora de Carga]]+MARÍTIMOS[[#This Row],[Hora de Posicionamiento]]),"")</f>
        <v/>
      </c>
      <c r="Z883" s="11" t="str">
        <f>IFERROR(IF(MARÍTIMOS[[#This Row],[Etapa Despacho -  Llegada]]="","",MARÍTIMOS[[#This Row],[Etapa Despacho -  Llegada]]),"")</f>
        <v/>
      </c>
      <c r="AA883" s="11" t="str">
        <f>IFERROR(IF(MARÍTIMOS[[#This Row],[Etapa Despacho -  Registro]]="","",MARÍTIMOS[[#This Row],[Etapa Despacho - 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 Inicio de Carga]]="","",MARÍTIMOS[[#This Row],[Etapa Despacho -  Inicio de Carga]]),"")</f>
        <v/>
      </c>
      <c r="AD883" s="11" t="str">
        <f>IFERROR(IF(MARÍTIMOS[[#This Row],[Etapa Despacho -  Fin de Carga]]="","",MARÍTIMOS[[#This Row],[Etapa Despacho -  Fin de Carga]]),"")</f>
        <v/>
      </c>
      <c r="AE883" s="11" t="str">
        <f>IFERROR(IF(MARÍTIMOS[[#This Row],[Etapa Despacho -  Salida]]="","",MARÍTIMOS[[#This Row],[Etapa Despacho -  Salida]]),"")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5" t="s">
        <v>181</v>
      </c>
      <c r="BB883" s="53" t="str">
        <f>IFERROR(IF(MARÍTIMOS[[#This Row],[Estatus]]="","",MARÍTIMOS[[#This Row],[Estatus]]),"")</f>
        <v/>
      </c>
      <c r="BC883" s="45"/>
      <c r="BD883" s="52" t="str">
        <f>IFERROR(OLDBD[[#This Row],[Salida de almacén de retiro]]-OLDBD[[#This Row],[Ingreso Almacén de retiro]],"")</f>
        <v/>
      </c>
      <c r="BE883" s="52" t="str">
        <f>IFERROR(OLDBD[[#This Row],[Fin de Carga]]-OLDBD[[#This Row],[Inicio de Carga]],"")</f>
        <v/>
      </c>
    </row>
    <row r="884" spans="1:57" x14ac:dyDescent="0.35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6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Salida]]="","",MARÍTIMOS[[#This Row],[Etapa Retiro - Salida]]),"")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Row],[Hora de Carga]]+MARÍTIMOS[[#This Row],[Hora de Posicionamiento]]),"")</f>
        <v/>
      </c>
      <c r="Z884" s="11" t="str">
        <f>IFERROR(IF(MARÍTIMOS[[#This Row],[Etapa Despacho -  Llegada]]="","",MARÍTIMOS[[#This Row],[Etapa Despacho -  Llegada]]),"")</f>
        <v/>
      </c>
      <c r="AA884" s="11" t="str">
        <f>IFERROR(IF(MARÍTIMOS[[#This Row],[Etapa Despacho -  Registro]]="","",MARÍTIMOS[[#This Row],[Etapa Despacho - 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 Inicio de Carga]]="","",MARÍTIMOS[[#This Row],[Etapa Despacho -  Inicio de Carga]]),"")</f>
        <v/>
      </c>
      <c r="AD884" s="11" t="str">
        <f>IFERROR(IF(MARÍTIMOS[[#This Row],[Etapa Despacho -  Fin de Carga]]="","",MARÍTIMOS[[#This Row],[Etapa Despacho -  Fin de Carga]]),"")</f>
        <v/>
      </c>
      <c r="AE884" s="11" t="str">
        <f>IFERROR(IF(MARÍTIMOS[[#This Row],[Etapa Despacho -  Salida]]="","",MARÍTIMOS[[#This Row],[Etapa Despacho -  Salida]]),"")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5" t="s">
        <v>181</v>
      </c>
      <c r="BB884" s="53" t="str">
        <f>IFERROR(IF(MARÍTIMOS[[#This Row],[Estatus]]="","",MARÍTIMOS[[#This Row],[Estatus]]),"")</f>
        <v/>
      </c>
      <c r="BC884" s="45"/>
      <c r="BD884" s="52" t="str">
        <f>IFERROR(OLDBD[[#This Row],[Salida de almacén de retiro]]-OLDBD[[#This Row],[Ingreso Almacén de retiro]],"")</f>
        <v/>
      </c>
      <c r="BE884" s="52" t="str">
        <f>IFERROR(OLDBD[[#This Row],[Fin de Carga]]-OLDBD[[#This Row],[Inicio de Carga]],"")</f>
        <v/>
      </c>
    </row>
    <row r="885" spans="1:57" x14ac:dyDescent="0.35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6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Salida]]="","",MARÍTIMOS[[#This Row],[Etapa Retiro - Salida]]),"")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Row],[Hora de Carga]]+MARÍTIMOS[[#This Row],[Hora de Posicionamiento]]),"")</f>
        <v/>
      </c>
      <c r="Z885" s="11" t="str">
        <f>IFERROR(IF(MARÍTIMOS[[#This Row],[Etapa Despacho -  Llegada]]="","",MARÍTIMOS[[#This Row],[Etapa Despacho -  Llegada]]),"")</f>
        <v/>
      </c>
      <c r="AA885" s="11" t="str">
        <f>IFERROR(IF(MARÍTIMOS[[#This Row],[Etapa Despacho -  Registro]]="","",MARÍTIMOS[[#This Row],[Etapa Despacho - 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 Inicio de Carga]]="","",MARÍTIMOS[[#This Row],[Etapa Despacho -  Inicio de Carga]]),"")</f>
        <v/>
      </c>
      <c r="AD885" s="11" t="str">
        <f>IFERROR(IF(MARÍTIMOS[[#This Row],[Etapa Despacho -  Fin de Carga]]="","",MARÍTIMOS[[#This Row],[Etapa Despacho -  Fin de Carga]]),"")</f>
        <v/>
      </c>
      <c r="AE885" s="11" t="str">
        <f>IFERROR(IF(MARÍTIMOS[[#This Row],[Etapa Despacho -  Salida]]="","",MARÍTIMOS[[#This Row],[Etapa Despacho -  Salida]]),"")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5" t="s">
        <v>181</v>
      </c>
      <c r="BB885" s="53" t="str">
        <f>IFERROR(IF(MARÍTIMOS[[#This Row],[Estatus]]="","",MARÍTIMOS[[#This Row],[Estatus]]),"")</f>
        <v/>
      </c>
      <c r="BC885" s="45"/>
      <c r="BD885" s="52" t="str">
        <f>IFERROR(OLDBD[[#This Row],[Salida de almacén de retiro]]-OLDBD[[#This Row],[Ingreso Almacén de retiro]],"")</f>
        <v/>
      </c>
      <c r="BE885" s="52" t="str">
        <f>IFERROR(OLDBD[[#This Row],[Fin de Carga]]-OLDBD[[#This Row],[Inicio de Carga]],"")</f>
        <v/>
      </c>
    </row>
    <row r="886" spans="1:57" x14ac:dyDescent="0.35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6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Salida]]="","",MARÍTIMOS[[#This Row],[Etapa Retiro - Salida]]),"")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Row],[Hora de Carga]]+MARÍTIMOS[[#This Row],[Hora de Posicionamiento]]),"")</f>
        <v/>
      </c>
      <c r="Z886" s="11" t="str">
        <f>IFERROR(IF(MARÍTIMOS[[#This Row],[Etapa Despacho -  Llegada]]="","",MARÍTIMOS[[#This Row],[Etapa Despacho -  Llegada]]),"")</f>
        <v/>
      </c>
      <c r="AA886" s="11" t="str">
        <f>IFERROR(IF(MARÍTIMOS[[#This Row],[Etapa Despacho -  Registro]]="","",MARÍTIMOS[[#This Row],[Etapa Despacho - 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 Inicio de Carga]]="","",MARÍTIMOS[[#This Row],[Etapa Despacho -  Inicio de Carga]]),"")</f>
        <v/>
      </c>
      <c r="AD886" s="11" t="str">
        <f>IFERROR(IF(MARÍTIMOS[[#This Row],[Etapa Despacho -  Fin de Carga]]="","",MARÍTIMOS[[#This Row],[Etapa Despacho -  Fin de Carga]]),"")</f>
        <v/>
      </c>
      <c r="AE886" s="11" t="str">
        <f>IFERROR(IF(MARÍTIMOS[[#This Row],[Etapa Despacho -  Salida]]="","",MARÍTIMOS[[#This Row],[Etapa Despacho -  Salida]]),"")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5" t="s">
        <v>181</v>
      </c>
      <c r="BB886" s="53" t="str">
        <f>IFERROR(IF(MARÍTIMOS[[#This Row],[Estatus]]="","",MARÍTIMOS[[#This Row],[Estatus]]),"")</f>
        <v/>
      </c>
      <c r="BC886" s="45"/>
      <c r="BD886" s="52" t="str">
        <f>IFERROR(OLDBD[[#This Row],[Salida de almacén de retiro]]-OLDBD[[#This Row],[Ingreso Almacén de retiro]],"")</f>
        <v/>
      </c>
      <c r="BE886" s="52" t="str">
        <f>IFERROR(OLDBD[[#This Row],[Fin de Carga]]-OLDBD[[#This Row],[Inicio de Carga]],"")</f>
        <v/>
      </c>
    </row>
    <row r="887" spans="1:57" x14ac:dyDescent="0.35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6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Salida]]="","",MARÍTIMOS[[#This Row],[Etapa Retiro - Salida]]),"")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Row],[Hora de Carga]]+MARÍTIMOS[[#This Row],[Hora de Posicionamiento]]),"")</f>
        <v/>
      </c>
      <c r="Z887" s="11" t="str">
        <f>IFERROR(IF(MARÍTIMOS[[#This Row],[Etapa Despacho -  Llegada]]="","",MARÍTIMOS[[#This Row],[Etapa Despacho -  Llegada]]),"")</f>
        <v/>
      </c>
      <c r="AA887" s="11" t="str">
        <f>IFERROR(IF(MARÍTIMOS[[#This Row],[Etapa Despacho -  Registro]]="","",MARÍTIMOS[[#This Row],[Etapa Despacho - 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 Inicio de Carga]]="","",MARÍTIMOS[[#This Row],[Etapa Despacho -  Inicio de Carga]]),"")</f>
        <v/>
      </c>
      <c r="AD887" s="11" t="str">
        <f>IFERROR(IF(MARÍTIMOS[[#This Row],[Etapa Despacho -  Fin de Carga]]="","",MARÍTIMOS[[#This Row],[Etapa Despacho -  Fin de Carga]]),"")</f>
        <v/>
      </c>
      <c r="AE887" s="11" t="str">
        <f>IFERROR(IF(MARÍTIMOS[[#This Row],[Etapa Despacho -  Salida]]="","",MARÍTIMOS[[#This Row],[Etapa Despacho -  Salida]]),"")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5" t="s">
        <v>181</v>
      </c>
      <c r="BB887" s="53" t="str">
        <f>IFERROR(IF(MARÍTIMOS[[#This Row],[Estatus]]="","",MARÍTIMOS[[#This Row],[Estatus]]),"")</f>
        <v/>
      </c>
      <c r="BC887" s="45"/>
      <c r="BD887" s="52" t="str">
        <f>IFERROR(OLDBD[[#This Row],[Salida de almacén de retiro]]-OLDBD[[#This Row],[Ingreso Almacén de retiro]],"")</f>
        <v/>
      </c>
      <c r="BE887" s="52" t="str">
        <f>IFERROR(OLDBD[[#This Row],[Fin de Carga]]-OLDBD[[#This Row],[Inicio de Carga]],"")</f>
        <v/>
      </c>
    </row>
    <row r="888" spans="1:57" x14ac:dyDescent="0.35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6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Salida]]="","",MARÍTIMOS[[#This Row],[Etapa Retiro - Salida]]),"")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Row],[Hora de Carga]]+MARÍTIMOS[[#This Row],[Hora de Posicionamiento]]),"")</f>
        <v/>
      </c>
      <c r="Z888" s="11" t="str">
        <f>IFERROR(IF(MARÍTIMOS[[#This Row],[Etapa Despacho -  Llegada]]="","",MARÍTIMOS[[#This Row],[Etapa Despacho -  Llegada]]),"")</f>
        <v/>
      </c>
      <c r="AA888" s="11" t="str">
        <f>IFERROR(IF(MARÍTIMOS[[#This Row],[Etapa Despacho -  Registro]]="","",MARÍTIMOS[[#This Row],[Etapa Despacho - 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 Inicio de Carga]]="","",MARÍTIMOS[[#This Row],[Etapa Despacho -  Inicio de Carga]]),"")</f>
        <v/>
      </c>
      <c r="AD888" s="11" t="str">
        <f>IFERROR(IF(MARÍTIMOS[[#This Row],[Etapa Despacho -  Fin de Carga]]="","",MARÍTIMOS[[#This Row],[Etapa Despacho -  Fin de Carga]]),"")</f>
        <v/>
      </c>
      <c r="AE888" s="11" t="str">
        <f>IFERROR(IF(MARÍTIMOS[[#This Row],[Etapa Despacho -  Salida]]="","",MARÍTIMOS[[#This Row],[Etapa Despacho -  Salida]]),"")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5" t="s">
        <v>181</v>
      </c>
      <c r="BB888" s="53" t="str">
        <f>IFERROR(IF(MARÍTIMOS[[#This Row],[Estatus]]="","",MARÍTIMOS[[#This Row],[Estatus]]),"")</f>
        <v/>
      </c>
      <c r="BC888" s="45"/>
      <c r="BD888" s="52" t="str">
        <f>IFERROR(OLDBD[[#This Row],[Salida de almacén de retiro]]-OLDBD[[#This Row],[Ingreso Almacén de retiro]],"")</f>
        <v/>
      </c>
      <c r="BE888" s="52" t="str">
        <f>IFERROR(OLDBD[[#This Row],[Fin de Carga]]-OLDBD[[#This Row],[Inicio de Carga]],"")</f>
        <v/>
      </c>
    </row>
    <row r="889" spans="1:57" x14ac:dyDescent="0.35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6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Salida]]="","",MARÍTIMOS[[#This Row],[Etapa Retiro - Salida]]),"")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Row],[Hora de Carga]]+MARÍTIMOS[[#This Row],[Hora de Posicionamiento]]),"")</f>
        <v/>
      </c>
      <c r="Z889" s="11" t="str">
        <f>IFERROR(IF(MARÍTIMOS[[#This Row],[Etapa Despacho -  Llegada]]="","",MARÍTIMOS[[#This Row],[Etapa Despacho -  Llegada]]),"")</f>
        <v/>
      </c>
      <c r="AA889" s="11" t="str">
        <f>IFERROR(IF(MARÍTIMOS[[#This Row],[Etapa Despacho -  Registro]]="","",MARÍTIMOS[[#This Row],[Etapa Despacho - 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 Inicio de Carga]]="","",MARÍTIMOS[[#This Row],[Etapa Despacho -  Inicio de Carga]]),"")</f>
        <v/>
      </c>
      <c r="AD889" s="11" t="str">
        <f>IFERROR(IF(MARÍTIMOS[[#This Row],[Etapa Despacho -  Fin de Carga]]="","",MARÍTIMOS[[#This Row],[Etapa Despacho -  Fin de Carga]]),"")</f>
        <v/>
      </c>
      <c r="AE889" s="11" t="str">
        <f>IFERROR(IF(MARÍTIMOS[[#This Row],[Etapa Despacho -  Salida]]="","",MARÍTIMOS[[#This Row],[Etapa Despacho -  Salida]]),"")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5" t="s">
        <v>181</v>
      </c>
      <c r="BB889" s="53" t="str">
        <f>IFERROR(IF(MARÍTIMOS[[#This Row],[Estatus]]="","",MARÍTIMOS[[#This Row],[Estatus]]),"")</f>
        <v/>
      </c>
      <c r="BC889" s="45"/>
      <c r="BD889" s="52" t="str">
        <f>IFERROR(OLDBD[[#This Row],[Salida de almacén de retiro]]-OLDBD[[#This Row],[Ingreso Almacén de retiro]],"")</f>
        <v/>
      </c>
      <c r="BE889" s="52" t="str">
        <f>IFERROR(OLDBD[[#This Row],[Fin de Carga]]-OLDBD[[#This Row],[Inicio de Carga]],"")</f>
        <v/>
      </c>
    </row>
    <row r="890" spans="1:57" x14ac:dyDescent="0.35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6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Salida]]="","",MARÍTIMOS[[#This Row],[Etapa Retiro - Salida]]),"")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Row],[Hora de Carga]]+MARÍTIMOS[[#This Row],[Hora de Posicionamiento]]),"")</f>
        <v/>
      </c>
      <c r="Z890" s="11" t="str">
        <f>IFERROR(IF(MARÍTIMOS[[#This Row],[Etapa Despacho -  Llegada]]="","",MARÍTIMOS[[#This Row],[Etapa Despacho -  Llegada]]),"")</f>
        <v/>
      </c>
      <c r="AA890" s="11" t="str">
        <f>IFERROR(IF(MARÍTIMOS[[#This Row],[Etapa Despacho -  Registro]]="","",MARÍTIMOS[[#This Row],[Etapa Despacho - 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 Inicio de Carga]]="","",MARÍTIMOS[[#This Row],[Etapa Despacho -  Inicio de Carga]]),"")</f>
        <v/>
      </c>
      <c r="AD890" s="11" t="str">
        <f>IFERROR(IF(MARÍTIMOS[[#This Row],[Etapa Despacho -  Fin de Carga]]="","",MARÍTIMOS[[#This Row],[Etapa Despacho -  Fin de Carga]]),"")</f>
        <v/>
      </c>
      <c r="AE890" s="11" t="str">
        <f>IFERROR(IF(MARÍTIMOS[[#This Row],[Etapa Despacho -  Salida]]="","",MARÍTIMOS[[#This Row],[Etapa Despacho -  Salida]]),"")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5" t="s">
        <v>181</v>
      </c>
      <c r="BB890" s="53" t="str">
        <f>IFERROR(IF(MARÍTIMOS[[#This Row],[Estatus]]="","",MARÍTIMOS[[#This Row],[Estatus]]),"")</f>
        <v/>
      </c>
      <c r="BC890" s="45"/>
      <c r="BD890" s="52" t="str">
        <f>IFERROR(OLDBD[[#This Row],[Salida de almacén de retiro]]-OLDBD[[#This Row],[Ingreso Almacén de retiro]],"")</f>
        <v/>
      </c>
      <c r="BE890" s="52" t="str">
        <f>IFERROR(OLDBD[[#This Row],[Fin de Carga]]-OLDBD[[#This Row],[Inicio de Carga]],"")</f>
        <v/>
      </c>
    </row>
    <row r="891" spans="1:57" x14ac:dyDescent="0.35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6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Salida]]="","",MARÍTIMOS[[#This Row],[Etapa Retiro - Salida]]),"")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Row],[Hora de Carga]]+MARÍTIMOS[[#This Row],[Hora de Posicionamiento]]),"")</f>
        <v/>
      </c>
      <c r="Z891" s="11" t="str">
        <f>IFERROR(IF(MARÍTIMOS[[#This Row],[Etapa Despacho -  Llegada]]="","",MARÍTIMOS[[#This Row],[Etapa Despacho -  Llegada]]),"")</f>
        <v/>
      </c>
      <c r="AA891" s="11" t="str">
        <f>IFERROR(IF(MARÍTIMOS[[#This Row],[Etapa Despacho -  Registro]]="","",MARÍTIMOS[[#This Row],[Etapa Despacho - 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 Inicio de Carga]]="","",MARÍTIMOS[[#This Row],[Etapa Despacho -  Inicio de Carga]]),"")</f>
        <v/>
      </c>
      <c r="AD891" s="11" t="str">
        <f>IFERROR(IF(MARÍTIMOS[[#This Row],[Etapa Despacho -  Fin de Carga]]="","",MARÍTIMOS[[#This Row],[Etapa Despacho -  Fin de Carga]]),"")</f>
        <v/>
      </c>
      <c r="AE891" s="11" t="str">
        <f>IFERROR(IF(MARÍTIMOS[[#This Row],[Etapa Despacho -  Salida]]="","",MARÍTIMOS[[#This Row],[Etapa Despacho -  Salida]]),"")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5" t="s">
        <v>181</v>
      </c>
      <c r="BB891" s="53" t="str">
        <f>IFERROR(IF(MARÍTIMOS[[#This Row],[Estatus]]="","",MARÍTIMOS[[#This Row],[Estatus]]),"")</f>
        <v/>
      </c>
      <c r="BC891" s="45"/>
      <c r="BD891" s="52" t="str">
        <f>IFERROR(OLDBD[[#This Row],[Salida de almacén de retiro]]-OLDBD[[#This Row],[Ingreso Almacén de retiro]],"")</f>
        <v/>
      </c>
      <c r="BE891" s="52" t="str">
        <f>IFERROR(OLDBD[[#This Row],[Fin de Carga]]-OLDBD[[#This Row],[Inicio de Carga]],"")</f>
        <v/>
      </c>
    </row>
    <row r="892" spans="1:57" x14ac:dyDescent="0.35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6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Salida]]="","",MARÍTIMOS[[#This Row],[Etapa Retiro - Salida]]),"")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Row],[Hora de Carga]]+MARÍTIMOS[[#This Row],[Hora de Posicionamiento]]),"")</f>
        <v/>
      </c>
      <c r="Z892" s="11" t="str">
        <f>IFERROR(IF(MARÍTIMOS[[#This Row],[Etapa Despacho -  Llegada]]="","",MARÍTIMOS[[#This Row],[Etapa Despacho -  Llegada]]),"")</f>
        <v/>
      </c>
      <c r="AA892" s="11" t="str">
        <f>IFERROR(IF(MARÍTIMOS[[#This Row],[Etapa Despacho -  Registro]]="","",MARÍTIMOS[[#This Row],[Etapa Despacho - 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 Inicio de Carga]]="","",MARÍTIMOS[[#This Row],[Etapa Despacho -  Inicio de Carga]]),"")</f>
        <v/>
      </c>
      <c r="AD892" s="11" t="str">
        <f>IFERROR(IF(MARÍTIMOS[[#This Row],[Etapa Despacho -  Fin de Carga]]="","",MARÍTIMOS[[#This Row],[Etapa Despacho -  Fin de Carga]]),"")</f>
        <v/>
      </c>
      <c r="AE892" s="11" t="str">
        <f>IFERROR(IF(MARÍTIMOS[[#This Row],[Etapa Despacho -  Salida]]="","",MARÍTIMOS[[#This Row],[Etapa Despacho -  Salida]]),"")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5" t="s">
        <v>181</v>
      </c>
      <c r="BB892" s="53" t="str">
        <f>IFERROR(IF(MARÍTIMOS[[#This Row],[Estatus]]="","",MARÍTIMOS[[#This Row],[Estatus]]),"")</f>
        <v/>
      </c>
      <c r="BC892" s="45"/>
      <c r="BD892" s="52" t="str">
        <f>IFERROR(OLDBD[[#This Row],[Salida de almacén de retiro]]-OLDBD[[#This Row],[Ingreso Almacén de retiro]],"")</f>
        <v/>
      </c>
      <c r="BE892" s="52" t="str">
        <f>IFERROR(OLDBD[[#This Row],[Fin de Carga]]-OLDBD[[#This Row],[Inicio de Carga]],"")</f>
        <v/>
      </c>
    </row>
    <row r="893" spans="1:57" x14ac:dyDescent="0.35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6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Salida]]="","",MARÍTIMOS[[#This Row],[Etapa Retiro - Salida]]),"")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Row],[Hora de Carga]]+MARÍTIMOS[[#This Row],[Hora de Posicionamiento]]),"")</f>
        <v/>
      </c>
      <c r="Z893" s="11" t="str">
        <f>IFERROR(IF(MARÍTIMOS[[#This Row],[Etapa Despacho -  Llegada]]="","",MARÍTIMOS[[#This Row],[Etapa Despacho -  Llegada]]),"")</f>
        <v/>
      </c>
      <c r="AA893" s="11" t="str">
        <f>IFERROR(IF(MARÍTIMOS[[#This Row],[Etapa Despacho -  Registro]]="","",MARÍTIMOS[[#This Row],[Etapa Despacho - 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 Inicio de Carga]]="","",MARÍTIMOS[[#This Row],[Etapa Despacho -  Inicio de Carga]]),"")</f>
        <v/>
      </c>
      <c r="AD893" s="11" t="str">
        <f>IFERROR(IF(MARÍTIMOS[[#This Row],[Etapa Despacho -  Fin de Carga]]="","",MARÍTIMOS[[#This Row],[Etapa Despacho -  Fin de Carga]]),"")</f>
        <v/>
      </c>
      <c r="AE893" s="11" t="str">
        <f>IFERROR(IF(MARÍTIMOS[[#This Row],[Etapa Despacho -  Salida]]="","",MARÍTIMOS[[#This Row],[Etapa Despacho -  Salida]]),"")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5" t="s">
        <v>181</v>
      </c>
      <c r="BB893" s="53" t="str">
        <f>IFERROR(IF(MARÍTIMOS[[#This Row],[Estatus]]="","",MARÍTIMOS[[#This Row],[Estatus]]),"")</f>
        <v/>
      </c>
      <c r="BC893" s="45"/>
      <c r="BD893" s="52" t="str">
        <f>IFERROR(OLDBD[[#This Row],[Salida de almacén de retiro]]-OLDBD[[#This Row],[Ingreso Almacén de retiro]],"")</f>
        <v/>
      </c>
      <c r="BE893" s="52" t="str">
        <f>IFERROR(OLDBD[[#This Row],[Fin de Carga]]-OLDBD[[#This Row],[Inicio de Carga]],"")</f>
        <v/>
      </c>
    </row>
    <row r="894" spans="1:57" x14ac:dyDescent="0.35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6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Salida]]="","",MARÍTIMOS[[#This Row],[Etapa Retiro - Salida]]),"")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Row],[Hora de Carga]]+MARÍTIMOS[[#This Row],[Hora de Posicionamiento]]),"")</f>
        <v/>
      </c>
      <c r="Z894" s="11" t="str">
        <f>IFERROR(IF(MARÍTIMOS[[#This Row],[Etapa Despacho -  Llegada]]="","",MARÍTIMOS[[#This Row],[Etapa Despacho -  Llegada]]),"")</f>
        <v/>
      </c>
      <c r="AA894" s="11" t="str">
        <f>IFERROR(IF(MARÍTIMOS[[#This Row],[Etapa Despacho -  Registro]]="","",MARÍTIMOS[[#This Row],[Etapa Despacho - 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 Inicio de Carga]]="","",MARÍTIMOS[[#This Row],[Etapa Despacho -  Inicio de Carga]]),"")</f>
        <v/>
      </c>
      <c r="AD894" s="11" t="str">
        <f>IFERROR(IF(MARÍTIMOS[[#This Row],[Etapa Despacho -  Fin de Carga]]="","",MARÍTIMOS[[#This Row],[Etapa Despacho -  Fin de Carga]]),"")</f>
        <v/>
      </c>
      <c r="AE894" s="11" t="str">
        <f>IFERROR(IF(MARÍTIMOS[[#This Row],[Etapa Despacho -  Salida]]="","",MARÍTIMOS[[#This Row],[Etapa Despacho -  Salida]]),"")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5" t="s">
        <v>181</v>
      </c>
      <c r="BB894" s="53" t="str">
        <f>IFERROR(IF(MARÍTIMOS[[#This Row],[Estatus]]="","",MARÍTIMOS[[#This Row],[Estatus]]),"")</f>
        <v/>
      </c>
      <c r="BC894" s="45"/>
      <c r="BD894" s="52" t="str">
        <f>IFERROR(OLDBD[[#This Row],[Salida de almacén de retiro]]-OLDBD[[#This Row],[Ingreso Almacén de retiro]],"")</f>
        <v/>
      </c>
      <c r="BE894" s="52" t="str">
        <f>IFERROR(OLDBD[[#This Row],[Fin de Carga]]-OLDBD[[#This Row],[Inicio de Carga]],"")</f>
        <v/>
      </c>
    </row>
    <row r="895" spans="1:57" x14ac:dyDescent="0.35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6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Salida]]="","",MARÍTIMOS[[#This Row],[Etapa Retiro - Salida]]),"")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Row],[Hora de Carga]]+MARÍTIMOS[[#This Row],[Hora de Posicionamiento]]),"")</f>
        <v/>
      </c>
      <c r="Z895" s="11" t="str">
        <f>IFERROR(IF(MARÍTIMOS[[#This Row],[Etapa Despacho -  Llegada]]="","",MARÍTIMOS[[#This Row],[Etapa Despacho -  Llegada]]),"")</f>
        <v/>
      </c>
      <c r="AA895" s="11" t="str">
        <f>IFERROR(IF(MARÍTIMOS[[#This Row],[Etapa Despacho -  Registro]]="","",MARÍTIMOS[[#This Row],[Etapa Despacho - 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 Inicio de Carga]]="","",MARÍTIMOS[[#This Row],[Etapa Despacho -  Inicio de Carga]]),"")</f>
        <v/>
      </c>
      <c r="AD895" s="11" t="str">
        <f>IFERROR(IF(MARÍTIMOS[[#This Row],[Etapa Despacho -  Fin de Carga]]="","",MARÍTIMOS[[#This Row],[Etapa Despacho -  Fin de Carga]]),"")</f>
        <v/>
      </c>
      <c r="AE895" s="11" t="str">
        <f>IFERROR(IF(MARÍTIMOS[[#This Row],[Etapa Despacho -  Salida]]="","",MARÍTIMOS[[#This Row],[Etapa Despacho -  Salida]]),"")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5" t="s">
        <v>181</v>
      </c>
      <c r="BB895" s="53" t="str">
        <f>IFERROR(IF(MARÍTIMOS[[#This Row],[Estatus]]="","",MARÍTIMOS[[#This Row],[Estatus]]),"")</f>
        <v/>
      </c>
      <c r="BC895" s="45"/>
      <c r="BD895" s="52" t="str">
        <f>IFERROR(OLDBD[[#This Row],[Salida de almacén de retiro]]-OLDBD[[#This Row],[Ingreso Almacén de retiro]],"")</f>
        <v/>
      </c>
      <c r="BE895" s="52" t="str">
        <f>IFERROR(OLDBD[[#This Row],[Fin de Carga]]-OLDBD[[#This Row],[Inicio de Carga]],"")</f>
        <v/>
      </c>
    </row>
    <row r="896" spans="1:57" x14ac:dyDescent="0.35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6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Salida]]="","",MARÍTIMOS[[#This Row],[Etapa Retiro - Salida]]),"")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Row],[Hora de Carga]]+MARÍTIMOS[[#This Row],[Hora de Posicionamiento]]),"")</f>
        <v/>
      </c>
      <c r="Z896" s="11" t="str">
        <f>IFERROR(IF(MARÍTIMOS[[#This Row],[Etapa Despacho -  Llegada]]="","",MARÍTIMOS[[#This Row],[Etapa Despacho -  Llegada]]),"")</f>
        <v/>
      </c>
      <c r="AA896" s="11" t="str">
        <f>IFERROR(IF(MARÍTIMOS[[#This Row],[Etapa Despacho -  Registro]]="","",MARÍTIMOS[[#This Row],[Etapa Despacho - 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 Inicio de Carga]]="","",MARÍTIMOS[[#This Row],[Etapa Despacho -  Inicio de Carga]]),"")</f>
        <v/>
      </c>
      <c r="AD896" s="11" t="str">
        <f>IFERROR(IF(MARÍTIMOS[[#This Row],[Etapa Despacho -  Fin de Carga]]="","",MARÍTIMOS[[#This Row],[Etapa Despacho -  Fin de Carga]]),"")</f>
        <v/>
      </c>
      <c r="AE896" s="11" t="str">
        <f>IFERROR(IF(MARÍTIMOS[[#This Row],[Etapa Despacho -  Salida]]="","",MARÍTIMOS[[#This Row],[Etapa Despacho -  Salida]]),"")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5" t="s">
        <v>181</v>
      </c>
      <c r="BB896" s="53" t="str">
        <f>IFERROR(IF(MARÍTIMOS[[#This Row],[Estatus]]="","",MARÍTIMOS[[#This Row],[Estatus]]),"")</f>
        <v/>
      </c>
      <c r="BC896" s="45"/>
      <c r="BD896" s="52" t="str">
        <f>IFERROR(OLDBD[[#This Row],[Salida de almacén de retiro]]-OLDBD[[#This Row],[Ingreso Almacén de retiro]],"")</f>
        <v/>
      </c>
      <c r="BE896" s="52" t="str">
        <f>IFERROR(OLDBD[[#This Row],[Fin de Carga]]-OLDBD[[#This Row],[Inicio de Carga]],"")</f>
        <v/>
      </c>
    </row>
    <row r="897" spans="1:57" x14ac:dyDescent="0.35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6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Salida]]="","",MARÍTIMOS[[#This Row],[Etapa Retiro - Salida]]),"")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Row],[Hora de Carga]]+MARÍTIMOS[[#This Row],[Hora de Posicionamiento]]),"")</f>
        <v/>
      </c>
      <c r="Z897" s="11" t="str">
        <f>IFERROR(IF(MARÍTIMOS[[#This Row],[Etapa Despacho -  Llegada]]="","",MARÍTIMOS[[#This Row],[Etapa Despacho -  Llegada]]),"")</f>
        <v/>
      </c>
      <c r="AA897" s="11" t="str">
        <f>IFERROR(IF(MARÍTIMOS[[#This Row],[Etapa Despacho -  Registro]]="","",MARÍTIMOS[[#This Row],[Etapa Despacho - 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 Inicio de Carga]]="","",MARÍTIMOS[[#This Row],[Etapa Despacho -  Inicio de Carga]]),"")</f>
        <v/>
      </c>
      <c r="AD897" s="11" t="str">
        <f>IFERROR(IF(MARÍTIMOS[[#This Row],[Etapa Despacho -  Fin de Carga]]="","",MARÍTIMOS[[#This Row],[Etapa Despacho -  Fin de Carga]]),"")</f>
        <v/>
      </c>
      <c r="AE897" s="11" t="str">
        <f>IFERROR(IF(MARÍTIMOS[[#This Row],[Etapa Despacho -  Salida]]="","",MARÍTIMOS[[#This Row],[Etapa Despacho -  Salida]]),"")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5" t="s">
        <v>181</v>
      </c>
      <c r="BB897" s="53" t="str">
        <f>IFERROR(IF(MARÍTIMOS[[#This Row],[Estatus]]="","",MARÍTIMOS[[#This Row],[Estatus]]),"")</f>
        <v/>
      </c>
      <c r="BC897" s="45"/>
      <c r="BD897" s="52" t="str">
        <f>IFERROR(OLDBD[[#This Row],[Salida de almacén de retiro]]-OLDBD[[#This Row],[Ingreso Almacén de retiro]],"")</f>
        <v/>
      </c>
      <c r="BE897" s="52" t="str">
        <f>IFERROR(OLDBD[[#This Row],[Fin de Carga]]-OLDBD[[#This Row],[Inicio de Carga]],"")</f>
        <v/>
      </c>
    </row>
    <row r="898" spans="1:57" x14ac:dyDescent="0.35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6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Salida]]="","",MARÍTIMOS[[#This Row],[Etapa Retiro - Salida]]),"")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Row],[Hora de Carga]]+MARÍTIMOS[[#This Row],[Hora de Posicionamiento]]),"")</f>
        <v/>
      </c>
      <c r="Z898" s="11" t="str">
        <f>IFERROR(IF(MARÍTIMOS[[#This Row],[Etapa Despacho -  Llegada]]="","",MARÍTIMOS[[#This Row],[Etapa Despacho -  Llegada]]),"")</f>
        <v/>
      </c>
      <c r="AA898" s="11" t="str">
        <f>IFERROR(IF(MARÍTIMOS[[#This Row],[Etapa Despacho -  Registro]]="","",MARÍTIMOS[[#This Row],[Etapa Despacho - 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 Inicio de Carga]]="","",MARÍTIMOS[[#This Row],[Etapa Despacho -  Inicio de Carga]]),"")</f>
        <v/>
      </c>
      <c r="AD898" s="11" t="str">
        <f>IFERROR(IF(MARÍTIMOS[[#This Row],[Etapa Despacho -  Fin de Carga]]="","",MARÍTIMOS[[#This Row],[Etapa Despacho -  Fin de Carga]]),"")</f>
        <v/>
      </c>
      <c r="AE898" s="11" t="str">
        <f>IFERROR(IF(MARÍTIMOS[[#This Row],[Etapa Despacho -  Salida]]="","",MARÍTIMOS[[#This Row],[Etapa Despacho -  Salida]]),"")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5" t="s">
        <v>181</v>
      </c>
      <c r="BB898" s="53" t="str">
        <f>IFERROR(IF(MARÍTIMOS[[#This Row],[Estatus]]="","",MARÍTIMOS[[#This Row],[Estatus]]),"")</f>
        <v/>
      </c>
      <c r="BC898" s="45"/>
      <c r="BD898" s="52" t="str">
        <f>IFERROR(OLDBD[[#This Row],[Salida de almacén de retiro]]-OLDBD[[#This Row],[Ingreso Almacén de retiro]],"")</f>
        <v/>
      </c>
      <c r="BE898" s="52" t="str">
        <f>IFERROR(OLDBD[[#This Row],[Fin de Carga]]-OLDBD[[#This Row],[Inicio de Carga]],"")</f>
        <v/>
      </c>
    </row>
    <row r="899" spans="1:57" x14ac:dyDescent="0.35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6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Salida]]="","",MARÍTIMOS[[#This Row],[Etapa Retiro - Salida]]),"")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Row],[Hora de Carga]]+MARÍTIMOS[[#This Row],[Hora de Posicionamiento]]),"")</f>
        <v/>
      </c>
      <c r="Z899" s="11" t="str">
        <f>IFERROR(IF(MARÍTIMOS[[#This Row],[Etapa Despacho -  Llegada]]="","",MARÍTIMOS[[#This Row],[Etapa Despacho -  Llegada]]),"")</f>
        <v/>
      </c>
      <c r="AA899" s="11" t="str">
        <f>IFERROR(IF(MARÍTIMOS[[#This Row],[Etapa Despacho -  Registro]]="","",MARÍTIMOS[[#This Row],[Etapa Despacho - 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 Inicio de Carga]]="","",MARÍTIMOS[[#This Row],[Etapa Despacho -  Inicio de Carga]]),"")</f>
        <v/>
      </c>
      <c r="AD899" s="11" t="str">
        <f>IFERROR(IF(MARÍTIMOS[[#This Row],[Etapa Despacho -  Fin de Carga]]="","",MARÍTIMOS[[#This Row],[Etapa Despacho -  Fin de Carga]]),"")</f>
        <v/>
      </c>
      <c r="AE899" s="11" t="str">
        <f>IFERROR(IF(MARÍTIMOS[[#This Row],[Etapa Despacho -  Salida]]="","",MARÍTIMOS[[#This Row],[Etapa Despacho -  Salida]]),"")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5" t="s">
        <v>181</v>
      </c>
      <c r="BB899" s="53" t="str">
        <f>IFERROR(IF(MARÍTIMOS[[#This Row],[Estatus]]="","",MARÍTIMOS[[#This Row],[Estatus]]),"")</f>
        <v/>
      </c>
      <c r="BC899" s="45"/>
      <c r="BD899" s="52" t="str">
        <f>IFERROR(OLDBD[[#This Row],[Salida de almacén de retiro]]-OLDBD[[#This Row],[Ingreso Almacén de retiro]],"")</f>
        <v/>
      </c>
      <c r="BE899" s="52" t="str">
        <f>IFERROR(OLDBD[[#This Row],[Fin de Carga]]-OLDBD[[#This Row],[Inicio de Carga]],"")</f>
        <v/>
      </c>
    </row>
    <row r="900" spans="1:57" x14ac:dyDescent="0.35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6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Salida]]="","",MARÍTIMOS[[#This Row],[Etapa Retiro - Salida]]),"")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Row],[Hora de Carga]]+MARÍTIMOS[[#This Row],[Hora de Posicionamiento]]),"")</f>
        <v/>
      </c>
      <c r="Z900" s="11" t="str">
        <f>IFERROR(IF(MARÍTIMOS[[#This Row],[Etapa Despacho -  Llegada]]="","",MARÍTIMOS[[#This Row],[Etapa Despacho -  Llegada]]),"")</f>
        <v/>
      </c>
      <c r="AA900" s="11" t="str">
        <f>IFERROR(IF(MARÍTIMOS[[#This Row],[Etapa Despacho -  Registro]]="","",MARÍTIMOS[[#This Row],[Etapa Despacho - 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 Inicio de Carga]]="","",MARÍTIMOS[[#This Row],[Etapa Despacho -  Inicio de Carga]]),"")</f>
        <v/>
      </c>
      <c r="AD900" s="11" t="str">
        <f>IFERROR(IF(MARÍTIMOS[[#This Row],[Etapa Despacho -  Fin de Carga]]="","",MARÍTIMOS[[#This Row],[Etapa Despacho -  Fin de Carga]]),"")</f>
        <v/>
      </c>
      <c r="AE900" s="11" t="str">
        <f>IFERROR(IF(MARÍTIMOS[[#This Row],[Etapa Despacho -  Salida]]="","",MARÍTIMOS[[#This Row],[Etapa Despacho -  Salida]]),"")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5" t="s">
        <v>181</v>
      </c>
      <c r="BB900" s="53" t="str">
        <f>IFERROR(IF(MARÍTIMOS[[#This Row],[Estatus]]="","",MARÍTIMOS[[#This Row],[Estatus]]),"")</f>
        <v/>
      </c>
      <c r="BC900" s="45"/>
      <c r="BD900" s="52" t="str">
        <f>IFERROR(OLDBD[[#This Row],[Salida de almacén de retiro]]-OLDBD[[#This Row],[Ingreso Almacén de retiro]],"")</f>
        <v/>
      </c>
      <c r="BE900" s="52" t="str">
        <f>IFERROR(OLDBD[[#This Row],[Fin de Carga]]-OLDBD[[#This Row],[Inicio de Carga]],"")</f>
        <v/>
      </c>
    </row>
    <row r="901" spans="1:57" x14ac:dyDescent="0.35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6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Salida]]="","",MARÍTIMOS[[#This Row],[Etapa Retiro - Salida]]),"")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Row],[Hora de Carga]]+MARÍTIMOS[[#This Row],[Hora de Posicionamiento]]),"")</f>
        <v/>
      </c>
      <c r="Z901" s="11" t="str">
        <f>IFERROR(IF(MARÍTIMOS[[#This Row],[Etapa Despacho -  Llegada]]="","",MARÍTIMOS[[#This Row],[Etapa Despacho -  Llegada]]),"")</f>
        <v/>
      </c>
      <c r="AA901" s="11" t="str">
        <f>IFERROR(IF(MARÍTIMOS[[#This Row],[Etapa Despacho -  Registro]]="","",MARÍTIMOS[[#This Row],[Etapa Despacho - 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 Inicio de Carga]]="","",MARÍTIMOS[[#This Row],[Etapa Despacho -  Inicio de Carga]]),"")</f>
        <v/>
      </c>
      <c r="AD901" s="11" t="str">
        <f>IFERROR(IF(MARÍTIMOS[[#This Row],[Etapa Despacho -  Fin de Carga]]="","",MARÍTIMOS[[#This Row],[Etapa Despacho -  Fin de Carga]]),"")</f>
        <v/>
      </c>
      <c r="AE901" s="11" t="str">
        <f>IFERROR(IF(MARÍTIMOS[[#This Row],[Etapa Despacho -  Salida]]="","",MARÍTIMOS[[#This Row],[Etapa Despacho -  Salida]]),"")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5" t="s">
        <v>181</v>
      </c>
      <c r="BB901" s="53" t="str">
        <f>IFERROR(IF(MARÍTIMOS[[#This Row],[Estatus]]="","",MARÍTIMOS[[#This Row],[Estatus]]),"")</f>
        <v/>
      </c>
      <c r="BC901" s="45"/>
      <c r="BD901" s="52" t="str">
        <f>IFERROR(OLDBD[[#This Row],[Salida de almacén de retiro]]-OLDBD[[#This Row],[Ingreso Almacén de retiro]],"")</f>
        <v/>
      </c>
      <c r="BE901" s="52" t="str">
        <f>IFERROR(OLDBD[[#This Row],[Fin de Carga]]-OLDBD[[#This Row],[Inicio de Carga]],"")</f>
        <v/>
      </c>
    </row>
    <row r="902" spans="1:57" x14ac:dyDescent="0.35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6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Salida]]="","",MARÍTIMOS[[#This Row],[Etapa Retiro - Salida]]),"")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Row],[Hora de Carga]]+MARÍTIMOS[[#This Row],[Hora de Posicionamiento]]),"")</f>
        <v/>
      </c>
      <c r="Z902" s="11" t="str">
        <f>IFERROR(IF(MARÍTIMOS[[#This Row],[Etapa Despacho -  Llegada]]="","",MARÍTIMOS[[#This Row],[Etapa Despacho -  Llegada]]),"")</f>
        <v/>
      </c>
      <c r="AA902" s="11" t="str">
        <f>IFERROR(IF(MARÍTIMOS[[#This Row],[Etapa Despacho -  Registro]]="","",MARÍTIMOS[[#This Row],[Etapa Despacho - 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 Inicio de Carga]]="","",MARÍTIMOS[[#This Row],[Etapa Despacho -  Inicio de Carga]]),"")</f>
        <v/>
      </c>
      <c r="AD902" s="11" t="str">
        <f>IFERROR(IF(MARÍTIMOS[[#This Row],[Etapa Despacho -  Fin de Carga]]="","",MARÍTIMOS[[#This Row],[Etapa Despacho -  Fin de Carga]]),"")</f>
        <v/>
      </c>
      <c r="AE902" s="11" t="str">
        <f>IFERROR(IF(MARÍTIMOS[[#This Row],[Etapa Despacho -  Salida]]="","",MARÍTIMOS[[#This Row],[Etapa Despacho -  Salida]]),"")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5" t="s">
        <v>181</v>
      </c>
      <c r="BB902" s="53" t="str">
        <f>IFERROR(IF(MARÍTIMOS[[#This Row],[Estatus]]="","",MARÍTIMOS[[#This Row],[Estatus]]),"")</f>
        <v/>
      </c>
      <c r="BC902" s="45"/>
      <c r="BD902" s="52" t="str">
        <f>IFERROR(OLDBD[[#This Row],[Salida de almacén de retiro]]-OLDBD[[#This Row],[Ingreso Almacén de retiro]],"")</f>
        <v/>
      </c>
      <c r="BE902" s="52" t="str">
        <f>IFERROR(OLDBD[[#This Row],[Fin de Carga]]-OLDBD[[#This Row],[Inicio de Carga]],"")</f>
        <v/>
      </c>
    </row>
    <row r="903" spans="1:57" x14ac:dyDescent="0.35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6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Salida]]="","",MARÍTIMOS[[#This Row],[Etapa Retiro - Salida]]),"")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Row],[Hora de Carga]]+MARÍTIMOS[[#This Row],[Hora de Posicionamiento]]),"")</f>
        <v/>
      </c>
      <c r="Z903" s="11" t="str">
        <f>IFERROR(IF(MARÍTIMOS[[#This Row],[Etapa Despacho -  Llegada]]="","",MARÍTIMOS[[#This Row],[Etapa Despacho -  Llegada]]),"")</f>
        <v/>
      </c>
      <c r="AA903" s="11" t="str">
        <f>IFERROR(IF(MARÍTIMOS[[#This Row],[Etapa Despacho -  Registro]]="","",MARÍTIMOS[[#This Row],[Etapa Despacho - 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 Inicio de Carga]]="","",MARÍTIMOS[[#This Row],[Etapa Despacho -  Inicio de Carga]]),"")</f>
        <v/>
      </c>
      <c r="AD903" s="11" t="str">
        <f>IFERROR(IF(MARÍTIMOS[[#This Row],[Etapa Despacho -  Fin de Carga]]="","",MARÍTIMOS[[#This Row],[Etapa Despacho -  Fin de Carga]]),"")</f>
        <v/>
      </c>
      <c r="AE903" s="11" t="str">
        <f>IFERROR(IF(MARÍTIMOS[[#This Row],[Etapa Despacho -  Salida]]="","",MARÍTIMOS[[#This Row],[Etapa Despacho -  Salida]]),"")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5" t="s">
        <v>181</v>
      </c>
      <c r="BB903" s="53" t="str">
        <f>IFERROR(IF(MARÍTIMOS[[#This Row],[Estatus]]="","",MARÍTIMOS[[#This Row],[Estatus]]),"")</f>
        <v/>
      </c>
      <c r="BC903" s="45"/>
      <c r="BD903" s="52" t="str">
        <f>IFERROR(OLDBD[[#This Row],[Salida de almacén de retiro]]-OLDBD[[#This Row],[Ingreso Almacén de retiro]],"")</f>
        <v/>
      </c>
      <c r="BE903" s="52" t="str">
        <f>IFERROR(OLDBD[[#This Row],[Fin de Carga]]-OLDBD[[#This Row],[Inicio de Carga]],"")</f>
        <v/>
      </c>
    </row>
    <row r="904" spans="1:57" x14ac:dyDescent="0.35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6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Salida]]="","",MARÍTIMOS[[#This Row],[Etapa Retiro - Salida]]),"")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Row],[Hora de Carga]]+MARÍTIMOS[[#This Row],[Hora de Posicionamiento]]),"")</f>
        <v/>
      </c>
      <c r="Z904" s="11" t="str">
        <f>IFERROR(IF(MARÍTIMOS[[#This Row],[Etapa Despacho -  Llegada]]="","",MARÍTIMOS[[#This Row],[Etapa Despacho -  Llegada]]),"")</f>
        <v/>
      </c>
      <c r="AA904" s="11" t="str">
        <f>IFERROR(IF(MARÍTIMOS[[#This Row],[Etapa Despacho -  Registro]]="","",MARÍTIMOS[[#This Row],[Etapa Despacho - 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 Inicio de Carga]]="","",MARÍTIMOS[[#This Row],[Etapa Despacho -  Inicio de Carga]]),"")</f>
        <v/>
      </c>
      <c r="AD904" s="11" t="str">
        <f>IFERROR(IF(MARÍTIMOS[[#This Row],[Etapa Despacho -  Fin de Carga]]="","",MARÍTIMOS[[#This Row],[Etapa Despacho -  Fin de Carga]]),"")</f>
        <v/>
      </c>
      <c r="AE904" s="11" t="str">
        <f>IFERROR(IF(MARÍTIMOS[[#This Row],[Etapa Despacho -  Salida]]="","",MARÍTIMOS[[#This Row],[Etapa Despacho -  Salida]]),"")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5" t="s">
        <v>181</v>
      </c>
      <c r="BB904" s="53" t="str">
        <f>IFERROR(IF(MARÍTIMOS[[#This Row],[Estatus]]="","",MARÍTIMOS[[#This Row],[Estatus]]),"")</f>
        <v/>
      </c>
      <c r="BC904" s="45"/>
      <c r="BD904" s="52" t="str">
        <f>IFERROR(OLDBD[[#This Row],[Salida de almacén de retiro]]-OLDBD[[#This Row],[Ingreso Almacén de retiro]],"")</f>
        <v/>
      </c>
      <c r="BE904" s="52" t="str">
        <f>IFERROR(OLDBD[[#This Row],[Fin de Carga]]-OLDBD[[#This Row],[Inicio de Carga]],"")</f>
        <v/>
      </c>
    </row>
    <row r="905" spans="1:57" x14ac:dyDescent="0.35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6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Salida]]="","",MARÍTIMOS[[#This Row],[Etapa Retiro - Salida]]),"")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Row],[Hora de Carga]]+MARÍTIMOS[[#This Row],[Hora de Posicionamiento]]),"")</f>
        <v/>
      </c>
      <c r="Z905" s="11" t="str">
        <f>IFERROR(IF(MARÍTIMOS[[#This Row],[Etapa Despacho -  Llegada]]="","",MARÍTIMOS[[#This Row],[Etapa Despacho -  Llegada]]),"")</f>
        <v/>
      </c>
      <c r="AA905" s="11" t="str">
        <f>IFERROR(IF(MARÍTIMOS[[#This Row],[Etapa Despacho -  Registro]]="","",MARÍTIMOS[[#This Row],[Etapa Despacho - 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 Inicio de Carga]]="","",MARÍTIMOS[[#This Row],[Etapa Despacho -  Inicio de Carga]]),"")</f>
        <v/>
      </c>
      <c r="AD905" s="11" t="str">
        <f>IFERROR(IF(MARÍTIMOS[[#This Row],[Etapa Despacho -  Fin de Carga]]="","",MARÍTIMOS[[#This Row],[Etapa Despacho -  Fin de Carga]]),"")</f>
        <v/>
      </c>
      <c r="AE905" s="11" t="str">
        <f>IFERROR(IF(MARÍTIMOS[[#This Row],[Etapa Despacho -  Salida]]="","",MARÍTIMOS[[#This Row],[Etapa Despacho -  Salida]]),"")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5" t="s">
        <v>181</v>
      </c>
      <c r="BB905" s="53" t="str">
        <f>IFERROR(IF(MARÍTIMOS[[#This Row],[Estatus]]="","",MARÍTIMOS[[#This Row],[Estatus]]),"")</f>
        <v/>
      </c>
      <c r="BC905" s="45"/>
      <c r="BD905" s="52" t="str">
        <f>IFERROR(OLDBD[[#This Row],[Salida de almacén de retiro]]-OLDBD[[#This Row],[Ingreso Almacén de retiro]],"")</f>
        <v/>
      </c>
      <c r="BE905" s="52" t="str">
        <f>IFERROR(OLDBD[[#This Row],[Fin de Carga]]-OLDBD[[#This Row],[Inicio de Carga]],"")</f>
        <v/>
      </c>
    </row>
    <row r="906" spans="1:57" x14ac:dyDescent="0.35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6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Salida]]="","",MARÍTIMOS[[#This Row],[Etapa Retiro - Salida]]),"")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Row],[Hora de Carga]]+MARÍTIMOS[[#This Row],[Hora de Posicionamiento]]),"")</f>
        <v/>
      </c>
      <c r="Z906" s="11" t="str">
        <f>IFERROR(IF(MARÍTIMOS[[#This Row],[Etapa Despacho -  Llegada]]="","",MARÍTIMOS[[#This Row],[Etapa Despacho -  Llegada]]),"")</f>
        <v/>
      </c>
      <c r="AA906" s="11" t="str">
        <f>IFERROR(IF(MARÍTIMOS[[#This Row],[Etapa Despacho -  Registro]]="","",MARÍTIMOS[[#This Row],[Etapa Despacho - 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 Inicio de Carga]]="","",MARÍTIMOS[[#This Row],[Etapa Despacho -  Inicio de Carga]]),"")</f>
        <v/>
      </c>
      <c r="AD906" s="11" t="str">
        <f>IFERROR(IF(MARÍTIMOS[[#This Row],[Etapa Despacho -  Fin de Carga]]="","",MARÍTIMOS[[#This Row],[Etapa Despacho -  Fin de Carga]]),"")</f>
        <v/>
      </c>
      <c r="AE906" s="11" t="str">
        <f>IFERROR(IF(MARÍTIMOS[[#This Row],[Etapa Despacho -  Salida]]="","",MARÍTIMOS[[#This Row],[Etapa Despacho -  Salida]]),"")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5" t="s">
        <v>181</v>
      </c>
      <c r="BB906" s="53" t="str">
        <f>IFERROR(IF(MARÍTIMOS[[#This Row],[Estatus]]="","",MARÍTIMOS[[#This Row],[Estatus]]),"")</f>
        <v/>
      </c>
      <c r="BC906" s="45"/>
      <c r="BD906" s="52" t="str">
        <f>IFERROR(OLDBD[[#This Row],[Salida de almacén de retiro]]-OLDBD[[#This Row],[Ingreso Almacén de retiro]],"")</f>
        <v/>
      </c>
      <c r="BE906" s="52" t="str">
        <f>IFERROR(OLDBD[[#This Row],[Fin de Carga]]-OLDBD[[#This Row],[Inicio de Carga]],"")</f>
        <v/>
      </c>
    </row>
    <row r="907" spans="1:57" x14ac:dyDescent="0.35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6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Salida]]="","",MARÍTIMOS[[#This Row],[Etapa Retiro - Salida]]),"")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Row],[Hora de Carga]]+MARÍTIMOS[[#This Row],[Hora de Posicionamiento]]),"")</f>
        <v/>
      </c>
      <c r="Z907" s="11" t="str">
        <f>IFERROR(IF(MARÍTIMOS[[#This Row],[Etapa Despacho -  Llegada]]="","",MARÍTIMOS[[#This Row],[Etapa Despacho -  Llegada]]),"")</f>
        <v/>
      </c>
      <c r="AA907" s="11" t="str">
        <f>IFERROR(IF(MARÍTIMOS[[#This Row],[Etapa Despacho -  Registro]]="","",MARÍTIMOS[[#This Row],[Etapa Despacho - 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 Inicio de Carga]]="","",MARÍTIMOS[[#This Row],[Etapa Despacho -  Inicio de Carga]]),"")</f>
        <v/>
      </c>
      <c r="AD907" s="11" t="str">
        <f>IFERROR(IF(MARÍTIMOS[[#This Row],[Etapa Despacho -  Fin de Carga]]="","",MARÍTIMOS[[#This Row],[Etapa Despacho -  Fin de Carga]]),"")</f>
        <v/>
      </c>
      <c r="AE907" s="11" t="str">
        <f>IFERROR(IF(MARÍTIMOS[[#This Row],[Etapa Despacho -  Salida]]="","",MARÍTIMOS[[#This Row],[Etapa Despacho -  Salida]]),"")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5" t="s">
        <v>181</v>
      </c>
      <c r="BB907" s="53" t="str">
        <f>IFERROR(IF(MARÍTIMOS[[#This Row],[Estatus]]="","",MARÍTIMOS[[#This Row],[Estatus]]),"")</f>
        <v/>
      </c>
      <c r="BC907" s="45"/>
      <c r="BD907" s="52" t="str">
        <f>IFERROR(OLDBD[[#This Row],[Salida de almacén de retiro]]-OLDBD[[#This Row],[Ingreso Almacén de retiro]],"")</f>
        <v/>
      </c>
      <c r="BE907" s="52" t="str">
        <f>IFERROR(OLDBD[[#This Row],[Fin de Carga]]-OLDBD[[#This Row],[Inicio de Carga]],"")</f>
        <v/>
      </c>
    </row>
    <row r="908" spans="1:57" x14ac:dyDescent="0.35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6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Salida]]="","",MARÍTIMOS[[#This Row],[Etapa Retiro - Salida]]),"")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Row],[Hora de Carga]]+MARÍTIMOS[[#This Row],[Hora de Posicionamiento]]),"")</f>
        <v/>
      </c>
      <c r="Z908" s="11" t="str">
        <f>IFERROR(IF(MARÍTIMOS[[#This Row],[Etapa Despacho -  Llegada]]="","",MARÍTIMOS[[#This Row],[Etapa Despacho -  Llegada]]),"")</f>
        <v/>
      </c>
      <c r="AA908" s="11" t="str">
        <f>IFERROR(IF(MARÍTIMOS[[#This Row],[Etapa Despacho -  Registro]]="","",MARÍTIMOS[[#This Row],[Etapa Despacho - 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 Inicio de Carga]]="","",MARÍTIMOS[[#This Row],[Etapa Despacho -  Inicio de Carga]]),"")</f>
        <v/>
      </c>
      <c r="AD908" s="11" t="str">
        <f>IFERROR(IF(MARÍTIMOS[[#This Row],[Etapa Despacho -  Fin de Carga]]="","",MARÍTIMOS[[#This Row],[Etapa Despacho -  Fin de Carga]]),"")</f>
        <v/>
      </c>
      <c r="AE908" s="11" t="str">
        <f>IFERROR(IF(MARÍTIMOS[[#This Row],[Etapa Despacho -  Salida]]="","",MARÍTIMOS[[#This Row],[Etapa Despacho -  Salida]]),"")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5" t="s">
        <v>181</v>
      </c>
      <c r="BB908" s="53" t="str">
        <f>IFERROR(IF(MARÍTIMOS[[#This Row],[Estatus]]="","",MARÍTIMOS[[#This Row],[Estatus]]),"")</f>
        <v/>
      </c>
      <c r="BC908" s="45"/>
      <c r="BD908" s="52" t="str">
        <f>IFERROR(OLDBD[[#This Row],[Salida de almacén de retiro]]-OLDBD[[#This Row],[Ingreso Almacén de retiro]],"")</f>
        <v/>
      </c>
      <c r="BE908" s="52" t="str">
        <f>IFERROR(OLDBD[[#This Row],[Fin de Carga]]-OLDBD[[#This Row],[Inicio de Carga]],"")</f>
        <v/>
      </c>
    </row>
    <row r="909" spans="1:57" x14ac:dyDescent="0.35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6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Salida]]="","",MARÍTIMOS[[#This Row],[Etapa Retiro - Salida]]),"")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Row],[Hora de Carga]]+MARÍTIMOS[[#This Row],[Hora de Posicionamiento]]),"")</f>
        <v/>
      </c>
      <c r="Z909" s="11" t="str">
        <f>IFERROR(IF(MARÍTIMOS[[#This Row],[Etapa Despacho -  Llegada]]="","",MARÍTIMOS[[#This Row],[Etapa Despacho -  Llegada]]),"")</f>
        <v/>
      </c>
      <c r="AA909" s="11" t="str">
        <f>IFERROR(IF(MARÍTIMOS[[#This Row],[Etapa Despacho -  Registro]]="","",MARÍTIMOS[[#This Row],[Etapa Despacho - 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 Inicio de Carga]]="","",MARÍTIMOS[[#This Row],[Etapa Despacho -  Inicio de Carga]]),"")</f>
        <v/>
      </c>
      <c r="AD909" s="11" t="str">
        <f>IFERROR(IF(MARÍTIMOS[[#This Row],[Etapa Despacho -  Fin de Carga]]="","",MARÍTIMOS[[#This Row],[Etapa Despacho -  Fin de Carga]]),"")</f>
        <v/>
      </c>
      <c r="AE909" s="11" t="str">
        <f>IFERROR(IF(MARÍTIMOS[[#This Row],[Etapa Despacho -  Salida]]="","",MARÍTIMOS[[#This Row],[Etapa Despacho -  Salida]]),"")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5" t="s">
        <v>181</v>
      </c>
      <c r="BB909" s="53" t="str">
        <f>IFERROR(IF(MARÍTIMOS[[#This Row],[Estatus]]="","",MARÍTIMOS[[#This Row],[Estatus]]),"")</f>
        <v/>
      </c>
      <c r="BC909" s="45"/>
      <c r="BD909" s="52" t="str">
        <f>IFERROR(OLDBD[[#This Row],[Salida de almacén de retiro]]-OLDBD[[#This Row],[Ingreso Almacén de retiro]],"")</f>
        <v/>
      </c>
      <c r="BE909" s="52" t="str">
        <f>IFERROR(OLDBD[[#This Row],[Fin de Carga]]-OLDBD[[#This Row],[Inicio de Carga]],"")</f>
        <v/>
      </c>
    </row>
    <row r="910" spans="1:57" x14ac:dyDescent="0.35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6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Salida]]="","",MARÍTIMOS[[#This Row],[Etapa Retiro - Salida]]),"")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Row],[Hora de Carga]]+MARÍTIMOS[[#This Row],[Hora de Posicionamiento]]),"")</f>
        <v/>
      </c>
      <c r="Z910" s="11" t="str">
        <f>IFERROR(IF(MARÍTIMOS[[#This Row],[Etapa Despacho -  Llegada]]="","",MARÍTIMOS[[#This Row],[Etapa Despacho -  Llegada]]),"")</f>
        <v/>
      </c>
      <c r="AA910" s="11" t="str">
        <f>IFERROR(IF(MARÍTIMOS[[#This Row],[Etapa Despacho -  Registro]]="","",MARÍTIMOS[[#This Row],[Etapa Despacho - 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 Inicio de Carga]]="","",MARÍTIMOS[[#This Row],[Etapa Despacho -  Inicio de Carga]]),"")</f>
        <v/>
      </c>
      <c r="AD910" s="11" t="str">
        <f>IFERROR(IF(MARÍTIMOS[[#This Row],[Etapa Despacho -  Fin de Carga]]="","",MARÍTIMOS[[#This Row],[Etapa Despacho -  Fin de Carga]]),"")</f>
        <v/>
      </c>
      <c r="AE910" s="11" t="str">
        <f>IFERROR(IF(MARÍTIMOS[[#This Row],[Etapa Despacho -  Salida]]="","",MARÍTIMOS[[#This Row],[Etapa Despacho -  Salida]]),"")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5" t="s">
        <v>181</v>
      </c>
      <c r="BB910" s="53" t="str">
        <f>IFERROR(IF(MARÍTIMOS[[#This Row],[Estatus]]="","",MARÍTIMOS[[#This Row],[Estatus]]),"")</f>
        <v/>
      </c>
      <c r="BC910" s="45"/>
      <c r="BD910" s="52" t="str">
        <f>IFERROR(OLDBD[[#This Row],[Salida de almacén de retiro]]-OLDBD[[#This Row],[Ingreso Almacén de retiro]],"")</f>
        <v/>
      </c>
      <c r="BE910" s="52" t="str">
        <f>IFERROR(OLDBD[[#This Row],[Fin de Carga]]-OLDBD[[#This Row],[Inicio de Carga]],"")</f>
        <v/>
      </c>
    </row>
    <row r="911" spans="1:57" x14ac:dyDescent="0.35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6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Salida]]="","",MARÍTIMOS[[#This Row],[Etapa Retiro - Salida]]),"")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Row],[Hora de Carga]]+MARÍTIMOS[[#This Row],[Hora de Posicionamiento]]),"")</f>
        <v/>
      </c>
      <c r="Z911" s="11" t="str">
        <f>IFERROR(IF(MARÍTIMOS[[#This Row],[Etapa Despacho -  Llegada]]="","",MARÍTIMOS[[#This Row],[Etapa Despacho -  Llegada]]),"")</f>
        <v/>
      </c>
      <c r="AA911" s="11" t="str">
        <f>IFERROR(IF(MARÍTIMOS[[#This Row],[Etapa Despacho -  Registro]]="","",MARÍTIMOS[[#This Row],[Etapa Despacho - 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 Inicio de Carga]]="","",MARÍTIMOS[[#This Row],[Etapa Despacho -  Inicio de Carga]]),"")</f>
        <v/>
      </c>
      <c r="AD911" s="11" t="str">
        <f>IFERROR(IF(MARÍTIMOS[[#This Row],[Etapa Despacho -  Fin de Carga]]="","",MARÍTIMOS[[#This Row],[Etapa Despacho -  Fin de Carga]]),"")</f>
        <v/>
      </c>
      <c r="AE911" s="11" t="str">
        <f>IFERROR(IF(MARÍTIMOS[[#This Row],[Etapa Despacho -  Salida]]="","",MARÍTIMOS[[#This Row],[Etapa Despacho -  Salida]]),"")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5" t="s">
        <v>181</v>
      </c>
      <c r="BB911" s="53" t="str">
        <f>IFERROR(IF(MARÍTIMOS[[#This Row],[Estatus]]="","",MARÍTIMOS[[#This Row],[Estatus]]),"")</f>
        <v/>
      </c>
      <c r="BC911" s="45"/>
      <c r="BD911" s="52" t="str">
        <f>IFERROR(OLDBD[[#This Row],[Salida de almacén de retiro]]-OLDBD[[#This Row],[Ingreso Almacén de retiro]],"")</f>
        <v/>
      </c>
      <c r="BE911" s="52" t="str">
        <f>IFERROR(OLDBD[[#This Row],[Fin de Carga]]-OLDBD[[#This Row],[Inicio de Carga]],"")</f>
        <v/>
      </c>
    </row>
    <row r="912" spans="1:57" x14ac:dyDescent="0.35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6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Salida]]="","",MARÍTIMOS[[#This Row],[Etapa Retiro - Salida]]),"")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Row],[Hora de Carga]]+MARÍTIMOS[[#This Row],[Hora de Posicionamiento]]),"")</f>
        <v/>
      </c>
      <c r="Z912" s="11" t="str">
        <f>IFERROR(IF(MARÍTIMOS[[#This Row],[Etapa Despacho -  Llegada]]="","",MARÍTIMOS[[#This Row],[Etapa Despacho -  Llegada]]),"")</f>
        <v/>
      </c>
      <c r="AA912" s="11" t="str">
        <f>IFERROR(IF(MARÍTIMOS[[#This Row],[Etapa Despacho -  Registro]]="","",MARÍTIMOS[[#This Row],[Etapa Despacho - 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 Inicio de Carga]]="","",MARÍTIMOS[[#This Row],[Etapa Despacho -  Inicio de Carga]]),"")</f>
        <v/>
      </c>
      <c r="AD912" s="11" t="str">
        <f>IFERROR(IF(MARÍTIMOS[[#This Row],[Etapa Despacho -  Fin de Carga]]="","",MARÍTIMOS[[#This Row],[Etapa Despacho -  Fin de Carga]]),"")</f>
        <v/>
      </c>
      <c r="AE912" s="11" t="str">
        <f>IFERROR(IF(MARÍTIMOS[[#This Row],[Etapa Despacho -  Salida]]="","",MARÍTIMOS[[#This Row],[Etapa Despacho -  Salida]]),"")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5" t="s">
        <v>181</v>
      </c>
      <c r="BB912" s="53" t="str">
        <f>IFERROR(IF(MARÍTIMOS[[#This Row],[Estatus]]="","",MARÍTIMOS[[#This Row],[Estatus]]),"")</f>
        <v/>
      </c>
      <c r="BC912" s="45"/>
      <c r="BD912" s="52" t="str">
        <f>IFERROR(OLDBD[[#This Row],[Salida de almacén de retiro]]-OLDBD[[#This Row],[Ingreso Almacén de retiro]],"")</f>
        <v/>
      </c>
      <c r="BE912" s="52" t="str">
        <f>IFERROR(OLDBD[[#This Row],[Fin de Carga]]-OLDBD[[#This Row],[Inicio de Carga]],"")</f>
        <v/>
      </c>
    </row>
    <row r="913" spans="1:57" x14ac:dyDescent="0.35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6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Salida]]="","",MARÍTIMOS[[#This Row],[Etapa Retiro - Salida]]),"")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Row],[Hora de Carga]]+MARÍTIMOS[[#This Row],[Hora de Posicionamiento]]),"")</f>
        <v/>
      </c>
      <c r="Z913" s="11" t="str">
        <f>IFERROR(IF(MARÍTIMOS[[#This Row],[Etapa Despacho -  Llegada]]="","",MARÍTIMOS[[#This Row],[Etapa Despacho -  Llegada]]),"")</f>
        <v/>
      </c>
      <c r="AA913" s="11" t="str">
        <f>IFERROR(IF(MARÍTIMOS[[#This Row],[Etapa Despacho -  Registro]]="","",MARÍTIMOS[[#This Row],[Etapa Despacho - 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 Inicio de Carga]]="","",MARÍTIMOS[[#This Row],[Etapa Despacho -  Inicio de Carga]]),"")</f>
        <v/>
      </c>
      <c r="AD913" s="11" t="str">
        <f>IFERROR(IF(MARÍTIMOS[[#This Row],[Etapa Despacho -  Fin de Carga]]="","",MARÍTIMOS[[#This Row],[Etapa Despacho -  Fin de Carga]]),"")</f>
        <v/>
      </c>
      <c r="AE913" s="11" t="str">
        <f>IFERROR(IF(MARÍTIMOS[[#This Row],[Etapa Despacho -  Salida]]="","",MARÍTIMOS[[#This Row],[Etapa Despacho -  Salida]]),"")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5" t="s">
        <v>181</v>
      </c>
      <c r="BB913" s="53" t="str">
        <f>IFERROR(IF(MARÍTIMOS[[#This Row],[Estatus]]="","",MARÍTIMOS[[#This Row],[Estatus]]),"")</f>
        <v/>
      </c>
      <c r="BC913" s="45"/>
      <c r="BD913" s="52" t="str">
        <f>IFERROR(OLDBD[[#This Row],[Salida de almacén de retiro]]-OLDBD[[#This Row],[Ingreso Almacén de retiro]],"")</f>
        <v/>
      </c>
      <c r="BE913" s="52" t="str">
        <f>IFERROR(OLDBD[[#This Row],[Fin de Carga]]-OLDBD[[#This Row],[Inicio de Carga]],"")</f>
        <v/>
      </c>
    </row>
    <row r="914" spans="1:57" x14ac:dyDescent="0.35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6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Salida]]="","",MARÍTIMOS[[#This Row],[Etapa Retiro - Salida]]),"")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Row],[Hora de Carga]]+MARÍTIMOS[[#This Row],[Hora de Posicionamiento]]),"")</f>
        <v/>
      </c>
      <c r="Z914" s="11" t="str">
        <f>IFERROR(IF(MARÍTIMOS[[#This Row],[Etapa Despacho -  Llegada]]="","",MARÍTIMOS[[#This Row],[Etapa Despacho -  Llegada]]),"")</f>
        <v/>
      </c>
      <c r="AA914" s="11" t="str">
        <f>IFERROR(IF(MARÍTIMOS[[#This Row],[Etapa Despacho -  Registro]]="","",MARÍTIMOS[[#This Row],[Etapa Despacho - 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 Inicio de Carga]]="","",MARÍTIMOS[[#This Row],[Etapa Despacho -  Inicio de Carga]]),"")</f>
        <v/>
      </c>
      <c r="AD914" s="11" t="str">
        <f>IFERROR(IF(MARÍTIMOS[[#This Row],[Etapa Despacho -  Fin de Carga]]="","",MARÍTIMOS[[#This Row],[Etapa Despacho -  Fin de Carga]]),"")</f>
        <v/>
      </c>
      <c r="AE914" s="11" t="str">
        <f>IFERROR(IF(MARÍTIMOS[[#This Row],[Etapa Despacho -  Salida]]="","",MARÍTIMOS[[#This Row],[Etapa Despacho -  Salida]]),"")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5" t="s">
        <v>181</v>
      </c>
      <c r="BB914" s="53" t="str">
        <f>IFERROR(IF(MARÍTIMOS[[#This Row],[Estatus]]="","",MARÍTIMOS[[#This Row],[Estatus]]),"")</f>
        <v/>
      </c>
      <c r="BC914" s="45"/>
      <c r="BD914" s="52" t="str">
        <f>IFERROR(OLDBD[[#This Row],[Salida de almacén de retiro]]-OLDBD[[#This Row],[Ingreso Almacén de retiro]],"")</f>
        <v/>
      </c>
      <c r="BE914" s="52" t="str">
        <f>IFERROR(OLDBD[[#This Row],[Fin de Carga]]-OLDBD[[#This Row],[Inicio de Carga]],"")</f>
        <v/>
      </c>
    </row>
    <row r="915" spans="1:57" x14ac:dyDescent="0.35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6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Salida]]="","",MARÍTIMOS[[#This Row],[Etapa Retiro - Salida]]),"")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Row],[Hora de Carga]]+MARÍTIMOS[[#This Row],[Hora de Posicionamiento]]),"")</f>
        <v/>
      </c>
      <c r="Z915" s="11" t="str">
        <f>IFERROR(IF(MARÍTIMOS[[#This Row],[Etapa Despacho -  Llegada]]="","",MARÍTIMOS[[#This Row],[Etapa Despacho -  Llegada]]),"")</f>
        <v/>
      </c>
      <c r="AA915" s="11" t="str">
        <f>IFERROR(IF(MARÍTIMOS[[#This Row],[Etapa Despacho -  Registro]]="","",MARÍTIMOS[[#This Row],[Etapa Despacho - 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 Inicio de Carga]]="","",MARÍTIMOS[[#This Row],[Etapa Despacho -  Inicio de Carga]]),"")</f>
        <v/>
      </c>
      <c r="AD915" s="11" t="str">
        <f>IFERROR(IF(MARÍTIMOS[[#This Row],[Etapa Despacho -  Fin de Carga]]="","",MARÍTIMOS[[#This Row],[Etapa Despacho -  Fin de Carga]]),"")</f>
        <v/>
      </c>
      <c r="AE915" s="11" t="str">
        <f>IFERROR(IF(MARÍTIMOS[[#This Row],[Etapa Despacho -  Salida]]="","",MARÍTIMOS[[#This Row],[Etapa Despacho -  Salida]]),"")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5" t="s">
        <v>181</v>
      </c>
      <c r="BB915" s="53" t="str">
        <f>IFERROR(IF(MARÍTIMOS[[#This Row],[Estatus]]="","",MARÍTIMOS[[#This Row],[Estatus]]),"")</f>
        <v/>
      </c>
      <c r="BC915" s="45"/>
      <c r="BD915" s="52" t="str">
        <f>IFERROR(OLDBD[[#This Row],[Salida de almacén de retiro]]-OLDBD[[#This Row],[Ingreso Almacén de retiro]],"")</f>
        <v/>
      </c>
      <c r="BE915" s="52" t="str">
        <f>IFERROR(OLDBD[[#This Row],[Fin de Carga]]-OLDBD[[#This Row],[Inicio de Carga]],"")</f>
        <v/>
      </c>
    </row>
    <row r="916" spans="1:57" x14ac:dyDescent="0.35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6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Salida]]="","",MARÍTIMOS[[#This Row],[Etapa Retiro - Salida]]),"")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Row],[Hora de Carga]]+MARÍTIMOS[[#This Row],[Hora de Posicionamiento]]),"")</f>
        <v/>
      </c>
      <c r="Z916" s="11" t="str">
        <f>IFERROR(IF(MARÍTIMOS[[#This Row],[Etapa Despacho -  Llegada]]="","",MARÍTIMOS[[#This Row],[Etapa Despacho -  Llegada]]),"")</f>
        <v/>
      </c>
      <c r="AA916" s="11" t="str">
        <f>IFERROR(IF(MARÍTIMOS[[#This Row],[Etapa Despacho -  Registro]]="","",MARÍTIMOS[[#This Row],[Etapa Despacho - 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 Inicio de Carga]]="","",MARÍTIMOS[[#This Row],[Etapa Despacho -  Inicio de Carga]]),"")</f>
        <v/>
      </c>
      <c r="AD916" s="11" t="str">
        <f>IFERROR(IF(MARÍTIMOS[[#This Row],[Etapa Despacho -  Fin de Carga]]="","",MARÍTIMOS[[#This Row],[Etapa Despacho -  Fin de Carga]]),"")</f>
        <v/>
      </c>
      <c r="AE916" s="11" t="str">
        <f>IFERROR(IF(MARÍTIMOS[[#This Row],[Etapa Despacho -  Salida]]="","",MARÍTIMOS[[#This Row],[Etapa Despacho -  Salida]]),"")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5" t="s">
        <v>181</v>
      </c>
      <c r="BB916" s="53" t="str">
        <f>IFERROR(IF(MARÍTIMOS[[#This Row],[Estatus]]="","",MARÍTIMOS[[#This Row],[Estatus]]),"")</f>
        <v/>
      </c>
      <c r="BC916" s="45"/>
      <c r="BD916" s="52" t="str">
        <f>IFERROR(OLDBD[[#This Row],[Salida de almacén de retiro]]-OLDBD[[#This Row],[Ingreso Almacén de retiro]],"")</f>
        <v/>
      </c>
      <c r="BE916" s="52" t="str">
        <f>IFERROR(OLDBD[[#This Row],[Fin de Carga]]-OLDBD[[#This Row],[Inicio de Carga]],"")</f>
        <v/>
      </c>
    </row>
    <row r="917" spans="1:57" x14ac:dyDescent="0.35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6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Salida]]="","",MARÍTIMOS[[#This Row],[Etapa Retiro - Salida]]),"")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Row],[Hora de Carga]]+MARÍTIMOS[[#This Row],[Hora de Posicionamiento]]),"")</f>
        <v/>
      </c>
      <c r="Z917" s="11" t="str">
        <f>IFERROR(IF(MARÍTIMOS[[#This Row],[Etapa Despacho -  Llegada]]="","",MARÍTIMOS[[#This Row],[Etapa Despacho -  Llegada]]),"")</f>
        <v/>
      </c>
      <c r="AA917" s="11" t="str">
        <f>IFERROR(IF(MARÍTIMOS[[#This Row],[Etapa Despacho -  Registro]]="","",MARÍTIMOS[[#This Row],[Etapa Despacho - 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 Inicio de Carga]]="","",MARÍTIMOS[[#This Row],[Etapa Despacho -  Inicio de Carga]]),"")</f>
        <v/>
      </c>
      <c r="AD917" s="11" t="str">
        <f>IFERROR(IF(MARÍTIMOS[[#This Row],[Etapa Despacho -  Fin de Carga]]="","",MARÍTIMOS[[#This Row],[Etapa Despacho -  Fin de Carga]]),"")</f>
        <v/>
      </c>
      <c r="AE917" s="11" t="str">
        <f>IFERROR(IF(MARÍTIMOS[[#This Row],[Etapa Despacho -  Salida]]="","",MARÍTIMOS[[#This Row],[Etapa Despacho -  Salida]]),"")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5" t="s">
        <v>181</v>
      </c>
      <c r="BB917" s="53" t="str">
        <f>IFERROR(IF(MARÍTIMOS[[#This Row],[Estatus]]="","",MARÍTIMOS[[#This Row],[Estatus]]),"")</f>
        <v/>
      </c>
      <c r="BC917" s="45"/>
      <c r="BD917" s="52" t="str">
        <f>IFERROR(OLDBD[[#This Row],[Salida de almacén de retiro]]-OLDBD[[#This Row],[Ingreso Almacén de retiro]],"")</f>
        <v/>
      </c>
      <c r="BE917" s="52" t="str">
        <f>IFERROR(OLDBD[[#This Row],[Fin de Carga]]-OLDBD[[#This Row],[Inicio de Carga]],"")</f>
        <v/>
      </c>
    </row>
    <row r="918" spans="1:57" x14ac:dyDescent="0.35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6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Salida]]="","",MARÍTIMOS[[#This Row],[Etapa Retiro - Salida]]),"")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Row],[Hora de Carga]]+MARÍTIMOS[[#This Row],[Hora de Posicionamiento]]),"")</f>
        <v/>
      </c>
      <c r="Z918" s="11" t="str">
        <f>IFERROR(IF(MARÍTIMOS[[#This Row],[Etapa Despacho -  Llegada]]="","",MARÍTIMOS[[#This Row],[Etapa Despacho -  Llegada]]),"")</f>
        <v/>
      </c>
      <c r="AA918" s="11" t="str">
        <f>IFERROR(IF(MARÍTIMOS[[#This Row],[Etapa Despacho -  Registro]]="","",MARÍTIMOS[[#This Row],[Etapa Despacho - 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 Inicio de Carga]]="","",MARÍTIMOS[[#This Row],[Etapa Despacho -  Inicio de Carga]]),"")</f>
        <v/>
      </c>
      <c r="AD918" s="11" t="str">
        <f>IFERROR(IF(MARÍTIMOS[[#This Row],[Etapa Despacho -  Fin de Carga]]="","",MARÍTIMOS[[#This Row],[Etapa Despacho -  Fin de Carga]]),"")</f>
        <v/>
      </c>
      <c r="AE918" s="11" t="str">
        <f>IFERROR(IF(MARÍTIMOS[[#This Row],[Etapa Despacho -  Salida]]="","",MARÍTIMOS[[#This Row],[Etapa Despacho -  Salida]]),"")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5" t="s">
        <v>181</v>
      </c>
      <c r="BB918" s="53" t="str">
        <f>IFERROR(IF(MARÍTIMOS[[#This Row],[Estatus]]="","",MARÍTIMOS[[#This Row],[Estatus]]),"")</f>
        <v/>
      </c>
      <c r="BC918" s="45"/>
      <c r="BD918" s="52" t="str">
        <f>IFERROR(OLDBD[[#This Row],[Salida de almacén de retiro]]-OLDBD[[#This Row],[Ingreso Almacén de retiro]],"")</f>
        <v/>
      </c>
      <c r="BE918" s="52" t="str">
        <f>IFERROR(OLDBD[[#This Row],[Fin de Carga]]-OLDBD[[#This Row],[Inicio de Carga]],"")</f>
        <v/>
      </c>
    </row>
    <row r="919" spans="1:57" x14ac:dyDescent="0.35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6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Salida]]="","",MARÍTIMOS[[#This Row],[Etapa Retiro - Salida]]),"")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Row],[Hora de Carga]]+MARÍTIMOS[[#This Row],[Hora de Posicionamiento]]),"")</f>
        <v/>
      </c>
      <c r="Z919" s="11" t="str">
        <f>IFERROR(IF(MARÍTIMOS[[#This Row],[Etapa Despacho -  Llegada]]="","",MARÍTIMOS[[#This Row],[Etapa Despacho -  Llegada]]),"")</f>
        <v/>
      </c>
      <c r="AA919" s="11" t="str">
        <f>IFERROR(IF(MARÍTIMOS[[#This Row],[Etapa Despacho -  Registro]]="","",MARÍTIMOS[[#This Row],[Etapa Despacho - 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 Inicio de Carga]]="","",MARÍTIMOS[[#This Row],[Etapa Despacho -  Inicio de Carga]]),"")</f>
        <v/>
      </c>
      <c r="AD919" s="11" t="str">
        <f>IFERROR(IF(MARÍTIMOS[[#This Row],[Etapa Despacho -  Fin de Carga]]="","",MARÍTIMOS[[#This Row],[Etapa Despacho -  Fin de Carga]]),"")</f>
        <v/>
      </c>
      <c r="AE919" s="11" t="str">
        <f>IFERROR(IF(MARÍTIMOS[[#This Row],[Etapa Despacho -  Salida]]="","",MARÍTIMOS[[#This Row],[Etapa Despacho -  Salida]]),"")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5" t="s">
        <v>181</v>
      </c>
      <c r="BB919" s="53" t="str">
        <f>IFERROR(IF(MARÍTIMOS[[#This Row],[Estatus]]="","",MARÍTIMOS[[#This Row],[Estatus]]),"")</f>
        <v/>
      </c>
      <c r="BC919" s="45"/>
      <c r="BD919" s="52" t="str">
        <f>IFERROR(OLDBD[[#This Row],[Salida de almacén de retiro]]-OLDBD[[#This Row],[Ingreso Almacén de retiro]],"")</f>
        <v/>
      </c>
      <c r="BE919" s="52" t="str">
        <f>IFERROR(OLDBD[[#This Row],[Fin de Carga]]-OLDBD[[#This Row],[Inicio de Carga]],"")</f>
        <v/>
      </c>
    </row>
    <row r="920" spans="1:57" x14ac:dyDescent="0.35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6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Salida]]="","",MARÍTIMOS[[#This Row],[Etapa Retiro - Salida]]),"")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Row],[Hora de Carga]]+MARÍTIMOS[[#This Row],[Hora de Posicionamiento]]),"")</f>
        <v/>
      </c>
      <c r="Z920" s="11" t="str">
        <f>IFERROR(IF(MARÍTIMOS[[#This Row],[Etapa Despacho -  Llegada]]="","",MARÍTIMOS[[#This Row],[Etapa Despacho -  Llegada]]),"")</f>
        <v/>
      </c>
      <c r="AA920" s="11" t="str">
        <f>IFERROR(IF(MARÍTIMOS[[#This Row],[Etapa Despacho -  Registro]]="","",MARÍTIMOS[[#This Row],[Etapa Despacho - 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 Inicio de Carga]]="","",MARÍTIMOS[[#This Row],[Etapa Despacho -  Inicio de Carga]]),"")</f>
        <v/>
      </c>
      <c r="AD920" s="11" t="str">
        <f>IFERROR(IF(MARÍTIMOS[[#This Row],[Etapa Despacho -  Fin de Carga]]="","",MARÍTIMOS[[#This Row],[Etapa Despacho -  Fin de Carga]]),"")</f>
        <v/>
      </c>
      <c r="AE920" s="11" t="str">
        <f>IFERROR(IF(MARÍTIMOS[[#This Row],[Etapa Despacho -  Salida]]="","",MARÍTIMOS[[#This Row],[Etapa Despacho -  Salida]]),"")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5" t="s">
        <v>181</v>
      </c>
      <c r="BB920" s="53" t="str">
        <f>IFERROR(IF(MARÍTIMOS[[#This Row],[Estatus]]="","",MARÍTIMOS[[#This Row],[Estatus]]),"")</f>
        <v/>
      </c>
      <c r="BC920" s="45"/>
      <c r="BD920" s="52" t="str">
        <f>IFERROR(OLDBD[[#This Row],[Salida de almacén de retiro]]-OLDBD[[#This Row],[Ingreso Almacén de retiro]],"")</f>
        <v/>
      </c>
      <c r="BE920" s="52" t="str">
        <f>IFERROR(OLDBD[[#This Row],[Fin de Carga]]-OLDBD[[#This Row],[Inicio de Carga]],"")</f>
        <v/>
      </c>
    </row>
    <row r="921" spans="1:57" x14ac:dyDescent="0.35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6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Salida]]="","",MARÍTIMOS[[#This Row],[Etapa Retiro - Salida]]),"")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Row],[Hora de Carga]]+MARÍTIMOS[[#This Row],[Hora de Posicionamiento]]),"")</f>
        <v/>
      </c>
      <c r="Z921" s="11" t="str">
        <f>IFERROR(IF(MARÍTIMOS[[#This Row],[Etapa Despacho -  Llegada]]="","",MARÍTIMOS[[#This Row],[Etapa Despacho -  Llegada]]),"")</f>
        <v/>
      </c>
      <c r="AA921" s="11" t="str">
        <f>IFERROR(IF(MARÍTIMOS[[#This Row],[Etapa Despacho -  Registro]]="","",MARÍTIMOS[[#This Row],[Etapa Despacho - 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 Inicio de Carga]]="","",MARÍTIMOS[[#This Row],[Etapa Despacho -  Inicio de Carga]]),"")</f>
        <v/>
      </c>
      <c r="AD921" s="11" t="str">
        <f>IFERROR(IF(MARÍTIMOS[[#This Row],[Etapa Despacho -  Fin de Carga]]="","",MARÍTIMOS[[#This Row],[Etapa Despacho -  Fin de Carga]]),"")</f>
        <v/>
      </c>
      <c r="AE921" s="11" t="str">
        <f>IFERROR(IF(MARÍTIMOS[[#This Row],[Etapa Despacho -  Salida]]="","",MARÍTIMOS[[#This Row],[Etapa Despacho -  Salida]]),"")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5" t="s">
        <v>181</v>
      </c>
      <c r="BB921" s="53" t="str">
        <f>IFERROR(IF(MARÍTIMOS[[#This Row],[Estatus]]="","",MARÍTIMOS[[#This Row],[Estatus]]),"")</f>
        <v/>
      </c>
      <c r="BC921" s="45"/>
      <c r="BD921" s="52" t="str">
        <f>IFERROR(OLDBD[[#This Row],[Salida de almacén de retiro]]-OLDBD[[#This Row],[Ingreso Almacén de retiro]],"")</f>
        <v/>
      </c>
      <c r="BE921" s="52" t="str">
        <f>IFERROR(OLDBD[[#This Row],[Fin de Carga]]-OLDBD[[#This Row],[Inicio de Carga]],"")</f>
        <v/>
      </c>
    </row>
    <row r="922" spans="1:57" x14ac:dyDescent="0.35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6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Salida]]="","",MARÍTIMOS[[#This Row],[Etapa Retiro - Salida]]),"")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Row],[Hora de Carga]]+MARÍTIMOS[[#This Row],[Hora de Posicionamiento]]),"")</f>
        <v/>
      </c>
      <c r="Z922" s="11" t="str">
        <f>IFERROR(IF(MARÍTIMOS[[#This Row],[Etapa Despacho -  Llegada]]="","",MARÍTIMOS[[#This Row],[Etapa Despacho -  Llegada]]),"")</f>
        <v/>
      </c>
      <c r="AA922" s="11" t="str">
        <f>IFERROR(IF(MARÍTIMOS[[#This Row],[Etapa Despacho -  Registro]]="","",MARÍTIMOS[[#This Row],[Etapa Despacho - 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 Inicio de Carga]]="","",MARÍTIMOS[[#This Row],[Etapa Despacho -  Inicio de Carga]]),"")</f>
        <v/>
      </c>
      <c r="AD922" s="11" t="str">
        <f>IFERROR(IF(MARÍTIMOS[[#This Row],[Etapa Despacho -  Fin de Carga]]="","",MARÍTIMOS[[#This Row],[Etapa Despacho -  Fin de Carga]]),"")</f>
        <v/>
      </c>
      <c r="AE922" s="11" t="str">
        <f>IFERROR(IF(MARÍTIMOS[[#This Row],[Etapa Despacho -  Salida]]="","",MARÍTIMOS[[#This Row],[Etapa Despacho -  Salida]]),"")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5" t="s">
        <v>181</v>
      </c>
      <c r="BB922" s="53" t="str">
        <f>IFERROR(IF(MARÍTIMOS[[#This Row],[Estatus]]="","",MARÍTIMOS[[#This Row],[Estatus]]),"")</f>
        <v/>
      </c>
      <c r="BC922" s="45"/>
      <c r="BD922" s="52" t="str">
        <f>IFERROR(OLDBD[[#This Row],[Salida de almacén de retiro]]-OLDBD[[#This Row],[Ingreso Almacén de retiro]],"")</f>
        <v/>
      </c>
      <c r="BE922" s="52" t="str">
        <f>IFERROR(OLDBD[[#This Row],[Fin de Carga]]-OLDBD[[#This Row],[Inicio de Carga]],"")</f>
        <v/>
      </c>
    </row>
    <row r="923" spans="1:57" x14ac:dyDescent="0.35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6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Salida]]="","",MARÍTIMOS[[#This Row],[Etapa Retiro - Salida]]),"")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Row],[Hora de Carga]]+MARÍTIMOS[[#This Row],[Hora de Posicionamiento]]),"")</f>
        <v/>
      </c>
      <c r="Z923" s="11" t="str">
        <f>IFERROR(IF(MARÍTIMOS[[#This Row],[Etapa Despacho -  Llegada]]="","",MARÍTIMOS[[#This Row],[Etapa Despacho -  Llegada]]),"")</f>
        <v/>
      </c>
      <c r="AA923" s="11" t="str">
        <f>IFERROR(IF(MARÍTIMOS[[#This Row],[Etapa Despacho -  Registro]]="","",MARÍTIMOS[[#This Row],[Etapa Despacho - 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 Inicio de Carga]]="","",MARÍTIMOS[[#This Row],[Etapa Despacho -  Inicio de Carga]]),"")</f>
        <v/>
      </c>
      <c r="AD923" s="11" t="str">
        <f>IFERROR(IF(MARÍTIMOS[[#This Row],[Etapa Despacho -  Fin de Carga]]="","",MARÍTIMOS[[#This Row],[Etapa Despacho -  Fin de Carga]]),"")</f>
        <v/>
      </c>
      <c r="AE923" s="11" t="str">
        <f>IFERROR(IF(MARÍTIMOS[[#This Row],[Etapa Despacho -  Salida]]="","",MARÍTIMOS[[#This Row],[Etapa Despacho -  Salida]]),"")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5" t="s">
        <v>181</v>
      </c>
      <c r="BB923" s="53" t="str">
        <f>IFERROR(IF(MARÍTIMOS[[#This Row],[Estatus]]="","",MARÍTIMOS[[#This Row],[Estatus]]),"")</f>
        <v/>
      </c>
      <c r="BC923" s="45"/>
      <c r="BD923" s="52" t="str">
        <f>IFERROR(OLDBD[[#This Row],[Salida de almacén de retiro]]-OLDBD[[#This Row],[Ingreso Almacén de retiro]],"")</f>
        <v/>
      </c>
      <c r="BE923" s="52" t="str">
        <f>IFERROR(OLDBD[[#This Row],[Fin de Carga]]-OLDBD[[#This Row],[Inicio de Carga]],"")</f>
        <v/>
      </c>
    </row>
    <row r="924" spans="1:57" x14ac:dyDescent="0.35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6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Salida]]="","",MARÍTIMOS[[#This Row],[Etapa Retiro - Salida]]),"")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Row],[Hora de Carga]]+MARÍTIMOS[[#This Row],[Hora de Posicionamiento]]),"")</f>
        <v/>
      </c>
      <c r="Z924" s="11" t="str">
        <f>IFERROR(IF(MARÍTIMOS[[#This Row],[Etapa Despacho -  Llegada]]="","",MARÍTIMOS[[#This Row],[Etapa Despacho -  Llegada]]),"")</f>
        <v/>
      </c>
      <c r="AA924" s="11" t="str">
        <f>IFERROR(IF(MARÍTIMOS[[#This Row],[Etapa Despacho -  Registro]]="","",MARÍTIMOS[[#This Row],[Etapa Despacho - 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 Inicio de Carga]]="","",MARÍTIMOS[[#This Row],[Etapa Despacho -  Inicio de Carga]]),"")</f>
        <v/>
      </c>
      <c r="AD924" s="11" t="str">
        <f>IFERROR(IF(MARÍTIMOS[[#This Row],[Etapa Despacho -  Fin de Carga]]="","",MARÍTIMOS[[#This Row],[Etapa Despacho -  Fin de Carga]]),"")</f>
        <v/>
      </c>
      <c r="AE924" s="11" t="str">
        <f>IFERROR(IF(MARÍTIMOS[[#This Row],[Etapa Despacho -  Salida]]="","",MARÍTIMOS[[#This Row],[Etapa Despacho -  Salida]]),"")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5" t="s">
        <v>181</v>
      </c>
      <c r="BB924" s="53" t="str">
        <f>IFERROR(IF(MARÍTIMOS[[#This Row],[Estatus]]="","",MARÍTIMOS[[#This Row],[Estatus]]),"")</f>
        <v/>
      </c>
      <c r="BC924" s="45"/>
      <c r="BD924" s="52" t="str">
        <f>IFERROR(OLDBD[[#This Row],[Salida de almacén de retiro]]-OLDBD[[#This Row],[Ingreso Almacén de retiro]],"")</f>
        <v/>
      </c>
      <c r="BE924" s="52" t="str">
        <f>IFERROR(OLDBD[[#This Row],[Fin de Carga]]-OLDBD[[#This Row],[Inicio de Carga]],"")</f>
        <v/>
      </c>
    </row>
    <row r="925" spans="1:57" x14ac:dyDescent="0.35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6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Salida]]="","",MARÍTIMOS[[#This Row],[Etapa Retiro - Salida]]),"")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Row],[Hora de Carga]]+MARÍTIMOS[[#This Row],[Hora de Posicionamiento]]),"")</f>
        <v/>
      </c>
      <c r="Z925" s="11" t="str">
        <f>IFERROR(IF(MARÍTIMOS[[#This Row],[Etapa Despacho -  Llegada]]="","",MARÍTIMOS[[#This Row],[Etapa Despacho -  Llegada]]),"")</f>
        <v/>
      </c>
      <c r="AA925" s="11" t="str">
        <f>IFERROR(IF(MARÍTIMOS[[#This Row],[Etapa Despacho -  Registro]]="","",MARÍTIMOS[[#This Row],[Etapa Despacho - 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 Inicio de Carga]]="","",MARÍTIMOS[[#This Row],[Etapa Despacho -  Inicio de Carga]]),"")</f>
        <v/>
      </c>
      <c r="AD925" s="11" t="str">
        <f>IFERROR(IF(MARÍTIMOS[[#This Row],[Etapa Despacho -  Fin de Carga]]="","",MARÍTIMOS[[#This Row],[Etapa Despacho -  Fin de Carga]]),"")</f>
        <v/>
      </c>
      <c r="AE925" s="11" t="str">
        <f>IFERROR(IF(MARÍTIMOS[[#This Row],[Etapa Despacho -  Salida]]="","",MARÍTIMOS[[#This Row],[Etapa Despacho -  Salida]]),"")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5" t="s">
        <v>181</v>
      </c>
      <c r="BB925" s="53" t="str">
        <f>IFERROR(IF(MARÍTIMOS[[#This Row],[Estatus]]="","",MARÍTIMOS[[#This Row],[Estatus]]),"")</f>
        <v/>
      </c>
      <c r="BC925" s="45"/>
      <c r="BD925" s="52" t="str">
        <f>IFERROR(OLDBD[[#This Row],[Salida de almacén de retiro]]-OLDBD[[#This Row],[Ingreso Almacén de retiro]],"")</f>
        <v/>
      </c>
      <c r="BE925" s="52" t="str">
        <f>IFERROR(OLDBD[[#This Row],[Fin de Carga]]-OLDBD[[#This Row],[Inicio de Carga]],"")</f>
        <v/>
      </c>
    </row>
    <row r="926" spans="1:57" x14ac:dyDescent="0.35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6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Salida]]="","",MARÍTIMOS[[#This Row],[Etapa Retiro - Salida]]),"")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Row],[Hora de Carga]]+MARÍTIMOS[[#This Row],[Hora de Posicionamiento]]),"")</f>
        <v/>
      </c>
      <c r="Z926" s="11" t="str">
        <f>IFERROR(IF(MARÍTIMOS[[#This Row],[Etapa Despacho -  Llegada]]="","",MARÍTIMOS[[#This Row],[Etapa Despacho -  Llegada]]),"")</f>
        <v/>
      </c>
      <c r="AA926" s="11" t="str">
        <f>IFERROR(IF(MARÍTIMOS[[#This Row],[Etapa Despacho -  Registro]]="","",MARÍTIMOS[[#This Row],[Etapa Despacho - 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 Inicio de Carga]]="","",MARÍTIMOS[[#This Row],[Etapa Despacho -  Inicio de Carga]]),"")</f>
        <v/>
      </c>
      <c r="AD926" s="11" t="str">
        <f>IFERROR(IF(MARÍTIMOS[[#This Row],[Etapa Despacho -  Fin de Carga]]="","",MARÍTIMOS[[#This Row],[Etapa Despacho -  Fin de Carga]]),"")</f>
        <v/>
      </c>
      <c r="AE926" s="11" t="str">
        <f>IFERROR(IF(MARÍTIMOS[[#This Row],[Etapa Despacho -  Salida]]="","",MARÍTIMOS[[#This Row],[Etapa Despacho -  Salida]]),"")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5" t="s">
        <v>181</v>
      </c>
      <c r="BB926" s="53" t="str">
        <f>IFERROR(IF(MARÍTIMOS[[#This Row],[Estatus]]="","",MARÍTIMOS[[#This Row],[Estatus]]),"")</f>
        <v/>
      </c>
      <c r="BC926" s="45"/>
      <c r="BD926" s="52" t="str">
        <f>IFERROR(OLDBD[[#This Row],[Salida de almacén de retiro]]-OLDBD[[#This Row],[Ingreso Almacén de retiro]],"")</f>
        <v/>
      </c>
      <c r="BE926" s="52" t="str">
        <f>IFERROR(OLDBD[[#This Row],[Fin de Carga]]-OLDBD[[#This Row],[Inicio de Carga]],"")</f>
        <v/>
      </c>
    </row>
    <row r="927" spans="1:57" x14ac:dyDescent="0.35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6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Salida]]="","",MARÍTIMOS[[#This Row],[Etapa Retiro - Salida]]),"")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Row],[Hora de Carga]]+MARÍTIMOS[[#This Row],[Hora de Posicionamiento]]),"")</f>
        <v/>
      </c>
      <c r="Z927" s="11" t="str">
        <f>IFERROR(IF(MARÍTIMOS[[#This Row],[Etapa Despacho -  Llegada]]="","",MARÍTIMOS[[#This Row],[Etapa Despacho -  Llegada]]),"")</f>
        <v/>
      </c>
      <c r="AA927" s="11" t="str">
        <f>IFERROR(IF(MARÍTIMOS[[#This Row],[Etapa Despacho -  Registro]]="","",MARÍTIMOS[[#This Row],[Etapa Despacho - 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 Inicio de Carga]]="","",MARÍTIMOS[[#This Row],[Etapa Despacho -  Inicio de Carga]]),"")</f>
        <v/>
      </c>
      <c r="AD927" s="11" t="str">
        <f>IFERROR(IF(MARÍTIMOS[[#This Row],[Etapa Despacho -  Fin de Carga]]="","",MARÍTIMOS[[#This Row],[Etapa Despacho -  Fin de Carga]]),"")</f>
        <v/>
      </c>
      <c r="AE927" s="11" t="str">
        <f>IFERROR(IF(MARÍTIMOS[[#This Row],[Etapa Despacho -  Salida]]="","",MARÍTIMOS[[#This Row],[Etapa Despacho -  Salida]]),"")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5" t="s">
        <v>181</v>
      </c>
      <c r="BB927" s="53" t="str">
        <f>IFERROR(IF(MARÍTIMOS[[#This Row],[Estatus]]="","",MARÍTIMOS[[#This Row],[Estatus]]),"")</f>
        <v/>
      </c>
      <c r="BC927" s="45"/>
      <c r="BD927" s="52" t="str">
        <f>IFERROR(OLDBD[[#This Row],[Salida de almacén de retiro]]-OLDBD[[#This Row],[Ingreso Almacén de retiro]],"")</f>
        <v/>
      </c>
      <c r="BE927" s="52" t="str">
        <f>IFERROR(OLDBD[[#This Row],[Fin de Carga]]-OLDBD[[#This Row],[Inicio de Carga]],"")</f>
        <v/>
      </c>
    </row>
    <row r="928" spans="1:57" x14ac:dyDescent="0.35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6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Salida]]="","",MARÍTIMOS[[#This Row],[Etapa Retiro - Salida]]),"")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Row],[Hora de Carga]]+MARÍTIMOS[[#This Row],[Hora de Posicionamiento]]),"")</f>
        <v/>
      </c>
      <c r="Z928" s="11" t="str">
        <f>IFERROR(IF(MARÍTIMOS[[#This Row],[Etapa Despacho -  Llegada]]="","",MARÍTIMOS[[#This Row],[Etapa Despacho -  Llegada]]),"")</f>
        <v/>
      </c>
      <c r="AA928" s="11" t="str">
        <f>IFERROR(IF(MARÍTIMOS[[#This Row],[Etapa Despacho -  Registro]]="","",MARÍTIMOS[[#This Row],[Etapa Despacho - 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 Inicio de Carga]]="","",MARÍTIMOS[[#This Row],[Etapa Despacho -  Inicio de Carga]]),"")</f>
        <v/>
      </c>
      <c r="AD928" s="11" t="str">
        <f>IFERROR(IF(MARÍTIMOS[[#This Row],[Etapa Despacho -  Fin de Carga]]="","",MARÍTIMOS[[#This Row],[Etapa Despacho -  Fin de Carga]]),"")</f>
        <v/>
      </c>
      <c r="AE928" s="11" t="str">
        <f>IFERROR(IF(MARÍTIMOS[[#This Row],[Etapa Despacho -  Salida]]="","",MARÍTIMOS[[#This Row],[Etapa Despacho -  Salida]]),"")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5" t="s">
        <v>181</v>
      </c>
      <c r="BB928" s="53" t="str">
        <f>IFERROR(IF(MARÍTIMOS[[#This Row],[Estatus]]="","",MARÍTIMOS[[#This Row],[Estatus]]),"")</f>
        <v/>
      </c>
      <c r="BC928" s="45"/>
      <c r="BD928" s="52" t="str">
        <f>IFERROR(OLDBD[[#This Row],[Salida de almacén de retiro]]-OLDBD[[#This Row],[Ingreso Almacén de retiro]],"")</f>
        <v/>
      </c>
      <c r="BE928" s="52" t="str">
        <f>IFERROR(OLDBD[[#This Row],[Fin de Carga]]-OLDBD[[#This Row],[Inicio de Carga]],"")</f>
        <v/>
      </c>
    </row>
    <row r="929" spans="1:57" x14ac:dyDescent="0.35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6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Salida]]="","",MARÍTIMOS[[#This Row],[Etapa Retiro - Salida]]),"")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Row],[Hora de Carga]]+MARÍTIMOS[[#This Row],[Hora de Posicionamiento]]),"")</f>
        <v/>
      </c>
      <c r="Z929" s="11" t="str">
        <f>IFERROR(IF(MARÍTIMOS[[#This Row],[Etapa Despacho -  Llegada]]="","",MARÍTIMOS[[#This Row],[Etapa Despacho -  Llegada]]),"")</f>
        <v/>
      </c>
      <c r="AA929" s="11" t="str">
        <f>IFERROR(IF(MARÍTIMOS[[#This Row],[Etapa Despacho -  Registro]]="","",MARÍTIMOS[[#This Row],[Etapa Despacho - 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 Inicio de Carga]]="","",MARÍTIMOS[[#This Row],[Etapa Despacho -  Inicio de Carga]]),"")</f>
        <v/>
      </c>
      <c r="AD929" s="11" t="str">
        <f>IFERROR(IF(MARÍTIMOS[[#This Row],[Etapa Despacho -  Fin de Carga]]="","",MARÍTIMOS[[#This Row],[Etapa Despacho -  Fin de Carga]]),"")</f>
        <v/>
      </c>
      <c r="AE929" s="11" t="str">
        <f>IFERROR(IF(MARÍTIMOS[[#This Row],[Etapa Despacho -  Salida]]="","",MARÍTIMOS[[#This Row],[Etapa Despacho -  Salida]]),"")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5" t="s">
        <v>181</v>
      </c>
      <c r="BB929" s="53" t="str">
        <f>IFERROR(IF(MARÍTIMOS[[#This Row],[Estatus]]="","",MARÍTIMOS[[#This Row],[Estatus]]),"")</f>
        <v/>
      </c>
      <c r="BC929" s="45"/>
      <c r="BD929" s="52" t="str">
        <f>IFERROR(OLDBD[[#This Row],[Salida de almacén de retiro]]-OLDBD[[#This Row],[Ingreso Almacén de retiro]],"")</f>
        <v/>
      </c>
      <c r="BE929" s="52" t="str">
        <f>IFERROR(OLDBD[[#This Row],[Fin de Carga]]-OLDBD[[#This Row],[Inicio de Carga]],"")</f>
        <v/>
      </c>
    </row>
    <row r="930" spans="1:57" x14ac:dyDescent="0.35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6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Salida]]="","",MARÍTIMOS[[#This Row],[Etapa Retiro - Salida]]),"")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Row],[Hora de Carga]]+MARÍTIMOS[[#This Row],[Hora de Posicionamiento]]),"")</f>
        <v/>
      </c>
      <c r="Z930" s="11" t="str">
        <f>IFERROR(IF(MARÍTIMOS[[#This Row],[Etapa Despacho -  Llegada]]="","",MARÍTIMOS[[#This Row],[Etapa Despacho -  Llegada]]),"")</f>
        <v/>
      </c>
      <c r="AA930" s="11" t="str">
        <f>IFERROR(IF(MARÍTIMOS[[#This Row],[Etapa Despacho -  Registro]]="","",MARÍTIMOS[[#This Row],[Etapa Despacho - 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 Inicio de Carga]]="","",MARÍTIMOS[[#This Row],[Etapa Despacho -  Inicio de Carga]]),"")</f>
        <v/>
      </c>
      <c r="AD930" s="11" t="str">
        <f>IFERROR(IF(MARÍTIMOS[[#This Row],[Etapa Despacho -  Fin de Carga]]="","",MARÍTIMOS[[#This Row],[Etapa Despacho -  Fin de Carga]]),"")</f>
        <v/>
      </c>
      <c r="AE930" s="11" t="str">
        <f>IFERROR(IF(MARÍTIMOS[[#This Row],[Etapa Despacho -  Salida]]="","",MARÍTIMOS[[#This Row],[Etapa Despacho -  Salida]]),"")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5" t="s">
        <v>181</v>
      </c>
      <c r="BB930" s="53" t="str">
        <f>IFERROR(IF(MARÍTIMOS[[#This Row],[Estatus]]="","",MARÍTIMOS[[#This Row],[Estatus]]),"")</f>
        <v/>
      </c>
      <c r="BC930" s="45"/>
      <c r="BD930" s="52" t="str">
        <f>IFERROR(OLDBD[[#This Row],[Salida de almacén de retiro]]-OLDBD[[#This Row],[Ingreso Almacén de retiro]],"")</f>
        <v/>
      </c>
      <c r="BE930" s="52" t="str">
        <f>IFERROR(OLDBD[[#This Row],[Fin de Carga]]-OLDBD[[#This Row],[Inicio de Carga]],"")</f>
        <v/>
      </c>
    </row>
    <row r="931" spans="1:57" x14ac:dyDescent="0.35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6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Salida]]="","",MARÍTIMOS[[#This Row],[Etapa Retiro - Salida]]),"")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Row],[Hora de Carga]]+MARÍTIMOS[[#This Row],[Hora de Posicionamiento]]),"")</f>
        <v/>
      </c>
      <c r="Z931" s="11" t="str">
        <f>IFERROR(IF(MARÍTIMOS[[#This Row],[Etapa Despacho -  Llegada]]="","",MARÍTIMOS[[#This Row],[Etapa Despacho -  Llegada]]),"")</f>
        <v/>
      </c>
      <c r="AA931" s="11" t="str">
        <f>IFERROR(IF(MARÍTIMOS[[#This Row],[Etapa Despacho -  Registro]]="","",MARÍTIMOS[[#This Row],[Etapa Despacho - 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 Inicio de Carga]]="","",MARÍTIMOS[[#This Row],[Etapa Despacho -  Inicio de Carga]]),"")</f>
        <v/>
      </c>
      <c r="AD931" s="11" t="str">
        <f>IFERROR(IF(MARÍTIMOS[[#This Row],[Etapa Despacho -  Fin de Carga]]="","",MARÍTIMOS[[#This Row],[Etapa Despacho -  Fin de Carga]]),"")</f>
        <v/>
      </c>
      <c r="AE931" s="11" t="str">
        <f>IFERROR(IF(MARÍTIMOS[[#This Row],[Etapa Despacho -  Salida]]="","",MARÍTIMOS[[#This Row],[Etapa Despacho -  Salida]]),"")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5" t="s">
        <v>181</v>
      </c>
      <c r="BB931" s="53" t="str">
        <f>IFERROR(IF(MARÍTIMOS[[#This Row],[Estatus]]="","",MARÍTIMOS[[#This Row],[Estatus]]),"")</f>
        <v/>
      </c>
      <c r="BC931" s="45"/>
      <c r="BD931" s="52" t="str">
        <f>IFERROR(OLDBD[[#This Row],[Salida de almacén de retiro]]-OLDBD[[#This Row],[Ingreso Almacén de retiro]],"")</f>
        <v/>
      </c>
      <c r="BE931" s="52" t="str">
        <f>IFERROR(OLDBD[[#This Row],[Fin de Carga]]-OLDBD[[#This Row],[Inicio de Carga]],"")</f>
        <v/>
      </c>
    </row>
    <row r="932" spans="1:57" x14ac:dyDescent="0.35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6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Salida]]="","",MARÍTIMOS[[#This Row],[Etapa Retiro - Salida]]),"")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Row],[Hora de Carga]]+MARÍTIMOS[[#This Row],[Hora de Posicionamiento]]),"")</f>
        <v/>
      </c>
      <c r="Z932" s="11" t="str">
        <f>IFERROR(IF(MARÍTIMOS[[#This Row],[Etapa Despacho -  Llegada]]="","",MARÍTIMOS[[#This Row],[Etapa Despacho -  Llegada]]),"")</f>
        <v/>
      </c>
      <c r="AA932" s="11" t="str">
        <f>IFERROR(IF(MARÍTIMOS[[#This Row],[Etapa Despacho -  Registro]]="","",MARÍTIMOS[[#This Row],[Etapa Despacho - 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 Inicio de Carga]]="","",MARÍTIMOS[[#This Row],[Etapa Despacho -  Inicio de Carga]]),"")</f>
        <v/>
      </c>
      <c r="AD932" s="11" t="str">
        <f>IFERROR(IF(MARÍTIMOS[[#This Row],[Etapa Despacho -  Fin de Carga]]="","",MARÍTIMOS[[#This Row],[Etapa Despacho -  Fin de Carga]]),"")</f>
        <v/>
      </c>
      <c r="AE932" s="11" t="str">
        <f>IFERROR(IF(MARÍTIMOS[[#This Row],[Etapa Despacho -  Salida]]="","",MARÍTIMOS[[#This Row],[Etapa Despacho -  Salida]]),"")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5" t="s">
        <v>181</v>
      </c>
      <c r="BB932" s="53" t="str">
        <f>IFERROR(IF(MARÍTIMOS[[#This Row],[Estatus]]="","",MARÍTIMOS[[#This Row],[Estatus]]),"")</f>
        <v/>
      </c>
      <c r="BC932" s="45"/>
      <c r="BD932" s="52" t="str">
        <f>IFERROR(OLDBD[[#This Row],[Salida de almacén de retiro]]-OLDBD[[#This Row],[Ingreso Almacén de retiro]],"")</f>
        <v/>
      </c>
      <c r="BE932" s="52" t="str">
        <f>IFERROR(OLDBD[[#This Row],[Fin de Carga]]-OLDBD[[#This Row],[Inicio de Carga]],"")</f>
        <v/>
      </c>
    </row>
    <row r="933" spans="1:57" x14ac:dyDescent="0.35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6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Salida]]="","",MARÍTIMOS[[#This Row],[Etapa Retiro - Salida]]),"")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Row],[Hora de Carga]]+MARÍTIMOS[[#This Row],[Hora de Posicionamiento]]),"")</f>
        <v/>
      </c>
      <c r="Z933" s="11" t="str">
        <f>IFERROR(IF(MARÍTIMOS[[#This Row],[Etapa Despacho -  Llegada]]="","",MARÍTIMOS[[#This Row],[Etapa Despacho -  Llegada]]),"")</f>
        <v/>
      </c>
      <c r="AA933" s="11" t="str">
        <f>IFERROR(IF(MARÍTIMOS[[#This Row],[Etapa Despacho -  Registro]]="","",MARÍTIMOS[[#This Row],[Etapa Despacho - 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 Inicio de Carga]]="","",MARÍTIMOS[[#This Row],[Etapa Despacho -  Inicio de Carga]]),"")</f>
        <v/>
      </c>
      <c r="AD933" s="11" t="str">
        <f>IFERROR(IF(MARÍTIMOS[[#This Row],[Etapa Despacho -  Fin de Carga]]="","",MARÍTIMOS[[#This Row],[Etapa Despacho -  Fin de Carga]]),"")</f>
        <v/>
      </c>
      <c r="AE933" s="11" t="str">
        <f>IFERROR(IF(MARÍTIMOS[[#This Row],[Etapa Despacho -  Salida]]="","",MARÍTIMOS[[#This Row],[Etapa Despacho -  Salida]]),"")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5" t="s">
        <v>181</v>
      </c>
      <c r="BB933" s="53" t="str">
        <f>IFERROR(IF(MARÍTIMOS[[#This Row],[Estatus]]="","",MARÍTIMOS[[#This Row],[Estatus]]),"")</f>
        <v/>
      </c>
      <c r="BC933" s="45"/>
      <c r="BD933" s="52" t="str">
        <f>IFERROR(OLDBD[[#This Row],[Salida de almacén de retiro]]-OLDBD[[#This Row],[Ingreso Almacén de retiro]],"")</f>
        <v/>
      </c>
      <c r="BE933" s="52" t="str">
        <f>IFERROR(OLDBD[[#This Row],[Fin de Carga]]-OLDBD[[#This Row],[Inicio de Carga]],"")</f>
        <v/>
      </c>
    </row>
    <row r="934" spans="1:57" x14ac:dyDescent="0.35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6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Salida]]="","",MARÍTIMOS[[#This Row],[Etapa Retiro - Salida]]),"")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Row],[Hora de Carga]]+MARÍTIMOS[[#This Row],[Hora de Posicionamiento]]),"")</f>
        <v/>
      </c>
      <c r="Z934" s="11" t="str">
        <f>IFERROR(IF(MARÍTIMOS[[#This Row],[Etapa Despacho -  Llegada]]="","",MARÍTIMOS[[#This Row],[Etapa Despacho -  Llegada]]),"")</f>
        <v/>
      </c>
      <c r="AA934" s="11" t="str">
        <f>IFERROR(IF(MARÍTIMOS[[#This Row],[Etapa Despacho -  Registro]]="","",MARÍTIMOS[[#This Row],[Etapa Despacho - 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 Inicio de Carga]]="","",MARÍTIMOS[[#This Row],[Etapa Despacho -  Inicio de Carga]]),"")</f>
        <v/>
      </c>
      <c r="AD934" s="11" t="str">
        <f>IFERROR(IF(MARÍTIMOS[[#This Row],[Etapa Despacho -  Fin de Carga]]="","",MARÍTIMOS[[#This Row],[Etapa Despacho -  Fin de Carga]]),"")</f>
        <v/>
      </c>
      <c r="AE934" s="11" t="str">
        <f>IFERROR(IF(MARÍTIMOS[[#This Row],[Etapa Despacho -  Salida]]="","",MARÍTIMOS[[#This Row],[Etapa Despacho -  Salida]]),"")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5" t="s">
        <v>181</v>
      </c>
      <c r="BB934" s="53" t="str">
        <f>IFERROR(IF(MARÍTIMOS[[#This Row],[Estatus]]="","",MARÍTIMOS[[#This Row],[Estatus]]),"")</f>
        <v/>
      </c>
      <c r="BC934" s="45"/>
      <c r="BD934" s="52" t="str">
        <f>IFERROR(OLDBD[[#This Row],[Salida de almacén de retiro]]-OLDBD[[#This Row],[Ingreso Almacén de retiro]],"")</f>
        <v/>
      </c>
      <c r="BE934" s="52" t="str">
        <f>IFERROR(OLDBD[[#This Row],[Fin de Carga]]-OLDBD[[#This Row],[Inicio de Carga]],"")</f>
        <v/>
      </c>
    </row>
    <row r="935" spans="1:57" x14ac:dyDescent="0.35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6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Salida]]="","",MARÍTIMOS[[#This Row],[Etapa Retiro - Salida]]),"")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Row],[Hora de Carga]]+MARÍTIMOS[[#This Row],[Hora de Posicionamiento]]),"")</f>
        <v/>
      </c>
      <c r="Z935" s="11" t="str">
        <f>IFERROR(IF(MARÍTIMOS[[#This Row],[Etapa Despacho -  Llegada]]="","",MARÍTIMOS[[#This Row],[Etapa Despacho -  Llegada]]),"")</f>
        <v/>
      </c>
      <c r="AA935" s="11" t="str">
        <f>IFERROR(IF(MARÍTIMOS[[#This Row],[Etapa Despacho -  Registro]]="","",MARÍTIMOS[[#This Row],[Etapa Despacho - 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 Inicio de Carga]]="","",MARÍTIMOS[[#This Row],[Etapa Despacho -  Inicio de Carga]]),"")</f>
        <v/>
      </c>
      <c r="AD935" s="11" t="str">
        <f>IFERROR(IF(MARÍTIMOS[[#This Row],[Etapa Despacho -  Fin de Carga]]="","",MARÍTIMOS[[#This Row],[Etapa Despacho -  Fin de Carga]]),"")</f>
        <v/>
      </c>
      <c r="AE935" s="11" t="str">
        <f>IFERROR(IF(MARÍTIMOS[[#This Row],[Etapa Despacho -  Salida]]="","",MARÍTIMOS[[#This Row],[Etapa Despacho -  Salida]]),"")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5" t="s">
        <v>181</v>
      </c>
      <c r="BB935" s="53" t="str">
        <f>IFERROR(IF(MARÍTIMOS[[#This Row],[Estatus]]="","",MARÍTIMOS[[#This Row],[Estatus]]),"")</f>
        <v/>
      </c>
      <c r="BC935" s="45"/>
      <c r="BD935" s="52" t="str">
        <f>IFERROR(OLDBD[[#This Row],[Salida de almacén de retiro]]-OLDBD[[#This Row],[Ingreso Almacén de retiro]],"")</f>
        <v/>
      </c>
      <c r="BE935" s="52" t="str">
        <f>IFERROR(OLDBD[[#This Row],[Fin de Carga]]-OLDBD[[#This Row],[Inicio de Carga]],"")</f>
        <v/>
      </c>
    </row>
    <row r="936" spans="1:57" x14ac:dyDescent="0.35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6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Salida]]="","",MARÍTIMOS[[#This Row],[Etapa Retiro - Salida]]),"")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Row],[Hora de Carga]]+MARÍTIMOS[[#This Row],[Hora de Posicionamiento]]),"")</f>
        <v/>
      </c>
      <c r="Z936" s="11" t="str">
        <f>IFERROR(IF(MARÍTIMOS[[#This Row],[Etapa Despacho -  Llegada]]="","",MARÍTIMOS[[#This Row],[Etapa Despacho -  Llegada]]),"")</f>
        <v/>
      </c>
      <c r="AA936" s="11" t="str">
        <f>IFERROR(IF(MARÍTIMOS[[#This Row],[Etapa Despacho -  Registro]]="","",MARÍTIMOS[[#This Row],[Etapa Despacho - 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 Inicio de Carga]]="","",MARÍTIMOS[[#This Row],[Etapa Despacho -  Inicio de Carga]]),"")</f>
        <v/>
      </c>
      <c r="AD936" s="11" t="str">
        <f>IFERROR(IF(MARÍTIMOS[[#This Row],[Etapa Despacho -  Fin de Carga]]="","",MARÍTIMOS[[#This Row],[Etapa Despacho -  Fin de Carga]]),"")</f>
        <v/>
      </c>
      <c r="AE936" s="11" t="str">
        <f>IFERROR(IF(MARÍTIMOS[[#This Row],[Etapa Despacho -  Salida]]="","",MARÍTIMOS[[#This Row],[Etapa Despacho -  Salida]]),"")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5" t="s">
        <v>181</v>
      </c>
      <c r="BB936" s="53" t="str">
        <f>IFERROR(IF(MARÍTIMOS[[#This Row],[Estatus]]="","",MARÍTIMOS[[#This Row],[Estatus]]),"")</f>
        <v/>
      </c>
      <c r="BC936" s="45"/>
      <c r="BD936" s="52" t="str">
        <f>IFERROR(OLDBD[[#This Row],[Salida de almacén de retiro]]-OLDBD[[#This Row],[Ingreso Almacén de retiro]],"")</f>
        <v/>
      </c>
      <c r="BE936" s="52" t="str">
        <f>IFERROR(OLDBD[[#This Row],[Fin de Carga]]-OLDBD[[#This Row],[Inicio de Carga]],"")</f>
        <v/>
      </c>
    </row>
    <row r="937" spans="1:57" x14ac:dyDescent="0.35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6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Salida]]="","",MARÍTIMOS[[#This Row],[Etapa Retiro - Salida]]),"")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Row],[Hora de Carga]]+MARÍTIMOS[[#This Row],[Hora de Posicionamiento]]),"")</f>
        <v/>
      </c>
      <c r="Z937" s="11" t="str">
        <f>IFERROR(IF(MARÍTIMOS[[#This Row],[Etapa Despacho -  Llegada]]="","",MARÍTIMOS[[#This Row],[Etapa Despacho -  Llegada]]),"")</f>
        <v/>
      </c>
      <c r="AA937" s="11" t="str">
        <f>IFERROR(IF(MARÍTIMOS[[#This Row],[Etapa Despacho -  Registro]]="","",MARÍTIMOS[[#This Row],[Etapa Despacho - 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 Inicio de Carga]]="","",MARÍTIMOS[[#This Row],[Etapa Despacho -  Inicio de Carga]]),"")</f>
        <v/>
      </c>
      <c r="AD937" s="11" t="str">
        <f>IFERROR(IF(MARÍTIMOS[[#This Row],[Etapa Despacho -  Fin de Carga]]="","",MARÍTIMOS[[#This Row],[Etapa Despacho -  Fin de Carga]]),"")</f>
        <v/>
      </c>
      <c r="AE937" s="11" t="str">
        <f>IFERROR(IF(MARÍTIMOS[[#This Row],[Etapa Despacho -  Salida]]="","",MARÍTIMOS[[#This Row],[Etapa Despacho -  Salida]]),"")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5" t="s">
        <v>181</v>
      </c>
      <c r="BB937" s="53" t="str">
        <f>IFERROR(IF(MARÍTIMOS[[#This Row],[Estatus]]="","",MARÍTIMOS[[#This Row],[Estatus]]),"")</f>
        <v/>
      </c>
      <c r="BC937" s="45"/>
      <c r="BD937" s="52" t="str">
        <f>IFERROR(OLDBD[[#This Row],[Salida de almacén de retiro]]-OLDBD[[#This Row],[Ingreso Almacén de retiro]],"")</f>
        <v/>
      </c>
      <c r="BE937" s="52" t="str">
        <f>IFERROR(OLDBD[[#This Row],[Fin de Carga]]-OLDBD[[#This Row],[Inicio de Carga]],"")</f>
        <v/>
      </c>
    </row>
    <row r="938" spans="1:57" x14ac:dyDescent="0.35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6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Salida]]="","",MARÍTIMOS[[#This Row],[Etapa Retiro - Salida]]),"")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Row],[Hora de Carga]]+MARÍTIMOS[[#This Row],[Hora de Posicionamiento]]),"")</f>
        <v/>
      </c>
      <c r="Z938" s="11" t="str">
        <f>IFERROR(IF(MARÍTIMOS[[#This Row],[Etapa Despacho -  Llegada]]="","",MARÍTIMOS[[#This Row],[Etapa Despacho -  Llegada]]),"")</f>
        <v/>
      </c>
      <c r="AA938" s="11" t="str">
        <f>IFERROR(IF(MARÍTIMOS[[#This Row],[Etapa Despacho -  Registro]]="","",MARÍTIMOS[[#This Row],[Etapa Despacho - 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 Inicio de Carga]]="","",MARÍTIMOS[[#This Row],[Etapa Despacho -  Inicio de Carga]]),"")</f>
        <v/>
      </c>
      <c r="AD938" s="11" t="str">
        <f>IFERROR(IF(MARÍTIMOS[[#This Row],[Etapa Despacho -  Fin de Carga]]="","",MARÍTIMOS[[#This Row],[Etapa Despacho -  Fin de Carga]]),"")</f>
        <v/>
      </c>
      <c r="AE938" s="11" t="str">
        <f>IFERROR(IF(MARÍTIMOS[[#This Row],[Etapa Despacho -  Salida]]="","",MARÍTIMOS[[#This Row],[Etapa Despacho -  Salida]]),"")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5" t="s">
        <v>181</v>
      </c>
      <c r="BB938" s="53" t="str">
        <f>IFERROR(IF(MARÍTIMOS[[#This Row],[Estatus]]="","",MARÍTIMOS[[#This Row],[Estatus]]),"")</f>
        <v/>
      </c>
      <c r="BC938" s="45"/>
      <c r="BD938" s="52" t="str">
        <f>IFERROR(OLDBD[[#This Row],[Salida de almacén de retiro]]-OLDBD[[#This Row],[Ingreso Almacén de retiro]],"")</f>
        <v/>
      </c>
      <c r="BE938" s="52" t="str">
        <f>IFERROR(OLDBD[[#This Row],[Fin de Carga]]-OLDBD[[#This Row],[Inicio de Carga]],"")</f>
        <v/>
      </c>
    </row>
    <row r="939" spans="1:57" x14ac:dyDescent="0.35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6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Salida]]="","",MARÍTIMOS[[#This Row],[Etapa Retiro - Salida]]),"")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Row],[Hora de Carga]]+MARÍTIMOS[[#This Row],[Hora de Posicionamiento]]),"")</f>
        <v/>
      </c>
      <c r="Z939" s="11" t="str">
        <f>IFERROR(IF(MARÍTIMOS[[#This Row],[Etapa Despacho -  Llegada]]="","",MARÍTIMOS[[#This Row],[Etapa Despacho -  Llegada]]),"")</f>
        <v/>
      </c>
      <c r="AA939" s="11" t="str">
        <f>IFERROR(IF(MARÍTIMOS[[#This Row],[Etapa Despacho -  Registro]]="","",MARÍTIMOS[[#This Row],[Etapa Despacho - 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 Inicio de Carga]]="","",MARÍTIMOS[[#This Row],[Etapa Despacho -  Inicio de Carga]]),"")</f>
        <v/>
      </c>
      <c r="AD939" s="11" t="str">
        <f>IFERROR(IF(MARÍTIMOS[[#This Row],[Etapa Despacho -  Fin de Carga]]="","",MARÍTIMOS[[#This Row],[Etapa Despacho -  Fin de Carga]]),"")</f>
        <v/>
      </c>
      <c r="AE939" s="11" t="str">
        <f>IFERROR(IF(MARÍTIMOS[[#This Row],[Etapa Despacho -  Salida]]="","",MARÍTIMOS[[#This Row],[Etapa Despacho -  Salida]]),"")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5" t="s">
        <v>181</v>
      </c>
      <c r="BB939" s="53" t="str">
        <f>IFERROR(IF(MARÍTIMOS[[#This Row],[Estatus]]="","",MARÍTIMOS[[#This Row],[Estatus]]),"")</f>
        <v/>
      </c>
      <c r="BC939" s="45"/>
      <c r="BD939" s="52" t="str">
        <f>IFERROR(OLDBD[[#This Row],[Salida de almacén de retiro]]-OLDBD[[#This Row],[Ingreso Almacén de retiro]],"")</f>
        <v/>
      </c>
      <c r="BE939" s="52" t="str">
        <f>IFERROR(OLDBD[[#This Row],[Fin de Carga]]-OLDBD[[#This Row],[Inicio de Carga]],"")</f>
        <v/>
      </c>
    </row>
    <row r="940" spans="1:57" x14ac:dyDescent="0.35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6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Salida]]="","",MARÍTIMOS[[#This Row],[Etapa Retiro - Salida]]),"")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Row],[Hora de Carga]]+MARÍTIMOS[[#This Row],[Hora de Posicionamiento]]),"")</f>
        <v/>
      </c>
      <c r="Z940" s="11" t="str">
        <f>IFERROR(IF(MARÍTIMOS[[#This Row],[Etapa Despacho -  Llegada]]="","",MARÍTIMOS[[#This Row],[Etapa Despacho -  Llegada]]),"")</f>
        <v/>
      </c>
      <c r="AA940" s="11" t="str">
        <f>IFERROR(IF(MARÍTIMOS[[#This Row],[Etapa Despacho -  Registro]]="","",MARÍTIMOS[[#This Row],[Etapa Despacho - 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 Inicio de Carga]]="","",MARÍTIMOS[[#This Row],[Etapa Despacho -  Inicio de Carga]]),"")</f>
        <v/>
      </c>
      <c r="AD940" s="11" t="str">
        <f>IFERROR(IF(MARÍTIMOS[[#This Row],[Etapa Despacho -  Fin de Carga]]="","",MARÍTIMOS[[#This Row],[Etapa Despacho -  Fin de Carga]]),"")</f>
        <v/>
      </c>
      <c r="AE940" s="11" t="str">
        <f>IFERROR(IF(MARÍTIMOS[[#This Row],[Etapa Despacho -  Salida]]="","",MARÍTIMOS[[#This Row],[Etapa Despacho -  Salida]]),"")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5" t="s">
        <v>181</v>
      </c>
      <c r="BB940" s="53" t="str">
        <f>IFERROR(IF(MARÍTIMOS[[#This Row],[Estatus]]="","",MARÍTIMOS[[#This Row],[Estatus]]),"")</f>
        <v/>
      </c>
      <c r="BC940" s="45"/>
      <c r="BD940" s="52" t="str">
        <f>IFERROR(OLDBD[[#This Row],[Salida de almacén de retiro]]-OLDBD[[#This Row],[Ingreso Almacén de retiro]],"")</f>
        <v/>
      </c>
      <c r="BE940" s="52" t="str">
        <f>IFERROR(OLDBD[[#This Row],[Fin de Carga]]-OLDBD[[#This Row],[Inicio de Carga]],"")</f>
        <v/>
      </c>
    </row>
    <row r="941" spans="1:57" x14ac:dyDescent="0.35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6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Salida]]="","",MARÍTIMOS[[#This Row],[Etapa Retiro - Salida]]),"")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Row],[Hora de Carga]]+MARÍTIMOS[[#This Row],[Hora de Posicionamiento]]),"")</f>
        <v/>
      </c>
      <c r="Z941" s="11" t="str">
        <f>IFERROR(IF(MARÍTIMOS[[#This Row],[Etapa Despacho -  Llegada]]="","",MARÍTIMOS[[#This Row],[Etapa Despacho -  Llegada]]),"")</f>
        <v/>
      </c>
      <c r="AA941" s="11" t="str">
        <f>IFERROR(IF(MARÍTIMOS[[#This Row],[Etapa Despacho -  Registro]]="","",MARÍTIMOS[[#This Row],[Etapa Despacho - 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 Inicio de Carga]]="","",MARÍTIMOS[[#This Row],[Etapa Despacho -  Inicio de Carga]]),"")</f>
        <v/>
      </c>
      <c r="AD941" s="11" t="str">
        <f>IFERROR(IF(MARÍTIMOS[[#This Row],[Etapa Despacho -  Fin de Carga]]="","",MARÍTIMOS[[#This Row],[Etapa Despacho -  Fin de Carga]]),"")</f>
        <v/>
      </c>
      <c r="AE941" s="11" t="str">
        <f>IFERROR(IF(MARÍTIMOS[[#This Row],[Etapa Despacho -  Salida]]="","",MARÍTIMOS[[#This Row],[Etapa Despacho -  Salida]]),"")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5" t="s">
        <v>181</v>
      </c>
      <c r="BB941" s="53" t="str">
        <f>IFERROR(IF(MARÍTIMOS[[#This Row],[Estatus]]="","",MARÍTIMOS[[#This Row],[Estatus]]),"")</f>
        <v/>
      </c>
      <c r="BC941" s="45"/>
      <c r="BD941" s="52" t="str">
        <f>IFERROR(OLDBD[[#This Row],[Salida de almacén de retiro]]-OLDBD[[#This Row],[Ingreso Almacén de retiro]],"")</f>
        <v/>
      </c>
      <c r="BE941" s="52" t="str">
        <f>IFERROR(OLDBD[[#This Row],[Fin de Carga]]-OLDBD[[#This Row],[Inicio de Carga]],"")</f>
        <v/>
      </c>
    </row>
    <row r="942" spans="1:57" x14ac:dyDescent="0.35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6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Salida]]="","",MARÍTIMOS[[#This Row],[Etapa Retiro - Salida]]),"")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Row],[Hora de Carga]]+MARÍTIMOS[[#This Row],[Hora de Posicionamiento]]),"")</f>
        <v/>
      </c>
      <c r="Z942" s="11" t="str">
        <f>IFERROR(IF(MARÍTIMOS[[#This Row],[Etapa Despacho -  Llegada]]="","",MARÍTIMOS[[#This Row],[Etapa Despacho -  Llegada]]),"")</f>
        <v/>
      </c>
      <c r="AA942" s="11" t="str">
        <f>IFERROR(IF(MARÍTIMOS[[#This Row],[Etapa Despacho -  Registro]]="","",MARÍTIMOS[[#This Row],[Etapa Despacho - 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 Inicio de Carga]]="","",MARÍTIMOS[[#This Row],[Etapa Despacho -  Inicio de Carga]]),"")</f>
        <v/>
      </c>
      <c r="AD942" s="11" t="str">
        <f>IFERROR(IF(MARÍTIMOS[[#This Row],[Etapa Despacho -  Fin de Carga]]="","",MARÍTIMOS[[#This Row],[Etapa Despacho -  Fin de Carga]]),"")</f>
        <v/>
      </c>
      <c r="AE942" s="11" t="str">
        <f>IFERROR(IF(MARÍTIMOS[[#This Row],[Etapa Despacho -  Salida]]="","",MARÍTIMOS[[#This Row],[Etapa Despacho -  Salida]]),"")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5" t="s">
        <v>181</v>
      </c>
      <c r="BB942" s="53" t="str">
        <f>IFERROR(IF(MARÍTIMOS[[#This Row],[Estatus]]="","",MARÍTIMOS[[#This Row],[Estatus]]),"")</f>
        <v/>
      </c>
      <c r="BC942" s="45"/>
      <c r="BD942" s="52" t="str">
        <f>IFERROR(OLDBD[[#This Row],[Salida de almacén de retiro]]-OLDBD[[#This Row],[Ingreso Almacén de retiro]],"")</f>
        <v/>
      </c>
      <c r="BE942" s="52" t="str">
        <f>IFERROR(OLDBD[[#This Row],[Fin de Carga]]-OLDBD[[#This Row],[Inicio de Carga]],"")</f>
        <v/>
      </c>
    </row>
    <row r="943" spans="1:57" x14ac:dyDescent="0.35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6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Salida]]="","",MARÍTIMOS[[#This Row],[Etapa Retiro - Salida]]),"")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Row],[Hora de Carga]]+MARÍTIMOS[[#This Row],[Hora de Posicionamiento]]),"")</f>
        <v/>
      </c>
      <c r="Z943" s="11" t="str">
        <f>IFERROR(IF(MARÍTIMOS[[#This Row],[Etapa Despacho -  Llegada]]="","",MARÍTIMOS[[#This Row],[Etapa Despacho -  Llegada]]),"")</f>
        <v/>
      </c>
      <c r="AA943" s="11" t="str">
        <f>IFERROR(IF(MARÍTIMOS[[#This Row],[Etapa Despacho -  Registro]]="","",MARÍTIMOS[[#This Row],[Etapa Despacho - 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 Inicio de Carga]]="","",MARÍTIMOS[[#This Row],[Etapa Despacho -  Inicio de Carga]]),"")</f>
        <v/>
      </c>
      <c r="AD943" s="11" t="str">
        <f>IFERROR(IF(MARÍTIMOS[[#This Row],[Etapa Despacho -  Fin de Carga]]="","",MARÍTIMOS[[#This Row],[Etapa Despacho -  Fin de Carga]]),"")</f>
        <v/>
      </c>
      <c r="AE943" s="11" t="str">
        <f>IFERROR(IF(MARÍTIMOS[[#This Row],[Etapa Despacho -  Salida]]="","",MARÍTIMOS[[#This Row],[Etapa Despacho -  Salida]]),"")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5" t="s">
        <v>181</v>
      </c>
      <c r="BB943" s="53" t="str">
        <f>IFERROR(IF(MARÍTIMOS[[#This Row],[Estatus]]="","",MARÍTIMOS[[#This Row],[Estatus]]),"")</f>
        <v/>
      </c>
      <c r="BC943" s="45"/>
      <c r="BD943" s="52" t="str">
        <f>IFERROR(OLDBD[[#This Row],[Salida de almacén de retiro]]-OLDBD[[#This Row],[Ingreso Almacén de retiro]],"")</f>
        <v/>
      </c>
      <c r="BE943" s="52" t="str">
        <f>IFERROR(OLDBD[[#This Row],[Fin de Carga]]-OLDBD[[#This Row],[Inicio de Carga]],"")</f>
        <v/>
      </c>
    </row>
    <row r="944" spans="1:57" x14ac:dyDescent="0.35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6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Salida]]="","",MARÍTIMOS[[#This Row],[Etapa Retiro - Salida]]),"")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Row],[Hora de Carga]]+MARÍTIMOS[[#This Row],[Hora de Posicionamiento]]),"")</f>
        <v/>
      </c>
      <c r="Z944" s="11" t="str">
        <f>IFERROR(IF(MARÍTIMOS[[#This Row],[Etapa Despacho -  Llegada]]="","",MARÍTIMOS[[#This Row],[Etapa Despacho -  Llegada]]),"")</f>
        <v/>
      </c>
      <c r="AA944" s="11" t="str">
        <f>IFERROR(IF(MARÍTIMOS[[#This Row],[Etapa Despacho -  Registro]]="","",MARÍTIMOS[[#This Row],[Etapa Despacho - 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 Inicio de Carga]]="","",MARÍTIMOS[[#This Row],[Etapa Despacho -  Inicio de Carga]]),"")</f>
        <v/>
      </c>
      <c r="AD944" s="11" t="str">
        <f>IFERROR(IF(MARÍTIMOS[[#This Row],[Etapa Despacho -  Fin de Carga]]="","",MARÍTIMOS[[#This Row],[Etapa Despacho -  Fin de Carga]]),"")</f>
        <v/>
      </c>
      <c r="AE944" s="11" t="str">
        <f>IFERROR(IF(MARÍTIMOS[[#This Row],[Etapa Despacho -  Salida]]="","",MARÍTIMOS[[#This Row],[Etapa Despacho -  Salida]]),"")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5" t="s">
        <v>181</v>
      </c>
      <c r="BB944" s="53" t="str">
        <f>IFERROR(IF(MARÍTIMOS[[#This Row],[Estatus]]="","",MARÍTIMOS[[#This Row],[Estatus]]),"")</f>
        <v/>
      </c>
      <c r="BC944" s="45"/>
      <c r="BD944" s="52" t="str">
        <f>IFERROR(OLDBD[[#This Row],[Salida de almacén de retiro]]-OLDBD[[#This Row],[Ingreso Almacén de retiro]],"")</f>
        <v/>
      </c>
      <c r="BE944" s="52" t="str">
        <f>IFERROR(OLDBD[[#This Row],[Fin de Carga]]-OLDBD[[#This Row],[Inicio de Carga]],"")</f>
        <v/>
      </c>
    </row>
    <row r="945" spans="1:57" x14ac:dyDescent="0.35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6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Salida]]="","",MARÍTIMOS[[#This Row],[Etapa Retiro - Salida]]),"")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Row],[Hora de Carga]]+MARÍTIMOS[[#This Row],[Hora de Posicionamiento]]),"")</f>
        <v/>
      </c>
      <c r="Z945" s="11" t="str">
        <f>IFERROR(IF(MARÍTIMOS[[#This Row],[Etapa Despacho -  Llegada]]="","",MARÍTIMOS[[#This Row],[Etapa Despacho -  Llegada]]),"")</f>
        <v/>
      </c>
      <c r="AA945" s="11" t="str">
        <f>IFERROR(IF(MARÍTIMOS[[#This Row],[Etapa Despacho -  Registro]]="","",MARÍTIMOS[[#This Row],[Etapa Despacho - 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 Inicio de Carga]]="","",MARÍTIMOS[[#This Row],[Etapa Despacho -  Inicio de Carga]]),"")</f>
        <v/>
      </c>
      <c r="AD945" s="11" t="str">
        <f>IFERROR(IF(MARÍTIMOS[[#This Row],[Etapa Despacho -  Fin de Carga]]="","",MARÍTIMOS[[#This Row],[Etapa Despacho -  Fin de Carga]]),"")</f>
        <v/>
      </c>
      <c r="AE945" s="11" t="str">
        <f>IFERROR(IF(MARÍTIMOS[[#This Row],[Etapa Despacho -  Salida]]="","",MARÍTIMOS[[#This Row],[Etapa Despacho -  Salida]]),"")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5" t="s">
        <v>181</v>
      </c>
      <c r="BB945" s="53" t="str">
        <f>IFERROR(IF(MARÍTIMOS[[#This Row],[Estatus]]="","",MARÍTIMOS[[#This Row],[Estatus]]),"")</f>
        <v/>
      </c>
      <c r="BC945" s="45"/>
      <c r="BD945" s="52" t="str">
        <f>IFERROR(OLDBD[[#This Row],[Salida de almacén de retiro]]-OLDBD[[#This Row],[Ingreso Almacén de retiro]],"")</f>
        <v/>
      </c>
      <c r="BE945" s="52" t="str">
        <f>IFERROR(OLDBD[[#This Row],[Fin de Carga]]-OLDBD[[#This Row],[Inicio de Carga]],"")</f>
        <v/>
      </c>
    </row>
    <row r="946" spans="1:57" x14ac:dyDescent="0.35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6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Salida]]="","",MARÍTIMOS[[#This Row],[Etapa Retiro - Salida]]),"")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Row],[Hora de Carga]]+MARÍTIMOS[[#This Row],[Hora de Posicionamiento]]),"")</f>
        <v/>
      </c>
      <c r="Z946" s="11" t="str">
        <f>IFERROR(IF(MARÍTIMOS[[#This Row],[Etapa Despacho -  Llegada]]="","",MARÍTIMOS[[#This Row],[Etapa Despacho -  Llegada]]),"")</f>
        <v/>
      </c>
      <c r="AA946" s="11" t="str">
        <f>IFERROR(IF(MARÍTIMOS[[#This Row],[Etapa Despacho -  Registro]]="","",MARÍTIMOS[[#This Row],[Etapa Despacho - 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 Inicio de Carga]]="","",MARÍTIMOS[[#This Row],[Etapa Despacho -  Inicio de Carga]]),"")</f>
        <v/>
      </c>
      <c r="AD946" s="11" t="str">
        <f>IFERROR(IF(MARÍTIMOS[[#This Row],[Etapa Despacho -  Fin de Carga]]="","",MARÍTIMOS[[#This Row],[Etapa Despacho -  Fin de Carga]]),"")</f>
        <v/>
      </c>
      <c r="AE946" s="11" t="str">
        <f>IFERROR(IF(MARÍTIMOS[[#This Row],[Etapa Despacho -  Salida]]="","",MARÍTIMOS[[#This Row],[Etapa Despacho -  Salida]]),"")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5" t="s">
        <v>181</v>
      </c>
      <c r="BB946" s="53" t="str">
        <f>IFERROR(IF(MARÍTIMOS[[#This Row],[Estatus]]="","",MARÍTIMOS[[#This Row],[Estatus]]),"")</f>
        <v/>
      </c>
      <c r="BC946" s="45"/>
      <c r="BD946" s="52" t="str">
        <f>IFERROR(OLDBD[[#This Row],[Salida de almacén de retiro]]-OLDBD[[#This Row],[Ingreso Almacén de retiro]],"")</f>
        <v/>
      </c>
      <c r="BE946" s="52" t="str">
        <f>IFERROR(OLDBD[[#This Row],[Fin de Carga]]-OLDBD[[#This Row],[Inicio de Carga]],"")</f>
        <v/>
      </c>
    </row>
    <row r="947" spans="1:57" x14ac:dyDescent="0.35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6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Salida]]="","",MARÍTIMOS[[#This Row],[Etapa Retiro - Salida]]),"")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Row],[Hora de Carga]]+MARÍTIMOS[[#This Row],[Hora de Posicionamiento]]),"")</f>
        <v/>
      </c>
      <c r="Z947" s="11" t="str">
        <f>IFERROR(IF(MARÍTIMOS[[#This Row],[Etapa Despacho -  Llegada]]="","",MARÍTIMOS[[#This Row],[Etapa Despacho -  Llegada]]),"")</f>
        <v/>
      </c>
      <c r="AA947" s="11" t="str">
        <f>IFERROR(IF(MARÍTIMOS[[#This Row],[Etapa Despacho -  Registro]]="","",MARÍTIMOS[[#This Row],[Etapa Despacho - 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 Inicio de Carga]]="","",MARÍTIMOS[[#This Row],[Etapa Despacho -  Inicio de Carga]]),"")</f>
        <v/>
      </c>
      <c r="AD947" s="11" t="str">
        <f>IFERROR(IF(MARÍTIMOS[[#This Row],[Etapa Despacho -  Fin de Carga]]="","",MARÍTIMOS[[#This Row],[Etapa Despacho -  Fin de Carga]]),"")</f>
        <v/>
      </c>
      <c r="AE947" s="11" t="str">
        <f>IFERROR(IF(MARÍTIMOS[[#This Row],[Etapa Despacho -  Salida]]="","",MARÍTIMOS[[#This Row],[Etapa Despacho -  Salida]]),"")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5" t="s">
        <v>181</v>
      </c>
      <c r="BB947" s="53" t="str">
        <f>IFERROR(IF(MARÍTIMOS[[#This Row],[Estatus]]="","",MARÍTIMOS[[#This Row],[Estatus]]),"")</f>
        <v/>
      </c>
      <c r="BC947" s="45"/>
      <c r="BD947" s="52" t="str">
        <f>IFERROR(OLDBD[[#This Row],[Salida de almacén de retiro]]-OLDBD[[#This Row],[Ingreso Almacén de retiro]],"")</f>
        <v/>
      </c>
      <c r="BE947" s="52" t="str">
        <f>IFERROR(OLDBD[[#This Row],[Fin de Carga]]-OLDBD[[#This Row],[Inicio de Carga]],"")</f>
        <v/>
      </c>
    </row>
    <row r="948" spans="1:57" x14ac:dyDescent="0.35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6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Salida]]="","",MARÍTIMOS[[#This Row],[Etapa Retiro - Salida]]),"")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Row],[Hora de Carga]]+MARÍTIMOS[[#This Row],[Hora de Posicionamiento]]),"")</f>
        <v/>
      </c>
      <c r="Z948" s="11" t="str">
        <f>IFERROR(IF(MARÍTIMOS[[#This Row],[Etapa Despacho -  Llegada]]="","",MARÍTIMOS[[#This Row],[Etapa Despacho -  Llegada]]),"")</f>
        <v/>
      </c>
      <c r="AA948" s="11" t="str">
        <f>IFERROR(IF(MARÍTIMOS[[#This Row],[Etapa Despacho -  Registro]]="","",MARÍTIMOS[[#This Row],[Etapa Despacho - 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 Inicio de Carga]]="","",MARÍTIMOS[[#This Row],[Etapa Despacho -  Inicio de Carga]]),"")</f>
        <v/>
      </c>
      <c r="AD948" s="11" t="str">
        <f>IFERROR(IF(MARÍTIMOS[[#This Row],[Etapa Despacho -  Fin de Carga]]="","",MARÍTIMOS[[#This Row],[Etapa Despacho -  Fin de Carga]]),"")</f>
        <v/>
      </c>
      <c r="AE948" s="11" t="str">
        <f>IFERROR(IF(MARÍTIMOS[[#This Row],[Etapa Despacho -  Salida]]="","",MARÍTIMOS[[#This Row],[Etapa Despacho -  Salida]]),"")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5" t="s">
        <v>181</v>
      </c>
      <c r="BB948" s="53" t="str">
        <f>IFERROR(IF(MARÍTIMOS[[#This Row],[Estatus]]="","",MARÍTIMOS[[#This Row],[Estatus]]),"")</f>
        <v/>
      </c>
      <c r="BC948" s="45"/>
      <c r="BD948" s="52" t="str">
        <f>IFERROR(OLDBD[[#This Row],[Salida de almacén de retiro]]-OLDBD[[#This Row],[Ingreso Almacén de retiro]],"")</f>
        <v/>
      </c>
      <c r="BE948" s="52" t="str">
        <f>IFERROR(OLDBD[[#This Row],[Fin de Carga]]-OLDBD[[#This Row],[Inicio de Carga]],"")</f>
        <v/>
      </c>
    </row>
    <row r="949" spans="1:57" x14ac:dyDescent="0.35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6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Salida]]="","",MARÍTIMOS[[#This Row],[Etapa Retiro - Salida]]),"")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Row],[Hora de Carga]]+MARÍTIMOS[[#This Row],[Hora de Posicionamiento]]),"")</f>
        <v/>
      </c>
      <c r="Z949" s="11" t="str">
        <f>IFERROR(IF(MARÍTIMOS[[#This Row],[Etapa Despacho -  Llegada]]="","",MARÍTIMOS[[#This Row],[Etapa Despacho -  Llegada]]),"")</f>
        <v/>
      </c>
      <c r="AA949" s="11" t="str">
        <f>IFERROR(IF(MARÍTIMOS[[#This Row],[Etapa Despacho -  Registro]]="","",MARÍTIMOS[[#This Row],[Etapa Despacho - 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 Inicio de Carga]]="","",MARÍTIMOS[[#This Row],[Etapa Despacho -  Inicio de Carga]]),"")</f>
        <v/>
      </c>
      <c r="AD949" s="11" t="str">
        <f>IFERROR(IF(MARÍTIMOS[[#This Row],[Etapa Despacho -  Fin de Carga]]="","",MARÍTIMOS[[#This Row],[Etapa Despacho -  Fin de Carga]]),"")</f>
        <v/>
      </c>
      <c r="AE949" s="11" t="str">
        <f>IFERROR(IF(MARÍTIMOS[[#This Row],[Etapa Despacho -  Salida]]="","",MARÍTIMOS[[#This Row],[Etapa Despacho -  Salida]]),"")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5" t="s">
        <v>181</v>
      </c>
      <c r="BB949" s="53" t="str">
        <f>IFERROR(IF(MARÍTIMOS[[#This Row],[Estatus]]="","",MARÍTIMOS[[#This Row],[Estatus]]),"")</f>
        <v/>
      </c>
      <c r="BC949" s="45"/>
      <c r="BD949" s="52" t="str">
        <f>IFERROR(OLDBD[[#This Row],[Salida de almacén de retiro]]-OLDBD[[#This Row],[Ingreso Almacén de retiro]],"")</f>
        <v/>
      </c>
      <c r="BE949" s="52" t="str">
        <f>IFERROR(OLDBD[[#This Row],[Fin de Carga]]-OLDBD[[#This Row],[Inicio de Carga]],"")</f>
        <v/>
      </c>
    </row>
    <row r="950" spans="1:57" x14ac:dyDescent="0.35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6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Salida]]="","",MARÍTIMOS[[#This Row],[Etapa Retiro - Salida]]),"")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Row],[Hora de Carga]]+MARÍTIMOS[[#This Row],[Hora de Posicionamiento]]),"")</f>
        <v/>
      </c>
      <c r="Z950" s="11" t="str">
        <f>IFERROR(IF(MARÍTIMOS[[#This Row],[Etapa Despacho -  Llegada]]="","",MARÍTIMOS[[#This Row],[Etapa Despacho -  Llegada]]),"")</f>
        <v/>
      </c>
      <c r="AA950" s="11" t="str">
        <f>IFERROR(IF(MARÍTIMOS[[#This Row],[Etapa Despacho -  Registro]]="","",MARÍTIMOS[[#This Row],[Etapa Despacho - 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 Inicio de Carga]]="","",MARÍTIMOS[[#This Row],[Etapa Despacho -  Inicio de Carga]]),"")</f>
        <v/>
      </c>
      <c r="AD950" s="11" t="str">
        <f>IFERROR(IF(MARÍTIMOS[[#This Row],[Etapa Despacho -  Fin de Carga]]="","",MARÍTIMOS[[#This Row],[Etapa Despacho -  Fin de Carga]]),"")</f>
        <v/>
      </c>
      <c r="AE950" s="11" t="str">
        <f>IFERROR(IF(MARÍTIMOS[[#This Row],[Etapa Despacho -  Salida]]="","",MARÍTIMOS[[#This Row],[Etapa Despacho -  Salida]]),"")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5" t="s">
        <v>181</v>
      </c>
      <c r="BB950" s="53" t="str">
        <f>IFERROR(IF(MARÍTIMOS[[#This Row],[Estatus]]="","",MARÍTIMOS[[#This Row],[Estatus]]),"")</f>
        <v/>
      </c>
      <c r="BC950" s="45"/>
      <c r="BD950" s="52" t="str">
        <f>IFERROR(OLDBD[[#This Row],[Salida de almacén de retiro]]-OLDBD[[#This Row],[Ingreso Almacén de retiro]],"")</f>
        <v/>
      </c>
      <c r="BE950" s="52" t="str">
        <f>IFERROR(OLDBD[[#This Row],[Fin de Carga]]-OLDBD[[#This Row],[Inicio de Carga]],"")</f>
        <v/>
      </c>
    </row>
    <row r="951" spans="1:57" x14ac:dyDescent="0.35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6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Salida]]="","",MARÍTIMOS[[#This Row],[Etapa Retiro - Salida]]),"")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Row],[Hora de Carga]]+MARÍTIMOS[[#This Row],[Hora de Posicionamiento]]),"")</f>
        <v/>
      </c>
      <c r="Z951" s="11" t="str">
        <f>IFERROR(IF(MARÍTIMOS[[#This Row],[Etapa Despacho -  Llegada]]="","",MARÍTIMOS[[#This Row],[Etapa Despacho -  Llegada]]),"")</f>
        <v/>
      </c>
      <c r="AA951" s="11" t="str">
        <f>IFERROR(IF(MARÍTIMOS[[#This Row],[Etapa Despacho -  Registro]]="","",MARÍTIMOS[[#This Row],[Etapa Despacho - 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 Inicio de Carga]]="","",MARÍTIMOS[[#This Row],[Etapa Despacho -  Inicio de Carga]]),"")</f>
        <v/>
      </c>
      <c r="AD951" s="11" t="str">
        <f>IFERROR(IF(MARÍTIMOS[[#This Row],[Etapa Despacho -  Fin de Carga]]="","",MARÍTIMOS[[#This Row],[Etapa Despacho -  Fin de Carga]]),"")</f>
        <v/>
      </c>
      <c r="AE951" s="11" t="str">
        <f>IFERROR(IF(MARÍTIMOS[[#This Row],[Etapa Despacho -  Salida]]="","",MARÍTIMOS[[#This Row],[Etapa Despacho -  Salida]]),"")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5" t="s">
        <v>181</v>
      </c>
      <c r="BB951" s="53" t="str">
        <f>IFERROR(IF(MARÍTIMOS[[#This Row],[Estatus]]="","",MARÍTIMOS[[#This Row],[Estatus]]),"")</f>
        <v/>
      </c>
      <c r="BC951" s="45"/>
      <c r="BD951" s="52" t="str">
        <f>IFERROR(OLDBD[[#This Row],[Salida de almacén de retiro]]-OLDBD[[#This Row],[Ingreso Almacén de retiro]],"")</f>
        <v/>
      </c>
      <c r="BE951" s="52" t="str">
        <f>IFERROR(OLDBD[[#This Row],[Fin de Carga]]-OLDBD[[#This Row],[Inicio de Carga]],"")</f>
        <v/>
      </c>
    </row>
    <row r="952" spans="1:57" x14ac:dyDescent="0.35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6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Salida]]="","",MARÍTIMOS[[#This Row],[Etapa Retiro - Salida]]),"")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Row],[Hora de Carga]]+MARÍTIMOS[[#This Row],[Hora de Posicionamiento]]),"")</f>
        <v/>
      </c>
      <c r="Z952" s="11" t="str">
        <f>IFERROR(IF(MARÍTIMOS[[#This Row],[Etapa Despacho -  Llegada]]="","",MARÍTIMOS[[#This Row],[Etapa Despacho -  Llegada]]),"")</f>
        <v/>
      </c>
      <c r="AA952" s="11" t="str">
        <f>IFERROR(IF(MARÍTIMOS[[#This Row],[Etapa Despacho -  Registro]]="","",MARÍTIMOS[[#This Row],[Etapa Despacho - 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 Inicio de Carga]]="","",MARÍTIMOS[[#This Row],[Etapa Despacho -  Inicio de Carga]]),"")</f>
        <v/>
      </c>
      <c r="AD952" s="11" t="str">
        <f>IFERROR(IF(MARÍTIMOS[[#This Row],[Etapa Despacho -  Fin de Carga]]="","",MARÍTIMOS[[#This Row],[Etapa Despacho -  Fin de Carga]]),"")</f>
        <v/>
      </c>
      <c r="AE952" s="11" t="str">
        <f>IFERROR(IF(MARÍTIMOS[[#This Row],[Etapa Despacho -  Salida]]="","",MARÍTIMOS[[#This Row],[Etapa Despacho -  Salida]]),"")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5" t="s">
        <v>181</v>
      </c>
      <c r="BB952" s="53" t="str">
        <f>IFERROR(IF(MARÍTIMOS[[#This Row],[Estatus]]="","",MARÍTIMOS[[#This Row],[Estatus]]),"")</f>
        <v/>
      </c>
      <c r="BC952" s="45"/>
      <c r="BD952" s="52" t="str">
        <f>IFERROR(OLDBD[[#This Row],[Salida de almacén de retiro]]-OLDBD[[#This Row],[Ingreso Almacén de retiro]],"")</f>
        <v/>
      </c>
      <c r="BE952" s="52" t="str">
        <f>IFERROR(OLDBD[[#This Row],[Fin de Carga]]-OLDBD[[#This Row],[Inicio de Carga]],"")</f>
        <v/>
      </c>
    </row>
    <row r="953" spans="1:57" x14ac:dyDescent="0.35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6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Salida]]="","",MARÍTIMOS[[#This Row],[Etapa Retiro - Salida]]),"")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Row],[Hora de Carga]]+MARÍTIMOS[[#This Row],[Hora de Posicionamiento]]),"")</f>
        <v/>
      </c>
      <c r="Z953" s="11" t="str">
        <f>IFERROR(IF(MARÍTIMOS[[#This Row],[Etapa Despacho -  Llegada]]="","",MARÍTIMOS[[#This Row],[Etapa Despacho -  Llegada]]),"")</f>
        <v/>
      </c>
      <c r="AA953" s="11" t="str">
        <f>IFERROR(IF(MARÍTIMOS[[#This Row],[Etapa Despacho -  Registro]]="","",MARÍTIMOS[[#This Row],[Etapa Despacho - 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 Inicio de Carga]]="","",MARÍTIMOS[[#This Row],[Etapa Despacho -  Inicio de Carga]]),"")</f>
        <v/>
      </c>
      <c r="AD953" s="11" t="str">
        <f>IFERROR(IF(MARÍTIMOS[[#This Row],[Etapa Despacho -  Fin de Carga]]="","",MARÍTIMOS[[#This Row],[Etapa Despacho -  Fin de Carga]]),"")</f>
        <v/>
      </c>
      <c r="AE953" s="11" t="str">
        <f>IFERROR(IF(MARÍTIMOS[[#This Row],[Etapa Despacho -  Salida]]="","",MARÍTIMOS[[#This Row],[Etapa Despacho -  Salida]]),"")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5" t="s">
        <v>181</v>
      </c>
      <c r="BB953" s="53" t="str">
        <f>IFERROR(IF(MARÍTIMOS[[#This Row],[Estatus]]="","",MARÍTIMOS[[#This Row],[Estatus]]),"")</f>
        <v/>
      </c>
      <c r="BC953" s="45"/>
      <c r="BD953" s="52" t="str">
        <f>IFERROR(OLDBD[[#This Row],[Salida de almacén de retiro]]-OLDBD[[#This Row],[Ingreso Almacén de retiro]],"")</f>
        <v/>
      </c>
      <c r="BE953" s="52" t="str">
        <f>IFERROR(OLDBD[[#This Row],[Fin de Carga]]-OLDBD[[#This Row],[Inicio de Carga]],"")</f>
        <v/>
      </c>
    </row>
    <row r="954" spans="1:57" x14ac:dyDescent="0.35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6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Salida]]="","",MARÍTIMOS[[#This Row],[Etapa Retiro - Salida]]),"")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Row],[Hora de Carga]]+MARÍTIMOS[[#This Row],[Hora de Posicionamiento]]),"")</f>
        <v/>
      </c>
      <c r="Z954" s="11" t="str">
        <f>IFERROR(IF(MARÍTIMOS[[#This Row],[Etapa Despacho -  Llegada]]="","",MARÍTIMOS[[#This Row],[Etapa Despacho -  Llegada]]),"")</f>
        <v/>
      </c>
      <c r="AA954" s="11" t="str">
        <f>IFERROR(IF(MARÍTIMOS[[#This Row],[Etapa Despacho -  Registro]]="","",MARÍTIMOS[[#This Row],[Etapa Despacho - 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 Inicio de Carga]]="","",MARÍTIMOS[[#This Row],[Etapa Despacho -  Inicio de Carga]]),"")</f>
        <v/>
      </c>
      <c r="AD954" s="11" t="str">
        <f>IFERROR(IF(MARÍTIMOS[[#This Row],[Etapa Despacho -  Fin de Carga]]="","",MARÍTIMOS[[#This Row],[Etapa Despacho -  Fin de Carga]]),"")</f>
        <v/>
      </c>
      <c r="AE954" s="11" t="str">
        <f>IFERROR(IF(MARÍTIMOS[[#This Row],[Etapa Despacho -  Salida]]="","",MARÍTIMOS[[#This Row],[Etapa Despacho -  Salida]]),"")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5" t="s">
        <v>181</v>
      </c>
      <c r="BB954" s="53" t="str">
        <f>IFERROR(IF(MARÍTIMOS[[#This Row],[Estatus]]="","",MARÍTIMOS[[#This Row],[Estatus]]),"")</f>
        <v/>
      </c>
      <c r="BC954" s="45"/>
      <c r="BD954" s="52" t="str">
        <f>IFERROR(OLDBD[[#This Row],[Salida de almacén de retiro]]-OLDBD[[#This Row],[Ingreso Almacén de retiro]],"")</f>
        <v/>
      </c>
      <c r="BE954" s="52" t="str">
        <f>IFERROR(OLDBD[[#This Row],[Fin de Carga]]-OLDBD[[#This Row],[Inicio de Carga]],"")</f>
        <v/>
      </c>
    </row>
    <row r="955" spans="1:57" x14ac:dyDescent="0.35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6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Salida]]="","",MARÍTIMOS[[#This Row],[Etapa Retiro - Salida]]),"")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Row],[Hora de Carga]]+MARÍTIMOS[[#This Row],[Hora de Posicionamiento]]),"")</f>
        <v/>
      </c>
      <c r="Z955" s="11" t="str">
        <f>IFERROR(IF(MARÍTIMOS[[#This Row],[Etapa Despacho -  Llegada]]="","",MARÍTIMOS[[#This Row],[Etapa Despacho -  Llegada]]),"")</f>
        <v/>
      </c>
      <c r="AA955" s="11" t="str">
        <f>IFERROR(IF(MARÍTIMOS[[#This Row],[Etapa Despacho -  Registro]]="","",MARÍTIMOS[[#This Row],[Etapa Despacho - 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 Inicio de Carga]]="","",MARÍTIMOS[[#This Row],[Etapa Despacho -  Inicio de Carga]]),"")</f>
        <v/>
      </c>
      <c r="AD955" s="11" t="str">
        <f>IFERROR(IF(MARÍTIMOS[[#This Row],[Etapa Despacho -  Fin de Carga]]="","",MARÍTIMOS[[#This Row],[Etapa Despacho -  Fin de Carga]]),"")</f>
        <v/>
      </c>
      <c r="AE955" s="11" t="str">
        <f>IFERROR(IF(MARÍTIMOS[[#This Row],[Etapa Despacho -  Salida]]="","",MARÍTIMOS[[#This Row],[Etapa Despacho -  Salida]]),"")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5" t="s">
        <v>181</v>
      </c>
      <c r="BB955" s="53" t="str">
        <f>IFERROR(IF(MARÍTIMOS[[#This Row],[Estatus]]="","",MARÍTIMOS[[#This Row],[Estatus]]),"")</f>
        <v/>
      </c>
      <c r="BC955" s="45"/>
      <c r="BD955" s="52" t="str">
        <f>IFERROR(OLDBD[[#This Row],[Salida de almacén de retiro]]-OLDBD[[#This Row],[Ingreso Almacén de retiro]],"")</f>
        <v/>
      </c>
      <c r="BE955" s="52" t="str">
        <f>IFERROR(OLDBD[[#This Row],[Fin de Carga]]-OLDBD[[#This Row],[Inicio de Carga]],"")</f>
        <v/>
      </c>
    </row>
    <row r="956" spans="1:57" x14ac:dyDescent="0.35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6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Salida]]="","",MARÍTIMOS[[#This Row],[Etapa Retiro - Salida]]),"")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Row],[Hora de Carga]]+MARÍTIMOS[[#This Row],[Hora de Posicionamiento]]),"")</f>
        <v/>
      </c>
      <c r="Z956" s="11" t="str">
        <f>IFERROR(IF(MARÍTIMOS[[#This Row],[Etapa Despacho -  Llegada]]="","",MARÍTIMOS[[#This Row],[Etapa Despacho -  Llegada]]),"")</f>
        <v/>
      </c>
      <c r="AA956" s="11" t="str">
        <f>IFERROR(IF(MARÍTIMOS[[#This Row],[Etapa Despacho -  Registro]]="","",MARÍTIMOS[[#This Row],[Etapa Despacho - 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 Inicio de Carga]]="","",MARÍTIMOS[[#This Row],[Etapa Despacho -  Inicio de Carga]]),"")</f>
        <v/>
      </c>
      <c r="AD956" s="11" t="str">
        <f>IFERROR(IF(MARÍTIMOS[[#This Row],[Etapa Despacho -  Fin de Carga]]="","",MARÍTIMOS[[#This Row],[Etapa Despacho -  Fin de Carga]]),"")</f>
        <v/>
      </c>
      <c r="AE956" s="11" t="str">
        <f>IFERROR(IF(MARÍTIMOS[[#This Row],[Etapa Despacho -  Salida]]="","",MARÍTIMOS[[#This Row],[Etapa Despacho -  Salida]]),"")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5" t="s">
        <v>181</v>
      </c>
      <c r="BB956" s="53" t="str">
        <f>IFERROR(IF(MARÍTIMOS[[#This Row],[Estatus]]="","",MARÍTIMOS[[#This Row],[Estatus]]),"")</f>
        <v/>
      </c>
      <c r="BC956" s="45"/>
      <c r="BD956" s="52" t="str">
        <f>IFERROR(OLDBD[[#This Row],[Salida de almacén de retiro]]-OLDBD[[#This Row],[Ingreso Almacén de retiro]],"")</f>
        <v/>
      </c>
      <c r="BE956" s="52" t="str">
        <f>IFERROR(OLDBD[[#This Row],[Fin de Carga]]-OLDBD[[#This Row],[Inicio de Carga]],"")</f>
        <v/>
      </c>
    </row>
    <row r="957" spans="1:57" x14ac:dyDescent="0.35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6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Salida]]="","",MARÍTIMOS[[#This Row],[Etapa Retiro - Salida]]),"")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Row],[Hora de Carga]]+MARÍTIMOS[[#This Row],[Hora de Posicionamiento]]),"")</f>
        <v/>
      </c>
      <c r="Z957" s="11" t="str">
        <f>IFERROR(IF(MARÍTIMOS[[#This Row],[Etapa Despacho -  Llegada]]="","",MARÍTIMOS[[#This Row],[Etapa Despacho -  Llegada]]),"")</f>
        <v/>
      </c>
      <c r="AA957" s="11" t="str">
        <f>IFERROR(IF(MARÍTIMOS[[#This Row],[Etapa Despacho -  Registro]]="","",MARÍTIMOS[[#This Row],[Etapa Despacho - 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 Inicio de Carga]]="","",MARÍTIMOS[[#This Row],[Etapa Despacho -  Inicio de Carga]]),"")</f>
        <v/>
      </c>
      <c r="AD957" s="11" t="str">
        <f>IFERROR(IF(MARÍTIMOS[[#This Row],[Etapa Despacho -  Fin de Carga]]="","",MARÍTIMOS[[#This Row],[Etapa Despacho -  Fin de Carga]]),"")</f>
        <v/>
      </c>
      <c r="AE957" s="11" t="str">
        <f>IFERROR(IF(MARÍTIMOS[[#This Row],[Etapa Despacho -  Salida]]="","",MARÍTIMOS[[#This Row],[Etapa Despacho -  Salida]]),"")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5" t="s">
        <v>181</v>
      </c>
      <c r="BB957" s="53" t="str">
        <f>IFERROR(IF(MARÍTIMOS[[#This Row],[Estatus]]="","",MARÍTIMOS[[#This Row],[Estatus]]),"")</f>
        <v/>
      </c>
      <c r="BC957" s="45"/>
      <c r="BD957" s="52" t="str">
        <f>IFERROR(OLDBD[[#This Row],[Salida de almacén de retiro]]-OLDBD[[#This Row],[Ingreso Almacén de retiro]],"")</f>
        <v/>
      </c>
      <c r="BE957" s="52" t="str">
        <f>IFERROR(OLDBD[[#This Row],[Fin de Carga]]-OLDBD[[#This Row],[Inicio de Carga]],"")</f>
        <v/>
      </c>
    </row>
    <row r="958" spans="1:57" x14ac:dyDescent="0.35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6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Salida]]="","",MARÍTIMOS[[#This Row],[Etapa Retiro - Salida]]),"")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Row],[Hora de Carga]]+MARÍTIMOS[[#This Row],[Hora de Posicionamiento]]),"")</f>
        <v/>
      </c>
      <c r="Z958" s="11" t="str">
        <f>IFERROR(IF(MARÍTIMOS[[#This Row],[Etapa Despacho -  Llegada]]="","",MARÍTIMOS[[#This Row],[Etapa Despacho -  Llegada]]),"")</f>
        <v/>
      </c>
      <c r="AA958" s="11" t="str">
        <f>IFERROR(IF(MARÍTIMOS[[#This Row],[Etapa Despacho -  Registro]]="","",MARÍTIMOS[[#This Row],[Etapa Despacho - 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 Inicio de Carga]]="","",MARÍTIMOS[[#This Row],[Etapa Despacho -  Inicio de Carga]]),"")</f>
        <v/>
      </c>
      <c r="AD958" s="11" t="str">
        <f>IFERROR(IF(MARÍTIMOS[[#This Row],[Etapa Despacho -  Fin de Carga]]="","",MARÍTIMOS[[#This Row],[Etapa Despacho -  Fin de Carga]]),"")</f>
        <v/>
      </c>
      <c r="AE958" s="11" t="str">
        <f>IFERROR(IF(MARÍTIMOS[[#This Row],[Etapa Despacho -  Salida]]="","",MARÍTIMOS[[#This Row],[Etapa Despacho -  Salida]]),"")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5" t="s">
        <v>181</v>
      </c>
      <c r="BB958" s="53" t="str">
        <f>IFERROR(IF(MARÍTIMOS[[#This Row],[Estatus]]="","",MARÍTIMOS[[#This Row],[Estatus]]),"")</f>
        <v/>
      </c>
      <c r="BC958" s="45"/>
      <c r="BD958" s="52" t="str">
        <f>IFERROR(OLDBD[[#This Row],[Salida de almacén de retiro]]-OLDBD[[#This Row],[Ingreso Almacén de retiro]],"")</f>
        <v/>
      </c>
      <c r="BE958" s="52" t="str">
        <f>IFERROR(OLDBD[[#This Row],[Fin de Carga]]-OLDBD[[#This Row],[Inicio de Carga]],"")</f>
        <v/>
      </c>
    </row>
    <row r="959" spans="1:57" x14ac:dyDescent="0.35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6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Salida]]="","",MARÍTIMOS[[#This Row],[Etapa Retiro - Salida]]),"")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Row],[Hora de Carga]]+MARÍTIMOS[[#This Row],[Hora de Posicionamiento]]),"")</f>
        <v/>
      </c>
      <c r="Z959" s="11" t="str">
        <f>IFERROR(IF(MARÍTIMOS[[#This Row],[Etapa Despacho -  Llegada]]="","",MARÍTIMOS[[#This Row],[Etapa Despacho -  Llegada]]),"")</f>
        <v/>
      </c>
      <c r="AA959" s="11" t="str">
        <f>IFERROR(IF(MARÍTIMOS[[#This Row],[Etapa Despacho -  Registro]]="","",MARÍTIMOS[[#This Row],[Etapa Despacho - 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 Inicio de Carga]]="","",MARÍTIMOS[[#This Row],[Etapa Despacho -  Inicio de Carga]]),"")</f>
        <v/>
      </c>
      <c r="AD959" s="11" t="str">
        <f>IFERROR(IF(MARÍTIMOS[[#This Row],[Etapa Despacho -  Fin de Carga]]="","",MARÍTIMOS[[#This Row],[Etapa Despacho -  Fin de Carga]]),"")</f>
        <v/>
      </c>
      <c r="AE959" s="11" t="str">
        <f>IFERROR(IF(MARÍTIMOS[[#This Row],[Etapa Despacho -  Salida]]="","",MARÍTIMOS[[#This Row],[Etapa Despacho -  Salida]]),"")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5" t="s">
        <v>181</v>
      </c>
      <c r="BB959" s="53" t="str">
        <f>IFERROR(IF(MARÍTIMOS[[#This Row],[Estatus]]="","",MARÍTIMOS[[#This Row],[Estatus]]),"")</f>
        <v/>
      </c>
      <c r="BC959" s="45"/>
      <c r="BD959" s="52" t="str">
        <f>IFERROR(OLDBD[[#This Row],[Salida de almacén de retiro]]-OLDBD[[#This Row],[Ingreso Almacén de retiro]],"")</f>
        <v/>
      </c>
      <c r="BE959" s="52" t="str">
        <f>IFERROR(OLDBD[[#This Row],[Fin de Carga]]-OLDBD[[#This Row],[Inicio de Carga]],"")</f>
        <v/>
      </c>
    </row>
    <row r="960" spans="1:57" x14ac:dyDescent="0.35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6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Salida]]="","",MARÍTIMOS[[#This Row],[Etapa Retiro - Salida]]),"")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Row],[Hora de Carga]]+MARÍTIMOS[[#This Row],[Hora de Posicionamiento]]),"")</f>
        <v/>
      </c>
      <c r="Z960" s="11" t="str">
        <f>IFERROR(IF(MARÍTIMOS[[#This Row],[Etapa Despacho -  Llegada]]="","",MARÍTIMOS[[#This Row],[Etapa Despacho -  Llegada]]),"")</f>
        <v/>
      </c>
      <c r="AA960" s="11" t="str">
        <f>IFERROR(IF(MARÍTIMOS[[#This Row],[Etapa Despacho -  Registro]]="","",MARÍTIMOS[[#This Row],[Etapa Despacho - 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 Inicio de Carga]]="","",MARÍTIMOS[[#This Row],[Etapa Despacho -  Inicio de Carga]]),"")</f>
        <v/>
      </c>
      <c r="AD960" s="11" t="str">
        <f>IFERROR(IF(MARÍTIMOS[[#This Row],[Etapa Despacho -  Fin de Carga]]="","",MARÍTIMOS[[#This Row],[Etapa Despacho -  Fin de Carga]]),"")</f>
        <v/>
      </c>
      <c r="AE960" s="11" t="str">
        <f>IFERROR(IF(MARÍTIMOS[[#This Row],[Etapa Despacho -  Salida]]="","",MARÍTIMOS[[#This Row],[Etapa Despacho -  Salida]]),"")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5" t="s">
        <v>181</v>
      </c>
      <c r="BB960" s="53" t="str">
        <f>IFERROR(IF(MARÍTIMOS[[#This Row],[Estatus]]="","",MARÍTIMOS[[#This Row],[Estatus]]),"")</f>
        <v/>
      </c>
      <c r="BC960" s="45"/>
      <c r="BD960" s="52" t="str">
        <f>IFERROR(OLDBD[[#This Row],[Salida de almacén de retiro]]-OLDBD[[#This Row],[Ingreso Almacén de retiro]],"")</f>
        <v/>
      </c>
      <c r="BE960" s="52" t="str">
        <f>IFERROR(OLDBD[[#This Row],[Fin de Carga]]-OLDBD[[#This Row],[Inicio de Carga]],"")</f>
        <v/>
      </c>
    </row>
    <row r="961" spans="1:57" x14ac:dyDescent="0.35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6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Salida]]="","",MARÍTIMOS[[#This Row],[Etapa Retiro - Salida]]),"")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Row],[Hora de Carga]]+MARÍTIMOS[[#This Row],[Hora de Posicionamiento]]),"")</f>
        <v/>
      </c>
      <c r="Z961" s="11" t="str">
        <f>IFERROR(IF(MARÍTIMOS[[#This Row],[Etapa Despacho -  Llegada]]="","",MARÍTIMOS[[#This Row],[Etapa Despacho -  Llegada]]),"")</f>
        <v/>
      </c>
      <c r="AA961" s="11" t="str">
        <f>IFERROR(IF(MARÍTIMOS[[#This Row],[Etapa Despacho -  Registro]]="","",MARÍTIMOS[[#This Row],[Etapa Despacho - 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 Inicio de Carga]]="","",MARÍTIMOS[[#This Row],[Etapa Despacho -  Inicio de Carga]]),"")</f>
        <v/>
      </c>
      <c r="AD961" s="11" t="str">
        <f>IFERROR(IF(MARÍTIMOS[[#This Row],[Etapa Despacho -  Fin de Carga]]="","",MARÍTIMOS[[#This Row],[Etapa Despacho -  Fin de Carga]]),"")</f>
        <v/>
      </c>
      <c r="AE961" s="11" t="str">
        <f>IFERROR(IF(MARÍTIMOS[[#This Row],[Etapa Despacho -  Salida]]="","",MARÍTIMOS[[#This Row],[Etapa Despacho -  Salida]]),"")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5" t="s">
        <v>181</v>
      </c>
      <c r="BB961" s="53" t="str">
        <f>IFERROR(IF(MARÍTIMOS[[#This Row],[Estatus]]="","",MARÍTIMOS[[#This Row],[Estatus]]),"")</f>
        <v/>
      </c>
      <c r="BC961" s="45"/>
      <c r="BD961" s="52" t="str">
        <f>IFERROR(OLDBD[[#This Row],[Salida de almacén de retiro]]-OLDBD[[#This Row],[Ingreso Almacén de retiro]],"")</f>
        <v/>
      </c>
      <c r="BE961" s="52" t="str">
        <f>IFERROR(OLDBD[[#This Row],[Fin de Carga]]-OLDBD[[#This Row],[Inicio de Carga]],"")</f>
        <v/>
      </c>
    </row>
    <row r="962" spans="1:57" x14ac:dyDescent="0.35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6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Salida]]="","",MARÍTIMOS[[#This Row],[Etapa Retiro - Salida]]),"")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Row],[Hora de Carga]]+MARÍTIMOS[[#This Row],[Hora de Posicionamiento]]),"")</f>
        <v/>
      </c>
      <c r="Z962" s="11" t="str">
        <f>IFERROR(IF(MARÍTIMOS[[#This Row],[Etapa Despacho -  Llegada]]="","",MARÍTIMOS[[#This Row],[Etapa Despacho -  Llegada]]),"")</f>
        <v/>
      </c>
      <c r="AA962" s="11" t="str">
        <f>IFERROR(IF(MARÍTIMOS[[#This Row],[Etapa Despacho -  Registro]]="","",MARÍTIMOS[[#This Row],[Etapa Despacho - 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 Inicio de Carga]]="","",MARÍTIMOS[[#This Row],[Etapa Despacho -  Inicio de Carga]]),"")</f>
        <v/>
      </c>
      <c r="AD962" s="11" t="str">
        <f>IFERROR(IF(MARÍTIMOS[[#This Row],[Etapa Despacho -  Fin de Carga]]="","",MARÍTIMOS[[#This Row],[Etapa Despacho -  Fin de Carga]]),"")</f>
        <v/>
      </c>
      <c r="AE962" s="11" t="str">
        <f>IFERROR(IF(MARÍTIMOS[[#This Row],[Etapa Despacho -  Salida]]="","",MARÍTIMOS[[#This Row],[Etapa Despacho -  Salida]]),"")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5" t="s">
        <v>181</v>
      </c>
      <c r="BB962" s="53" t="str">
        <f>IFERROR(IF(MARÍTIMOS[[#This Row],[Estatus]]="","",MARÍTIMOS[[#This Row],[Estatus]]),"")</f>
        <v/>
      </c>
      <c r="BC962" s="45"/>
      <c r="BD962" s="52" t="str">
        <f>IFERROR(OLDBD[[#This Row],[Salida de almacén de retiro]]-OLDBD[[#This Row],[Ingreso Almacén de retiro]],"")</f>
        <v/>
      </c>
      <c r="BE962" s="52" t="str">
        <f>IFERROR(OLDBD[[#This Row],[Fin de Carga]]-OLDBD[[#This Row],[Inicio de Carga]],"")</f>
        <v/>
      </c>
    </row>
    <row r="963" spans="1:57" x14ac:dyDescent="0.35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6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Salida]]="","",MARÍTIMOS[[#This Row],[Etapa Retiro - Salida]]),"")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Row],[Hora de Carga]]+MARÍTIMOS[[#This Row],[Hora de Posicionamiento]]),"")</f>
        <v/>
      </c>
      <c r="Z963" s="11" t="str">
        <f>IFERROR(IF(MARÍTIMOS[[#This Row],[Etapa Despacho -  Llegada]]="","",MARÍTIMOS[[#This Row],[Etapa Despacho -  Llegada]]),"")</f>
        <v/>
      </c>
      <c r="AA963" s="11" t="str">
        <f>IFERROR(IF(MARÍTIMOS[[#This Row],[Etapa Despacho -  Registro]]="","",MARÍTIMOS[[#This Row],[Etapa Despacho - 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 Inicio de Carga]]="","",MARÍTIMOS[[#This Row],[Etapa Despacho -  Inicio de Carga]]),"")</f>
        <v/>
      </c>
      <c r="AD963" s="11" t="str">
        <f>IFERROR(IF(MARÍTIMOS[[#This Row],[Etapa Despacho -  Fin de Carga]]="","",MARÍTIMOS[[#This Row],[Etapa Despacho -  Fin de Carga]]),"")</f>
        <v/>
      </c>
      <c r="AE963" s="11" t="str">
        <f>IFERROR(IF(MARÍTIMOS[[#This Row],[Etapa Despacho -  Salida]]="","",MARÍTIMOS[[#This Row],[Etapa Despacho -  Salida]]),"")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5" t="s">
        <v>181</v>
      </c>
      <c r="BB963" s="53" t="str">
        <f>IFERROR(IF(MARÍTIMOS[[#This Row],[Estatus]]="","",MARÍTIMOS[[#This Row],[Estatus]]),"")</f>
        <v/>
      </c>
      <c r="BC963" s="45"/>
      <c r="BD963" s="52" t="str">
        <f>IFERROR(OLDBD[[#This Row],[Salida de almacén de retiro]]-OLDBD[[#This Row],[Ingreso Almacén de retiro]],"")</f>
        <v/>
      </c>
      <c r="BE963" s="52" t="str">
        <f>IFERROR(OLDBD[[#This Row],[Fin de Carga]]-OLDBD[[#This Row],[Inicio de Carga]],"")</f>
        <v/>
      </c>
    </row>
    <row r="964" spans="1:57" x14ac:dyDescent="0.35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6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Salida]]="","",MARÍTIMOS[[#This Row],[Etapa Retiro - Salida]]),"")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Row],[Hora de Carga]]+MARÍTIMOS[[#This Row],[Hora de Posicionamiento]]),"")</f>
        <v/>
      </c>
      <c r="Z964" s="11" t="str">
        <f>IFERROR(IF(MARÍTIMOS[[#This Row],[Etapa Despacho -  Llegada]]="","",MARÍTIMOS[[#This Row],[Etapa Despacho -  Llegada]]),"")</f>
        <v/>
      </c>
      <c r="AA964" s="11" t="str">
        <f>IFERROR(IF(MARÍTIMOS[[#This Row],[Etapa Despacho -  Registro]]="","",MARÍTIMOS[[#This Row],[Etapa Despacho - 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 Inicio de Carga]]="","",MARÍTIMOS[[#This Row],[Etapa Despacho -  Inicio de Carga]]),"")</f>
        <v/>
      </c>
      <c r="AD964" s="11" t="str">
        <f>IFERROR(IF(MARÍTIMOS[[#This Row],[Etapa Despacho -  Fin de Carga]]="","",MARÍTIMOS[[#This Row],[Etapa Despacho -  Fin de Carga]]),"")</f>
        <v/>
      </c>
      <c r="AE964" s="11" t="str">
        <f>IFERROR(IF(MARÍTIMOS[[#This Row],[Etapa Despacho -  Salida]]="","",MARÍTIMOS[[#This Row],[Etapa Despacho -  Salida]]),"")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5" t="s">
        <v>181</v>
      </c>
      <c r="BB964" s="53" t="str">
        <f>IFERROR(IF(MARÍTIMOS[[#This Row],[Estatus]]="","",MARÍTIMOS[[#This Row],[Estatus]]),"")</f>
        <v/>
      </c>
      <c r="BC964" s="45"/>
      <c r="BD964" s="52" t="str">
        <f>IFERROR(OLDBD[[#This Row],[Salida de almacén de retiro]]-OLDBD[[#This Row],[Ingreso Almacén de retiro]],"")</f>
        <v/>
      </c>
      <c r="BE964" s="52" t="str">
        <f>IFERROR(OLDBD[[#This Row],[Fin de Carga]]-OLDBD[[#This Row],[Inicio de Carga]],"")</f>
        <v/>
      </c>
    </row>
    <row r="965" spans="1:57" x14ac:dyDescent="0.35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6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Salida]]="","",MARÍTIMOS[[#This Row],[Etapa Retiro - Salida]]),"")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Row],[Hora de Carga]]+MARÍTIMOS[[#This Row],[Hora de Posicionamiento]]),"")</f>
        <v/>
      </c>
      <c r="Z965" s="11" t="str">
        <f>IFERROR(IF(MARÍTIMOS[[#This Row],[Etapa Despacho -  Llegada]]="","",MARÍTIMOS[[#This Row],[Etapa Despacho -  Llegada]]),"")</f>
        <v/>
      </c>
      <c r="AA965" s="11" t="str">
        <f>IFERROR(IF(MARÍTIMOS[[#This Row],[Etapa Despacho -  Registro]]="","",MARÍTIMOS[[#This Row],[Etapa Despacho - 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 Inicio de Carga]]="","",MARÍTIMOS[[#This Row],[Etapa Despacho -  Inicio de Carga]]),"")</f>
        <v/>
      </c>
      <c r="AD965" s="11" t="str">
        <f>IFERROR(IF(MARÍTIMOS[[#This Row],[Etapa Despacho -  Fin de Carga]]="","",MARÍTIMOS[[#This Row],[Etapa Despacho -  Fin de Carga]]),"")</f>
        <v/>
      </c>
      <c r="AE965" s="11" t="str">
        <f>IFERROR(IF(MARÍTIMOS[[#This Row],[Etapa Despacho -  Salida]]="","",MARÍTIMOS[[#This Row],[Etapa Despacho -  Salida]]),"")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5" t="s">
        <v>181</v>
      </c>
      <c r="BB965" s="53" t="str">
        <f>IFERROR(IF(MARÍTIMOS[[#This Row],[Estatus]]="","",MARÍTIMOS[[#This Row],[Estatus]]),"")</f>
        <v/>
      </c>
      <c r="BC965" s="45"/>
      <c r="BD965" s="52" t="str">
        <f>IFERROR(OLDBD[[#This Row],[Salida de almacén de retiro]]-OLDBD[[#This Row],[Ingreso Almacén de retiro]],"")</f>
        <v/>
      </c>
      <c r="BE965" s="52" t="str">
        <f>IFERROR(OLDBD[[#This Row],[Fin de Carga]]-OLDBD[[#This Row],[Inicio de Carga]],"")</f>
        <v/>
      </c>
    </row>
    <row r="966" spans="1:57" x14ac:dyDescent="0.35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6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Salida]]="","",MARÍTIMOS[[#This Row],[Etapa Retiro - Salida]]),"")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Row],[Hora de Carga]]+MARÍTIMOS[[#This Row],[Hora de Posicionamiento]]),"")</f>
        <v/>
      </c>
      <c r="Z966" s="11" t="str">
        <f>IFERROR(IF(MARÍTIMOS[[#This Row],[Etapa Despacho -  Llegada]]="","",MARÍTIMOS[[#This Row],[Etapa Despacho -  Llegada]]),"")</f>
        <v/>
      </c>
      <c r="AA966" s="11" t="str">
        <f>IFERROR(IF(MARÍTIMOS[[#This Row],[Etapa Despacho -  Registro]]="","",MARÍTIMOS[[#This Row],[Etapa Despacho - 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 Inicio de Carga]]="","",MARÍTIMOS[[#This Row],[Etapa Despacho -  Inicio de Carga]]),"")</f>
        <v/>
      </c>
      <c r="AD966" s="11" t="str">
        <f>IFERROR(IF(MARÍTIMOS[[#This Row],[Etapa Despacho -  Fin de Carga]]="","",MARÍTIMOS[[#This Row],[Etapa Despacho -  Fin de Carga]]),"")</f>
        <v/>
      </c>
      <c r="AE966" s="11" t="str">
        <f>IFERROR(IF(MARÍTIMOS[[#This Row],[Etapa Despacho -  Salida]]="","",MARÍTIMOS[[#This Row],[Etapa Despacho -  Salida]]),"")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5" t="s">
        <v>181</v>
      </c>
      <c r="BB966" s="53" t="str">
        <f>IFERROR(IF(MARÍTIMOS[[#This Row],[Estatus]]="","",MARÍTIMOS[[#This Row],[Estatus]]),"")</f>
        <v/>
      </c>
      <c r="BC966" s="45"/>
      <c r="BD966" s="52" t="str">
        <f>IFERROR(OLDBD[[#This Row],[Salida de almacén de retiro]]-OLDBD[[#This Row],[Ingreso Almacén de retiro]],"")</f>
        <v/>
      </c>
      <c r="BE966" s="52" t="str">
        <f>IFERROR(OLDBD[[#This Row],[Fin de Carga]]-OLDBD[[#This Row],[Inicio de Carga]],"")</f>
        <v/>
      </c>
    </row>
    <row r="967" spans="1:57" x14ac:dyDescent="0.35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6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Salida]]="","",MARÍTIMOS[[#This Row],[Etapa Retiro - Salida]]),"")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Row],[Hora de Carga]]+MARÍTIMOS[[#This Row],[Hora de Posicionamiento]]),"")</f>
        <v/>
      </c>
      <c r="Z967" s="11" t="str">
        <f>IFERROR(IF(MARÍTIMOS[[#This Row],[Etapa Despacho -  Llegada]]="","",MARÍTIMOS[[#This Row],[Etapa Despacho -  Llegada]]),"")</f>
        <v/>
      </c>
      <c r="AA967" s="11" t="str">
        <f>IFERROR(IF(MARÍTIMOS[[#This Row],[Etapa Despacho -  Registro]]="","",MARÍTIMOS[[#This Row],[Etapa Despacho - 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 Inicio de Carga]]="","",MARÍTIMOS[[#This Row],[Etapa Despacho -  Inicio de Carga]]),"")</f>
        <v/>
      </c>
      <c r="AD967" s="11" t="str">
        <f>IFERROR(IF(MARÍTIMOS[[#This Row],[Etapa Despacho -  Fin de Carga]]="","",MARÍTIMOS[[#This Row],[Etapa Despacho -  Fin de Carga]]),"")</f>
        <v/>
      </c>
      <c r="AE967" s="11" t="str">
        <f>IFERROR(IF(MARÍTIMOS[[#This Row],[Etapa Despacho -  Salida]]="","",MARÍTIMOS[[#This Row],[Etapa Despacho -  Salida]]),"")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5" t="s">
        <v>181</v>
      </c>
      <c r="BB967" s="53" t="str">
        <f>IFERROR(IF(MARÍTIMOS[[#This Row],[Estatus]]="","",MARÍTIMOS[[#This Row],[Estatus]]),"")</f>
        <v/>
      </c>
      <c r="BC967" s="45"/>
      <c r="BD967" s="52" t="str">
        <f>IFERROR(OLDBD[[#This Row],[Salida de almacén de retiro]]-OLDBD[[#This Row],[Ingreso Almacén de retiro]],"")</f>
        <v/>
      </c>
      <c r="BE967" s="52" t="str">
        <f>IFERROR(OLDBD[[#This Row],[Fin de Carga]]-OLDBD[[#This Row],[Inicio de Carga]],"")</f>
        <v/>
      </c>
    </row>
    <row r="968" spans="1:57" x14ac:dyDescent="0.35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6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Salida]]="","",MARÍTIMOS[[#This Row],[Etapa Retiro - Salida]]),"")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Row],[Hora de Carga]]+MARÍTIMOS[[#This Row],[Hora de Posicionamiento]]),"")</f>
        <v/>
      </c>
      <c r="Z968" s="11" t="str">
        <f>IFERROR(IF(MARÍTIMOS[[#This Row],[Etapa Despacho -  Llegada]]="","",MARÍTIMOS[[#This Row],[Etapa Despacho -  Llegada]]),"")</f>
        <v/>
      </c>
      <c r="AA968" s="11" t="str">
        <f>IFERROR(IF(MARÍTIMOS[[#This Row],[Etapa Despacho -  Registro]]="","",MARÍTIMOS[[#This Row],[Etapa Despacho - 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 Inicio de Carga]]="","",MARÍTIMOS[[#This Row],[Etapa Despacho -  Inicio de Carga]]),"")</f>
        <v/>
      </c>
      <c r="AD968" s="11" t="str">
        <f>IFERROR(IF(MARÍTIMOS[[#This Row],[Etapa Despacho -  Fin de Carga]]="","",MARÍTIMOS[[#This Row],[Etapa Despacho -  Fin de Carga]]),"")</f>
        <v/>
      </c>
      <c r="AE968" s="11" t="str">
        <f>IFERROR(IF(MARÍTIMOS[[#This Row],[Etapa Despacho -  Salida]]="","",MARÍTIMOS[[#This Row],[Etapa Despacho -  Salida]]),"")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5" t="s">
        <v>181</v>
      </c>
      <c r="BB968" s="53" t="str">
        <f>IFERROR(IF(MARÍTIMOS[[#This Row],[Estatus]]="","",MARÍTIMOS[[#This Row],[Estatus]]),"")</f>
        <v/>
      </c>
      <c r="BC968" s="45"/>
      <c r="BD968" s="52" t="str">
        <f>IFERROR(OLDBD[[#This Row],[Salida de almacén de retiro]]-OLDBD[[#This Row],[Ingreso Almacén de retiro]],"")</f>
        <v/>
      </c>
      <c r="BE968" s="52" t="str">
        <f>IFERROR(OLDBD[[#This Row],[Fin de Carga]]-OLDBD[[#This Row],[Inicio de Carga]],"")</f>
        <v/>
      </c>
    </row>
    <row r="969" spans="1:57" x14ac:dyDescent="0.35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6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Salida]]="","",MARÍTIMOS[[#This Row],[Etapa Retiro - Salida]]),"")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Row],[Hora de Carga]]+MARÍTIMOS[[#This Row],[Hora de Posicionamiento]]),"")</f>
        <v/>
      </c>
      <c r="Z969" s="11" t="str">
        <f>IFERROR(IF(MARÍTIMOS[[#This Row],[Etapa Despacho -  Llegada]]="","",MARÍTIMOS[[#This Row],[Etapa Despacho -  Llegada]]),"")</f>
        <v/>
      </c>
      <c r="AA969" s="11" t="str">
        <f>IFERROR(IF(MARÍTIMOS[[#This Row],[Etapa Despacho -  Registro]]="","",MARÍTIMOS[[#This Row],[Etapa Despacho - 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 Inicio de Carga]]="","",MARÍTIMOS[[#This Row],[Etapa Despacho -  Inicio de Carga]]),"")</f>
        <v/>
      </c>
      <c r="AD969" s="11" t="str">
        <f>IFERROR(IF(MARÍTIMOS[[#This Row],[Etapa Despacho -  Fin de Carga]]="","",MARÍTIMOS[[#This Row],[Etapa Despacho -  Fin de Carga]]),"")</f>
        <v/>
      </c>
      <c r="AE969" s="11" t="str">
        <f>IFERROR(IF(MARÍTIMOS[[#This Row],[Etapa Despacho -  Salida]]="","",MARÍTIMOS[[#This Row],[Etapa Despacho -  Salida]]),"")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5" t="s">
        <v>181</v>
      </c>
      <c r="BB969" s="53" t="str">
        <f>IFERROR(IF(MARÍTIMOS[[#This Row],[Estatus]]="","",MARÍTIMOS[[#This Row],[Estatus]]),"")</f>
        <v/>
      </c>
      <c r="BC969" s="45"/>
      <c r="BD969" s="52" t="str">
        <f>IFERROR(OLDBD[[#This Row],[Salida de almacén de retiro]]-OLDBD[[#This Row],[Ingreso Almacén de retiro]],"")</f>
        <v/>
      </c>
      <c r="BE969" s="52" t="str">
        <f>IFERROR(OLDBD[[#This Row],[Fin de Carga]]-OLDBD[[#This Row],[Inicio de Carga]],"")</f>
        <v/>
      </c>
    </row>
    <row r="970" spans="1:57" x14ac:dyDescent="0.35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6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Salida]]="","",MARÍTIMOS[[#This Row],[Etapa Retiro - Salida]]),"")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Row],[Hora de Carga]]+MARÍTIMOS[[#This Row],[Hora de Posicionamiento]]),"")</f>
        <v/>
      </c>
      <c r="Z970" s="11" t="str">
        <f>IFERROR(IF(MARÍTIMOS[[#This Row],[Etapa Despacho -  Llegada]]="","",MARÍTIMOS[[#This Row],[Etapa Despacho -  Llegada]]),"")</f>
        <v/>
      </c>
      <c r="AA970" s="11" t="str">
        <f>IFERROR(IF(MARÍTIMOS[[#This Row],[Etapa Despacho -  Registro]]="","",MARÍTIMOS[[#This Row],[Etapa Despacho - 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 Inicio de Carga]]="","",MARÍTIMOS[[#This Row],[Etapa Despacho -  Inicio de Carga]]),"")</f>
        <v/>
      </c>
      <c r="AD970" s="11" t="str">
        <f>IFERROR(IF(MARÍTIMOS[[#This Row],[Etapa Despacho -  Fin de Carga]]="","",MARÍTIMOS[[#This Row],[Etapa Despacho -  Fin de Carga]]),"")</f>
        <v/>
      </c>
      <c r="AE970" s="11" t="str">
        <f>IFERROR(IF(MARÍTIMOS[[#This Row],[Etapa Despacho -  Salida]]="","",MARÍTIMOS[[#This Row],[Etapa Despacho -  Salida]]),"")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5" t="s">
        <v>181</v>
      </c>
      <c r="BB970" s="53" t="str">
        <f>IFERROR(IF(MARÍTIMOS[[#This Row],[Estatus]]="","",MARÍTIMOS[[#This Row],[Estatus]]),"")</f>
        <v/>
      </c>
      <c r="BC970" s="45"/>
      <c r="BD970" s="52" t="str">
        <f>IFERROR(OLDBD[[#This Row],[Salida de almacén de retiro]]-OLDBD[[#This Row],[Ingreso Almacén de retiro]],"")</f>
        <v/>
      </c>
      <c r="BE970" s="52" t="str">
        <f>IFERROR(OLDBD[[#This Row],[Fin de Carga]]-OLDBD[[#This Row],[Inicio de Carga]],"")</f>
        <v/>
      </c>
    </row>
    <row r="971" spans="1:57" x14ac:dyDescent="0.35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6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Salida]]="","",MARÍTIMOS[[#This Row],[Etapa Retiro - Salida]]),"")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Row],[Hora de Carga]]+MARÍTIMOS[[#This Row],[Hora de Posicionamiento]]),"")</f>
        <v/>
      </c>
      <c r="Z971" s="11" t="str">
        <f>IFERROR(IF(MARÍTIMOS[[#This Row],[Etapa Despacho -  Llegada]]="","",MARÍTIMOS[[#This Row],[Etapa Despacho -  Llegada]]),"")</f>
        <v/>
      </c>
      <c r="AA971" s="11" t="str">
        <f>IFERROR(IF(MARÍTIMOS[[#This Row],[Etapa Despacho -  Registro]]="","",MARÍTIMOS[[#This Row],[Etapa Despacho - 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 Inicio de Carga]]="","",MARÍTIMOS[[#This Row],[Etapa Despacho -  Inicio de Carga]]),"")</f>
        <v/>
      </c>
      <c r="AD971" s="11" t="str">
        <f>IFERROR(IF(MARÍTIMOS[[#This Row],[Etapa Despacho -  Fin de Carga]]="","",MARÍTIMOS[[#This Row],[Etapa Despacho -  Fin de Carga]]),"")</f>
        <v/>
      </c>
      <c r="AE971" s="11" t="str">
        <f>IFERROR(IF(MARÍTIMOS[[#This Row],[Etapa Despacho -  Salida]]="","",MARÍTIMOS[[#This Row],[Etapa Despacho -  Salida]]),"")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5" t="s">
        <v>181</v>
      </c>
      <c r="BB971" s="53" t="str">
        <f>IFERROR(IF(MARÍTIMOS[[#This Row],[Estatus]]="","",MARÍTIMOS[[#This Row],[Estatus]]),"")</f>
        <v/>
      </c>
      <c r="BC971" s="45"/>
      <c r="BD971" s="52" t="str">
        <f>IFERROR(OLDBD[[#This Row],[Salida de almacén de retiro]]-OLDBD[[#This Row],[Ingreso Almacén de retiro]],"")</f>
        <v/>
      </c>
      <c r="BE971" s="52" t="str">
        <f>IFERROR(OLDBD[[#This Row],[Fin de Carga]]-OLDBD[[#This Row],[Inicio de Carga]],"")</f>
        <v/>
      </c>
    </row>
    <row r="972" spans="1:57" x14ac:dyDescent="0.35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6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Salida]]="","",MARÍTIMOS[[#This Row],[Etapa Retiro - Salida]]),"")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Row],[Hora de Carga]]+MARÍTIMOS[[#This Row],[Hora de Posicionamiento]]),"")</f>
        <v/>
      </c>
      <c r="Z972" s="11" t="str">
        <f>IFERROR(IF(MARÍTIMOS[[#This Row],[Etapa Despacho -  Llegada]]="","",MARÍTIMOS[[#This Row],[Etapa Despacho -  Llegada]]),"")</f>
        <v/>
      </c>
      <c r="AA972" s="11" t="str">
        <f>IFERROR(IF(MARÍTIMOS[[#This Row],[Etapa Despacho -  Registro]]="","",MARÍTIMOS[[#This Row],[Etapa Despacho - 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 Inicio de Carga]]="","",MARÍTIMOS[[#This Row],[Etapa Despacho -  Inicio de Carga]]),"")</f>
        <v/>
      </c>
      <c r="AD972" s="11" t="str">
        <f>IFERROR(IF(MARÍTIMOS[[#This Row],[Etapa Despacho -  Fin de Carga]]="","",MARÍTIMOS[[#This Row],[Etapa Despacho -  Fin de Carga]]),"")</f>
        <v/>
      </c>
      <c r="AE972" s="11" t="str">
        <f>IFERROR(IF(MARÍTIMOS[[#This Row],[Etapa Despacho -  Salida]]="","",MARÍTIMOS[[#This Row],[Etapa Despacho -  Salida]]),"")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5" t="s">
        <v>181</v>
      </c>
      <c r="BB972" s="53" t="str">
        <f>IFERROR(IF(MARÍTIMOS[[#This Row],[Estatus]]="","",MARÍTIMOS[[#This Row],[Estatus]]),"")</f>
        <v/>
      </c>
      <c r="BC972" s="45"/>
      <c r="BD972" s="52" t="str">
        <f>IFERROR(OLDBD[[#This Row],[Salida de almacén de retiro]]-OLDBD[[#This Row],[Ingreso Almacén de retiro]],"")</f>
        <v/>
      </c>
      <c r="BE972" s="52" t="str">
        <f>IFERROR(OLDBD[[#This Row],[Fin de Carga]]-OLDBD[[#This Row],[Inicio de Carga]],"")</f>
        <v/>
      </c>
    </row>
    <row r="973" spans="1:57" x14ac:dyDescent="0.35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6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Salida]]="","",MARÍTIMOS[[#This Row],[Etapa Retiro - Salida]]),"")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Row],[Hora de Carga]]+MARÍTIMOS[[#This Row],[Hora de Posicionamiento]]),"")</f>
        <v/>
      </c>
      <c r="Z973" s="11" t="str">
        <f>IFERROR(IF(MARÍTIMOS[[#This Row],[Etapa Despacho -  Llegada]]="","",MARÍTIMOS[[#This Row],[Etapa Despacho -  Llegada]]),"")</f>
        <v/>
      </c>
      <c r="AA973" s="11" t="str">
        <f>IFERROR(IF(MARÍTIMOS[[#This Row],[Etapa Despacho -  Registro]]="","",MARÍTIMOS[[#This Row],[Etapa Despacho - 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 Inicio de Carga]]="","",MARÍTIMOS[[#This Row],[Etapa Despacho -  Inicio de Carga]]),"")</f>
        <v/>
      </c>
      <c r="AD973" s="11" t="str">
        <f>IFERROR(IF(MARÍTIMOS[[#This Row],[Etapa Despacho -  Fin de Carga]]="","",MARÍTIMOS[[#This Row],[Etapa Despacho -  Fin de Carga]]),"")</f>
        <v/>
      </c>
      <c r="AE973" s="11" t="str">
        <f>IFERROR(IF(MARÍTIMOS[[#This Row],[Etapa Despacho -  Salida]]="","",MARÍTIMOS[[#This Row],[Etapa Despacho -  Salida]]),"")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5" t="s">
        <v>181</v>
      </c>
      <c r="BB973" s="53" t="str">
        <f>IFERROR(IF(MARÍTIMOS[[#This Row],[Estatus]]="","",MARÍTIMOS[[#This Row],[Estatus]]),"")</f>
        <v/>
      </c>
      <c r="BC973" s="45"/>
      <c r="BD973" s="52" t="str">
        <f>IFERROR(OLDBD[[#This Row],[Salida de almacén de retiro]]-OLDBD[[#This Row],[Ingreso Almacén de retiro]],"")</f>
        <v/>
      </c>
      <c r="BE973" s="52" t="str">
        <f>IFERROR(OLDBD[[#This Row],[Fin de Carga]]-OLDBD[[#This Row],[Inicio de Carga]],"")</f>
        <v/>
      </c>
    </row>
    <row r="974" spans="1:57" x14ac:dyDescent="0.35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6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Salida]]="","",MARÍTIMOS[[#This Row],[Etapa Retiro - Salida]]),"")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Row],[Hora de Carga]]+MARÍTIMOS[[#This Row],[Hora de Posicionamiento]]),"")</f>
        <v/>
      </c>
      <c r="Z974" s="11" t="str">
        <f>IFERROR(IF(MARÍTIMOS[[#This Row],[Etapa Despacho -  Llegada]]="","",MARÍTIMOS[[#This Row],[Etapa Despacho -  Llegada]]),"")</f>
        <v/>
      </c>
      <c r="AA974" s="11" t="str">
        <f>IFERROR(IF(MARÍTIMOS[[#This Row],[Etapa Despacho -  Registro]]="","",MARÍTIMOS[[#This Row],[Etapa Despacho - 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 Inicio de Carga]]="","",MARÍTIMOS[[#This Row],[Etapa Despacho -  Inicio de Carga]]),"")</f>
        <v/>
      </c>
      <c r="AD974" s="11" t="str">
        <f>IFERROR(IF(MARÍTIMOS[[#This Row],[Etapa Despacho -  Fin de Carga]]="","",MARÍTIMOS[[#This Row],[Etapa Despacho -  Fin de Carga]]),"")</f>
        <v/>
      </c>
      <c r="AE974" s="11" t="str">
        <f>IFERROR(IF(MARÍTIMOS[[#This Row],[Etapa Despacho -  Salida]]="","",MARÍTIMOS[[#This Row],[Etapa Despacho -  Salida]]),"")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5" t="s">
        <v>181</v>
      </c>
      <c r="BB974" s="53" t="str">
        <f>IFERROR(IF(MARÍTIMOS[[#This Row],[Estatus]]="","",MARÍTIMOS[[#This Row],[Estatus]]),"")</f>
        <v/>
      </c>
      <c r="BC974" s="45"/>
      <c r="BD974" s="52" t="str">
        <f>IFERROR(OLDBD[[#This Row],[Salida de almacén de retiro]]-OLDBD[[#This Row],[Ingreso Almacén de retiro]],"")</f>
        <v/>
      </c>
      <c r="BE974" s="52" t="str">
        <f>IFERROR(OLDBD[[#This Row],[Fin de Carga]]-OLDBD[[#This Row],[Inicio de Carga]],"")</f>
        <v/>
      </c>
    </row>
    <row r="975" spans="1:57" x14ac:dyDescent="0.35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6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Salida]]="","",MARÍTIMOS[[#This Row],[Etapa Retiro - Salida]]),"")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Row],[Hora de Carga]]+MARÍTIMOS[[#This Row],[Hora de Posicionamiento]]),"")</f>
        <v/>
      </c>
      <c r="Z975" s="11" t="str">
        <f>IFERROR(IF(MARÍTIMOS[[#This Row],[Etapa Despacho -  Llegada]]="","",MARÍTIMOS[[#This Row],[Etapa Despacho -  Llegada]]),"")</f>
        <v/>
      </c>
      <c r="AA975" s="11" t="str">
        <f>IFERROR(IF(MARÍTIMOS[[#This Row],[Etapa Despacho -  Registro]]="","",MARÍTIMOS[[#This Row],[Etapa Despacho - 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 Inicio de Carga]]="","",MARÍTIMOS[[#This Row],[Etapa Despacho -  Inicio de Carga]]),"")</f>
        <v/>
      </c>
      <c r="AD975" s="11" t="str">
        <f>IFERROR(IF(MARÍTIMOS[[#This Row],[Etapa Despacho -  Fin de Carga]]="","",MARÍTIMOS[[#This Row],[Etapa Despacho -  Fin de Carga]]),"")</f>
        <v/>
      </c>
      <c r="AE975" s="11" t="str">
        <f>IFERROR(IF(MARÍTIMOS[[#This Row],[Etapa Despacho -  Salida]]="","",MARÍTIMOS[[#This Row],[Etapa Despacho -  Salida]]),"")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5" t="s">
        <v>181</v>
      </c>
      <c r="BB975" s="53" t="str">
        <f>IFERROR(IF(MARÍTIMOS[[#This Row],[Estatus]]="","",MARÍTIMOS[[#This Row],[Estatus]]),"")</f>
        <v/>
      </c>
      <c r="BC975" s="45"/>
      <c r="BD975" s="52" t="str">
        <f>IFERROR(OLDBD[[#This Row],[Salida de almacén de retiro]]-OLDBD[[#This Row],[Ingreso Almacén de retiro]],"")</f>
        <v/>
      </c>
      <c r="BE975" s="52" t="str">
        <f>IFERROR(OLDBD[[#This Row],[Fin de Carga]]-OLDBD[[#This Row],[Inicio de Carga]],"")</f>
        <v/>
      </c>
    </row>
    <row r="976" spans="1:57" x14ac:dyDescent="0.35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6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Salida]]="","",MARÍTIMOS[[#This Row],[Etapa Retiro - Salida]]),"")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Row],[Hora de Carga]]+MARÍTIMOS[[#This Row],[Hora de Posicionamiento]]),"")</f>
        <v/>
      </c>
      <c r="Z976" s="11" t="str">
        <f>IFERROR(IF(MARÍTIMOS[[#This Row],[Etapa Despacho -  Llegada]]="","",MARÍTIMOS[[#This Row],[Etapa Despacho -  Llegada]]),"")</f>
        <v/>
      </c>
      <c r="AA976" s="11" t="str">
        <f>IFERROR(IF(MARÍTIMOS[[#This Row],[Etapa Despacho -  Registro]]="","",MARÍTIMOS[[#This Row],[Etapa Despacho - 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 Inicio de Carga]]="","",MARÍTIMOS[[#This Row],[Etapa Despacho -  Inicio de Carga]]),"")</f>
        <v/>
      </c>
      <c r="AD976" s="11" t="str">
        <f>IFERROR(IF(MARÍTIMOS[[#This Row],[Etapa Despacho -  Fin de Carga]]="","",MARÍTIMOS[[#This Row],[Etapa Despacho -  Fin de Carga]]),"")</f>
        <v/>
      </c>
      <c r="AE976" s="11" t="str">
        <f>IFERROR(IF(MARÍTIMOS[[#This Row],[Etapa Despacho -  Salida]]="","",MARÍTIMOS[[#This Row],[Etapa Despacho -  Salida]]),"")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5" t="s">
        <v>181</v>
      </c>
      <c r="BB976" s="53" t="str">
        <f>IFERROR(IF(MARÍTIMOS[[#This Row],[Estatus]]="","",MARÍTIMOS[[#This Row],[Estatus]]),"")</f>
        <v/>
      </c>
      <c r="BC976" s="45"/>
      <c r="BD976" s="52" t="str">
        <f>IFERROR(OLDBD[[#This Row],[Salida de almacén de retiro]]-OLDBD[[#This Row],[Ingreso Almacén de retiro]],"")</f>
        <v/>
      </c>
      <c r="BE976" s="52" t="str">
        <f>IFERROR(OLDBD[[#This Row],[Fin de Carga]]-OLDBD[[#This Row],[Inicio de Carga]],"")</f>
        <v/>
      </c>
    </row>
    <row r="977" spans="1:57" x14ac:dyDescent="0.35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6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Salida]]="","",MARÍTIMOS[[#This Row],[Etapa Retiro - Salida]]),"")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Row],[Hora de Carga]]+MARÍTIMOS[[#This Row],[Hora de Posicionamiento]]),"")</f>
        <v/>
      </c>
      <c r="Z977" s="11" t="str">
        <f>IFERROR(IF(MARÍTIMOS[[#This Row],[Etapa Despacho -  Llegada]]="","",MARÍTIMOS[[#This Row],[Etapa Despacho -  Llegada]]),"")</f>
        <v/>
      </c>
      <c r="AA977" s="11" t="str">
        <f>IFERROR(IF(MARÍTIMOS[[#This Row],[Etapa Despacho -  Registro]]="","",MARÍTIMOS[[#This Row],[Etapa Despacho - 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 Inicio de Carga]]="","",MARÍTIMOS[[#This Row],[Etapa Despacho -  Inicio de Carga]]),"")</f>
        <v/>
      </c>
      <c r="AD977" s="11" t="str">
        <f>IFERROR(IF(MARÍTIMOS[[#This Row],[Etapa Despacho -  Fin de Carga]]="","",MARÍTIMOS[[#This Row],[Etapa Despacho -  Fin de Carga]]),"")</f>
        <v/>
      </c>
      <c r="AE977" s="11" t="str">
        <f>IFERROR(IF(MARÍTIMOS[[#This Row],[Etapa Despacho -  Salida]]="","",MARÍTIMOS[[#This Row],[Etapa Despacho -  Salida]]),"")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5" t="s">
        <v>181</v>
      </c>
      <c r="BB977" s="53" t="str">
        <f>IFERROR(IF(MARÍTIMOS[[#This Row],[Estatus]]="","",MARÍTIMOS[[#This Row],[Estatus]]),"")</f>
        <v/>
      </c>
      <c r="BC977" s="45"/>
      <c r="BD977" s="52" t="str">
        <f>IFERROR(OLDBD[[#This Row],[Salida de almacén de retiro]]-OLDBD[[#This Row],[Ingreso Almacén de retiro]],"")</f>
        <v/>
      </c>
      <c r="BE977" s="52" t="str">
        <f>IFERROR(OLDBD[[#This Row],[Fin de Carga]]-OLDBD[[#This Row],[Inicio de Carga]],"")</f>
        <v/>
      </c>
    </row>
    <row r="978" spans="1:57" x14ac:dyDescent="0.35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6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Salida]]="","",MARÍTIMOS[[#This Row],[Etapa Retiro - Salida]]),"")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Row],[Hora de Carga]]+MARÍTIMOS[[#This Row],[Hora de Posicionamiento]]),"")</f>
        <v/>
      </c>
      <c r="Z978" s="11" t="str">
        <f>IFERROR(IF(MARÍTIMOS[[#This Row],[Etapa Despacho -  Llegada]]="","",MARÍTIMOS[[#This Row],[Etapa Despacho -  Llegada]]),"")</f>
        <v/>
      </c>
      <c r="AA978" s="11" t="str">
        <f>IFERROR(IF(MARÍTIMOS[[#This Row],[Etapa Despacho -  Registro]]="","",MARÍTIMOS[[#This Row],[Etapa Despacho - 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 Inicio de Carga]]="","",MARÍTIMOS[[#This Row],[Etapa Despacho -  Inicio de Carga]]),"")</f>
        <v/>
      </c>
      <c r="AD978" s="11" t="str">
        <f>IFERROR(IF(MARÍTIMOS[[#This Row],[Etapa Despacho -  Fin de Carga]]="","",MARÍTIMOS[[#This Row],[Etapa Despacho -  Fin de Carga]]),"")</f>
        <v/>
      </c>
      <c r="AE978" s="11" t="str">
        <f>IFERROR(IF(MARÍTIMOS[[#This Row],[Etapa Despacho -  Salida]]="","",MARÍTIMOS[[#This Row],[Etapa Despacho -  Salida]]),"")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5" t="s">
        <v>181</v>
      </c>
      <c r="BB978" s="53" t="str">
        <f>IFERROR(IF(MARÍTIMOS[[#This Row],[Estatus]]="","",MARÍTIMOS[[#This Row],[Estatus]]),"")</f>
        <v/>
      </c>
      <c r="BC978" s="45"/>
      <c r="BD978" s="52" t="str">
        <f>IFERROR(OLDBD[[#This Row],[Salida de almacén de retiro]]-OLDBD[[#This Row],[Ingreso Almacén de retiro]],"")</f>
        <v/>
      </c>
      <c r="BE978" s="52" t="str">
        <f>IFERROR(OLDBD[[#This Row],[Fin de Carga]]-OLDBD[[#This Row],[Inicio de Carga]],"")</f>
        <v/>
      </c>
    </row>
    <row r="979" spans="1:57" x14ac:dyDescent="0.35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6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Salida]]="","",MARÍTIMOS[[#This Row],[Etapa Retiro - Salida]]),"")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Row],[Hora de Carga]]+MARÍTIMOS[[#This Row],[Hora de Posicionamiento]]),"")</f>
        <v/>
      </c>
      <c r="Z979" s="11" t="str">
        <f>IFERROR(IF(MARÍTIMOS[[#This Row],[Etapa Despacho -  Llegada]]="","",MARÍTIMOS[[#This Row],[Etapa Despacho -  Llegada]]),"")</f>
        <v/>
      </c>
      <c r="AA979" s="11" t="str">
        <f>IFERROR(IF(MARÍTIMOS[[#This Row],[Etapa Despacho -  Registro]]="","",MARÍTIMOS[[#This Row],[Etapa Despacho - 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 Inicio de Carga]]="","",MARÍTIMOS[[#This Row],[Etapa Despacho -  Inicio de Carga]]),"")</f>
        <v/>
      </c>
      <c r="AD979" s="11" t="str">
        <f>IFERROR(IF(MARÍTIMOS[[#This Row],[Etapa Despacho -  Fin de Carga]]="","",MARÍTIMOS[[#This Row],[Etapa Despacho -  Fin de Carga]]),"")</f>
        <v/>
      </c>
      <c r="AE979" s="11" t="str">
        <f>IFERROR(IF(MARÍTIMOS[[#This Row],[Etapa Despacho -  Salida]]="","",MARÍTIMOS[[#This Row],[Etapa Despacho -  Salida]]),"")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5" t="s">
        <v>181</v>
      </c>
      <c r="BB979" s="53" t="str">
        <f>IFERROR(IF(MARÍTIMOS[[#This Row],[Estatus]]="","",MARÍTIMOS[[#This Row],[Estatus]]),"")</f>
        <v/>
      </c>
      <c r="BC979" s="45"/>
      <c r="BD979" s="52" t="str">
        <f>IFERROR(OLDBD[[#This Row],[Salida de almacén de retiro]]-OLDBD[[#This Row],[Ingreso Almacén de retiro]],"")</f>
        <v/>
      </c>
      <c r="BE979" s="52" t="str">
        <f>IFERROR(OLDBD[[#This Row],[Fin de Carga]]-OLDBD[[#This Row],[Inicio de Carga]],"")</f>
        <v/>
      </c>
    </row>
    <row r="980" spans="1:57" x14ac:dyDescent="0.35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6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Salida]]="","",MARÍTIMOS[[#This Row],[Etapa Retiro - Salida]]),"")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Row],[Hora de Carga]]+MARÍTIMOS[[#This Row],[Hora de Posicionamiento]]),"")</f>
        <v/>
      </c>
      <c r="Z980" s="11" t="str">
        <f>IFERROR(IF(MARÍTIMOS[[#This Row],[Etapa Despacho -  Llegada]]="","",MARÍTIMOS[[#This Row],[Etapa Despacho -  Llegada]]),"")</f>
        <v/>
      </c>
      <c r="AA980" s="11" t="str">
        <f>IFERROR(IF(MARÍTIMOS[[#This Row],[Etapa Despacho -  Registro]]="","",MARÍTIMOS[[#This Row],[Etapa Despacho - 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 Inicio de Carga]]="","",MARÍTIMOS[[#This Row],[Etapa Despacho -  Inicio de Carga]]),"")</f>
        <v/>
      </c>
      <c r="AD980" s="11" t="str">
        <f>IFERROR(IF(MARÍTIMOS[[#This Row],[Etapa Despacho -  Fin de Carga]]="","",MARÍTIMOS[[#This Row],[Etapa Despacho -  Fin de Carga]]),"")</f>
        <v/>
      </c>
      <c r="AE980" s="11" t="str">
        <f>IFERROR(IF(MARÍTIMOS[[#This Row],[Etapa Despacho -  Salida]]="","",MARÍTIMOS[[#This Row],[Etapa Despacho -  Salida]]),"")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5" t="s">
        <v>181</v>
      </c>
      <c r="BB980" s="53" t="str">
        <f>IFERROR(IF(MARÍTIMOS[[#This Row],[Estatus]]="","",MARÍTIMOS[[#This Row],[Estatus]]),"")</f>
        <v/>
      </c>
      <c r="BC980" s="45"/>
      <c r="BD980" s="52" t="str">
        <f>IFERROR(OLDBD[[#This Row],[Salida de almacén de retiro]]-OLDBD[[#This Row],[Ingreso Almacén de retiro]],"")</f>
        <v/>
      </c>
      <c r="BE980" s="52" t="str">
        <f>IFERROR(OLDBD[[#This Row],[Fin de Carga]]-OLDBD[[#This Row],[Inicio de Carga]],"")</f>
        <v/>
      </c>
    </row>
    <row r="981" spans="1:57" x14ac:dyDescent="0.35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6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Salida]]="","",MARÍTIMOS[[#This Row],[Etapa Retiro - Salida]]),"")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Row],[Hora de Carga]]+MARÍTIMOS[[#This Row],[Hora de Posicionamiento]]),"")</f>
        <v/>
      </c>
      <c r="Z981" s="11" t="str">
        <f>IFERROR(IF(MARÍTIMOS[[#This Row],[Etapa Despacho -  Llegada]]="","",MARÍTIMOS[[#This Row],[Etapa Despacho -  Llegada]]),"")</f>
        <v/>
      </c>
      <c r="AA981" s="11" t="str">
        <f>IFERROR(IF(MARÍTIMOS[[#This Row],[Etapa Despacho -  Registro]]="","",MARÍTIMOS[[#This Row],[Etapa Despacho - 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 Inicio de Carga]]="","",MARÍTIMOS[[#This Row],[Etapa Despacho -  Inicio de Carga]]),"")</f>
        <v/>
      </c>
      <c r="AD981" s="11" t="str">
        <f>IFERROR(IF(MARÍTIMOS[[#This Row],[Etapa Despacho -  Fin de Carga]]="","",MARÍTIMOS[[#This Row],[Etapa Despacho -  Fin de Carga]]),"")</f>
        <v/>
      </c>
      <c r="AE981" s="11" t="str">
        <f>IFERROR(IF(MARÍTIMOS[[#This Row],[Etapa Despacho -  Salida]]="","",MARÍTIMOS[[#This Row],[Etapa Despacho -  Salida]]),"")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5" t="s">
        <v>181</v>
      </c>
      <c r="BB981" s="53" t="str">
        <f>IFERROR(IF(MARÍTIMOS[[#This Row],[Estatus]]="","",MARÍTIMOS[[#This Row],[Estatus]]),"")</f>
        <v/>
      </c>
      <c r="BC981" s="45"/>
      <c r="BD981" s="52" t="str">
        <f>IFERROR(OLDBD[[#This Row],[Salida de almacén de retiro]]-OLDBD[[#This Row],[Ingreso Almacén de retiro]],"")</f>
        <v/>
      </c>
      <c r="BE981" s="52" t="str">
        <f>IFERROR(OLDBD[[#This Row],[Fin de Carga]]-OLDBD[[#This Row],[Inicio de Carga]],"")</f>
        <v/>
      </c>
    </row>
    <row r="982" spans="1:57" x14ac:dyDescent="0.35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6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Salida]]="","",MARÍTIMOS[[#This Row],[Etapa Retiro - Salida]]),"")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Row],[Hora de Carga]]+MARÍTIMOS[[#This Row],[Hora de Posicionamiento]]),"")</f>
        <v/>
      </c>
      <c r="Z982" s="11" t="str">
        <f>IFERROR(IF(MARÍTIMOS[[#This Row],[Etapa Despacho -  Llegada]]="","",MARÍTIMOS[[#This Row],[Etapa Despacho -  Llegada]]),"")</f>
        <v/>
      </c>
      <c r="AA982" s="11" t="str">
        <f>IFERROR(IF(MARÍTIMOS[[#This Row],[Etapa Despacho -  Registro]]="","",MARÍTIMOS[[#This Row],[Etapa Despacho - 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 Inicio de Carga]]="","",MARÍTIMOS[[#This Row],[Etapa Despacho -  Inicio de Carga]]),"")</f>
        <v/>
      </c>
      <c r="AD982" s="11" t="str">
        <f>IFERROR(IF(MARÍTIMOS[[#This Row],[Etapa Despacho -  Fin de Carga]]="","",MARÍTIMOS[[#This Row],[Etapa Despacho -  Fin de Carga]]),"")</f>
        <v/>
      </c>
      <c r="AE982" s="11" t="str">
        <f>IFERROR(IF(MARÍTIMOS[[#This Row],[Etapa Despacho -  Salida]]="","",MARÍTIMOS[[#This Row],[Etapa Despacho -  Salida]]),"")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5" t="s">
        <v>181</v>
      </c>
      <c r="BB982" s="53" t="str">
        <f>IFERROR(IF(MARÍTIMOS[[#This Row],[Estatus]]="","",MARÍTIMOS[[#This Row],[Estatus]]),"")</f>
        <v/>
      </c>
      <c r="BC982" s="45"/>
      <c r="BD982" s="52" t="str">
        <f>IFERROR(OLDBD[[#This Row],[Salida de almacén de retiro]]-OLDBD[[#This Row],[Ingreso Almacén de retiro]],"")</f>
        <v/>
      </c>
      <c r="BE982" s="52" t="str">
        <f>IFERROR(OLDBD[[#This Row],[Fin de Carga]]-OLDBD[[#This Row],[Inicio de Carga]],"")</f>
        <v/>
      </c>
    </row>
    <row r="983" spans="1:57" x14ac:dyDescent="0.35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6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Salida]]="","",MARÍTIMOS[[#This Row],[Etapa Retiro - Salida]]),"")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Row],[Hora de Carga]]+MARÍTIMOS[[#This Row],[Hora de Posicionamiento]]),"")</f>
        <v/>
      </c>
      <c r="Z983" s="11" t="str">
        <f>IFERROR(IF(MARÍTIMOS[[#This Row],[Etapa Despacho -  Llegada]]="","",MARÍTIMOS[[#This Row],[Etapa Despacho -  Llegada]]),"")</f>
        <v/>
      </c>
      <c r="AA983" s="11" t="str">
        <f>IFERROR(IF(MARÍTIMOS[[#This Row],[Etapa Despacho -  Registro]]="","",MARÍTIMOS[[#This Row],[Etapa Despacho - 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 Inicio de Carga]]="","",MARÍTIMOS[[#This Row],[Etapa Despacho -  Inicio de Carga]]),"")</f>
        <v/>
      </c>
      <c r="AD983" s="11" t="str">
        <f>IFERROR(IF(MARÍTIMOS[[#This Row],[Etapa Despacho -  Fin de Carga]]="","",MARÍTIMOS[[#This Row],[Etapa Despacho -  Fin de Carga]]),"")</f>
        <v/>
      </c>
      <c r="AE983" s="11" t="str">
        <f>IFERROR(IF(MARÍTIMOS[[#This Row],[Etapa Despacho -  Salida]]="","",MARÍTIMOS[[#This Row],[Etapa Despacho -  Salida]]),"")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5" t="s">
        <v>181</v>
      </c>
      <c r="BB983" s="53" t="str">
        <f>IFERROR(IF(MARÍTIMOS[[#This Row],[Estatus]]="","",MARÍTIMOS[[#This Row],[Estatus]]),"")</f>
        <v/>
      </c>
      <c r="BC983" s="45"/>
      <c r="BD983" s="52" t="str">
        <f>IFERROR(OLDBD[[#This Row],[Salida de almacén de retiro]]-OLDBD[[#This Row],[Ingreso Almacén de retiro]],"")</f>
        <v/>
      </c>
      <c r="BE983" s="52" t="str">
        <f>IFERROR(OLDBD[[#This Row],[Fin de Carga]]-OLDBD[[#This Row],[Inicio de Carga]],"")</f>
        <v/>
      </c>
    </row>
    <row r="984" spans="1:57" x14ac:dyDescent="0.35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6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Salida]]="","",MARÍTIMOS[[#This Row],[Etapa Retiro - Salida]]),"")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Row],[Hora de Carga]]+MARÍTIMOS[[#This Row],[Hora de Posicionamiento]]),"")</f>
        <v/>
      </c>
      <c r="Z984" s="11" t="str">
        <f>IFERROR(IF(MARÍTIMOS[[#This Row],[Etapa Despacho -  Llegada]]="","",MARÍTIMOS[[#This Row],[Etapa Despacho -  Llegada]]),"")</f>
        <v/>
      </c>
      <c r="AA984" s="11" t="str">
        <f>IFERROR(IF(MARÍTIMOS[[#This Row],[Etapa Despacho -  Registro]]="","",MARÍTIMOS[[#This Row],[Etapa Despacho - 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 Inicio de Carga]]="","",MARÍTIMOS[[#This Row],[Etapa Despacho -  Inicio de Carga]]),"")</f>
        <v/>
      </c>
      <c r="AD984" s="11" t="str">
        <f>IFERROR(IF(MARÍTIMOS[[#This Row],[Etapa Despacho -  Fin de Carga]]="","",MARÍTIMOS[[#This Row],[Etapa Despacho -  Fin de Carga]]),"")</f>
        <v/>
      </c>
      <c r="AE984" s="11" t="str">
        <f>IFERROR(IF(MARÍTIMOS[[#This Row],[Etapa Despacho -  Salida]]="","",MARÍTIMOS[[#This Row],[Etapa Despacho -  Salida]]),"")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5" t="s">
        <v>181</v>
      </c>
      <c r="BB984" s="53" t="str">
        <f>IFERROR(IF(MARÍTIMOS[[#This Row],[Estatus]]="","",MARÍTIMOS[[#This Row],[Estatus]]),"")</f>
        <v/>
      </c>
      <c r="BC984" s="45"/>
      <c r="BD984" s="52" t="str">
        <f>IFERROR(OLDBD[[#This Row],[Salida de almacén de retiro]]-OLDBD[[#This Row],[Ingreso Almacén de retiro]],"")</f>
        <v/>
      </c>
      <c r="BE984" s="52" t="str">
        <f>IFERROR(OLDBD[[#This Row],[Fin de Carga]]-OLDBD[[#This Row],[Inicio de Carga]],"")</f>
        <v/>
      </c>
    </row>
    <row r="985" spans="1:57" x14ac:dyDescent="0.35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6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Salida]]="","",MARÍTIMOS[[#This Row],[Etapa Retiro - Salida]]),"")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Row],[Hora de Carga]]+MARÍTIMOS[[#This Row],[Hora de Posicionamiento]]),"")</f>
        <v/>
      </c>
      <c r="Z985" s="11" t="str">
        <f>IFERROR(IF(MARÍTIMOS[[#This Row],[Etapa Despacho -  Llegada]]="","",MARÍTIMOS[[#This Row],[Etapa Despacho -  Llegada]]),"")</f>
        <v/>
      </c>
      <c r="AA985" s="11" t="str">
        <f>IFERROR(IF(MARÍTIMOS[[#This Row],[Etapa Despacho -  Registro]]="","",MARÍTIMOS[[#This Row],[Etapa Despacho - 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 Inicio de Carga]]="","",MARÍTIMOS[[#This Row],[Etapa Despacho -  Inicio de Carga]]),"")</f>
        <v/>
      </c>
      <c r="AD985" s="11" t="str">
        <f>IFERROR(IF(MARÍTIMOS[[#This Row],[Etapa Despacho -  Fin de Carga]]="","",MARÍTIMOS[[#This Row],[Etapa Despacho -  Fin de Carga]]),"")</f>
        <v/>
      </c>
      <c r="AE985" s="11" t="str">
        <f>IFERROR(IF(MARÍTIMOS[[#This Row],[Etapa Despacho -  Salida]]="","",MARÍTIMOS[[#This Row],[Etapa Despacho -  Salida]]),"")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5" t="s">
        <v>181</v>
      </c>
      <c r="BB985" s="53" t="str">
        <f>IFERROR(IF(MARÍTIMOS[[#This Row],[Estatus]]="","",MARÍTIMOS[[#This Row],[Estatus]]),"")</f>
        <v/>
      </c>
      <c r="BC985" s="45"/>
      <c r="BD985" s="52" t="str">
        <f>IFERROR(OLDBD[[#This Row],[Salida de almacén de retiro]]-OLDBD[[#This Row],[Ingreso Almacén de retiro]],"")</f>
        <v/>
      </c>
      <c r="BE985" s="52" t="str">
        <f>IFERROR(OLDBD[[#This Row],[Fin de Carga]]-OLDBD[[#This Row],[Inicio de Carga]],"")</f>
        <v/>
      </c>
    </row>
    <row r="986" spans="1:57" x14ac:dyDescent="0.35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6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Salida]]="","",MARÍTIMOS[[#This Row],[Etapa Retiro - Salida]]),"")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Row],[Hora de Carga]]+MARÍTIMOS[[#This Row],[Hora de Posicionamiento]]),"")</f>
        <v/>
      </c>
      <c r="Z986" s="11" t="str">
        <f>IFERROR(IF(MARÍTIMOS[[#This Row],[Etapa Despacho -  Llegada]]="","",MARÍTIMOS[[#This Row],[Etapa Despacho -  Llegada]]),"")</f>
        <v/>
      </c>
      <c r="AA986" s="11" t="str">
        <f>IFERROR(IF(MARÍTIMOS[[#This Row],[Etapa Despacho -  Registro]]="","",MARÍTIMOS[[#This Row],[Etapa Despacho - 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 Inicio de Carga]]="","",MARÍTIMOS[[#This Row],[Etapa Despacho -  Inicio de Carga]]),"")</f>
        <v/>
      </c>
      <c r="AD986" s="11" t="str">
        <f>IFERROR(IF(MARÍTIMOS[[#This Row],[Etapa Despacho -  Fin de Carga]]="","",MARÍTIMOS[[#This Row],[Etapa Despacho -  Fin de Carga]]),"")</f>
        <v/>
      </c>
      <c r="AE986" s="11" t="str">
        <f>IFERROR(IF(MARÍTIMOS[[#This Row],[Etapa Despacho -  Salida]]="","",MARÍTIMOS[[#This Row],[Etapa Despacho -  Salida]]),"")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5" t="s">
        <v>181</v>
      </c>
      <c r="BB986" s="53" t="str">
        <f>IFERROR(IF(MARÍTIMOS[[#This Row],[Estatus]]="","",MARÍTIMOS[[#This Row],[Estatus]]),"")</f>
        <v/>
      </c>
      <c r="BC986" s="45"/>
      <c r="BD986" s="52" t="str">
        <f>IFERROR(OLDBD[[#This Row],[Salida de almacén de retiro]]-OLDBD[[#This Row],[Ingreso Almacén de retiro]],"")</f>
        <v/>
      </c>
      <c r="BE986" s="52" t="str">
        <f>IFERROR(OLDBD[[#This Row],[Fin de Carga]]-OLDBD[[#This Row],[Inicio de Carga]],"")</f>
        <v/>
      </c>
    </row>
    <row r="987" spans="1:57" x14ac:dyDescent="0.35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6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Salida]]="","",MARÍTIMOS[[#This Row],[Etapa Retiro - Salida]]),"")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Row],[Hora de Carga]]+MARÍTIMOS[[#This Row],[Hora de Posicionamiento]]),"")</f>
        <v/>
      </c>
      <c r="Z987" s="11" t="str">
        <f>IFERROR(IF(MARÍTIMOS[[#This Row],[Etapa Despacho -  Llegada]]="","",MARÍTIMOS[[#This Row],[Etapa Despacho -  Llegada]]),"")</f>
        <v/>
      </c>
      <c r="AA987" s="11" t="str">
        <f>IFERROR(IF(MARÍTIMOS[[#This Row],[Etapa Despacho -  Registro]]="","",MARÍTIMOS[[#This Row],[Etapa Despacho - 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 Inicio de Carga]]="","",MARÍTIMOS[[#This Row],[Etapa Despacho -  Inicio de Carga]]),"")</f>
        <v/>
      </c>
      <c r="AD987" s="11" t="str">
        <f>IFERROR(IF(MARÍTIMOS[[#This Row],[Etapa Despacho -  Fin de Carga]]="","",MARÍTIMOS[[#This Row],[Etapa Despacho -  Fin de Carga]]),"")</f>
        <v/>
      </c>
      <c r="AE987" s="11" t="str">
        <f>IFERROR(IF(MARÍTIMOS[[#This Row],[Etapa Despacho -  Salida]]="","",MARÍTIMOS[[#This Row],[Etapa Despacho -  Salida]]),"")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5" t="s">
        <v>181</v>
      </c>
      <c r="BB987" s="53" t="str">
        <f>IFERROR(IF(MARÍTIMOS[[#This Row],[Estatus]]="","",MARÍTIMOS[[#This Row],[Estatus]]),"")</f>
        <v/>
      </c>
      <c r="BC987" s="45"/>
      <c r="BD987" s="52" t="str">
        <f>IFERROR(OLDBD[[#This Row],[Salida de almacén de retiro]]-OLDBD[[#This Row],[Ingreso Almacén de retiro]],"")</f>
        <v/>
      </c>
      <c r="BE987" s="52" t="str">
        <f>IFERROR(OLDBD[[#This Row],[Fin de Carga]]-OLDBD[[#This Row],[Inicio de Carga]],"")</f>
        <v/>
      </c>
    </row>
    <row r="988" spans="1:57" x14ac:dyDescent="0.35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6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Salida]]="","",MARÍTIMOS[[#This Row],[Etapa Retiro - Salida]]),"")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Row],[Hora de Carga]]+MARÍTIMOS[[#This Row],[Hora de Posicionamiento]]),"")</f>
        <v/>
      </c>
      <c r="Z988" s="11" t="str">
        <f>IFERROR(IF(MARÍTIMOS[[#This Row],[Etapa Despacho -  Llegada]]="","",MARÍTIMOS[[#This Row],[Etapa Despacho -  Llegada]]),"")</f>
        <v/>
      </c>
      <c r="AA988" s="11" t="str">
        <f>IFERROR(IF(MARÍTIMOS[[#This Row],[Etapa Despacho -  Registro]]="","",MARÍTIMOS[[#This Row],[Etapa Despacho - 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 Inicio de Carga]]="","",MARÍTIMOS[[#This Row],[Etapa Despacho -  Inicio de Carga]]),"")</f>
        <v/>
      </c>
      <c r="AD988" s="11" t="str">
        <f>IFERROR(IF(MARÍTIMOS[[#This Row],[Etapa Despacho -  Fin de Carga]]="","",MARÍTIMOS[[#This Row],[Etapa Despacho -  Fin de Carga]]),"")</f>
        <v/>
      </c>
      <c r="AE988" s="11" t="str">
        <f>IFERROR(IF(MARÍTIMOS[[#This Row],[Etapa Despacho -  Salida]]="","",MARÍTIMOS[[#This Row],[Etapa Despacho -  Salida]]),"")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5" t="s">
        <v>181</v>
      </c>
      <c r="BB988" s="53" t="str">
        <f>IFERROR(IF(MARÍTIMOS[[#This Row],[Estatus]]="","",MARÍTIMOS[[#This Row],[Estatus]]),"")</f>
        <v/>
      </c>
      <c r="BC988" s="45"/>
      <c r="BD988" s="52" t="str">
        <f>IFERROR(OLDBD[[#This Row],[Salida de almacén de retiro]]-OLDBD[[#This Row],[Ingreso Almacén de retiro]],"")</f>
        <v/>
      </c>
      <c r="BE988" s="52" t="str">
        <f>IFERROR(OLDBD[[#This Row],[Fin de Carga]]-OLDBD[[#This Row],[Inicio de Carga]],"")</f>
        <v/>
      </c>
    </row>
    <row r="989" spans="1:57" x14ac:dyDescent="0.35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6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Salida]]="","",MARÍTIMOS[[#This Row],[Etapa Retiro - Salida]]),"")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Row],[Hora de Carga]]+MARÍTIMOS[[#This Row],[Hora de Posicionamiento]]),"")</f>
        <v/>
      </c>
      <c r="Z989" s="11" t="str">
        <f>IFERROR(IF(MARÍTIMOS[[#This Row],[Etapa Despacho -  Llegada]]="","",MARÍTIMOS[[#This Row],[Etapa Despacho -  Llegada]]),"")</f>
        <v/>
      </c>
      <c r="AA989" s="11" t="str">
        <f>IFERROR(IF(MARÍTIMOS[[#This Row],[Etapa Despacho -  Registro]]="","",MARÍTIMOS[[#This Row],[Etapa Despacho - 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 Inicio de Carga]]="","",MARÍTIMOS[[#This Row],[Etapa Despacho -  Inicio de Carga]]),"")</f>
        <v/>
      </c>
      <c r="AD989" s="11" t="str">
        <f>IFERROR(IF(MARÍTIMOS[[#This Row],[Etapa Despacho -  Fin de Carga]]="","",MARÍTIMOS[[#This Row],[Etapa Despacho -  Fin de Carga]]),"")</f>
        <v/>
      </c>
      <c r="AE989" s="11" t="str">
        <f>IFERROR(IF(MARÍTIMOS[[#This Row],[Etapa Despacho -  Salida]]="","",MARÍTIMOS[[#This Row],[Etapa Despacho -  Salida]]),"")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5" t="s">
        <v>181</v>
      </c>
      <c r="BB989" s="53" t="str">
        <f>IFERROR(IF(MARÍTIMOS[[#This Row],[Estatus]]="","",MARÍTIMOS[[#This Row],[Estatus]]),"")</f>
        <v/>
      </c>
      <c r="BC989" s="45"/>
      <c r="BD989" s="52" t="str">
        <f>IFERROR(OLDBD[[#This Row],[Salida de almacén de retiro]]-OLDBD[[#This Row],[Ingreso Almacén de retiro]],"")</f>
        <v/>
      </c>
      <c r="BE989" s="52" t="str">
        <f>IFERROR(OLDBD[[#This Row],[Fin de Carga]]-OLDBD[[#This Row],[Inicio de Carga]],"")</f>
        <v/>
      </c>
    </row>
    <row r="990" spans="1:57" x14ac:dyDescent="0.35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6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Salida]]="","",MARÍTIMOS[[#This Row],[Etapa Retiro - Salida]]),"")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Row],[Hora de Carga]]+MARÍTIMOS[[#This Row],[Hora de Posicionamiento]]),"")</f>
        <v/>
      </c>
      <c r="Z990" s="11" t="str">
        <f>IFERROR(IF(MARÍTIMOS[[#This Row],[Etapa Despacho -  Llegada]]="","",MARÍTIMOS[[#This Row],[Etapa Despacho -  Llegada]]),"")</f>
        <v/>
      </c>
      <c r="AA990" s="11" t="str">
        <f>IFERROR(IF(MARÍTIMOS[[#This Row],[Etapa Despacho -  Registro]]="","",MARÍTIMOS[[#This Row],[Etapa Despacho - 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 Inicio de Carga]]="","",MARÍTIMOS[[#This Row],[Etapa Despacho -  Inicio de Carga]]),"")</f>
        <v/>
      </c>
      <c r="AD990" s="11" t="str">
        <f>IFERROR(IF(MARÍTIMOS[[#This Row],[Etapa Despacho -  Fin de Carga]]="","",MARÍTIMOS[[#This Row],[Etapa Despacho -  Fin de Carga]]),"")</f>
        <v/>
      </c>
      <c r="AE990" s="11" t="str">
        <f>IFERROR(IF(MARÍTIMOS[[#This Row],[Etapa Despacho -  Salida]]="","",MARÍTIMOS[[#This Row],[Etapa Despacho -  Salida]]),"")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5" t="s">
        <v>181</v>
      </c>
      <c r="BB990" s="53" t="str">
        <f>IFERROR(IF(MARÍTIMOS[[#This Row],[Estatus]]="","",MARÍTIMOS[[#This Row],[Estatus]]),"")</f>
        <v/>
      </c>
      <c r="BC990" s="45"/>
      <c r="BD990" s="52" t="str">
        <f>IFERROR(OLDBD[[#This Row],[Salida de almacén de retiro]]-OLDBD[[#This Row],[Ingreso Almacén de retiro]],"")</f>
        <v/>
      </c>
      <c r="BE990" s="52" t="str">
        <f>IFERROR(OLDBD[[#This Row],[Fin de Carga]]-OLDBD[[#This Row],[Inicio de Carga]],"")</f>
        <v/>
      </c>
    </row>
    <row r="991" spans="1:57" x14ac:dyDescent="0.35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6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Salida]]="","",MARÍTIMOS[[#This Row],[Etapa Retiro - Salida]]),"")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Row],[Hora de Carga]]+MARÍTIMOS[[#This Row],[Hora de Posicionamiento]]),"")</f>
        <v/>
      </c>
      <c r="Z991" s="11" t="str">
        <f>IFERROR(IF(MARÍTIMOS[[#This Row],[Etapa Despacho -  Llegada]]="","",MARÍTIMOS[[#This Row],[Etapa Despacho -  Llegada]]),"")</f>
        <v/>
      </c>
      <c r="AA991" s="11" t="str">
        <f>IFERROR(IF(MARÍTIMOS[[#This Row],[Etapa Despacho -  Registro]]="","",MARÍTIMOS[[#This Row],[Etapa Despacho - 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 Inicio de Carga]]="","",MARÍTIMOS[[#This Row],[Etapa Despacho -  Inicio de Carga]]),"")</f>
        <v/>
      </c>
      <c r="AD991" s="11" t="str">
        <f>IFERROR(IF(MARÍTIMOS[[#This Row],[Etapa Despacho -  Fin de Carga]]="","",MARÍTIMOS[[#This Row],[Etapa Despacho -  Fin de Carga]]),"")</f>
        <v/>
      </c>
      <c r="AE991" s="11" t="str">
        <f>IFERROR(IF(MARÍTIMOS[[#This Row],[Etapa Despacho -  Salida]]="","",MARÍTIMOS[[#This Row],[Etapa Despacho -  Salida]]),"")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5" t="s">
        <v>181</v>
      </c>
      <c r="BB991" s="53" t="str">
        <f>IFERROR(IF(MARÍTIMOS[[#This Row],[Estatus]]="","",MARÍTIMOS[[#This Row],[Estatus]]),"")</f>
        <v/>
      </c>
      <c r="BC991" s="45"/>
      <c r="BD991" s="52" t="str">
        <f>IFERROR(OLDBD[[#This Row],[Salida de almacén de retiro]]-OLDBD[[#This Row],[Ingreso Almacén de retiro]],"")</f>
        <v/>
      </c>
      <c r="BE991" s="52" t="str">
        <f>IFERROR(OLDBD[[#This Row],[Fin de Carga]]-OLDBD[[#This Row],[Inicio de Carga]],"")</f>
        <v/>
      </c>
    </row>
    <row r="992" spans="1:57" x14ac:dyDescent="0.35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6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Salida]]="","",MARÍTIMOS[[#This Row],[Etapa Retiro - Salida]]),"")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Row],[Hora de Carga]]+MARÍTIMOS[[#This Row],[Hora de Posicionamiento]]),"")</f>
        <v/>
      </c>
      <c r="Z992" s="11" t="str">
        <f>IFERROR(IF(MARÍTIMOS[[#This Row],[Etapa Despacho -  Llegada]]="","",MARÍTIMOS[[#This Row],[Etapa Despacho -  Llegada]]),"")</f>
        <v/>
      </c>
      <c r="AA992" s="11" t="str">
        <f>IFERROR(IF(MARÍTIMOS[[#This Row],[Etapa Despacho -  Registro]]="","",MARÍTIMOS[[#This Row],[Etapa Despacho - 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 Inicio de Carga]]="","",MARÍTIMOS[[#This Row],[Etapa Despacho -  Inicio de Carga]]),"")</f>
        <v/>
      </c>
      <c r="AD992" s="11" t="str">
        <f>IFERROR(IF(MARÍTIMOS[[#This Row],[Etapa Despacho -  Fin de Carga]]="","",MARÍTIMOS[[#This Row],[Etapa Despacho -  Fin de Carga]]),"")</f>
        <v/>
      </c>
      <c r="AE992" s="11" t="str">
        <f>IFERROR(IF(MARÍTIMOS[[#This Row],[Etapa Despacho -  Salida]]="","",MARÍTIMOS[[#This Row],[Etapa Despacho -  Salida]]),"")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5" t="s">
        <v>181</v>
      </c>
      <c r="BB992" s="53" t="str">
        <f>IFERROR(IF(MARÍTIMOS[[#This Row],[Estatus]]="","",MARÍTIMOS[[#This Row],[Estatus]]),"")</f>
        <v/>
      </c>
      <c r="BC992" s="45"/>
      <c r="BD992" s="52" t="str">
        <f>IFERROR(OLDBD[[#This Row],[Salida de almacén de retiro]]-OLDBD[[#This Row],[Ingreso Almacén de retiro]],"")</f>
        <v/>
      </c>
      <c r="BE992" s="52" t="str">
        <f>IFERROR(OLDBD[[#This Row],[Fin de Carga]]-OLDBD[[#This Row],[Inicio de Carga]],"")</f>
        <v/>
      </c>
    </row>
    <row r="993" spans="1:57" x14ac:dyDescent="0.35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6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Salida]]="","",MARÍTIMOS[[#This Row],[Etapa Retiro - Salida]]),"")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Row],[Hora de Carga]]+MARÍTIMOS[[#This Row],[Hora de Posicionamiento]]),"")</f>
        <v/>
      </c>
      <c r="Z993" s="11" t="str">
        <f>IFERROR(IF(MARÍTIMOS[[#This Row],[Etapa Despacho -  Llegada]]="","",MARÍTIMOS[[#This Row],[Etapa Despacho -  Llegada]]),"")</f>
        <v/>
      </c>
      <c r="AA993" s="11" t="str">
        <f>IFERROR(IF(MARÍTIMOS[[#This Row],[Etapa Despacho -  Registro]]="","",MARÍTIMOS[[#This Row],[Etapa Despacho - 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 Inicio de Carga]]="","",MARÍTIMOS[[#This Row],[Etapa Despacho -  Inicio de Carga]]),"")</f>
        <v/>
      </c>
      <c r="AD993" s="11" t="str">
        <f>IFERROR(IF(MARÍTIMOS[[#This Row],[Etapa Despacho -  Fin de Carga]]="","",MARÍTIMOS[[#This Row],[Etapa Despacho -  Fin de Carga]]),"")</f>
        <v/>
      </c>
      <c r="AE993" s="11" t="str">
        <f>IFERROR(IF(MARÍTIMOS[[#This Row],[Etapa Despacho -  Salida]]="","",MARÍTIMOS[[#This Row],[Etapa Despacho -  Salida]]),"")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5" t="s">
        <v>181</v>
      </c>
      <c r="BB993" s="53" t="str">
        <f>IFERROR(IF(MARÍTIMOS[[#This Row],[Estatus]]="","",MARÍTIMOS[[#This Row],[Estatus]]),"")</f>
        <v/>
      </c>
      <c r="BC993" s="45"/>
      <c r="BD993" s="52" t="str">
        <f>IFERROR(OLDBD[[#This Row],[Salida de almacén de retiro]]-OLDBD[[#This Row],[Ingreso Almacén de retiro]],"")</f>
        <v/>
      </c>
      <c r="BE993" s="52" t="str">
        <f>IFERROR(OLDBD[[#This Row],[Fin de Carga]]-OLDBD[[#This Row],[Inicio de Carga]],"")</f>
        <v/>
      </c>
    </row>
    <row r="994" spans="1:57" x14ac:dyDescent="0.35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6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Salida]]="","",MARÍTIMOS[[#This Row],[Etapa Retiro - Salida]]),"")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Row],[Hora de Carga]]+MARÍTIMOS[[#This Row],[Hora de Posicionamiento]]),"")</f>
        <v/>
      </c>
      <c r="Z994" s="11" t="str">
        <f>IFERROR(IF(MARÍTIMOS[[#This Row],[Etapa Despacho -  Llegada]]="","",MARÍTIMOS[[#This Row],[Etapa Despacho -  Llegada]]),"")</f>
        <v/>
      </c>
      <c r="AA994" s="11" t="str">
        <f>IFERROR(IF(MARÍTIMOS[[#This Row],[Etapa Despacho -  Registro]]="","",MARÍTIMOS[[#This Row],[Etapa Despacho - 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 Inicio de Carga]]="","",MARÍTIMOS[[#This Row],[Etapa Despacho -  Inicio de Carga]]),"")</f>
        <v/>
      </c>
      <c r="AD994" s="11" t="str">
        <f>IFERROR(IF(MARÍTIMOS[[#This Row],[Etapa Despacho -  Fin de Carga]]="","",MARÍTIMOS[[#This Row],[Etapa Despacho -  Fin de Carga]]),"")</f>
        <v/>
      </c>
      <c r="AE994" s="11" t="str">
        <f>IFERROR(IF(MARÍTIMOS[[#This Row],[Etapa Despacho -  Salida]]="","",MARÍTIMOS[[#This Row],[Etapa Despacho -  Salida]]),"")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5" t="s">
        <v>181</v>
      </c>
      <c r="BB994" s="53" t="str">
        <f>IFERROR(IF(MARÍTIMOS[[#This Row],[Estatus]]="","",MARÍTIMOS[[#This Row],[Estatus]]),"")</f>
        <v/>
      </c>
      <c r="BC994" s="45"/>
      <c r="BD994" s="52" t="str">
        <f>IFERROR(OLDBD[[#This Row],[Salida de almacén de retiro]]-OLDBD[[#This Row],[Ingreso Almacén de retiro]],"")</f>
        <v/>
      </c>
      <c r="BE994" s="52" t="str">
        <f>IFERROR(OLDBD[[#This Row],[Fin de Carga]]-OLDBD[[#This Row],[Inicio de Carga]],"")</f>
        <v/>
      </c>
    </row>
    <row r="995" spans="1:57" x14ac:dyDescent="0.35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6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Salida]]="","",MARÍTIMOS[[#This Row],[Etapa Retiro - Salida]]),"")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Row],[Hora de Carga]]+MARÍTIMOS[[#This Row],[Hora de Posicionamiento]]),"")</f>
        <v/>
      </c>
      <c r="Z995" s="11" t="str">
        <f>IFERROR(IF(MARÍTIMOS[[#This Row],[Etapa Despacho -  Llegada]]="","",MARÍTIMOS[[#This Row],[Etapa Despacho -  Llegada]]),"")</f>
        <v/>
      </c>
      <c r="AA995" s="11" t="str">
        <f>IFERROR(IF(MARÍTIMOS[[#This Row],[Etapa Despacho -  Registro]]="","",MARÍTIMOS[[#This Row],[Etapa Despacho - 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 Inicio de Carga]]="","",MARÍTIMOS[[#This Row],[Etapa Despacho -  Inicio de Carga]]),"")</f>
        <v/>
      </c>
      <c r="AD995" s="11" t="str">
        <f>IFERROR(IF(MARÍTIMOS[[#This Row],[Etapa Despacho -  Fin de Carga]]="","",MARÍTIMOS[[#This Row],[Etapa Despacho -  Fin de Carga]]),"")</f>
        <v/>
      </c>
      <c r="AE995" s="11" t="str">
        <f>IFERROR(IF(MARÍTIMOS[[#This Row],[Etapa Despacho -  Salida]]="","",MARÍTIMOS[[#This Row],[Etapa Despacho -  Salida]]),"")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5" t="s">
        <v>181</v>
      </c>
      <c r="BB995" s="53" t="str">
        <f>IFERROR(IF(MARÍTIMOS[[#This Row],[Estatus]]="","",MARÍTIMOS[[#This Row],[Estatus]]),"")</f>
        <v/>
      </c>
      <c r="BC995" s="45"/>
      <c r="BD995" s="52" t="str">
        <f>IFERROR(OLDBD[[#This Row],[Salida de almacén de retiro]]-OLDBD[[#This Row],[Ingreso Almacén de retiro]],"")</f>
        <v/>
      </c>
      <c r="BE995" s="52" t="str">
        <f>IFERROR(OLDBD[[#This Row],[Fin de Carga]]-OLDBD[[#This Row],[Inicio de Carga]],"")</f>
        <v/>
      </c>
    </row>
    <row r="996" spans="1:57" x14ac:dyDescent="0.35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6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Salida]]="","",MARÍTIMOS[[#This Row],[Etapa Retiro - Salida]]),"")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Row],[Hora de Carga]]+MARÍTIMOS[[#This Row],[Hora de Posicionamiento]]),"")</f>
        <v/>
      </c>
      <c r="Z996" s="11" t="str">
        <f>IFERROR(IF(MARÍTIMOS[[#This Row],[Etapa Despacho -  Llegada]]="","",MARÍTIMOS[[#This Row],[Etapa Despacho -  Llegada]]),"")</f>
        <v/>
      </c>
      <c r="AA996" s="11" t="str">
        <f>IFERROR(IF(MARÍTIMOS[[#This Row],[Etapa Despacho -  Registro]]="","",MARÍTIMOS[[#This Row],[Etapa Despacho - 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 Inicio de Carga]]="","",MARÍTIMOS[[#This Row],[Etapa Despacho -  Inicio de Carga]]),"")</f>
        <v/>
      </c>
      <c r="AD996" s="11" t="str">
        <f>IFERROR(IF(MARÍTIMOS[[#This Row],[Etapa Despacho -  Fin de Carga]]="","",MARÍTIMOS[[#This Row],[Etapa Despacho -  Fin de Carga]]),"")</f>
        <v/>
      </c>
      <c r="AE996" s="11" t="str">
        <f>IFERROR(IF(MARÍTIMOS[[#This Row],[Etapa Despacho -  Salida]]="","",MARÍTIMOS[[#This Row],[Etapa Despacho -  Salida]]),"")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5" t="s">
        <v>181</v>
      </c>
      <c r="BB996" s="53" t="str">
        <f>IFERROR(IF(MARÍTIMOS[[#This Row],[Estatus]]="","",MARÍTIMOS[[#This Row],[Estatus]]),"")</f>
        <v/>
      </c>
      <c r="BC996" s="45"/>
      <c r="BD996" s="52" t="str">
        <f>IFERROR(OLDBD[[#This Row],[Salida de almacén de retiro]]-OLDBD[[#This Row],[Ingreso Almacén de retiro]],"")</f>
        <v/>
      </c>
      <c r="BE996" s="52" t="str">
        <f>IFERROR(OLDBD[[#This Row],[Fin de Carga]]-OLDBD[[#This Row],[Inicio de Carga]],"")</f>
        <v/>
      </c>
    </row>
    <row r="997" spans="1:57" x14ac:dyDescent="0.35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6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Salida]]="","",MARÍTIMOS[[#This Row],[Etapa Retiro - Salida]]),"")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Row],[Hora de Carga]]+MARÍTIMOS[[#This Row],[Hora de Posicionamiento]]),"")</f>
        <v/>
      </c>
      <c r="Z997" s="11" t="str">
        <f>IFERROR(IF(MARÍTIMOS[[#This Row],[Etapa Despacho -  Llegada]]="","",MARÍTIMOS[[#This Row],[Etapa Despacho -  Llegada]]),"")</f>
        <v/>
      </c>
      <c r="AA997" s="11" t="str">
        <f>IFERROR(IF(MARÍTIMOS[[#This Row],[Etapa Despacho -  Registro]]="","",MARÍTIMOS[[#This Row],[Etapa Despacho - 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 Inicio de Carga]]="","",MARÍTIMOS[[#This Row],[Etapa Despacho -  Inicio de Carga]]),"")</f>
        <v/>
      </c>
      <c r="AD997" s="11" t="str">
        <f>IFERROR(IF(MARÍTIMOS[[#This Row],[Etapa Despacho -  Fin de Carga]]="","",MARÍTIMOS[[#This Row],[Etapa Despacho -  Fin de Carga]]),"")</f>
        <v/>
      </c>
      <c r="AE997" s="11" t="str">
        <f>IFERROR(IF(MARÍTIMOS[[#This Row],[Etapa Despacho -  Salida]]="","",MARÍTIMOS[[#This Row],[Etapa Despacho -  Salida]]),"")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5" t="s">
        <v>181</v>
      </c>
      <c r="BB997" s="53" t="str">
        <f>IFERROR(IF(MARÍTIMOS[[#This Row],[Estatus]]="","",MARÍTIMOS[[#This Row],[Estatus]]),"")</f>
        <v/>
      </c>
      <c r="BC997" s="45"/>
      <c r="BD997" s="52" t="str">
        <f>IFERROR(OLDBD[[#This Row],[Salida de almacén de retiro]]-OLDBD[[#This Row],[Ingreso Almacén de retiro]],"")</f>
        <v/>
      </c>
      <c r="BE997" s="52" t="str">
        <f>IFERROR(OLDBD[[#This Row],[Fin de Carga]]-OLDBD[[#This Row],[Inicio de Carga]],"")</f>
        <v/>
      </c>
    </row>
    <row r="998" spans="1:57" x14ac:dyDescent="0.35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6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Salida]]="","",MARÍTIMOS[[#This Row],[Etapa Retiro - Salida]]),"")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Row],[Hora de Carga]]+MARÍTIMOS[[#This Row],[Hora de Posicionamiento]]),"")</f>
        <v/>
      </c>
      <c r="Z998" s="11" t="str">
        <f>IFERROR(IF(MARÍTIMOS[[#This Row],[Etapa Despacho -  Llegada]]="","",MARÍTIMOS[[#This Row],[Etapa Despacho -  Llegada]]),"")</f>
        <v/>
      </c>
      <c r="AA998" s="11" t="str">
        <f>IFERROR(IF(MARÍTIMOS[[#This Row],[Etapa Despacho -  Registro]]="","",MARÍTIMOS[[#This Row],[Etapa Despacho - 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 Inicio de Carga]]="","",MARÍTIMOS[[#This Row],[Etapa Despacho -  Inicio de Carga]]),"")</f>
        <v/>
      </c>
      <c r="AD998" s="11" t="str">
        <f>IFERROR(IF(MARÍTIMOS[[#This Row],[Etapa Despacho -  Fin de Carga]]="","",MARÍTIMOS[[#This Row],[Etapa Despacho -  Fin de Carga]]),"")</f>
        <v/>
      </c>
      <c r="AE998" s="11" t="str">
        <f>IFERROR(IF(MARÍTIMOS[[#This Row],[Etapa Despacho -  Salida]]="","",MARÍTIMOS[[#This Row],[Etapa Despacho -  Salida]]),"")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5" t="s">
        <v>181</v>
      </c>
      <c r="BB998" s="53" t="str">
        <f>IFERROR(IF(MARÍTIMOS[[#This Row],[Estatus]]="","",MARÍTIMOS[[#This Row],[Estatus]]),"")</f>
        <v/>
      </c>
      <c r="BC998" s="45"/>
      <c r="BD998" s="52" t="str">
        <f>IFERROR(OLDBD[[#This Row],[Salida de almacén de retiro]]-OLDBD[[#This Row],[Ingreso Almacén de retiro]],"")</f>
        <v/>
      </c>
      <c r="BE998" s="52" t="str">
        <f>IFERROR(OLDBD[[#This Row],[Fin de Carga]]-OLDBD[[#This Row],[Inicio de Carga]],"")</f>
        <v/>
      </c>
    </row>
    <row r="999" spans="1:57" x14ac:dyDescent="0.35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6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Salida]]="","",MARÍTIMOS[[#This Row],[Etapa Retiro - Salida]]),"")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Row],[Hora de Carga]]+MARÍTIMOS[[#This Row],[Hora de Posicionamiento]]),"")</f>
        <v/>
      </c>
      <c r="Z999" s="11" t="str">
        <f>IFERROR(IF(MARÍTIMOS[[#This Row],[Etapa Despacho -  Llegada]]="","",MARÍTIMOS[[#This Row],[Etapa Despacho -  Llegada]]),"")</f>
        <v/>
      </c>
      <c r="AA999" s="11" t="str">
        <f>IFERROR(IF(MARÍTIMOS[[#This Row],[Etapa Despacho -  Registro]]="","",MARÍTIMOS[[#This Row],[Etapa Despacho - 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 Inicio de Carga]]="","",MARÍTIMOS[[#This Row],[Etapa Despacho -  Inicio de Carga]]),"")</f>
        <v/>
      </c>
      <c r="AD999" s="11" t="str">
        <f>IFERROR(IF(MARÍTIMOS[[#This Row],[Etapa Despacho -  Fin de Carga]]="","",MARÍTIMOS[[#This Row],[Etapa Despacho -  Fin de Carga]]),"")</f>
        <v/>
      </c>
      <c r="AE999" s="11" t="str">
        <f>IFERROR(IF(MARÍTIMOS[[#This Row],[Etapa Despacho -  Salida]]="","",MARÍTIMOS[[#This Row],[Etapa Despacho -  Salida]]),"")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5" t="s">
        <v>181</v>
      </c>
      <c r="BB999" s="53" t="str">
        <f>IFERROR(IF(MARÍTIMOS[[#This Row],[Estatus]]="","",MARÍTIMOS[[#This Row],[Estatus]]),"")</f>
        <v/>
      </c>
      <c r="BC999" s="45"/>
      <c r="BD999" s="52" t="str">
        <f>IFERROR(OLDBD[[#This Row],[Salida de almacén de retiro]]-OLDBD[[#This Row],[Ingreso Almacén de retiro]],"")</f>
        <v/>
      </c>
      <c r="BE999" s="52" t="str">
        <f>IFERROR(OLDBD[[#This Row],[Fin de Carga]]-OLDBD[[#This Row],[Inicio de Carga]],"")</f>
        <v/>
      </c>
    </row>
    <row r="1000" spans="1:57" x14ac:dyDescent="0.35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6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Salida]]="","",MARÍTIMOS[[#This Row],[Etapa Retiro - Salida]]),"")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Row],[Hora de Carga]]+MARÍTIMOS[[#This Row],[Hora de Posicionamiento]]),"")</f>
        <v/>
      </c>
      <c r="Z1000" s="11" t="str">
        <f>IFERROR(IF(MARÍTIMOS[[#This Row],[Etapa Despacho -  Llegada]]="","",MARÍTIMOS[[#This Row],[Etapa Despacho -  Llegada]]),"")</f>
        <v/>
      </c>
      <c r="AA1000" s="11" t="str">
        <f>IFERROR(IF(MARÍTIMOS[[#This Row],[Etapa Despacho -  Registro]]="","",MARÍTIMOS[[#This Row],[Etapa Despacho - 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 Inicio de Carga]]="","",MARÍTIMOS[[#This Row],[Etapa Despacho -  Inicio de Carga]]),"")</f>
        <v/>
      </c>
      <c r="AD1000" s="11" t="str">
        <f>IFERROR(IF(MARÍTIMOS[[#This Row],[Etapa Despacho -  Fin de Carga]]="","",MARÍTIMOS[[#This Row],[Etapa Despacho -  Fin de Carga]]),"")</f>
        <v/>
      </c>
      <c r="AE1000" s="11" t="str">
        <f>IFERROR(IF(MARÍTIMOS[[#This Row],[Etapa Despacho -  Salida]]="","",MARÍTIMOS[[#This Row],[Etapa Despacho -  Salida]]),"")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5" t="s">
        <v>181</v>
      </c>
      <c r="BB1000" s="53" t="str">
        <f>IFERROR(IF(MARÍTIMOS[[#This Row],[Estatus]]="","",MARÍTIMOS[[#This Row],[Estatus]]),"")</f>
        <v/>
      </c>
      <c r="BC1000" s="45"/>
      <c r="BD1000" s="52" t="str">
        <f>IFERROR(OLDBD[[#This Row],[Salida de almacén de retiro]]-OLDBD[[#This Row],[Ingreso Almacén de retiro]],"")</f>
        <v/>
      </c>
      <c r="BE1000" s="52" t="str">
        <f>IFERROR(OLDBD[[#This Row],[Fin de Carga]]-OLDBD[[#This Row],[Inicio de Carga]],"")</f>
        <v/>
      </c>
    </row>
    <row r="1001" spans="1:57" x14ac:dyDescent="0.35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6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Salida]]="","",MARÍTIMOS[[#This Row],[Etapa Retiro - Salida]]),"")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Row],[Hora de Carga]]+MARÍTIMOS[[#This Row],[Hora de Posicionamiento]]),"")</f>
        <v/>
      </c>
      <c r="Z1001" s="11" t="str">
        <f>IFERROR(IF(MARÍTIMOS[[#This Row],[Etapa Despacho -  Llegada]]="","",MARÍTIMOS[[#This Row],[Etapa Despacho -  Llegada]]),"")</f>
        <v/>
      </c>
      <c r="AA1001" s="11" t="str">
        <f>IFERROR(IF(MARÍTIMOS[[#This Row],[Etapa Despacho -  Registro]]="","",MARÍTIMOS[[#This Row],[Etapa Despacho - 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 Inicio de Carga]]="","",MARÍTIMOS[[#This Row],[Etapa Despacho -  Inicio de Carga]]),"")</f>
        <v/>
      </c>
      <c r="AD1001" s="11" t="str">
        <f>IFERROR(IF(MARÍTIMOS[[#This Row],[Etapa Despacho -  Fin de Carga]]="","",MARÍTIMOS[[#This Row],[Etapa Despacho -  Fin de Carga]]),"")</f>
        <v/>
      </c>
      <c r="AE1001" s="11" t="str">
        <f>IFERROR(IF(MARÍTIMOS[[#This Row],[Etapa Despacho -  Salida]]="","",MARÍTIMOS[[#This Row],[Etapa Despacho -  Salida]]),"")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5" t="s">
        <v>181</v>
      </c>
      <c r="BB1001" s="53" t="str">
        <f>IFERROR(IF(MARÍTIMOS[[#This Row],[Estatus]]="","",MARÍTIMOS[[#This Row],[Estatus]]),"")</f>
        <v/>
      </c>
      <c r="BC1001" s="45"/>
      <c r="BD1001" s="52" t="str">
        <f>IFERROR(OLDBD[[#This Row],[Salida de almacén de retiro]]-OLDBD[[#This Row],[Ingreso Almacén de retiro]],"")</f>
        <v/>
      </c>
      <c r="BE1001" s="52" t="str">
        <f>IFERROR(OLDBD[[#This Row],[Fin de Carga]]-OLDBD[[#This Row],[Inicio de Carga]],"")</f>
        <v/>
      </c>
    </row>
    <row r="1002" spans="1:57" x14ac:dyDescent="0.35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6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Salida]]="","",MARÍTIMOS[[#This Row],[Etapa Retiro - Salida]]),"")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Row],[Hora de Carga]]+MARÍTIMOS[[#This Row],[Hora de Posicionamiento]]),"")</f>
        <v/>
      </c>
      <c r="Z1002" s="11" t="str">
        <f>IFERROR(IF(MARÍTIMOS[[#This Row],[Etapa Despacho -  Llegada]]="","",MARÍTIMOS[[#This Row],[Etapa Despacho -  Llegada]]),"")</f>
        <v/>
      </c>
      <c r="AA1002" s="11" t="str">
        <f>IFERROR(IF(MARÍTIMOS[[#This Row],[Etapa Despacho -  Registro]]="","",MARÍTIMOS[[#This Row],[Etapa Despacho - 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 Inicio de Carga]]="","",MARÍTIMOS[[#This Row],[Etapa Despacho -  Inicio de Carga]]),"")</f>
        <v/>
      </c>
      <c r="AD1002" s="11" t="str">
        <f>IFERROR(IF(MARÍTIMOS[[#This Row],[Etapa Despacho -  Fin de Carga]]="","",MARÍTIMOS[[#This Row],[Etapa Despacho -  Fin de Carga]]),"")</f>
        <v/>
      </c>
      <c r="AE1002" s="11" t="str">
        <f>IFERROR(IF(MARÍTIMOS[[#This Row],[Etapa Despacho -  Salida]]="","",MARÍTIMOS[[#This Row],[Etapa Despacho -  Salida]]),"")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5" t="s">
        <v>181</v>
      </c>
      <c r="BB1002" s="53" t="str">
        <f>IFERROR(IF(MARÍTIMOS[[#This Row],[Estatus]]="","",MARÍTIMOS[[#This Row],[Estatus]]),"")</f>
        <v/>
      </c>
      <c r="BC1002" s="45"/>
      <c r="BD1002" s="52" t="str">
        <f>IFERROR(OLDBD[[#This Row],[Salida de almacén de retiro]]-OLDBD[[#This Row],[Ingreso Almacén de retiro]],"")</f>
        <v/>
      </c>
      <c r="BE1002" s="52" t="str">
        <f>IFERROR(OLDBD[[#This Row],[Fin de Carga]]-OLDBD[[#This Row],[Inicio de Carga]],"")</f>
        <v/>
      </c>
    </row>
    <row r="1003" spans="1:57" x14ac:dyDescent="0.35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6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Salida]]="","",MARÍTIMOS[[#This Row],[Etapa Retiro - Salida]]),"")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Row],[Hora de Carga]]+MARÍTIMOS[[#This Row],[Hora de Posicionamiento]]),"")</f>
        <v/>
      </c>
      <c r="Z1003" s="11" t="str">
        <f>IFERROR(IF(MARÍTIMOS[[#This Row],[Etapa Despacho -  Llegada]]="","",MARÍTIMOS[[#This Row],[Etapa Despacho -  Llegada]]),"")</f>
        <v/>
      </c>
      <c r="AA1003" s="11" t="str">
        <f>IFERROR(IF(MARÍTIMOS[[#This Row],[Etapa Despacho -  Registro]]="","",MARÍTIMOS[[#This Row],[Etapa Despacho - 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 Inicio de Carga]]="","",MARÍTIMOS[[#This Row],[Etapa Despacho -  Inicio de Carga]]),"")</f>
        <v/>
      </c>
      <c r="AD1003" s="11" t="str">
        <f>IFERROR(IF(MARÍTIMOS[[#This Row],[Etapa Despacho -  Fin de Carga]]="","",MARÍTIMOS[[#This Row],[Etapa Despacho -  Fin de Carga]]),"")</f>
        <v/>
      </c>
      <c r="AE1003" s="11" t="str">
        <f>IFERROR(IF(MARÍTIMOS[[#This Row],[Etapa Despacho -  Salida]]="","",MARÍTIMOS[[#This Row],[Etapa Despacho -  Salida]]),"")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5" t="s">
        <v>181</v>
      </c>
      <c r="BB1003" s="53" t="str">
        <f>IFERROR(IF(MARÍTIMOS[[#This Row],[Estatus]]="","",MARÍTIMOS[[#This Row],[Estatus]]),"")</f>
        <v/>
      </c>
      <c r="BC1003" s="45"/>
      <c r="BD1003" s="52" t="str">
        <f>IFERROR(OLDBD[[#This Row],[Salida de almacén de retiro]]-OLDBD[[#This Row],[Ingreso Almacén de retiro]],"")</f>
        <v/>
      </c>
      <c r="BE1003" s="52" t="str">
        <f>IFERROR(OLDBD[[#This Row],[Fin de Carga]]-OLDBD[[#This Row],[Inicio de Carga]],"")</f>
        <v/>
      </c>
    </row>
    <row r="1004" spans="1:57" x14ac:dyDescent="0.35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6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Salida]]="","",MARÍTIMOS[[#This Row],[Etapa Retiro - Salida]]),"")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Row],[Hora de Carga]]+MARÍTIMOS[[#This Row],[Hora de Posicionamiento]]),"")</f>
        <v/>
      </c>
      <c r="Z1004" s="11" t="str">
        <f>IFERROR(IF(MARÍTIMOS[[#This Row],[Etapa Despacho -  Llegada]]="","",MARÍTIMOS[[#This Row],[Etapa Despacho -  Llegada]]),"")</f>
        <v/>
      </c>
      <c r="AA1004" s="11" t="str">
        <f>IFERROR(IF(MARÍTIMOS[[#This Row],[Etapa Despacho -  Registro]]="","",MARÍTIMOS[[#This Row],[Etapa Despacho - 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 Inicio de Carga]]="","",MARÍTIMOS[[#This Row],[Etapa Despacho -  Inicio de Carga]]),"")</f>
        <v/>
      </c>
      <c r="AD1004" s="11" t="str">
        <f>IFERROR(IF(MARÍTIMOS[[#This Row],[Etapa Despacho -  Fin de Carga]]="","",MARÍTIMOS[[#This Row],[Etapa Despacho -  Fin de Carga]]),"")</f>
        <v/>
      </c>
      <c r="AE1004" s="11" t="str">
        <f>IFERROR(IF(MARÍTIMOS[[#This Row],[Etapa Despacho -  Salida]]="","",MARÍTIMOS[[#This Row],[Etapa Despacho -  Salida]]),"")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5" t="s">
        <v>181</v>
      </c>
      <c r="BB1004" s="53" t="str">
        <f>IFERROR(IF(MARÍTIMOS[[#This Row],[Estatus]]="","",MARÍTIMOS[[#This Row],[Estatus]]),"")</f>
        <v/>
      </c>
      <c r="BC1004" s="45"/>
      <c r="BD1004" s="52" t="str">
        <f>IFERROR(OLDBD[[#This Row],[Salida de almacén de retiro]]-OLDBD[[#This Row],[Ingreso Almacén de retiro]],"")</f>
        <v/>
      </c>
      <c r="BE1004" s="52" t="str">
        <f>IFERROR(OLDBD[[#This Row],[Fin de Carga]]-OLDBD[[#This Row],[Inicio de Carga]],"")</f>
        <v/>
      </c>
    </row>
    <row r="1005" spans="1:57" x14ac:dyDescent="0.35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6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Salida]]="","",MARÍTIMOS[[#This Row],[Etapa Retiro - Salida]]),"")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Row],[Hora de Carga]]+MARÍTIMOS[[#This Row],[Hora de Posicionamiento]]),"")</f>
        <v/>
      </c>
      <c r="Z1005" s="11" t="str">
        <f>IFERROR(IF(MARÍTIMOS[[#This Row],[Etapa Despacho -  Llegada]]="","",MARÍTIMOS[[#This Row],[Etapa Despacho -  Llegada]]),"")</f>
        <v/>
      </c>
      <c r="AA1005" s="11" t="str">
        <f>IFERROR(IF(MARÍTIMOS[[#This Row],[Etapa Despacho -  Registro]]="","",MARÍTIMOS[[#This Row],[Etapa Despacho - 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 Inicio de Carga]]="","",MARÍTIMOS[[#This Row],[Etapa Despacho -  Inicio de Carga]]),"")</f>
        <v/>
      </c>
      <c r="AD1005" s="11" t="str">
        <f>IFERROR(IF(MARÍTIMOS[[#This Row],[Etapa Despacho -  Fin de Carga]]="","",MARÍTIMOS[[#This Row],[Etapa Despacho -  Fin de Carga]]),"")</f>
        <v/>
      </c>
      <c r="AE1005" s="11" t="str">
        <f>IFERROR(IF(MARÍTIMOS[[#This Row],[Etapa Despacho -  Salida]]="","",MARÍTIMOS[[#This Row],[Etapa Despacho -  Salida]]),"")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5" t="s">
        <v>181</v>
      </c>
      <c r="BB1005" s="53" t="str">
        <f>IFERROR(IF(MARÍTIMOS[[#This Row],[Estatus]]="","",MARÍTIMOS[[#This Row],[Estatus]]),"")</f>
        <v/>
      </c>
      <c r="BC1005" s="45"/>
      <c r="BD1005" s="52" t="str">
        <f>IFERROR(OLDBD[[#This Row],[Salida de almacén de retiro]]-OLDBD[[#This Row],[Ingreso Almacén de retiro]],"")</f>
        <v/>
      </c>
      <c r="BE1005" s="52" t="str">
        <f>IFERROR(OLDBD[[#This Row],[Fin de Carga]]-OLDBD[[#This Row],[Inicio de Carga]],"")</f>
        <v/>
      </c>
    </row>
    <row r="1006" spans="1:57" x14ac:dyDescent="0.35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6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Salida]]="","",MARÍTIMOS[[#This Row],[Etapa Retiro - Salida]]),"")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Row],[Hora de Carga]]+MARÍTIMOS[[#This Row],[Hora de Posicionamiento]]),"")</f>
        <v/>
      </c>
      <c r="Z1006" s="11" t="str">
        <f>IFERROR(IF(MARÍTIMOS[[#This Row],[Etapa Despacho -  Llegada]]="","",MARÍTIMOS[[#This Row],[Etapa Despacho -  Llegada]]),"")</f>
        <v/>
      </c>
      <c r="AA1006" s="11" t="str">
        <f>IFERROR(IF(MARÍTIMOS[[#This Row],[Etapa Despacho -  Registro]]="","",MARÍTIMOS[[#This Row],[Etapa Despacho - 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 Inicio de Carga]]="","",MARÍTIMOS[[#This Row],[Etapa Despacho -  Inicio de Carga]]),"")</f>
        <v/>
      </c>
      <c r="AD1006" s="11" t="str">
        <f>IFERROR(IF(MARÍTIMOS[[#This Row],[Etapa Despacho -  Fin de Carga]]="","",MARÍTIMOS[[#This Row],[Etapa Despacho -  Fin de Carga]]),"")</f>
        <v/>
      </c>
      <c r="AE1006" s="11" t="str">
        <f>IFERROR(IF(MARÍTIMOS[[#This Row],[Etapa Despacho -  Salida]]="","",MARÍTIMOS[[#This Row],[Etapa Despacho -  Salida]]),"")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5" t="s">
        <v>181</v>
      </c>
      <c r="BB1006" s="53" t="str">
        <f>IFERROR(IF(MARÍTIMOS[[#This Row],[Estatus]]="","",MARÍTIMOS[[#This Row],[Estatus]]),"")</f>
        <v/>
      </c>
      <c r="BC1006" s="45"/>
      <c r="BD1006" s="52" t="str">
        <f>IFERROR(OLDBD[[#This Row],[Salida de almacén de retiro]]-OLDBD[[#This Row],[Ingreso Almacén de retiro]],"")</f>
        <v/>
      </c>
      <c r="BE1006" s="52" t="str">
        <f>IFERROR(OLDBD[[#This Row],[Fin de Carga]]-OLDBD[[#This Row],[Inicio de Carga]],"")</f>
        <v/>
      </c>
    </row>
    <row r="1007" spans="1:57" x14ac:dyDescent="0.35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6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Salida]]="","",MARÍTIMOS[[#This Row],[Etapa Retiro - Salida]]),"")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Row],[Hora de Carga]]+MARÍTIMOS[[#This Row],[Hora de Posicionamiento]]),"")</f>
        <v/>
      </c>
      <c r="Z1007" s="11" t="str">
        <f>IFERROR(IF(MARÍTIMOS[[#This Row],[Etapa Despacho -  Llegada]]="","",MARÍTIMOS[[#This Row],[Etapa Despacho -  Llegada]]),"")</f>
        <v/>
      </c>
      <c r="AA1007" s="11" t="str">
        <f>IFERROR(IF(MARÍTIMOS[[#This Row],[Etapa Despacho -  Registro]]="","",MARÍTIMOS[[#This Row],[Etapa Despacho - 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 Inicio de Carga]]="","",MARÍTIMOS[[#This Row],[Etapa Despacho -  Inicio de Carga]]),"")</f>
        <v/>
      </c>
      <c r="AD1007" s="11" t="str">
        <f>IFERROR(IF(MARÍTIMOS[[#This Row],[Etapa Despacho -  Fin de Carga]]="","",MARÍTIMOS[[#This Row],[Etapa Despacho -  Fin de Carga]]),"")</f>
        <v/>
      </c>
      <c r="AE1007" s="11" t="str">
        <f>IFERROR(IF(MARÍTIMOS[[#This Row],[Etapa Despacho -  Salida]]="","",MARÍTIMOS[[#This Row],[Etapa Despacho -  Salida]]),"")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5" t="s">
        <v>181</v>
      </c>
      <c r="BB1007" s="53" t="str">
        <f>IFERROR(IF(MARÍTIMOS[[#This Row],[Estatus]]="","",MARÍTIMOS[[#This Row],[Estatus]]),"")</f>
        <v/>
      </c>
      <c r="BC1007" s="45"/>
      <c r="BD1007" s="52" t="str">
        <f>IFERROR(OLDBD[[#This Row],[Salida de almacén de retiro]]-OLDBD[[#This Row],[Ingreso Almacén de retiro]],"")</f>
        <v/>
      </c>
      <c r="BE1007" s="52" t="str">
        <f>IFERROR(OLDBD[[#This Row],[Fin de Carga]]-OLDBD[[#This Row],[Inicio de Carga]],"")</f>
        <v/>
      </c>
    </row>
    <row r="1008" spans="1:57" x14ac:dyDescent="0.35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6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Salida]]="","",MARÍTIMOS[[#This Row],[Etapa Retiro - Salida]]),"")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Row],[Hora de Carga]]+MARÍTIMOS[[#This Row],[Hora de Posicionamiento]]),"")</f>
        <v/>
      </c>
      <c r="Z1008" s="11" t="str">
        <f>IFERROR(IF(MARÍTIMOS[[#This Row],[Etapa Despacho -  Llegada]]="","",MARÍTIMOS[[#This Row],[Etapa Despacho -  Llegada]]),"")</f>
        <v/>
      </c>
      <c r="AA1008" s="11" t="str">
        <f>IFERROR(IF(MARÍTIMOS[[#This Row],[Etapa Despacho -  Registro]]="","",MARÍTIMOS[[#This Row],[Etapa Despacho - 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 Inicio de Carga]]="","",MARÍTIMOS[[#This Row],[Etapa Despacho -  Inicio de Carga]]),"")</f>
        <v/>
      </c>
      <c r="AD1008" s="11" t="str">
        <f>IFERROR(IF(MARÍTIMOS[[#This Row],[Etapa Despacho -  Fin de Carga]]="","",MARÍTIMOS[[#This Row],[Etapa Despacho -  Fin de Carga]]),"")</f>
        <v/>
      </c>
      <c r="AE1008" s="11" t="str">
        <f>IFERROR(IF(MARÍTIMOS[[#This Row],[Etapa Despacho -  Salida]]="","",MARÍTIMOS[[#This Row],[Etapa Despacho -  Salida]]),"")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5" t="s">
        <v>181</v>
      </c>
      <c r="BB1008" s="53" t="str">
        <f>IFERROR(IF(MARÍTIMOS[[#This Row],[Estatus]]="","",MARÍTIMOS[[#This Row],[Estatus]]),"")</f>
        <v/>
      </c>
      <c r="BC1008" s="45"/>
      <c r="BD1008" s="52" t="str">
        <f>IFERROR(OLDBD[[#This Row],[Salida de almacén de retiro]]-OLDBD[[#This Row],[Ingreso Almacén de retiro]],"")</f>
        <v/>
      </c>
      <c r="BE1008" s="52" t="str">
        <f>IFERROR(OLDBD[[#This Row],[Fin de Carga]]-OLDBD[[#This Row],[Inicio de Carga]],"")</f>
        <v/>
      </c>
    </row>
    <row r="1009" spans="1:57" x14ac:dyDescent="0.35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6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Salida]]="","",MARÍTIMOS[[#This Row],[Etapa Retiro - Salida]]),"")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Row],[Hora de Carga]]+MARÍTIMOS[[#This Row],[Hora de Posicionamiento]]),"")</f>
        <v/>
      </c>
      <c r="Z1009" s="11" t="str">
        <f>IFERROR(IF(MARÍTIMOS[[#This Row],[Etapa Despacho -  Llegada]]="","",MARÍTIMOS[[#This Row],[Etapa Despacho -  Llegada]]),"")</f>
        <v/>
      </c>
      <c r="AA1009" s="11" t="str">
        <f>IFERROR(IF(MARÍTIMOS[[#This Row],[Etapa Despacho -  Registro]]="","",MARÍTIMOS[[#This Row],[Etapa Despacho - 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 Inicio de Carga]]="","",MARÍTIMOS[[#This Row],[Etapa Despacho -  Inicio de Carga]]),"")</f>
        <v/>
      </c>
      <c r="AD1009" s="11" t="str">
        <f>IFERROR(IF(MARÍTIMOS[[#This Row],[Etapa Despacho -  Fin de Carga]]="","",MARÍTIMOS[[#This Row],[Etapa Despacho -  Fin de Carga]]),"")</f>
        <v/>
      </c>
      <c r="AE1009" s="11" t="str">
        <f>IFERROR(IF(MARÍTIMOS[[#This Row],[Etapa Despacho -  Salida]]="","",MARÍTIMOS[[#This Row],[Etapa Despacho -  Salida]]),"")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5" t="s">
        <v>181</v>
      </c>
      <c r="BB1009" s="53" t="str">
        <f>IFERROR(IF(MARÍTIMOS[[#This Row],[Estatus]]="","",MARÍTIMOS[[#This Row],[Estatus]]),"")</f>
        <v/>
      </c>
      <c r="BC1009" s="45"/>
      <c r="BD1009" s="52" t="str">
        <f>IFERROR(OLDBD[[#This Row],[Salida de almacén de retiro]]-OLDBD[[#This Row],[Ingreso Almacén de retiro]],"")</f>
        <v/>
      </c>
      <c r="BE1009" s="52" t="str">
        <f>IFERROR(OLDBD[[#This Row],[Fin de Carga]]-OLDBD[[#This Row],[Inicio de Carga]],"")</f>
        <v/>
      </c>
    </row>
    <row r="1010" spans="1:57" x14ac:dyDescent="0.35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6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Salida]]="","",MARÍTIMOS[[#This Row],[Etapa Retiro - Salida]]),"")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Row],[Hora de Carga]]+MARÍTIMOS[[#This Row],[Hora de Posicionamiento]]),"")</f>
        <v/>
      </c>
      <c r="Z1010" s="11" t="str">
        <f>IFERROR(IF(MARÍTIMOS[[#This Row],[Etapa Despacho -  Llegada]]="","",MARÍTIMOS[[#This Row],[Etapa Despacho -  Llegada]]),"")</f>
        <v/>
      </c>
      <c r="AA1010" s="11" t="str">
        <f>IFERROR(IF(MARÍTIMOS[[#This Row],[Etapa Despacho -  Registro]]="","",MARÍTIMOS[[#This Row],[Etapa Despacho - 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 Inicio de Carga]]="","",MARÍTIMOS[[#This Row],[Etapa Despacho -  Inicio de Carga]]),"")</f>
        <v/>
      </c>
      <c r="AD1010" s="11" t="str">
        <f>IFERROR(IF(MARÍTIMOS[[#This Row],[Etapa Despacho -  Fin de Carga]]="","",MARÍTIMOS[[#This Row],[Etapa Despacho -  Fin de Carga]]),"")</f>
        <v/>
      </c>
      <c r="AE1010" s="11" t="str">
        <f>IFERROR(IF(MARÍTIMOS[[#This Row],[Etapa Despacho -  Salida]]="","",MARÍTIMOS[[#This Row],[Etapa Despacho -  Salida]]),"")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5" t="s">
        <v>181</v>
      </c>
      <c r="BB1010" s="53" t="str">
        <f>IFERROR(IF(MARÍTIMOS[[#This Row],[Estatus]]="","",MARÍTIMOS[[#This Row],[Estatus]]),"")</f>
        <v/>
      </c>
      <c r="BC1010" s="45"/>
      <c r="BD1010" s="52" t="str">
        <f>IFERROR(OLDBD[[#This Row],[Salida de almacén de retiro]]-OLDBD[[#This Row],[Ingreso Almacén de retiro]],"")</f>
        <v/>
      </c>
      <c r="BE1010" s="52" t="str">
        <f>IFERROR(OLDBD[[#This Row],[Fin de Carga]]-OLDBD[[#This Row],[Inicio de Carga]],"")</f>
        <v/>
      </c>
    </row>
    <row r="1011" spans="1:57" x14ac:dyDescent="0.35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6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Salida]]="","",MARÍTIMOS[[#This Row],[Etapa Retiro - Salida]]),"")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Row],[Hora de Carga]]+MARÍTIMOS[[#This Row],[Hora de Posicionamiento]]),"")</f>
        <v/>
      </c>
      <c r="Z1011" s="11" t="str">
        <f>IFERROR(IF(MARÍTIMOS[[#This Row],[Etapa Despacho -  Llegada]]="","",MARÍTIMOS[[#This Row],[Etapa Despacho -  Llegada]]),"")</f>
        <v/>
      </c>
      <c r="AA1011" s="11" t="str">
        <f>IFERROR(IF(MARÍTIMOS[[#This Row],[Etapa Despacho -  Registro]]="","",MARÍTIMOS[[#This Row],[Etapa Despacho - 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 Inicio de Carga]]="","",MARÍTIMOS[[#This Row],[Etapa Despacho -  Inicio de Carga]]),"")</f>
        <v/>
      </c>
      <c r="AD1011" s="11" t="str">
        <f>IFERROR(IF(MARÍTIMOS[[#This Row],[Etapa Despacho -  Fin de Carga]]="","",MARÍTIMOS[[#This Row],[Etapa Despacho -  Fin de Carga]]),"")</f>
        <v/>
      </c>
      <c r="AE1011" s="11" t="str">
        <f>IFERROR(IF(MARÍTIMOS[[#This Row],[Etapa Despacho -  Salida]]="","",MARÍTIMOS[[#This Row],[Etapa Despacho -  Salida]]),"")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5" t="s">
        <v>181</v>
      </c>
      <c r="BB1011" s="53" t="str">
        <f>IFERROR(IF(MARÍTIMOS[[#This Row],[Estatus]]="","",MARÍTIMOS[[#This Row],[Estatus]]),"")</f>
        <v/>
      </c>
      <c r="BC1011" s="45"/>
      <c r="BD1011" s="52" t="str">
        <f>IFERROR(OLDBD[[#This Row],[Salida de almacén de retiro]]-OLDBD[[#This Row],[Ingreso Almacén de retiro]],"")</f>
        <v/>
      </c>
      <c r="BE1011" s="52" t="str">
        <f>IFERROR(OLDBD[[#This Row],[Fin de Carga]]-OLDBD[[#This Row],[Inicio de Carga]],"")</f>
        <v/>
      </c>
    </row>
    <row r="1012" spans="1:57" x14ac:dyDescent="0.35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6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Salida]]="","",MARÍTIMOS[[#This Row],[Etapa Retiro - Salida]]),"")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Row],[Hora de Carga]]+MARÍTIMOS[[#This Row],[Hora de Posicionamiento]]),"")</f>
        <v/>
      </c>
      <c r="Z1012" s="11" t="str">
        <f>IFERROR(IF(MARÍTIMOS[[#This Row],[Etapa Despacho -  Llegada]]="","",MARÍTIMOS[[#This Row],[Etapa Despacho -  Llegada]]),"")</f>
        <v/>
      </c>
      <c r="AA1012" s="11" t="str">
        <f>IFERROR(IF(MARÍTIMOS[[#This Row],[Etapa Despacho -  Registro]]="","",MARÍTIMOS[[#This Row],[Etapa Despacho - 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 Inicio de Carga]]="","",MARÍTIMOS[[#This Row],[Etapa Despacho -  Inicio de Carga]]),"")</f>
        <v/>
      </c>
      <c r="AD1012" s="11" t="str">
        <f>IFERROR(IF(MARÍTIMOS[[#This Row],[Etapa Despacho -  Fin de Carga]]="","",MARÍTIMOS[[#This Row],[Etapa Despacho -  Fin de Carga]]),"")</f>
        <v/>
      </c>
      <c r="AE1012" s="11" t="str">
        <f>IFERROR(IF(MARÍTIMOS[[#This Row],[Etapa Despacho -  Salida]]="","",MARÍTIMOS[[#This Row],[Etapa Despacho -  Salida]]),"")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5" t="s">
        <v>181</v>
      </c>
      <c r="BB1012" s="53" t="str">
        <f>IFERROR(IF(MARÍTIMOS[[#This Row],[Estatus]]="","",MARÍTIMOS[[#This Row],[Estatus]]),"")</f>
        <v/>
      </c>
      <c r="BC1012" s="45"/>
      <c r="BD1012" s="52" t="str">
        <f>IFERROR(OLDBD[[#This Row],[Salida de almacén de retiro]]-OLDBD[[#This Row],[Ingreso Almacén de retiro]],"")</f>
        <v/>
      </c>
      <c r="BE1012" s="52" t="str">
        <f>IFERROR(OLDBD[[#This Row],[Fin de Carga]]-OLDBD[[#This Row],[Inicio de Carga]],"")</f>
        <v/>
      </c>
    </row>
    <row r="1013" spans="1:57" x14ac:dyDescent="0.35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6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Salida]]="","",MARÍTIMOS[[#This Row],[Etapa Retiro - Salida]]),"")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Row],[Hora de Carga]]+MARÍTIMOS[[#This Row],[Hora de Posicionamiento]]),"")</f>
        <v/>
      </c>
      <c r="Z1013" s="11" t="str">
        <f>IFERROR(IF(MARÍTIMOS[[#This Row],[Etapa Despacho -  Llegada]]="","",MARÍTIMOS[[#This Row],[Etapa Despacho -  Llegada]]),"")</f>
        <v/>
      </c>
      <c r="AA1013" s="11" t="str">
        <f>IFERROR(IF(MARÍTIMOS[[#This Row],[Etapa Despacho -  Registro]]="","",MARÍTIMOS[[#This Row],[Etapa Despacho - 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 Inicio de Carga]]="","",MARÍTIMOS[[#This Row],[Etapa Despacho -  Inicio de Carga]]),"")</f>
        <v/>
      </c>
      <c r="AD1013" s="11" t="str">
        <f>IFERROR(IF(MARÍTIMOS[[#This Row],[Etapa Despacho -  Fin de Carga]]="","",MARÍTIMOS[[#This Row],[Etapa Despacho -  Fin de Carga]]),"")</f>
        <v/>
      </c>
      <c r="AE1013" s="11" t="str">
        <f>IFERROR(IF(MARÍTIMOS[[#This Row],[Etapa Despacho -  Salida]]="","",MARÍTIMOS[[#This Row],[Etapa Despacho -  Salida]]),"")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5" t="s">
        <v>181</v>
      </c>
      <c r="BB1013" s="53" t="str">
        <f>IFERROR(IF(MARÍTIMOS[[#This Row],[Estatus]]="","",MARÍTIMOS[[#This Row],[Estatus]]),"")</f>
        <v/>
      </c>
      <c r="BC1013" s="45"/>
      <c r="BD1013" s="52" t="str">
        <f>IFERROR(OLDBD[[#This Row],[Salida de almacén de retiro]]-OLDBD[[#This Row],[Ingreso Almacén de retiro]],"")</f>
        <v/>
      </c>
      <c r="BE1013" s="52" t="str">
        <f>IFERROR(OLDBD[[#This Row],[Fin de Carga]]-OLDBD[[#This Row],[Inicio de Carga]],"")</f>
        <v/>
      </c>
    </row>
    <row r="1014" spans="1:57" x14ac:dyDescent="0.35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6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Salida]]="","",MARÍTIMOS[[#This Row],[Etapa Retiro - Salida]]),"")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Row],[Hora de Carga]]+MARÍTIMOS[[#This Row],[Hora de Posicionamiento]]),"")</f>
        <v/>
      </c>
      <c r="Z1014" s="11" t="str">
        <f>IFERROR(IF(MARÍTIMOS[[#This Row],[Etapa Despacho -  Llegada]]="","",MARÍTIMOS[[#This Row],[Etapa Despacho -  Llegada]]),"")</f>
        <v/>
      </c>
      <c r="AA1014" s="11" t="str">
        <f>IFERROR(IF(MARÍTIMOS[[#This Row],[Etapa Despacho -  Registro]]="","",MARÍTIMOS[[#This Row],[Etapa Despacho - 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 Inicio de Carga]]="","",MARÍTIMOS[[#This Row],[Etapa Despacho -  Inicio de Carga]]),"")</f>
        <v/>
      </c>
      <c r="AD1014" s="11" t="str">
        <f>IFERROR(IF(MARÍTIMOS[[#This Row],[Etapa Despacho -  Fin de Carga]]="","",MARÍTIMOS[[#This Row],[Etapa Despacho -  Fin de Carga]]),"")</f>
        <v/>
      </c>
      <c r="AE1014" s="11" t="str">
        <f>IFERROR(IF(MARÍTIMOS[[#This Row],[Etapa Despacho -  Salida]]="","",MARÍTIMOS[[#This Row],[Etapa Despacho -  Salida]]),"")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5" t="s">
        <v>181</v>
      </c>
      <c r="BB1014" s="53" t="str">
        <f>IFERROR(IF(MARÍTIMOS[[#This Row],[Estatus]]="","",MARÍTIMOS[[#This Row],[Estatus]]),"")</f>
        <v/>
      </c>
      <c r="BC1014" s="45"/>
      <c r="BD1014" s="52" t="str">
        <f>IFERROR(OLDBD[[#This Row],[Salida de almacén de retiro]]-OLDBD[[#This Row],[Ingreso Almacén de retiro]],"")</f>
        <v/>
      </c>
      <c r="BE1014" s="52" t="str">
        <f>IFERROR(OLDBD[[#This Row],[Fin de Carga]]-OLDBD[[#This Row],[Inicio de Carga]],"")</f>
        <v/>
      </c>
    </row>
    <row r="1015" spans="1:57" x14ac:dyDescent="0.35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6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Salida]]="","",MARÍTIMOS[[#This Row],[Etapa Retiro - Salida]]),"")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Row],[Hora de Carga]]+MARÍTIMOS[[#This Row],[Hora de Posicionamiento]]),"")</f>
        <v/>
      </c>
      <c r="Z1015" s="11" t="str">
        <f>IFERROR(IF(MARÍTIMOS[[#This Row],[Etapa Despacho -  Llegada]]="","",MARÍTIMOS[[#This Row],[Etapa Despacho -  Llegada]]),"")</f>
        <v/>
      </c>
      <c r="AA1015" s="11" t="str">
        <f>IFERROR(IF(MARÍTIMOS[[#This Row],[Etapa Despacho -  Registro]]="","",MARÍTIMOS[[#This Row],[Etapa Despacho - 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 Inicio de Carga]]="","",MARÍTIMOS[[#This Row],[Etapa Despacho -  Inicio de Carga]]),"")</f>
        <v/>
      </c>
      <c r="AD1015" s="11" t="str">
        <f>IFERROR(IF(MARÍTIMOS[[#This Row],[Etapa Despacho -  Fin de Carga]]="","",MARÍTIMOS[[#This Row],[Etapa Despacho -  Fin de Carga]]),"")</f>
        <v/>
      </c>
      <c r="AE1015" s="11" t="str">
        <f>IFERROR(IF(MARÍTIMOS[[#This Row],[Etapa Despacho -  Salida]]="","",MARÍTIMOS[[#This Row],[Etapa Despacho -  Salida]]),"")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5" t="s">
        <v>181</v>
      </c>
      <c r="BB1015" s="53" t="str">
        <f>IFERROR(IF(MARÍTIMOS[[#This Row],[Estatus]]="","",MARÍTIMOS[[#This Row],[Estatus]]),"")</f>
        <v/>
      </c>
      <c r="BC1015" s="45"/>
      <c r="BD1015" s="52" t="str">
        <f>IFERROR(OLDBD[[#This Row],[Salida de almacén de retiro]]-OLDBD[[#This Row],[Ingreso Almacén de retiro]],"")</f>
        <v/>
      </c>
      <c r="BE1015" s="52" t="str">
        <f>IFERROR(OLDBD[[#This Row],[Fin de Carga]]-OLDBD[[#This Row],[Inicio de Carga]],"")</f>
        <v/>
      </c>
    </row>
    <row r="1016" spans="1:57" x14ac:dyDescent="0.35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6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Salida]]="","",MARÍTIMOS[[#This Row],[Etapa Retiro - Salida]]),"")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Row],[Hora de Carga]]+MARÍTIMOS[[#This Row],[Hora de Posicionamiento]]),"")</f>
        <v/>
      </c>
      <c r="Z1016" s="11" t="str">
        <f>IFERROR(IF(MARÍTIMOS[[#This Row],[Etapa Despacho -  Llegada]]="","",MARÍTIMOS[[#This Row],[Etapa Despacho -  Llegada]]),"")</f>
        <v/>
      </c>
      <c r="AA1016" s="11" t="str">
        <f>IFERROR(IF(MARÍTIMOS[[#This Row],[Etapa Despacho -  Registro]]="","",MARÍTIMOS[[#This Row],[Etapa Despacho - 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 Inicio de Carga]]="","",MARÍTIMOS[[#This Row],[Etapa Despacho -  Inicio de Carga]]),"")</f>
        <v/>
      </c>
      <c r="AD1016" s="11" t="str">
        <f>IFERROR(IF(MARÍTIMOS[[#This Row],[Etapa Despacho -  Fin de Carga]]="","",MARÍTIMOS[[#This Row],[Etapa Despacho -  Fin de Carga]]),"")</f>
        <v/>
      </c>
      <c r="AE1016" s="11" t="str">
        <f>IFERROR(IF(MARÍTIMOS[[#This Row],[Etapa Despacho -  Salida]]="","",MARÍTIMOS[[#This Row],[Etapa Despacho -  Salida]]),"")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5" t="s">
        <v>181</v>
      </c>
      <c r="BB1016" s="53" t="str">
        <f>IFERROR(IF(MARÍTIMOS[[#This Row],[Estatus]]="","",MARÍTIMOS[[#This Row],[Estatus]]),"")</f>
        <v/>
      </c>
      <c r="BC1016" s="45"/>
      <c r="BD1016" s="52" t="str">
        <f>IFERROR(OLDBD[[#This Row],[Salida de almacén de retiro]]-OLDBD[[#This Row],[Ingreso Almacén de retiro]],"")</f>
        <v/>
      </c>
      <c r="BE1016" s="52" t="str">
        <f>IFERROR(OLDBD[[#This Row],[Fin de Carga]]-OLDBD[[#This Row],[Inicio de Carga]],"")</f>
        <v/>
      </c>
    </row>
    <row r="1017" spans="1:57" x14ac:dyDescent="0.35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6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Salida]]="","",MARÍTIMOS[[#This Row],[Etapa Retiro - Salida]]),"")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Row],[Hora de Carga]]+MARÍTIMOS[[#This Row],[Hora de Posicionamiento]]),"")</f>
        <v/>
      </c>
      <c r="Z1017" s="11" t="str">
        <f>IFERROR(IF(MARÍTIMOS[[#This Row],[Etapa Despacho -  Llegada]]="","",MARÍTIMOS[[#This Row],[Etapa Despacho -  Llegada]]),"")</f>
        <v/>
      </c>
      <c r="AA1017" s="11" t="str">
        <f>IFERROR(IF(MARÍTIMOS[[#This Row],[Etapa Despacho -  Registro]]="","",MARÍTIMOS[[#This Row],[Etapa Despacho - 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 Inicio de Carga]]="","",MARÍTIMOS[[#This Row],[Etapa Despacho -  Inicio de Carga]]),"")</f>
        <v/>
      </c>
      <c r="AD1017" s="11" t="str">
        <f>IFERROR(IF(MARÍTIMOS[[#This Row],[Etapa Despacho -  Fin de Carga]]="","",MARÍTIMOS[[#This Row],[Etapa Despacho -  Fin de Carga]]),"")</f>
        <v/>
      </c>
      <c r="AE1017" s="11" t="str">
        <f>IFERROR(IF(MARÍTIMOS[[#This Row],[Etapa Despacho -  Salida]]="","",MARÍTIMOS[[#This Row],[Etapa Despacho -  Salida]]),"")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5" t="s">
        <v>181</v>
      </c>
      <c r="BB1017" s="53" t="str">
        <f>IFERROR(IF(MARÍTIMOS[[#This Row],[Estatus]]="","",MARÍTIMOS[[#This Row],[Estatus]]),"")</f>
        <v/>
      </c>
      <c r="BC1017" s="45"/>
      <c r="BD1017" s="52" t="str">
        <f>IFERROR(OLDBD[[#This Row],[Salida de almacén de retiro]]-OLDBD[[#This Row],[Ingreso Almacén de retiro]],"")</f>
        <v/>
      </c>
      <c r="BE1017" s="52" t="str">
        <f>IFERROR(OLDBD[[#This Row],[Fin de Carga]]-OLDBD[[#This Row],[Inicio de Carga]],"")</f>
        <v/>
      </c>
    </row>
    <row r="1018" spans="1:57" x14ac:dyDescent="0.35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6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Salida]]="","",MARÍTIMOS[[#This Row],[Etapa Retiro - Salida]]),"")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Row],[Hora de Carga]]+MARÍTIMOS[[#This Row],[Hora de Posicionamiento]]),"")</f>
        <v/>
      </c>
      <c r="Z1018" s="11" t="str">
        <f>IFERROR(IF(MARÍTIMOS[[#This Row],[Etapa Despacho -  Llegada]]="","",MARÍTIMOS[[#This Row],[Etapa Despacho -  Llegada]]),"")</f>
        <v/>
      </c>
      <c r="AA1018" s="11" t="str">
        <f>IFERROR(IF(MARÍTIMOS[[#This Row],[Etapa Despacho -  Registro]]="","",MARÍTIMOS[[#This Row],[Etapa Despacho - 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 Inicio de Carga]]="","",MARÍTIMOS[[#This Row],[Etapa Despacho -  Inicio de Carga]]),"")</f>
        <v/>
      </c>
      <c r="AD1018" s="11" t="str">
        <f>IFERROR(IF(MARÍTIMOS[[#This Row],[Etapa Despacho -  Fin de Carga]]="","",MARÍTIMOS[[#This Row],[Etapa Despacho -  Fin de Carga]]),"")</f>
        <v/>
      </c>
      <c r="AE1018" s="11" t="str">
        <f>IFERROR(IF(MARÍTIMOS[[#This Row],[Etapa Despacho -  Salida]]="","",MARÍTIMOS[[#This Row],[Etapa Despacho -  Salida]]),"")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5" t="s">
        <v>181</v>
      </c>
      <c r="BB1018" s="53" t="str">
        <f>IFERROR(IF(MARÍTIMOS[[#This Row],[Estatus]]="","",MARÍTIMOS[[#This Row],[Estatus]]),"")</f>
        <v/>
      </c>
      <c r="BC1018" s="45"/>
      <c r="BD1018" s="52" t="str">
        <f>IFERROR(OLDBD[[#This Row],[Salida de almacén de retiro]]-OLDBD[[#This Row],[Ingreso Almacén de retiro]],"")</f>
        <v/>
      </c>
      <c r="BE1018" s="52" t="str">
        <f>IFERROR(OLDBD[[#This Row],[Fin de Carga]]-OLDBD[[#This Row],[Inicio de Carga]],"")</f>
        <v/>
      </c>
    </row>
    <row r="1019" spans="1:57" x14ac:dyDescent="0.35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6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Salida]]="","",MARÍTIMOS[[#This Row],[Etapa Retiro - Salida]]),"")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Row],[Hora de Carga]]+MARÍTIMOS[[#This Row],[Hora de Posicionamiento]]),"")</f>
        <v/>
      </c>
      <c r="Z1019" s="11" t="str">
        <f>IFERROR(IF(MARÍTIMOS[[#This Row],[Etapa Despacho -  Llegada]]="","",MARÍTIMOS[[#This Row],[Etapa Despacho -  Llegada]]),"")</f>
        <v/>
      </c>
      <c r="AA1019" s="11" t="str">
        <f>IFERROR(IF(MARÍTIMOS[[#This Row],[Etapa Despacho -  Registro]]="","",MARÍTIMOS[[#This Row],[Etapa Despacho - 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 Inicio de Carga]]="","",MARÍTIMOS[[#This Row],[Etapa Despacho -  Inicio de Carga]]),"")</f>
        <v/>
      </c>
      <c r="AD1019" s="11" t="str">
        <f>IFERROR(IF(MARÍTIMOS[[#This Row],[Etapa Despacho -  Fin de Carga]]="","",MARÍTIMOS[[#This Row],[Etapa Despacho -  Fin de Carga]]),"")</f>
        <v/>
      </c>
      <c r="AE1019" s="11" t="str">
        <f>IFERROR(IF(MARÍTIMOS[[#This Row],[Etapa Despacho -  Salida]]="","",MARÍTIMOS[[#This Row],[Etapa Despacho -  Salida]]),"")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5" t="s">
        <v>181</v>
      </c>
      <c r="BB1019" s="53" t="str">
        <f>IFERROR(IF(MARÍTIMOS[[#This Row],[Estatus]]="","",MARÍTIMOS[[#This Row],[Estatus]]),"")</f>
        <v/>
      </c>
      <c r="BC1019" s="45"/>
      <c r="BD1019" s="52" t="str">
        <f>IFERROR(OLDBD[[#This Row],[Salida de almacén de retiro]]-OLDBD[[#This Row],[Ingreso Almacén de retiro]],"")</f>
        <v/>
      </c>
      <c r="BE1019" s="52" t="str">
        <f>IFERROR(OLDBD[[#This Row],[Fin de Carga]]-OLDBD[[#This Row],[Inicio de Carga]],"")</f>
        <v/>
      </c>
    </row>
    <row r="1020" spans="1:57" x14ac:dyDescent="0.35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6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Salida]]="","",MARÍTIMOS[[#This Row],[Etapa Retiro - Salida]]),"")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Row],[Hora de Carga]]+MARÍTIMOS[[#This Row],[Hora de Posicionamiento]]),"")</f>
        <v/>
      </c>
      <c r="Z1020" s="11" t="str">
        <f>IFERROR(IF(MARÍTIMOS[[#This Row],[Etapa Despacho -  Llegada]]="","",MARÍTIMOS[[#This Row],[Etapa Despacho -  Llegada]]),"")</f>
        <v/>
      </c>
      <c r="AA1020" s="11" t="str">
        <f>IFERROR(IF(MARÍTIMOS[[#This Row],[Etapa Despacho -  Registro]]="","",MARÍTIMOS[[#This Row],[Etapa Despacho - 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 Inicio de Carga]]="","",MARÍTIMOS[[#This Row],[Etapa Despacho -  Inicio de Carga]]),"")</f>
        <v/>
      </c>
      <c r="AD1020" s="11" t="str">
        <f>IFERROR(IF(MARÍTIMOS[[#This Row],[Etapa Despacho -  Fin de Carga]]="","",MARÍTIMOS[[#This Row],[Etapa Despacho -  Fin de Carga]]),"")</f>
        <v/>
      </c>
      <c r="AE1020" s="11" t="str">
        <f>IFERROR(IF(MARÍTIMOS[[#This Row],[Etapa Despacho -  Salida]]="","",MARÍTIMOS[[#This Row],[Etapa Despacho -  Salida]]),"")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5" t="s">
        <v>181</v>
      </c>
      <c r="BB1020" s="53" t="str">
        <f>IFERROR(IF(MARÍTIMOS[[#This Row],[Estatus]]="","",MARÍTIMOS[[#This Row],[Estatus]]),"")</f>
        <v/>
      </c>
      <c r="BC1020" s="45"/>
      <c r="BD1020" s="52" t="str">
        <f>IFERROR(OLDBD[[#This Row],[Salida de almacén de retiro]]-OLDBD[[#This Row],[Ingreso Almacén de retiro]],"")</f>
        <v/>
      </c>
      <c r="BE1020" s="52" t="str">
        <f>IFERROR(OLDBD[[#This Row],[Fin de Carga]]-OLDBD[[#This Row],[Inicio de Carga]],"")</f>
        <v/>
      </c>
    </row>
    <row r="1021" spans="1:57" x14ac:dyDescent="0.35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6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Salida]]="","",MARÍTIMOS[[#This Row],[Etapa Retiro - Salida]]),"")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Row],[Hora de Carga]]+MARÍTIMOS[[#This Row],[Hora de Posicionamiento]]),"")</f>
        <v/>
      </c>
      <c r="Z1021" s="11" t="str">
        <f>IFERROR(IF(MARÍTIMOS[[#This Row],[Etapa Despacho -  Llegada]]="","",MARÍTIMOS[[#This Row],[Etapa Despacho -  Llegada]]),"")</f>
        <v/>
      </c>
      <c r="AA1021" s="11" t="str">
        <f>IFERROR(IF(MARÍTIMOS[[#This Row],[Etapa Despacho -  Registro]]="","",MARÍTIMOS[[#This Row],[Etapa Despacho - 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 Inicio de Carga]]="","",MARÍTIMOS[[#This Row],[Etapa Despacho -  Inicio de Carga]]),"")</f>
        <v/>
      </c>
      <c r="AD1021" s="11" t="str">
        <f>IFERROR(IF(MARÍTIMOS[[#This Row],[Etapa Despacho -  Fin de Carga]]="","",MARÍTIMOS[[#This Row],[Etapa Despacho -  Fin de Carga]]),"")</f>
        <v/>
      </c>
      <c r="AE1021" s="11" t="str">
        <f>IFERROR(IF(MARÍTIMOS[[#This Row],[Etapa Despacho -  Salida]]="","",MARÍTIMOS[[#This Row],[Etapa Despacho -  Salida]]),"")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5" t="s">
        <v>181</v>
      </c>
      <c r="BB1021" s="53" t="str">
        <f>IFERROR(IF(MARÍTIMOS[[#This Row],[Estatus]]="","",MARÍTIMOS[[#This Row],[Estatus]]),"")</f>
        <v/>
      </c>
      <c r="BC1021" s="45"/>
      <c r="BD1021" s="52" t="str">
        <f>IFERROR(OLDBD[[#This Row],[Salida de almacén de retiro]]-OLDBD[[#This Row],[Ingreso Almacén de retiro]],"")</f>
        <v/>
      </c>
      <c r="BE1021" s="52" t="str">
        <f>IFERROR(OLDBD[[#This Row],[Fin de Carga]]-OLDBD[[#This Row],[Inicio de Carga]],"")</f>
        <v/>
      </c>
    </row>
    <row r="1022" spans="1:57" x14ac:dyDescent="0.35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6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Salida]]="","",MARÍTIMOS[[#This Row],[Etapa Retiro - Salida]]),"")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Row],[Hora de Carga]]+MARÍTIMOS[[#This Row],[Hora de Posicionamiento]]),"")</f>
        <v/>
      </c>
      <c r="Z1022" s="11" t="str">
        <f>IFERROR(IF(MARÍTIMOS[[#This Row],[Etapa Despacho -  Llegada]]="","",MARÍTIMOS[[#This Row],[Etapa Despacho -  Llegada]]),"")</f>
        <v/>
      </c>
      <c r="AA1022" s="11" t="str">
        <f>IFERROR(IF(MARÍTIMOS[[#This Row],[Etapa Despacho -  Registro]]="","",MARÍTIMOS[[#This Row],[Etapa Despacho - 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 Inicio de Carga]]="","",MARÍTIMOS[[#This Row],[Etapa Despacho -  Inicio de Carga]]),"")</f>
        <v/>
      </c>
      <c r="AD1022" s="11" t="str">
        <f>IFERROR(IF(MARÍTIMOS[[#This Row],[Etapa Despacho -  Fin de Carga]]="","",MARÍTIMOS[[#This Row],[Etapa Despacho -  Fin de Carga]]),"")</f>
        <v/>
      </c>
      <c r="AE1022" s="11" t="str">
        <f>IFERROR(IF(MARÍTIMOS[[#This Row],[Etapa Despacho -  Salida]]="","",MARÍTIMOS[[#This Row],[Etapa Despacho -  Salida]]),"")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5" t="s">
        <v>181</v>
      </c>
      <c r="BB1022" s="53" t="str">
        <f>IFERROR(IF(MARÍTIMOS[[#This Row],[Estatus]]="","",MARÍTIMOS[[#This Row],[Estatus]]),"")</f>
        <v/>
      </c>
      <c r="BC1022" s="45"/>
      <c r="BD1022" s="52" t="str">
        <f>IFERROR(OLDBD[[#This Row],[Salida de almacén de retiro]]-OLDBD[[#This Row],[Ingreso Almacén de retiro]],"")</f>
        <v/>
      </c>
      <c r="BE1022" s="52" t="str">
        <f>IFERROR(OLDBD[[#This Row],[Fin de Carga]]-OLDBD[[#This Row],[Inicio de Carga]],"")</f>
        <v/>
      </c>
    </row>
    <row r="1023" spans="1:57" x14ac:dyDescent="0.35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6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Salida]]="","",MARÍTIMOS[[#This Row],[Etapa Retiro - Salida]]),"")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Row],[Hora de Carga]]+MARÍTIMOS[[#This Row],[Hora de Posicionamiento]]),"")</f>
        <v/>
      </c>
      <c r="Z1023" s="11" t="str">
        <f>IFERROR(IF(MARÍTIMOS[[#This Row],[Etapa Despacho -  Llegada]]="","",MARÍTIMOS[[#This Row],[Etapa Despacho -  Llegada]]),"")</f>
        <v/>
      </c>
      <c r="AA1023" s="11" t="str">
        <f>IFERROR(IF(MARÍTIMOS[[#This Row],[Etapa Despacho -  Registro]]="","",MARÍTIMOS[[#This Row],[Etapa Despacho - 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 Inicio de Carga]]="","",MARÍTIMOS[[#This Row],[Etapa Despacho -  Inicio de Carga]]),"")</f>
        <v/>
      </c>
      <c r="AD1023" s="11" t="str">
        <f>IFERROR(IF(MARÍTIMOS[[#This Row],[Etapa Despacho -  Fin de Carga]]="","",MARÍTIMOS[[#This Row],[Etapa Despacho -  Fin de Carga]]),"")</f>
        <v/>
      </c>
      <c r="AE1023" s="11" t="str">
        <f>IFERROR(IF(MARÍTIMOS[[#This Row],[Etapa Despacho -  Salida]]="","",MARÍTIMOS[[#This Row],[Etapa Despacho -  Salida]]),"")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5" t="s">
        <v>181</v>
      </c>
      <c r="BB1023" s="53" t="str">
        <f>IFERROR(IF(MARÍTIMOS[[#This Row],[Estatus]]="","",MARÍTIMOS[[#This Row],[Estatus]]),"")</f>
        <v/>
      </c>
      <c r="BC1023" s="45"/>
      <c r="BD1023" s="52" t="str">
        <f>IFERROR(OLDBD[[#This Row],[Salida de almacén de retiro]]-OLDBD[[#This Row],[Ingreso Almacén de retiro]],"")</f>
        <v/>
      </c>
      <c r="BE1023" s="52" t="str">
        <f>IFERROR(OLDBD[[#This Row],[Fin de Carga]]-OLDBD[[#This Row],[Inicio de Carga]],"")</f>
        <v/>
      </c>
    </row>
    <row r="1024" spans="1:57" x14ac:dyDescent="0.35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6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Salida]]="","",MARÍTIMOS[[#This Row],[Etapa Retiro - Salida]]),"")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Row],[Hora de Carga]]+MARÍTIMOS[[#This Row],[Hora de Posicionamiento]]),"")</f>
        <v/>
      </c>
      <c r="Z1024" s="11" t="str">
        <f>IFERROR(IF(MARÍTIMOS[[#This Row],[Etapa Despacho -  Llegada]]="","",MARÍTIMOS[[#This Row],[Etapa Despacho -  Llegada]]),"")</f>
        <v/>
      </c>
      <c r="AA1024" s="11" t="str">
        <f>IFERROR(IF(MARÍTIMOS[[#This Row],[Etapa Despacho -  Registro]]="","",MARÍTIMOS[[#This Row],[Etapa Despacho - 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 Inicio de Carga]]="","",MARÍTIMOS[[#This Row],[Etapa Despacho -  Inicio de Carga]]),"")</f>
        <v/>
      </c>
      <c r="AD1024" s="11" t="str">
        <f>IFERROR(IF(MARÍTIMOS[[#This Row],[Etapa Despacho -  Fin de Carga]]="","",MARÍTIMOS[[#This Row],[Etapa Despacho -  Fin de Carga]]),"")</f>
        <v/>
      </c>
      <c r="AE1024" s="11" t="str">
        <f>IFERROR(IF(MARÍTIMOS[[#This Row],[Etapa Despacho -  Salida]]="","",MARÍTIMOS[[#This Row],[Etapa Despacho -  Salida]]),"")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5" t="s">
        <v>181</v>
      </c>
      <c r="BB1024" s="53" t="str">
        <f>IFERROR(IF(MARÍTIMOS[[#This Row],[Estatus]]="","",MARÍTIMOS[[#This Row],[Estatus]]),"")</f>
        <v/>
      </c>
      <c r="BC1024" s="45"/>
      <c r="BD1024" s="52" t="str">
        <f>IFERROR(OLDBD[[#This Row],[Salida de almacén de retiro]]-OLDBD[[#This Row],[Ingreso Almacén de retiro]],"")</f>
        <v/>
      </c>
      <c r="BE1024" s="52" t="str">
        <f>IFERROR(OLDBD[[#This Row],[Fin de Carga]]-OLDBD[[#This Row],[Inicio de Carga]],"")</f>
        <v/>
      </c>
    </row>
    <row r="1025" spans="1:57" x14ac:dyDescent="0.35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6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Salida]]="","",MARÍTIMOS[[#This Row],[Etapa Retiro - Salida]]),"")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Row],[Hora de Carga]]+MARÍTIMOS[[#This Row],[Hora de Posicionamiento]]),"")</f>
        <v/>
      </c>
      <c r="Z1025" s="11" t="str">
        <f>IFERROR(IF(MARÍTIMOS[[#This Row],[Etapa Despacho -  Llegada]]="","",MARÍTIMOS[[#This Row],[Etapa Despacho -  Llegada]]),"")</f>
        <v/>
      </c>
      <c r="AA1025" s="11" t="str">
        <f>IFERROR(IF(MARÍTIMOS[[#This Row],[Etapa Despacho -  Registro]]="","",MARÍTIMOS[[#This Row],[Etapa Despacho - 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 Inicio de Carga]]="","",MARÍTIMOS[[#This Row],[Etapa Despacho -  Inicio de Carga]]),"")</f>
        <v/>
      </c>
      <c r="AD1025" s="11" t="str">
        <f>IFERROR(IF(MARÍTIMOS[[#This Row],[Etapa Despacho -  Fin de Carga]]="","",MARÍTIMOS[[#This Row],[Etapa Despacho -  Fin de Carga]]),"")</f>
        <v/>
      </c>
      <c r="AE1025" s="11" t="str">
        <f>IFERROR(IF(MARÍTIMOS[[#This Row],[Etapa Despacho -  Salida]]="","",MARÍTIMOS[[#This Row],[Etapa Despacho -  Salida]]),"")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5" t="s">
        <v>181</v>
      </c>
      <c r="BB1025" s="53" t="str">
        <f>IFERROR(IF(MARÍTIMOS[[#This Row],[Estatus]]="","",MARÍTIMOS[[#This Row],[Estatus]]),"")</f>
        <v/>
      </c>
      <c r="BC1025" s="45"/>
      <c r="BD1025" s="52" t="str">
        <f>IFERROR(OLDBD[[#This Row],[Salida de almacén de retiro]]-OLDBD[[#This Row],[Ingreso Almacén de retiro]],"")</f>
        <v/>
      </c>
      <c r="BE1025" s="52" t="str">
        <f>IFERROR(OLDBD[[#This Row],[Fin de Carga]]-OLDBD[[#This Row],[Inicio de Carga]],"")</f>
        <v/>
      </c>
    </row>
    <row r="1026" spans="1:57" x14ac:dyDescent="0.35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6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Salida]]="","",MARÍTIMOS[[#This Row],[Etapa Retiro - Salida]]),"")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Row],[Hora de Carga]]+MARÍTIMOS[[#This Row],[Hora de Posicionamiento]]),"")</f>
        <v/>
      </c>
      <c r="Z1026" s="11" t="str">
        <f>IFERROR(IF(MARÍTIMOS[[#This Row],[Etapa Despacho -  Llegada]]="","",MARÍTIMOS[[#This Row],[Etapa Despacho -  Llegada]]),"")</f>
        <v/>
      </c>
      <c r="AA1026" s="11" t="str">
        <f>IFERROR(IF(MARÍTIMOS[[#This Row],[Etapa Despacho -  Registro]]="","",MARÍTIMOS[[#This Row],[Etapa Despacho - 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 Inicio de Carga]]="","",MARÍTIMOS[[#This Row],[Etapa Despacho -  Inicio de Carga]]),"")</f>
        <v/>
      </c>
      <c r="AD1026" s="11" t="str">
        <f>IFERROR(IF(MARÍTIMOS[[#This Row],[Etapa Despacho -  Fin de Carga]]="","",MARÍTIMOS[[#This Row],[Etapa Despacho -  Fin de Carga]]),"")</f>
        <v/>
      </c>
      <c r="AE1026" s="11" t="str">
        <f>IFERROR(IF(MARÍTIMOS[[#This Row],[Etapa Despacho -  Salida]]="","",MARÍTIMOS[[#This Row],[Etapa Despacho -  Salida]]),"")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5" t="s">
        <v>181</v>
      </c>
      <c r="BB1026" s="53" t="str">
        <f>IFERROR(IF(MARÍTIMOS[[#This Row],[Estatus]]="","",MARÍTIMOS[[#This Row],[Estatus]]),"")</f>
        <v/>
      </c>
      <c r="BC1026" s="45"/>
      <c r="BD1026" s="52" t="str">
        <f>IFERROR(OLDBD[[#This Row],[Salida de almacén de retiro]]-OLDBD[[#This Row],[Ingreso Almacén de retiro]],"")</f>
        <v/>
      </c>
      <c r="BE1026" s="52" t="str">
        <f>IFERROR(OLDBD[[#This Row],[Fin de Carga]]-OLDBD[[#This Row],[Inicio de Carga]],"")</f>
        <v/>
      </c>
    </row>
    <row r="1027" spans="1:57" x14ac:dyDescent="0.35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6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Salida]]="","",MARÍTIMOS[[#This Row],[Etapa Retiro - Salida]]),"")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Row],[Hora de Carga]]+MARÍTIMOS[[#This Row],[Hora de Posicionamiento]]),"")</f>
        <v/>
      </c>
      <c r="Z1027" s="11" t="str">
        <f>IFERROR(IF(MARÍTIMOS[[#This Row],[Etapa Despacho -  Llegada]]="","",MARÍTIMOS[[#This Row],[Etapa Despacho -  Llegada]]),"")</f>
        <v/>
      </c>
      <c r="AA1027" s="11" t="str">
        <f>IFERROR(IF(MARÍTIMOS[[#This Row],[Etapa Despacho -  Registro]]="","",MARÍTIMOS[[#This Row],[Etapa Despacho - 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 Inicio de Carga]]="","",MARÍTIMOS[[#This Row],[Etapa Despacho -  Inicio de Carga]]),"")</f>
        <v/>
      </c>
      <c r="AD1027" s="11" t="str">
        <f>IFERROR(IF(MARÍTIMOS[[#This Row],[Etapa Despacho -  Fin de Carga]]="","",MARÍTIMOS[[#This Row],[Etapa Despacho -  Fin de Carga]]),"")</f>
        <v/>
      </c>
      <c r="AE1027" s="11" t="str">
        <f>IFERROR(IF(MARÍTIMOS[[#This Row],[Etapa Despacho -  Salida]]="","",MARÍTIMOS[[#This Row],[Etapa Despacho -  Salida]]),"")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5" t="s">
        <v>181</v>
      </c>
      <c r="BB1027" s="53" t="str">
        <f>IFERROR(IF(MARÍTIMOS[[#This Row],[Estatus]]="","",MARÍTIMOS[[#This Row],[Estatus]]),"")</f>
        <v/>
      </c>
      <c r="BC1027" s="45"/>
      <c r="BD1027" s="52" t="str">
        <f>IFERROR(OLDBD[[#This Row],[Salida de almacén de retiro]]-OLDBD[[#This Row],[Ingreso Almacén de retiro]],"")</f>
        <v/>
      </c>
      <c r="BE1027" s="52" t="str">
        <f>IFERROR(OLDBD[[#This Row],[Fin de Carga]]-OLDBD[[#This Row],[Inicio de Carga]],"")</f>
        <v/>
      </c>
    </row>
    <row r="1028" spans="1:57" x14ac:dyDescent="0.35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6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Salida]]="","",MARÍTIMOS[[#This Row],[Etapa Retiro - Salida]]),"")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Row],[Hora de Carga]]+MARÍTIMOS[[#This Row],[Hora de Posicionamiento]]),"")</f>
        <v/>
      </c>
      <c r="Z1028" s="11" t="str">
        <f>IFERROR(IF(MARÍTIMOS[[#This Row],[Etapa Despacho -  Llegada]]="","",MARÍTIMOS[[#This Row],[Etapa Despacho -  Llegada]]),"")</f>
        <v/>
      </c>
      <c r="AA1028" s="11" t="str">
        <f>IFERROR(IF(MARÍTIMOS[[#This Row],[Etapa Despacho -  Registro]]="","",MARÍTIMOS[[#This Row],[Etapa Despacho - 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 Inicio de Carga]]="","",MARÍTIMOS[[#This Row],[Etapa Despacho -  Inicio de Carga]]),"")</f>
        <v/>
      </c>
      <c r="AD1028" s="11" t="str">
        <f>IFERROR(IF(MARÍTIMOS[[#This Row],[Etapa Despacho -  Fin de Carga]]="","",MARÍTIMOS[[#This Row],[Etapa Despacho -  Fin de Carga]]),"")</f>
        <v/>
      </c>
      <c r="AE1028" s="11" t="str">
        <f>IFERROR(IF(MARÍTIMOS[[#This Row],[Etapa Despacho -  Salida]]="","",MARÍTIMOS[[#This Row],[Etapa Despacho -  Salida]]),"")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5" t="s">
        <v>181</v>
      </c>
      <c r="BB1028" s="53" t="str">
        <f>IFERROR(IF(MARÍTIMOS[[#This Row],[Estatus]]="","",MARÍTIMOS[[#This Row],[Estatus]]),"")</f>
        <v/>
      </c>
      <c r="BC1028" s="45"/>
      <c r="BD1028" s="52" t="str">
        <f>IFERROR(OLDBD[[#This Row],[Salida de almacén de retiro]]-OLDBD[[#This Row],[Ingreso Almacén de retiro]],"")</f>
        <v/>
      </c>
      <c r="BE1028" s="52" t="str">
        <f>IFERROR(OLDBD[[#This Row],[Fin de Carga]]-OLDBD[[#This Row],[Inicio de Carga]],"")</f>
        <v/>
      </c>
    </row>
    <row r="1029" spans="1:57" x14ac:dyDescent="0.35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6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Salida]]="","",MARÍTIMOS[[#This Row],[Etapa Retiro - Salida]]),"")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Row],[Hora de Carga]]+MARÍTIMOS[[#This Row],[Hora de Posicionamiento]]),"")</f>
        <v/>
      </c>
      <c r="Z1029" s="11" t="str">
        <f>IFERROR(IF(MARÍTIMOS[[#This Row],[Etapa Despacho -  Llegada]]="","",MARÍTIMOS[[#This Row],[Etapa Despacho -  Llegada]]),"")</f>
        <v/>
      </c>
      <c r="AA1029" s="11" t="str">
        <f>IFERROR(IF(MARÍTIMOS[[#This Row],[Etapa Despacho -  Registro]]="","",MARÍTIMOS[[#This Row],[Etapa Despacho - 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 Inicio de Carga]]="","",MARÍTIMOS[[#This Row],[Etapa Despacho -  Inicio de Carga]]),"")</f>
        <v/>
      </c>
      <c r="AD1029" s="11" t="str">
        <f>IFERROR(IF(MARÍTIMOS[[#This Row],[Etapa Despacho -  Fin de Carga]]="","",MARÍTIMOS[[#This Row],[Etapa Despacho -  Fin de Carga]]),"")</f>
        <v/>
      </c>
      <c r="AE1029" s="11" t="str">
        <f>IFERROR(IF(MARÍTIMOS[[#This Row],[Etapa Despacho -  Salida]]="","",MARÍTIMOS[[#This Row],[Etapa Despacho -  Salida]]),"")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5" t="s">
        <v>181</v>
      </c>
      <c r="BB1029" s="53" t="str">
        <f>IFERROR(IF(MARÍTIMOS[[#This Row],[Estatus]]="","",MARÍTIMOS[[#This Row],[Estatus]]),"")</f>
        <v/>
      </c>
      <c r="BC1029" s="45"/>
      <c r="BD1029" s="52" t="str">
        <f>IFERROR(OLDBD[[#This Row],[Salida de almacén de retiro]]-OLDBD[[#This Row],[Ingreso Almacén de retiro]],"")</f>
        <v/>
      </c>
      <c r="BE1029" s="52" t="str">
        <f>IFERROR(OLDBD[[#This Row],[Fin de Carga]]-OLDBD[[#This Row],[Inicio de Carga]],"")</f>
        <v/>
      </c>
    </row>
    <row r="1030" spans="1:57" x14ac:dyDescent="0.35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6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Salida]]="","",MARÍTIMOS[[#This Row],[Etapa Retiro - Salida]]),"")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Row],[Hora de Carga]]+MARÍTIMOS[[#This Row],[Hora de Posicionamiento]]),"")</f>
        <v/>
      </c>
      <c r="Z1030" s="11" t="str">
        <f>IFERROR(IF(MARÍTIMOS[[#This Row],[Etapa Despacho -  Llegada]]="","",MARÍTIMOS[[#This Row],[Etapa Despacho -  Llegada]]),"")</f>
        <v/>
      </c>
      <c r="AA1030" s="11" t="str">
        <f>IFERROR(IF(MARÍTIMOS[[#This Row],[Etapa Despacho -  Registro]]="","",MARÍTIMOS[[#This Row],[Etapa Despacho - 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 Inicio de Carga]]="","",MARÍTIMOS[[#This Row],[Etapa Despacho -  Inicio de Carga]]),"")</f>
        <v/>
      </c>
      <c r="AD1030" s="11" t="str">
        <f>IFERROR(IF(MARÍTIMOS[[#This Row],[Etapa Despacho -  Fin de Carga]]="","",MARÍTIMOS[[#This Row],[Etapa Despacho -  Fin de Carga]]),"")</f>
        <v/>
      </c>
      <c r="AE1030" s="11" t="str">
        <f>IFERROR(IF(MARÍTIMOS[[#This Row],[Etapa Despacho -  Salida]]="","",MARÍTIMOS[[#This Row],[Etapa Despacho -  Salida]]),"")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5" t="s">
        <v>181</v>
      </c>
      <c r="BB1030" s="53" t="str">
        <f>IFERROR(IF(MARÍTIMOS[[#This Row],[Estatus]]="","",MARÍTIMOS[[#This Row],[Estatus]]),"")</f>
        <v/>
      </c>
      <c r="BC1030" s="45"/>
      <c r="BD1030" s="52" t="str">
        <f>IFERROR(OLDBD[[#This Row],[Salida de almacén de retiro]]-OLDBD[[#This Row],[Ingreso Almacén de retiro]],"")</f>
        <v/>
      </c>
      <c r="BE1030" s="52" t="str">
        <f>IFERROR(OLDBD[[#This Row],[Fin de Carga]]-OLDBD[[#This Row],[Inicio de Carga]],"")</f>
        <v/>
      </c>
    </row>
    <row r="1031" spans="1:57" x14ac:dyDescent="0.35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6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Salida]]="","",MARÍTIMOS[[#This Row],[Etapa Retiro - Salida]]),"")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Row],[Hora de Carga]]+MARÍTIMOS[[#This Row],[Hora de Posicionamiento]]),"")</f>
        <v/>
      </c>
      <c r="Z1031" s="11" t="str">
        <f>IFERROR(IF(MARÍTIMOS[[#This Row],[Etapa Despacho -  Llegada]]="","",MARÍTIMOS[[#This Row],[Etapa Despacho -  Llegada]]),"")</f>
        <v/>
      </c>
      <c r="AA1031" s="11" t="str">
        <f>IFERROR(IF(MARÍTIMOS[[#This Row],[Etapa Despacho -  Registro]]="","",MARÍTIMOS[[#This Row],[Etapa Despacho - 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 Inicio de Carga]]="","",MARÍTIMOS[[#This Row],[Etapa Despacho -  Inicio de Carga]]),"")</f>
        <v/>
      </c>
      <c r="AD1031" s="11" t="str">
        <f>IFERROR(IF(MARÍTIMOS[[#This Row],[Etapa Despacho -  Fin de Carga]]="","",MARÍTIMOS[[#This Row],[Etapa Despacho -  Fin de Carga]]),"")</f>
        <v/>
      </c>
      <c r="AE1031" s="11" t="str">
        <f>IFERROR(IF(MARÍTIMOS[[#This Row],[Etapa Despacho -  Salida]]="","",MARÍTIMOS[[#This Row],[Etapa Despacho -  Salida]]),"")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5" t="s">
        <v>181</v>
      </c>
      <c r="BB1031" s="53" t="str">
        <f>IFERROR(IF(MARÍTIMOS[[#This Row],[Estatus]]="","",MARÍTIMOS[[#This Row],[Estatus]]),"")</f>
        <v/>
      </c>
      <c r="BC1031" s="45"/>
      <c r="BD1031" s="52" t="str">
        <f>IFERROR(OLDBD[[#This Row],[Salida de almacén de retiro]]-OLDBD[[#This Row],[Ingreso Almacén de retiro]],"")</f>
        <v/>
      </c>
      <c r="BE1031" s="52" t="str">
        <f>IFERROR(OLDBD[[#This Row],[Fin de Carga]]-OLDBD[[#This Row],[Inicio de Carga]],"")</f>
        <v/>
      </c>
    </row>
    <row r="1032" spans="1:57" x14ac:dyDescent="0.35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6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Salida]]="","",MARÍTIMOS[[#This Row],[Etapa Retiro - Salida]]),"")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Row],[Hora de Carga]]+MARÍTIMOS[[#This Row],[Hora de Posicionamiento]]),"")</f>
        <v/>
      </c>
      <c r="Z1032" s="11" t="str">
        <f>IFERROR(IF(MARÍTIMOS[[#This Row],[Etapa Despacho -  Llegada]]="","",MARÍTIMOS[[#This Row],[Etapa Despacho -  Llegada]]),"")</f>
        <v/>
      </c>
      <c r="AA1032" s="11" t="str">
        <f>IFERROR(IF(MARÍTIMOS[[#This Row],[Etapa Despacho -  Registro]]="","",MARÍTIMOS[[#This Row],[Etapa Despacho - 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 Inicio de Carga]]="","",MARÍTIMOS[[#This Row],[Etapa Despacho -  Inicio de Carga]]),"")</f>
        <v/>
      </c>
      <c r="AD1032" s="11" t="str">
        <f>IFERROR(IF(MARÍTIMOS[[#This Row],[Etapa Despacho -  Fin de Carga]]="","",MARÍTIMOS[[#This Row],[Etapa Despacho -  Fin de Carga]]),"")</f>
        <v/>
      </c>
      <c r="AE1032" s="11" t="str">
        <f>IFERROR(IF(MARÍTIMOS[[#This Row],[Etapa Despacho -  Salida]]="","",MARÍTIMOS[[#This Row],[Etapa Despacho -  Salida]]),"")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5" t="s">
        <v>181</v>
      </c>
      <c r="BB1032" s="53" t="str">
        <f>IFERROR(IF(MARÍTIMOS[[#This Row],[Estatus]]="","",MARÍTIMOS[[#This Row],[Estatus]]),"")</f>
        <v/>
      </c>
      <c r="BC1032" s="45"/>
      <c r="BD1032" s="52" t="str">
        <f>IFERROR(OLDBD[[#This Row],[Salida de almacén de retiro]]-OLDBD[[#This Row],[Ingreso Almacén de retiro]],"")</f>
        <v/>
      </c>
      <c r="BE1032" s="52" t="str">
        <f>IFERROR(OLDBD[[#This Row],[Fin de Carga]]-OLDBD[[#This Row],[Inicio de Carga]],"")</f>
        <v/>
      </c>
    </row>
    <row r="1033" spans="1:57" x14ac:dyDescent="0.35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6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Salida]]="","",MARÍTIMOS[[#This Row],[Etapa Retiro - Salida]]),"")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Row],[Hora de Carga]]+MARÍTIMOS[[#This Row],[Hora de Posicionamiento]]),"")</f>
        <v/>
      </c>
      <c r="Z1033" s="11" t="str">
        <f>IFERROR(IF(MARÍTIMOS[[#This Row],[Etapa Despacho -  Llegada]]="","",MARÍTIMOS[[#This Row],[Etapa Despacho -  Llegada]]),"")</f>
        <v/>
      </c>
      <c r="AA1033" s="11" t="str">
        <f>IFERROR(IF(MARÍTIMOS[[#This Row],[Etapa Despacho -  Registro]]="","",MARÍTIMOS[[#This Row],[Etapa Despacho - 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 Inicio de Carga]]="","",MARÍTIMOS[[#This Row],[Etapa Despacho -  Inicio de Carga]]),"")</f>
        <v/>
      </c>
      <c r="AD1033" s="11" t="str">
        <f>IFERROR(IF(MARÍTIMOS[[#This Row],[Etapa Despacho -  Fin de Carga]]="","",MARÍTIMOS[[#This Row],[Etapa Despacho -  Fin de Carga]]),"")</f>
        <v/>
      </c>
      <c r="AE1033" s="11" t="str">
        <f>IFERROR(IF(MARÍTIMOS[[#This Row],[Etapa Despacho -  Salida]]="","",MARÍTIMOS[[#This Row],[Etapa Despacho -  Salida]]),"")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5" t="s">
        <v>181</v>
      </c>
      <c r="BB1033" s="53" t="str">
        <f>IFERROR(IF(MARÍTIMOS[[#This Row],[Estatus]]="","",MARÍTIMOS[[#This Row],[Estatus]]),"")</f>
        <v/>
      </c>
      <c r="BC1033" s="45"/>
      <c r="BD1033" s="52" t="str">
        <f>IFERROR(OLDBD[[#This Row],[Salida de almacén de retiro]]-OLDBD[[#This Row],[Ingreso Almacén de retiro]],"")</f>
        <v/>
      </c>
      <c r="BE1033" s="52" t="str">
        <f>IFERROR(OLDBD[[#This Row],[Fin de Carga]]-OLDBD[[#This Row],[Inicio de Carga]],"")</f>
        <v/>
      </c>
    </row>
    <row r="1034" spans="1:57" x14ac:dyDescent="0.35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6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Salida]]="","",MARÍTIMOS[[#This Row],[Etapa Retiro - Salida]]),"")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Row],[Hora de Carga]]+MARÍTIMOS[[#This Row],[Hora de Posicionamiento]]),"")</f>
        <v/>
      </c>
      <c r="Z1034" s="11" t="str">
        <f>IFERROR(IF(MARÍTIMOS[[#This Row],[Etapa Despacho -  Llegada]]="","",MARÍTIMOS[[#This Row],[Etapa Despacho -  Llegada]]),"")</f>
        <v/>
      </c>
      <c r="AA1034" s="11" t="str">
        <f>IFERROR(IF(MARÍTIMOS[[#This Row],[Etapa Despacho -  Registro]]="","",MARÍTIMOS[[#This Row],[Etapa Despacho - 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 Inicio de Carga]]="","",MARÍTIMOS[[#This Row],[Etapa Despacho -  Inicio de Carga]]),"")</f>
        <v/>
      </c>
      <c r="AD1034" s="11" t="str">
        <f>IFERROR(IF(MARÍTIMOS[[#This Row],[Etapa Despacho -  Fin de Carga]]="","",MARÍTIMOS[[#This Row],[Etapa Despacho -  Fin de Carga]]),"")</f>
        <v/>
      </c>
      <c r="AE1034" s="11" t="str">
        <f>IFERROR(IF(MARÍTIMOS[[#This Row],[Etapa Despacho -  Salida]]="","",MARÍTIMOS[[#This Row],[Etapa Despacho -  Salida]]),"")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5" t="s">
        <v>181</v>
      </c>
      <c r="BB1034" s="53" t="str">
        <f>IFERROR(IF(MARÍTIMOS[[#This Row],[Estatus]]="","",MARÍTIMOS[[#This Row],[Estatus]]),"")</f>
        <v/>
      </c>
      <c r="BC1034" s="45"/>
      <c r="BD1034" s="52" t="str">
        <f>IFERROR(OLDBD[[#This Row],[Salida de almacén de retiro]]-OLDBD[[#This Row],[Ingreso Almacén de retiro]],"")</f>
        <v/>
      </c>
      <c r="BE1034" s="52" t="str">
        <f>IFERROR(OLDBD[[#This Row],[Fin de Carga]]-OLDBD[[#This Row],[Inicio de Carga]],"")</f>
        <v/>
      </c>
    </row>
    <row r="1035" spans="1:57" x14ac:dyDescent="0.35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6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Salida]]="","",MARÍTIMOS[[#This Row],[Etapa Retiro - Salida]]),"")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Row],[Hora de Carga]]+MARÍTIMOS[[#This Row],[Hora de Posicionamiento]]),"")</f>
        <v/>
      </c>
      <c r="Z1035" s="11" t="str">
        <f>IFERROR(IF(MARÍTIMOS[[#This Row],[Etapa Despacho -  Llegada]]="","",MARÍTIMOS[[#This Row],[Etapa Despacho -  Llegada]]),"")</f>
        <v/>
      </c>
      <c r="AA1035" s="11" t="str">
        <f>IFERROR(IF(MARÍTIMOS[[#This Row],[Etapa Despacho -  Registro]]="","",MARÍTIMOS[[#This Row],[Etapa Despacho - 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 Inicio de Carga]]="","",MARÍTIMOS[[#This Row],[Etapa Despacho -  Inicio de Carga]]),"")</f>
        <v/>
      </c>
      <c r="AD1035" s="11" t="str">
        <f>IFERROR(IF(MARÍTIMOS[[#This Row],[Etapa Despacho -  Fin de Carga]]="","",MARÍTIMOS[[#This Row],[Etapa Despacho -  Fin de Carga]]),"")</f>
        <v/>
      </c>
      <c r="AE1035" s="11" t="str">
        <f>IFERROR(IF(MARÍTIMOS[[#This Row],[Etapa Despacho -  Salida]]="","",MARÍTIMOS[[#This Row],[Etapa Despacho -  Salida]]),"")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5" t="s">
        <v>181</v>
      </c>
      <c r="BB1035" s="53" t="str">
        <f>IFERROR(IF(MARÍTIMOS[[#This Row],[Estatus]]="","",MARÍTIMOS[[#This Row],[Estatus]]),"")</f>
        <v/>
      </c>
      <c r="BC1035" s="45"/>
      <c r="BD1035" s="52" t="str">
        <f>IFERROR(OLDBD[[#This Row],[Salida de almacén de retiro]]-OLDBD[[#This Row],[Ingreso Almacén de retiro]],"")</f>
        <v/>
      </c>
      <c r="BE1035" s="52" t="str">
        <f>IFERROR(OLDBD[[#This Row],[Fin de Carga]]-OLDBD[[#This Row],[Inicio de Carga]],"")</f>
        <v/>
      </c>
    </row>
    <row r="1036" spans="1:57" x14ac:dyDescent="0.35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6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Salida]]="","",MARÍTIMOS[[#This Row],[Etapa Retiro - Salida]]),"")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Row],[Hora de Carga]]+MARÍTIMOS[[#This Row],[Hora de Posicionamiento]]),"")</f>
        <v/>
      </c>
      <c r="Z1036" s="11" t="str">
        <f>IFERROR(IF(MARÍTIMOS[[#This Row],[Etapa Despacho -  Llegada]]="","",MARÍTIMOS[[#This Row],[Etapa Despacho -  Llegada]]),"")</f>
        <v/>
      </c>
      <c r="AA1036" s="11" t="str">
        <f>IFERROR(IF(MARÍTIMOS[[#This Row],[Etapa Despacho -  Registro]]="","",MARÍTIMOS[[#This Row],[Etapa Despacho - 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 Inicio de Carga]]="","",MARÍTIMOS[[#This Row],[Etapa Despacho -  Inicio de Carga]]),"")</f>
        <v/>
      </c>
      <c r="AD1036" s="11" t="str">
        <f>IFERROR(IF(MARÍTIMOS[[#This Row],[Etapa Despacho -  Fin de Carga]]="","",MARÍTIMOS[[#This Row],[Etapa Despacho -  Fin de Carga]]),"")</f>
        <v/>
      </c>
      <c r="AE1036" s="11" t="str">
        <f>IFERROR(IF(MARÍTIMOS[[#This Row],[Etapa Despacho -  Salida]]="","",MARÍTIMOS[[#This Row],[Etapa Despacho -  Salida]]),"")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5" t="s">
        <v>181</v>
      </c>
      <c r="BB1036" s="53" t="str">
        <f>IFERROR(IF(MARÍTIMOS[[#This Row],[Estatus]]="","",MARÍTIMOS[[#This Row],[Estatus]]),"")</f>
        <v/>
      </c>
      <c r="BC1036" s="45"/>
      <c r="BD1036" s="52" t="str">
        <f>IFERROR(OLDBD[[#This Row],[Salida de almacén de retiro]]-OLDBD[[#This Row],[Ingreso Almacén de retiro]],"")</f>
        <v/>
      </c>
      <c r="BE1036" s="52" t="str">
        <f>IFERROR(OLDBD[[#This Row],[Fin de Carga]]-OLDBD[[#This Row],[Inicio de Carga]],"")</f>
        <v/>
      </c>
    </row>
    <row r="1037" spans="1:57" x14ac:dyDescent="0.35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6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Salida]]="","",MARÍTIMOS[[#This Row],[Etapa Retiro - Salida]]),"")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Row],[Hora de Carga]]+MARÍTIMOS[[#This Row],[Hora de Posicionamiento]]),"")</f>
        <v/>
      </c>
      <c r="Z1037" s="11" t="str">
        <f>IFERROR(IF(MARÍTIMOS[[#This Row],[Etapa Despacho -  Llegada]]="","",MARÍTIMOS[[#This Row],[Etapa Despacho -  Llegada]]),"")</f>
        <v/>
      </c>
      <c r="AA1037" s="11" t="str">
        <f>IFERROR(IF(MARÍTIMOS[[#This Row],[Etapa Despacho -  Registro]]="","",MARÍTIMOS[[#This Row],[Etapa Despacho - 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 Inicio de Carga]]="","",MARÍTIMOS[[#This Row],[Etapa Despacho -  Inicio de Carga]]),"")</f>
        <v/>
      </c>
      <c r="AD1037" s="11" t="str">
        <f>IFERROR(IF(MARÍTIMOS[[#This Row],[Etapa Despacho -  Fin de Carga]]="","",MARÍTIMOS[[#This Row],[Etapa Despacho -  Fin de Carga]]),"")</f>
        <v/>
      </c>
      <c r="AE1037" s="11" t="str">
        <f>IFERROR(IF(MARÍTIMOS[[#This Row],[Etapa Despacho -  Salida]]="","",MARÍTIMOS[[#This Row],[Etapa Despacho -  Salida]]),"")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5" t="s">
        <v>181</v>
      </c>
      <c r="BB1037" s="53" t="str">
        <f>IFERROR(IF(MARÍTIMOS[[#This Row],[Estatus]]="","",MARÍTIMOS[[#This Row],[Estatus]]),"")</f>
        <v/>
      </c>
      <c r="BC1037" s="45"/>
      <c r="BD1037" s="52" t="str">
        <f>IFERROR(OLDBD[[#This Row],[Salida de almacén de retiro]]-OLDBD[[#This Row],[Ingreso Almacén de retiro]],"")</f>
        <v/>
      </c>
      <c r="BE1037" s="52" t="str">
        <f>IFERROR(OLDBD[[#This Row],[Fin de Carga]]-OLDBD[[#This Row],[Inicio de Carga]],"")</f>
        <v/>
      </c>
    </row>
    <row r="1038" spans="1:57" x14ac:dyDescent="0.35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6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Salida]]="","",MARÍTIMOS[[#This Row],[Etapa Retiro - Salida]]),"")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Row],[Hora de Carga]]+MARÍTIMOS[[#This Row],[Hora de Posicionamiento]]),"")</f>
        <v/>
      </c>
      <c r="Z1038" s="11" t="str">
        <f>IFERROR(IF(MARÍTIMOS[[#This Row],[Etapa Despacho -  Llegada]]="","",MARÍTIMOS[[#This Row],[Etapa Despacho -  Llegada]]),"")</f>
        <v/>
      </c>
      <c r="AA1038" s="11" t="str">
        <f>IFERROR(IF(MARÍTIMOS[[#This Row],[Etapa Despacho -  Registro]]="","",MARÍTIMOS[[#This Row],[Etapa Despacho - 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 Inicio de Carga]]="","",MARÍTIMOS[[#This Row],[Etapa Despacho -  Inicio de Carga]]),"")</f>
        <v/>
      </c>
      <c r="AD1038" s="11" t="str">
        <f>IFERROR(IF(MARÍTIMOS[[#This Row],[Etapa Despacho -  Fin de Carga]]="","",MARÍTIMOS[[#This Row],[Etapa Despacho -  Fin de Carga]]),"")</f>
        <v/>
      </c>
      <c r="AE1038" s="11" t="str">
        <f>IFERROR(IF(MARÍTIMOS[[#This Row],[Etapa Despacho -  Salida]]="","",MARÍTIMOS[[#This Row],[Etapa Despacho -  Salida]]),"")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5" t="s">
        <v>181</v>
      </c>
      <c r="BB1038" s="53" t="str">
        <f>IFERROR(IF(MARÍTIMOS[[#This Row],[Estatus]]="","",MARÍTIMOS[[#This Row],[Estatus]]),"")</f>
        <v/>
      </c>
      <c r="BC1038" s="45"/>
      <c r="BD1038" s="52" t="str">
        <f>IFERROR(OLDBD[[#This Row],[Salida de almacén de retiro]]-OLDBD[[#This Row],[Ingreso Almacén de retiro]],"")</f>
        <v/>
      </c>
      <c r="BE1038" s="52" t="str">
        <f>IFERROR(OLDBD[[#This Row],[Fin de Carga]]-OLDBD[[#This Row],[Inicio de Carga]],"")</f>
        <v/>
      </c>
    </row>
    <row r="1039" spans="1:57" x14ac:dyDescent="0.35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6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Salida]]="","",MARÍTIMOS[[#This Row],[Etapa Retiro - Salida]]),"")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Row],[Hora de Carga]]+MARÍTIMOS[[#This Row],[Hora de Posicionamiento]]),"")</f>
        <v/>
      </c>
      <c r="Z1039" s="11" t="str">
        <f>IFERROR(IF(MARÍTIMOS[[#This Row],[Etapa Despacho -  Llegada]]="","",MARÍTIMOS[[#This Row],[Etapa Despacho -  Llegada]]),"")</f>
        <v/>
      </c>
      <c r="AA1039" s="11" t="str">
        <f>IFERROR(IF(MARÍTIMOS[[#This Row],[Etapa Despacho -  Registro]]="","",MARÍTIMOS[[#This Row],[Etapa Despacho - 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 Inicio de Carga]]="","",MARÍTIMOS[[#This Row],[Etapa Despacho -  Inicio de Carga]]),"")</f>
        <v/>
      </c>
      <c r="AD1039" s="11" t="str">
        <f>IFERROR(IF(MARÍTIMOS[[#This Row],[Etapa Despacho -  Fin de Carga]]="","",MARÍTIMOS[[#This Row],[Etapa Despacho -  Fin de Carga]]),"")</f>
        <v/>
      </c>
      <c r="AE1039" s="11" t="str">
        <f>IFERROR(IF(MARÍTIMOS[[#This Row],[Etapa Despacho -  Salida]]="","",MARÍTIMOS[[#This Row],[Etapa Despacho -  Salida]]),"")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5" t="s">
        <v>181</v>
      </c>
      <c r="BB1039" s="53" t="str">
        <f>IFERROR(IF(MARÍTIMOS[[#This Row],[Estatus]]="","",MARÍTIMOS[[#This Row],[Estatus]]),"")</f>
        <v/>
      </c>
      <c r="BC1039" s="45"/>
      <c r="BD1039" s="52" t="str">
        <f>IFERROR(OLDBD[[#This Row],[Salida de almacén de retiro]]-OLDBD[[#This Row],[Ingreso Almacén de retiro]],"")</f>
        <v/>
      </c>
      <c r="BE1039" s="52" t="str">
        <f>IFERROR(OLDBD[[#This Row],[Fin de Carga]]-OLDBD[[#This Row],[Inicio de Carga]],"")</f>
        <v/>
      </c>
    </row>
    <row r="1040" spans="1:57" x14ac:dyDescent="0.35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6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Salida]]="","",MARÍTIMOS[[#This Row],[Etapa Retiro - Salida]]),"")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Row],[Hora de Carga]]+MARÍTIMOS[[#This Row],[Hora de Posicionamiento]]),"")</f>
        <v/>
      </c>
      <c r="Z1040" s="11" t="str">
        <f>IFERROR(IF(MARÍTIMOS[[#This Row],[Etapa Despacho -  Llegada]]="","",MARÍTIMOS[[#This Row],[Etapa Despacho -  Llegada]]),"")</f>
        <v/>
      </c>
      <c r="AA1040" s="11" t="str">
        <f>IFERROR(IF(MARÍTIMOS[[#This Row],[Etapa Despacho -  Registro]]="","",MARÍTIMOS[[#This Row],[Etapa Despacho - 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 Inicio de Carga]]="","",MARÍTIMOS[[#This Row],[Etapa Despacho -  Inicio de Carga]]),"")</f>
        <v/>
      </c>
      <c r="AD1040" s="11" t="str">
        <f>IFERROR(IF(MARÍTIMOS[[#This Row],[Etapa Despacho -  Fin de Carga]]="","",MARÍTIMOS[[#This Row],[Etapa Despacho -  Fin de Carga]]),"")</f>
        <v/>
      </c>
      <c r="AE1040" s="11" t="str">
        <f>IFERROR(IF(MARÍTIMOS[[#This Row],[Etapa Despacho -  Salida]]="","",MARÍTIMOS[[#This Row],[Etapa Despacho -  Salida]]),"")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5" t="s">
        <v>181</v>
      </c>
      <c r="BB1040" s="53" t="str">
        <f>IFERROR(IF(MARÍTIMOS[[#This Row],[Estatus]]="","",MARÍTIMOS[[#This Row],[Estatus]]),"")</f>
        <v/>
      </c>
      <c r="BC1040" s="45"/>
      <c r="BD1040" s="52" t="str">
        <f>IFERROR(OLDBD[[#This Row],[Salida de almacén de retiro]]-OLDBD[[#This Row],[Ingreso Almacén de retiro]],"")</f>
        <v/>
      </c>
      <c r="BE1040" s="52" t="str">
        <f>IFERROR(OLDBD[[#This Row],[Fin de Carga]]-OLDBD[[#This Row],[Inicio de Carga]],"")</f>
        <v/>
      </c>
    </row>
    <row r="1041" spans="1:57" x14ac:dyDescent="0.35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6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Salida]]="","",MARÍTIMOS[[#This Row],[Etapa Retiro - Salida]]),"")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Row],[Hora de Carga]]+MARÍTIMOS[[#This Row],[Hora de Posicionamiento]]),"")</f>
        <v/>
      </c>
      <c r="Z1041" s="11" t="str">
        <f>IFERROR(IF(MARÍTIMOS[[#This Row],[Etapa Despacho -  Llegada]]="","",MARÍTIMOS[[#This Row],[Etapa Despacho -  Llegada]]),"")</f>
        <v/>
      </c>
      <c r="AA1041" s="11" t="str">
        <f>IFERROR(IF(MARÍTIMOS[[#This Row],[Etapa Despacho -  Registro]]="","",MARÍTIMOS[[#This Row],[Etapa Despacho - 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 Inicio de Carga]]="","",MARÍTIMOS[[#This Row],[Etapa Despacho -  Inicio de Carga]]),"")</f>
        <v/>
      </c>
      <c r="AD1041" s="11" t="str">
        <f>IFERROR(IF(MARÍTIMOS[[#This Row],[Etapa Despacho -  Fin de Carga]]="","",MARÍTIMOS[[#This Row],[Etapa Despacho -  Fin de Carga]]),"")</f>
        <v/>
      </c>
      <c r="AE1041" s="11" t="str">
        <f>IFERROR(IF(MARÍTIMOS[[#This Row],[Etapa Despacho -  Salida]]="","",MARÍTIMOS[[#This Row],[Etapa Despacho -  Salida]]),"")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5" t="s">
        <v>181</v>
      </c>
      <c r="BB1041" s="53" t="str">
        <f>IFERROR(IF(MARÍTIMOS[[#This Row],[Estatus]]="","",MARÍTIMOS[[#This Row],[Estatus]]),"")</f>
        <v/>
      </c>
      <c r="BC1041" s="45"/>
      <c r="BD1041" s="52" t="str">
        <f>IFERROR(OLDBD[[#This Row],[Salida de almacén de retiro]]-OLDBD[[#This Row],[Ingreso Almacén de retiro]],"")</f>
        <v/>
      </c>
      <c r="BE1041" s="52" t="str">
        <f>IFERROR(OLDBD[[#This Row],[Fin de Carga]]-OLDBD[[#This Row],[Inicio de Carga]],"")</f>
        <v/>
      </c>
    </row>
    <row r="1042" spans="1:57" x14ac:dyDescent="0.35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6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Salida]]="","",MARÍTIMOS[[#This Row],[Etapa Retiro - Salida]]),"")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Row],[Hora de Carga]]+MARÍTIMOS[[#This Row],[Hora de Posicionamiento]]),"")</f>
        <v/>
      </c>
      <c r="Z1042" s="11" t="str">
        <f>IFERROR(IF(MARÍTIMOS[[#This Row],[Etapa Despacho -  Llegada]]="","",MARÍTIMOS[[#This Row],[Etapa Despacho -  Llegada]]),"")</f>
        <v/>
      </c>
      <c r="AA1042" s="11" t="str">
        <f>IFERROR(IF(MARÍTIMOS[[#This Row],[Etapa Despacho -  Registro]]="","",MARÍTIMOS[[#This Row],[Etapa Despacho - 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 Inicio de Carga]]="","",MARÍTIMOS[[#This Row],[Etapa Despacho -  Inicio de Carga]]),"")</f>
        <v/>
      </c>
      <c r="AD1042" s="11" t="str">
        <f>IFERROR(IF(MARÍTIMOS[[#This Row],[Etapa Despacho -  Fin de Carga]]="","",MARÍTIMOS[[#This Row],[Etapa Despacho -  Fin de Carga]]),"")</f>
        <v/>
      </c>
      <c r="AE1042" s="11" t="str">
        <f>IFERROR(IF(MARÍTIMOS[[#This Row],[Etapa Despacho -  Salida]]="","",MARÍTIMOS[[#This Row],[Etapa Despacho -  Salida]]),"")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5" t="s">
        <v>181</v>
      </c>
      <c r="BB1042" s="53" t="str">
        <f>IFERROR(IF(MARÍTIMOS[[#This Row],[Estatus]]="","",MARÍTIMOS[[#This Row],[Estatus]]),"")</f>
        <v/>
      </c>
      <c r="BC1042" s="45"/>
      <c r="BD1042" s="52" t="str">
        <f>IFERROR(OLDBD[[#This Row],[Salida de almacén de retiro]]-OLDBD[[#This Row],[Ingreso Almacén de retiro]],"")</f>
        <v/>
      </c>
      <c r="BE1042" s="52" t="str">
        <f>IFERROR(OLDBD[[#This Row],[Fin de Carga]]-OLDBD[[#This Row],[Inicio de Carga]],"")</f>
        <v/>
      </c>
    </row>
    <row r="1043" spans="1:57" x14ac:dyDescent="0.35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6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Salida]]="","",MARÍTIMOS[[#This Row],[Etapa Retiro - Salida]]),"")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Row],[Hora de Carga]]+MARÍTIMOS[[#This Row],[Hora de Posicionamiento]]),"")</f>
        <v/>
      </c>
      <c r="Z1043" s="11" t="str">
        <f>IFERROR(IF(MARÍTIMOS[[#This Row],[Etapa Despacho -  Llegada]]="","",MARÍTIMOS[[#This Row],[Etapa Despacho -  Llegada]]),"")</f>
        <v/>
      </c>
      <c r="AA1043" s="11" t="str">
        <f>IFERROR(IF(MARÍTIMOS[[#This Row],[Etapa Despacho -  Registro]]="","",MARÍTIMOS[[#This Row],[Etapa Despacho - 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 Inicio de Carga]]="","",MARÍTIMOS[[#This Row],[Etapa Despacho -  Inicio de Carga]]),"")</f>
        <v/>
      </c>
      <c r="AD1043" s="11" t="str">
        <f>IFERROR(IF(MARÍTIMOS[[#This Row],[Etapa Despacho -  Fin de Carga]]="","",MARÍTIMOS[[#This Row],[Etapa Despacho -  Fin de Carga]]),"")</f>
        <v/>
      </c>
      <c r="AE1043" s="11" t="str">
        <f>IFERROR(IF(MARÍTIMOS[[#This Row],[Etapa Despacho -  Salida]]="","",MARÍTIMOS[[#This Row],[Etapa Despacho -  Salida]]),"")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5" t="s">
        <v>181</v>
      </c>
      <c r="BB1043" s="53" t="str">
        <f>IFERROR(IF(MARÍTIMOS[[#This Row],[Estatus]]="","",MARÍTIMOS[[#This Row],[Estatus]]),"")</f>
        <v/>
      </c>
      <c r="BC1043" s="45"/>
      <c r="BD1043" s="52" t="str">
        <f>IFERROR(OLDBD[[#This Row],[Salida de almacén de retiro]]-OLDBD[[#This Row],[Ingreso Almacén de retiro]],"")</f>
        <v/>
      </c>
      <c r="BE1043" s="52" t="str">
        <f>IFERROR(OLDBD[[#This Row],[Fin de Carga]]-OLDBD[[#This Row],[Inicio de Carga]],"")</f>
        <v/>
      </c>
    </row>
    <row r="1044" spans="1:57" x14ac:dyDescent="0.35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6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Salida]]="","",MARÍTIMOS[[#This Row],[Etapa Retiro - Salida]]),"")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Row],[Hora de Carga]]+MARÍTIMOS[[#This Row],[Hora de Posicionamiento]]),"")</f>
        <v/>
      </c>
      <c r="Z1044" s="11" t="str">
        <f>IFERROR(IF(MARÍTIMOS[[#This Row],[Etapa Despacho -  Llegada]]="","",MARÍTIMOS[[#This Row],[Etapa Despacho -  Llegada]]),"")</f>
        <v/>
      </c>
      <c r="AA1044" s="11" t="str">
        <f>IFERROR(IF(MARÍTIMOS[[#This Row],[Etapa Despacho -  Registro]]="","",MARÍTIMOS[[#This Row],[Etapa Despacho - 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 Inicio de Carga]]="","",MARÍTIMOS[[#This Row],[Etapa Despacho -  Inicio de Carga]]),"")</f>
        <v/>
      </c>
      <c r="AD1044" s="11" t="str">
        <f>IFERROR(IF(MARÍTIMOS[[#This Row],[Etapa Despacho -  Fin de Carga]]="","",MARÍTIMOS[[#This Row],[Etapa Despacho -  Fin de Carga]]),"")</f>
        <v/>
      </c>
      <c r="AE1044" s="11" t="str">
        <f>IFERROR(IF(MARÍTIMOS[[#This Row],[Etapa Despacho -  Salida]]="","",MARÍTIMOS[[#This Row],[Etapa Despacho -  Salida]]),"")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5" t="s">
        <v>181</v>
      </c>
      <c r="BB1044" s="53" t="str">
        <f>IFERROR(IF(MARÍTIMOS[[#This Row],[Estatus]]="","",MARÍTIMOS[[#This Row],[Estatus]]),"")</f>
        <v/>
      </c>
      <c r="BC1044" s="45"/>
      <c r="BD1044" s="52" t="str">
        <f>IFERROR(OLDBD[[#This Row],[Salida de almacén de retiro]]-OLDBD[[#This Row],[Ingreso Almacén de retiro]],"")</f>
        <v/>
      </c>
      <c r="BE1044" s="52" t="str">
        <f>IFERROR(OLDBD[[#This Row],[Fin de Carga]]-OLDBD[[#This Row],[Inicio de Carga]],"")</f>
        <v/>
      </c>
    </row>
    <row r="1045" spans="1:57" x14ac:dyDescent="0.35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6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Salida]]="","",MARÍTIMOS[[#This Row],[Etapa Retiro - Salida]]),"")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Row],[Hora de Carga]]+MARÍTIMOS[[#This Row],[Hora de Posicionamiento]]),"")</f>
        <v/>
      </c>
      <c r="Z1045" s="11" t="str">
        <f>IFERROR(IF(MARÍTIMOS[[#This Row],[Etapa Despacho -  Llegada]]="","",MARÍTIMOS[[#This Row],[Etapa Despacho -  Llegada]]),"")</f>
        <v/>
      </c>
      <c r="AA1045" s="11" t="str">
        <f>IFERROR(IF(MARÍTIMOS[[#This Row],[Etapa Despacho -  Registro]]="","",MARÍTIMOS[[#This Row],[Etapa Despacho - 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 Inicio de Carga]]="","",MARÍTIMOS[[#This Row],[Etapa Despacho -  Inicio de Carga]]),"")</f>
        <v/>
      </c>
      <c r="AD1045" s="11" t="str">
        <f>IFERROR(IF(MARÍTIMOS[[#This Row],[Etapa Despacho -  Fin de Carga]]="","",MARÍTIMOS[[#This Row],[Etapa Despacho -  Fin de Carga]]),"")</f>
        <v/>
      </c>
      <c r="AE1045" s="11" t="str">
        <f>IFERROR(IF(MARÍTIMOS[[#This Row],[Etapa Despacho -  Salida]]="","",MARÍTIMOS[[#This Row],[Etapa Despacho -  Salida]]),"")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5" t="s">
        <v>181</v>
      </c>
      <c r="BB1045" s="53" t="str">
        <f>IFERROR(IF(MARÍTIMOS[[#This Row],[Estatus]]="","",MARÍTIMOS[[#This Row],[Estatus]]),"")</f>
        <v/>
      </c>
      <c r="BC1045" s="45"/>
      <c r="BD1045" s="52" t="str">
        <f>IFERROR(OLDBD[[#This Row],[Salida de almacén de retiro]]-OLDBD[[#This Row],[Ingreso Almacén de retiro]],"")</f>
        <v/>
      </c>
      <c r="BE1045" s="52" t="str">
        <f>IFERROR(OLDBD[[#This Row],[Fin de Carga]]-OLDBD[[#This Row],[Inicio de Carga]],"")</f>
        <v/>
      </c>
    </row>
    <row r="1046" spans="1:57" x14ac:dyDescent="0.35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6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Salida]]="","",MARÍTIMOS[[#This Row],[Etapa Retiro - Salida]]),"")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Row],[Hora de Carga]]+MARÍTIMOS[[#This Row],[Hora de Posicionamiento]]),"")</f>
        <v/>
      </c>
      <c r="Z1046" s="11" t="str">
        <f>IFERROR(IF(MARÍTIMOS[[#This Row],[Etapa Despacho -  Llegada]]="","",MARÍTIMOS[[#This Row],[Etapa Despacho -  Llegada]]),"")</f>
        <v/>
      </c>
      <c r="AA1046" s="11" t="str">
        <f>IFERROR(IF(MARÍTIMOS[[#This Row],[Etapa Despacho -  Registro]]="","",MARÍTIMOS[[#This Row],[Etapa Despacho - 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 Inicio de Carga]]="","",MARÍTIMOS[[#This Row],[Etapa Despacho -  Inicio de Carga]]),"")</f>
        <v/>
      </c>
      <c r="AD1046" s="11" t="str">
        <f>IFERROR(IF(MARÍTIMOS[[#This Row],[Etapa Despacho -  Fin de Carga]]="","",MARÍTIMOS[[#This Row],[Etapa Despacho -  Fin de Carga]]),"")</f>
        <v/>
      </c>
      <c r="AE1046" s="11" t="str">
        <f>IFERROR(IF(MARÍTIMOS[[#This Row],[Etapa Despacho -  Salida]]="","",MARÍTIMOS[[#This Row],[Etapa Despacho -  Salida]]),"")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5" t="s">
        <v>181</v>
      </c>
      <c r="BB1046" s="53" t="str">
        <f>IFERROR(IF(MARÍTIMOS[[#This Row],[Estatus]]="","",MARÍTIMOS[[#This Row],[Estatus]]),"")</f>
        <v/>
      </c>
      <c r="BC1046" s="45"/>
      <c r="BD1046" s="52" t="str">
        <f>IFERROR(OLDBD[[#This Row],[Salida de almacén de retiro]]-OLDBD[[#This Row],[Ingreso Almacén de retiro]],"")</f>
        <v/>
      </c>
      <c r="BE1046" s="52" t="str">
        <f>IFERROR(OLDBD[[#This Row],[Fin de Carga]]-OLDBD[[#This Row],[Inicio de Carga]],"")</f>
        <v/>
      </c>
    </row>
    <row r="1047" spans="1:57" x14ac:dyDescent="0.35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6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Salida]]="","",MARÍTIMOS[[#This Row],[Etapa Retiro - Salida]]),"")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Row],[Hora de Carga]]+MARÍTIMOS[[#This Row],[Hora de Posicionamiento]]),"")</f>
        <v/>
      </c>
      <c r="Z1047" s="11" t="str">
        <f>IFERROR(IF(MARÍTIMOS[[#This Row],[Etapa Despacho -  Llegada]]="","",MARÍTIMOS[[#This Row],[Etapa Despacho -  Llegada]]),"")</f>
        <v/>
      </c>
      <c r="AA1047" s="11" t="str">
        <f>IFERROR(IF(MARÍTIMOS[[#This Row],[Etapa Despacho -  Registro]]="","",MARÍTIMOS[[#This Row],[Etapa Despacho - 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 Inicio de Carga]]="","",MARÍTIMOS[[#This Row],[Etapa Despacho -  Inicio de Carga]]),"")</f>
        <v/>
      </c>
      <c r="AD1047" s="11" t="str">
        <f>IFERROR(IF(MARÍTIMOS[[#This Row],[Etapa Despacho -  Fin de Carga]]="","",MARÍTIMOS[[#This Row],[Etapa Despacho -  Fin de Carga]]),"")</f>
        <v/>
      </c>
      <c r="AE1047" s="11" t="str">
        <f>IFERROR(IF(MARÍTIMOS[[#This Row],[Etapa Despacho -  Salida]]="","",MARÍTIMOS[[#This Row],[Etapa Despacho -  Salida]]),"")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5" t="s">
        <v>181</v>
      </c>
      <c r="BB1047" s="53" t="str">
        <f>IFERROR(IF(MARÍTIMOS[[#This Row],[Estatus]]="","",MARÍTIMOS[[#This Row],[Estatus]]),"")</f>
        <v/>
      </c>
      <c r="BC1047" s="45"/>
      <c r="BD1047" s="52" t="str">
        <f>IFERROR(OLDBD[[#This Row],[Salida de almacén de retiro]]-OLDBD[[#This Row],[Ingreso Almacén de retiro]],"")</f>
        <v/>
      </c>
      <c r="BE1047" s="52" t="str">
        <f>IFERROR(OLDBD[[#This Row],[Fin de Carga]]-OLDBD[[#This Row],[Inicio de Carga]],"")</f>
        <v/>
      </c>
    </row>
    <row r="1048" spans="1:57" x14ac:dyDescent="0.35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6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Salida]]="","",MARÍTIMOS[[#This Row],[Etapa Retiro - Salida]]),"")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Row],[Hora de Carga]]+MARÍTIMOS[[#This Row],[Hora de Posicionamiento]]),"")</f>
        <v/>
      </c>
      <c r="Z1048" s="11" t="str">
        <f>IFERROR(IF(MARÍTIMOS[[#This Row],[Etapa Despacho -  Llegada]]="","",MARÍTIMOS[[#This Row],[Etapa Despacho -  Llegada]]),"")</f>
        <v/>
      </c>
      <c r="AA1048" s="11" t="str">
        <f>IFERROR(IF(MARÍTIMOS[[#This Row],[Etapa Despacho -  Registro]]="","",MARÍTIMOS[[#This Row],[Etapa Despacho - 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 Inicio de Carga]]="","",MARÍTIMOS[[#This Row],[Etapa Despacho -  Inicio de Carga]]),"")</f>
        <v/>
      </c>
      <c r="AD1048" s="11" t="str">
        <f>IFERROR(IF(MARÍTIMOS[[#This Row],[Etapa Despacho -  Fin de Carga]]="","",MARÍTIMOS[[#This Row],[Etapa Despacho -  Fin de Carga]]),"")</f>
        <v/>
      </c>
      <c r="AE1048" s="11" t="str">
        <f>IFERROR(IF(MARÍTIMOS[[#This Row],[Etapa Despacho -  Salida]]="","",MARÍTIMOS[[#This Row],[Etapa Despacho -  Salida]]),"")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5" t="s">
        <v>181</v>
      </c>
      <c r="BB1048" s="53" t="str">
        <f>IFERROR(IF(MARÍTIMOS[[#This Row],[Estatus]]="","",MARÍTIMOS[[#This Row],[Estatus]]),"")</f>
        <v/>
      </c>
      <c r="BC1048" s="45"/>
      <c r="BD1048" s="52" t="str">
        <f>IFERROR(OLDBD[[#This Row],[Salida de almacén de retiro]]-OLDBD[[#This Row],[Ingreso Almacén de retiro]],"")</f>
        <v/>
      </c>
      <c r="BE1048" s="52" t="str">
        <f>IFERROR(OLDBD[[#This Row],[Fin de Carga]]-OLDBD[[#This Row],[Inicio de Carga]],"")</f>
        <v/>
      </c>
    </row>
    <row r="1049" spans="1:57" x14ac:dyDescent="0.35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6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Salida]]="","",MARÍTIMOS[[#This Row],[Etapa Retiro - Salida]]),"")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Row],[Hora de Carga]]+MARÍTIMOS[[#This Row],[Hora de Posicionamiento]]),"")</f>
        <v/>
      </c>
      <c r="Z1049" s="11" t="str">
        <f>IFERROR(IF(MARÍTIMOS[[#This Row],[Etapa Despacho -  Llegada]]="","",MARÍTIMOS[[#This Row],[Etapa Despacho -  Llegada]]),"")</f>
        <v/>
      </c>
      <c r="AA1049" s="11" t="str">
        <f>IFERROR(IF(MARÍTIMOS[[#This Row],[Etapa Despacho -  Registro]]="","",MARÍTIMOS[[#This Row],[Etapa Despacho - 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 Inicio de Carga]]="","",MARÍTIMOS[[#This Row],[Etapa Despacho -  Inicio de Carga]]),"")</f>
        <v/>
      </c>
      <c r="AD1049" s="11" t="str">
        <f>IFERROR(IF(MARÍTIMOS[[#This Row],[Etapa Despacho -  Fin de Carga]]="","",MARÍTIMOS[[#This Row],[Etapa Despacho -  Fin de Carga]]),"")</f>
        <v/>
      </c>
      <c r="AE1049" s="11" t="str">
        <f>IFERROR(IF(MARÍTIMOS[[#This Row],[Etapa Despacho -  Salida]]="","",MARÍTIMOS[[#This Row],[Etapa Despacho -  Salida]]),"")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5" t="s">
        <v>181</v>
      </c>
      <c r="BB1049" s="53" t="str">
        <f>IFERROR(IF(MARÍTIMOS[[#This Row],[Estatus]]="","",MARÍTIMOS[[#This Row],[Estatus]]),"")</f>
        <v/>
      </c>
      <c r="BC1049" s="45"/>
      <c r="BD1049" s="52" t="str">
        <f>IFERROR(OLDBD[[#This Row],[Salida de almacén de retiro]]-OLDBD[[#This Row],[Ingreso Almacén de retiro]],"")</f>
        <v/>
      </c>
      <c r="BE1049" s="52" t="str">
        <f>IFERROR(OLDBD[[#This Row],[Fin de Carga]]-OLDBD[[#This Row],[Inicio de Carga]],"")</f>
        <v/>
      </c>
    </row>
    <row r="1050" spans="1:57" x14ac:dyDescent="0.35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6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Salida]]="","",MARÍTIMOS[[#This Row],[Etapa Retiro - Salida]]),"")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Row],[Hora de Carga]]+MARÍTIMOS[[#This Row],[Hora de Posicionamiento]]),"")</f>
        <v/>
      </c>
      <c r="Z1050" s="11" t="str">
        <f>IFERROR(IF(MARÍTIMOS[[#This Row],[Etapa Despacho -  Llegada]]="","",MARÍTIMOS[[#This Row],[Etapa Despacho -  Llegada]]),"")</f>
        <v/>
      </c>
      <c r="AA1050" s="11" t="str">
        <f>IFERROR(IF(MARÍTIMOS[[#This Row],[Etapa Despacho -  Registro]]="","",MARÍTIMOS[[#This Row],[Etapa Despacho - 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 Inicio de Carga]]="","",MARÍTIMOS[[#This Row],[Etapa Despacho -  Inicio de Carga]]),"")</f>
        <v/>
      </c>
      <c r="AD1050" s="11" t="str">
        <f>IFERROR(IF(MARÍTIMOS[[#This Row],[Etapa Despacho -  Fin de Carga]]="","",MARÍTIMOS[[#This Row],[Etapa Despacho -  Fin de Carga]]),"")</f>
        <v/>
      </c>
      <c r="AE1050" s="11" t="str">
        <f>IFERROR(IF(MARÍTIMOS[[#This Row],[Etapa Despacho -  Salida]]="","",MARÍTIMOS[[#This Row],[Etapa Despacho -  Salida]]),"")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5" t="s">
        <v>181</v>
      </c>
      <c r="BB1050" s="53" t="str">
        <f>IFERROR(IF(MARÍTIMOS[[#This Row],[Estatus]]="","",MARÍTIMOS[[#This Row],[Estatus]]),"")</f>
        <v/>
      </c>
      <c r="BC1050" s="45"/>
      <c r="BD1050" s="52" t="str">
        <f>IFERROR(OLDBD[[#This Row],[Salida de almacén de retiro]]-OLDBD[[#This Row],[Ingreso Almacén de retiro]],"")</f>
        <v/>
      </c>
      <c r="BE1050" s="52" t="str">
        <f>IFERROR(OLDBD[[#This Row],[Fin de Carga]]-OLDBD[[#This Row],[Inicio de Carga]],"")</f>
        <v/>
      </c>
    </row>
    <row r="1051" spans="1:57" x14ac:dyDescent="0.35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6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Salida]]="","",MARÍTIMOS[[#This Row],[Etapa Retiro - Salida]]),"")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Row],[Hora de Carga]]+MARÍTIMOS[[#This Row],[Hora de Posicionamiento]]),"")</f>
        <v/>
      </c>
      <c r="Z1051" s="11" t="str">
        <f>IFERROR(IF(MARÍTIMOS[[#This Row],[Etapa Despacho -  Llegada]]="","",MARÍTIMOS[[#This Row],[Etapa Despacho -  Llegada]]),"")</f>
        <v/>
      </c>
      <c r="AA1051" s="11" t="str">
        <f>IFERROR(IF(MARÍTIMOS[[#This Row],[Etapa Despacho -  Registro]]="","",MARÍTIMOS[[#This Row],[Etapa Despacho - 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 Inicio de Carga]]="","",MARÍTIMOS[[#This Row],[Etapa Despacho -  Inicio de Carga]]),"")</f>
        <v/>
      </c>
      <c r="AD1051" s="11" t="str">
        <f>IFERROR(IF(MARÍTIMOS[[#This Row],[Etapa Despacho -  Fin de Carga]]="","",MARÍTIMOS[[#This Row],[Etapa Despacho -  Fin de Carga]]),"")</f>
        <v/>
      </c>
      <c r="AE1051" s="11" t="str">
        <f>IFERROR(IF(MARÍTIMOS[[#This Row],[Etapa Despacho -  Salida]]="","",MARÍTIMOS[[#This Row],[Etapa Despacho -  Salida]]),"")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5" t="s">
        <v>181</v>
      </c>
      <c r="BB1051" s="53" t="str">
        <f>IFERROR(IF(MARÍTIMOS[[#This Row],[Estatus]]="","",MARÍTIMOS[[#This Row],[Estatus]]),"")</f>
        <v/>
      </c>
      <c r="BC1051" s="45"/>
      <c r="BD1051" s="52" t="str">
        <f>IFERROR(OLDBD[[#This Row],[Salida de almacén de retiro]]-OLDBD[[#This Row],[Ingreso Almacén de retiro]],"")</f>
        <v/>
      </c>
      <c r="BE1051" s="52" t="str">
        <f>IFERROR(OLDBD[[#This Row],[Fin de Carga]]-OLDBD[[#This Row],[Inicio de Carga]],"")</f>
        <v/>
      </c>
    </row>
    <row r="1052" spans="1:57" x14ac:dyDescent="0.35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6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Salida]]="","",MARÍTIMOS[[#This Row],[Etapa Retiro - Salida]]),"")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Row],[Hora de Carga]]+MARÍTIMOS[[#This Row],[Hora de Posicionamiento]]),"")</f>
        <v/>
      </c>
      <c r="Z1052" s="11" t="str">
        <f>IFERROR(IF(MARÍTIMOS[[#This Row],[Etapa Despacho -  Llegada]]="","",MARÍTIMOS[[#This Row],[Etapa Despacho -  Llegada]]),"")</f>
        <v/>
      </c>
      <c r="AA1052" s="11" t="str">
        <f>IFERROR(IF(MARÍTIMOS[[#This Row],[Etapa Despacho -  Registro]]="","",MARÍTIMOS[[#This Row],[Etapa Despacho - 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 Inicio de Carga]]="","",MARÍTIMOS[[#This Row],[Etapa Despacho -  Inicio de Carga]]),"")</f>
        <v/>
      </c>
      <c r="AD1052" s="11" t="str">
        <f>IFERROR(IF(MARÍTIMOS[[#This Row],[Etapa Despacho -  Fin de Carga]]="","",MARÍTIMOS[[#This Row],[Etapa Despacho -  Fin de Carga]]),"")</f>
        <v/>
      </c>
      <c r="AE1052" s="11" t="str">
        <f>IFERROR(IF(MARÍTIMOS[[#This Row],[Etapa Despacho -  Salida]]="","",MARÍTIMOS[[#This Row],[Etapa Despacho -  Salida]]),"")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5" t="s">
        <v>181</v>
      </c>
      <c r="BB1052" s="53" t="str">
        <f>IFERROR(IF(MARÍTIMOS[[#This Row],[Estatus]]="","",MARÍTIMOS[[#This Row],[Estatus]]),"")</f>
        <v/>
      </c>
      <c r="BC1052" s="45"/>
      <c r="BD1052" s="52" t="str">
        <f>IFERROR(OLDBD[[#This Row],[Salida de almacén de retiro]]-OLDBD[[#This Row],[Ingreso Almacén de retiro]],"")</f>
        <v/>
      </c>
      <c r="BE1052" s="52" t="str">
        <f>IFERROR(OLDBD[[#This Row],[Fin de Carga]]-OLDBD[[#This Row],[Inicio de Carga]],"")</f>
        <v/>
      </c>
    </row>
    <row r="1053" spans="1:57" x14ac:dyDescent="0.35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6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Salida]]="","",MARÍTIMOS[[#This Row],[Etapa Retiro - Salida]]),"")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Row],[Hora de Carga]]+MARÍTIMOS[[#This Row],[Hora de Posicionamiento]]),"")</f>
        <v/>
      </c>
      <c r="Z1053" s="11" t="str">
        <f>IFERROR(IF(MARÍTIMOS[[#This Row],[Etapa Despacho -  Llegada]]="","",MARÍTIMOS[[#This Row],[Etapa Despacho -  Llegada]]),"")</f>
        <v/>
      </c>
      <c r="AA1053" s="11" t="str">
        <f>IFERROR(IF(MARÍTIMOS[[#This Row],[Etapa Despacho -  Registro]]="","",MARÍTIMOS[[#This Row],[Etapa Despacho - 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 Inicio de Carga]]="","",MARÍTIMOS[[#This Row],[Etapa Despacho -  Inicio de Carga]]),"")</f>
        <v/>
      </c>
      <c r="AD1053" s="11" t="str">
        <f>IFERROR(IF(MARÍTIMOS[[#This Row],[Etapa Despacho -  Fin de Carga]]="","",MARÍTIMOS[[#This Row],[Etapa Despacho -  Fin de Carga]]),"")</f>
        <v/>
      </c>
      <c r="AE1053" s="11" t="str">
        <f>IFERROR(IF(MARÍTIMOS[[#This Row],[Etapa Despacho -  Salida]]="","",MARÍTIMOS[[#This Row],[Etapa Despacho -  Salida]]),"")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5" t="s">
        <v>181</v>
      </c>
      <c r="BB1053" s="53" t="str">
        <f>IFERROR(IF(MARÍTIMOS[[#This Row],[Estatus]]="","",MARÍTIMOS[[#This Row],[Estatus]]),"")</f>
        <v/>
      </c>
      <c r="BC1053" s="45"/>
      <c r="BD1053" s="52" t="str">
        <f>IFERROR(OLDBD[[#This Row],[Salida de almacén de retiro]]-OLDBD[[#This Row],[Ingreso Almacén de retiro]],"")</f>
        <v/>
      </c>
      <c r="BE1053" s="52" t="str">
        <f>IFERROR(OLDBD[[#This Row],[Fin de Carga]]-OLDBD[[#This Row],[Inicio de Carga]],"")</f>
        <v/>
      </c>
    </row>
    <row r="1054" spans="1:57" x14ac:dyDescent="0.35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6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Salida]]="","",MARÍTIMOS[[#This Row],[Etapa Retiro - Salida]]),"")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Row],[Hora de Carga]]+MARÍTIMOS[[#This Row],[Hora de Posicionamiento]]),"")</f>
        <v/>
      </c>
      <c r="Z1054" s="11" t="str">
        <f>IFERROR(IF(MARÍTIMOS[[#This Row],[Etapa Despacho -  Llegada]]="","",MARÍTIMOS[[#This Row],[Etapa Despacho -  Llegada]]),"")</f>
        <v/>
      </c>
      <c r="AA1054" s="11" t="str">
        <f>IFERROR(IF(MARÍTIMOS[[#This Row],[Etapa Despacho -  Registro]]="","",MARÍTIMOS[[#This Row],[Etapa Despacho - 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 Inicio de Carga]]="","",MARÍTIMOS[[#This Row],[Etapa Despacho -  Inicio de Carga]]),"")</f>
        <v/>
      </c>
      <c r="AD1054" s="11" t="str">
        <f>IFERROR(IF(MARÍTIMOS[[#This Row],[Etapa Despacho -  Fin de Carga]]="","",MARÍTIMOS[[#This Row],[Etapa Despacho -  Fin de Carga]]),"")</f>
        <v/>
      </c>
      <c r="AE1054" s="11" t="str">
        <f>IFERROR(IF(MARÍTIMOS[[#This Row],[Etapa Despacho -  Salida]]="","",MARÍTIMOS[[#This Row],[Etapa Despacho -  Salida]]),"")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5" t="s">
        <v>181</v>
      </c>
      <c r="BB1054" s="53" t="str">
        <f>IFERROR(IF(MARÍTIMOS[[#This Row],[Estatus]]="","",MARÍTIMOS[[#This Row],[Estatus]]),"")</f>
        <v/>
      </c>
      <c r="BC1054" s="45"/>
      <c r="BD1054" s="52" t="str">
        <f>IFERROR(OLDBD[[#This Row],[Salida de almacén de retiro]]-OLDBD[[#This Row],[Ingreso Almacén de retiro]],"")</f>
        <v/>
      </c>
      <c r="BE1054" s="52" t="str">
        <f>IFERROR(OLDBD[[#This Row],[Fin de Carga]]-OLDBD[[#This Row],[Inicio de Carga]],"")</f>
        <v/>
      </c>
    </row>
    <row r="1055" spans="1:57" x14ac:dyDescent="0.35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6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Salida]]="","",MARÍTIMOS[[#This Row],[Etapa Retiro - Salida]]),"")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Row],[Hora de Carga]]+MARÍTIMOS[[#This Row],[Hora de Posicionamiento]]),"")</f>
        <v/>
      </c>
      <c r="Z1055" s="11" t="str">
        <f>IFERROR(IF(MARÍTIMOS[[#This Row],[Etapa Despacho -  Llegada]]="","",MARÍTIMOS[[#This Row],[Etapa Despacho -  Llegada]]),"")</f>
        <v/>
      </c>
      <c r="AA1055" s="11" t="str">
        <f>IFERROR(IF(MARÍTIMOS[[#This Row],[Etapa Despacho -  Registro]]="","",MARÍTIMOS[[#This Row],[Etapa Despacho - 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 Inicio de Carga]]="","",MARÍTIMOS[[#This Row],[Etapa Despacho -  Inicio de Carga]]),"")</f>
        <v/>
      </c>
      <c r="AD1055" s="11" t="str">
        <f>IFERROR(IF(MARÍTIMOS[[#This Row],[Etapa Despacho -  Fin de Carga]]="","",MARÍTIMOS[[#This Row],[Etapa Despacho -  Fin de Carga]]),"")</f>
        <v/>
      </c>
      <c r="AE1055" s="11" t="str">
        <f>IFERROR(IF(MARÍTIMOS[[#This Row],[Etapa Despacho -  Salida]]="","",MARÍTIMOS[[#This Row],[Etapa Despacho -  Salida]]),"")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5" t="s">
        <v>181</v>
      </c>
      <c r="BB1055" s="53" t="str">
        <f>IFERROR(IF(MARÍTIMOS[[#This Row],[Estatus]]="","",MARÍTIMOS[[#This Row],[Estatus]]),"")</f>
        <v/>
      </c>
      <c r="BC1055" s="45"/>
      <c r="BD1055" s="52" t="str">
        <f>IFERROR(OLDBD[[#This Row],[Salida de almacén de retiro]]-OLDBD[[#This Row],[Ingreso Almacén de retiro]],"")</f>
        <v/>
      </c>
      <c r="BE1055" s="52" t="str">
        <f>IFERROR(OLDBD[[#This Row],[Fin de Carga]]-OLDBD[[#This Row],[Inicio de Carga]],"")</f>
        <v/>
      </c>
    </row>
    <row r="1056" spans="1:57" x14ac:dyDescent="0.35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6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Salida]]="","",MARÍTIMOS[[#This Row],[Etapa Retiro - Salida]]),"")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Row],[Hora de Carga]]+MARÍTIMOS[[#This Row],[Hora de Posicionamiento]]),"")</f>
        <v/>
      </c>
      <c r="Z1056" s="11" t="str">
        <f>IFERROR(IF(MARÍTIMOS[[#This Row],[Etapa Despacho -  Llegada]]="","",MARÍTIMOS[[#This Row],[Etapa Despacho -  Llegada]]),"")</f>
        <v/>
      </c>
      <c r="AA1056" s="11" t="str">
        <f>IFERROR(IF(MARÍTIMOS[[#This Row],[Etapa Despacho -  Registro]]="","",MARÍTIMOS[[#This Row],[Etapa Despacho - 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 Inicio de Carga]]="","",MARÍTIMOS[[#This Row],[Etapa Despacho -  Inicio de Carga]]),"")</f>
        <v/>
      </c>
      <c r="AD1056" s="11" t="str">
        <f>IFERROR(IF(MARÍTIMOS[[#This Row],[Etapa Despacho -  Fin de Carga]]="","",MARÍTIMOS[[#This Row],[Etapa Despacho -  Fin de Carga]]),"")</f>
        <v/>
      </c>
      <c r="AE1056" s="11" t="str">
        <f>IFERROR(IF(MARÍTIMOS[[#This Row],[Etapa Despacho -  Salida]]="","",MARÍTIMOS[[#This Row],[Etapa Despacho -  Salida]]),"")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5" t="s">
        <v>181</v>
      </c>
      <c r="BB1056" s="53" t="str">
        <f>IFERROR(IF(MARÍTIMOS[[#This Row],[Estatus]]="","",MARÍTIMOS[[#This Row],[Estatus]]),"")</f>
        <v/>
      </c>
      <c r="BC1056" s="45"/>
      <c r="BD1056" s="52" t="str">
        <f>IFERROR(OLDBD[[#This Row],[Salida de almacén de retiro]]-OLDBD[[#This Row],[Ingreso Almacén de retiro]],"")</f>
        <v/>
      </c>
      <c r="BE1056" s="52" t="str">
        <f>IFERROR(OLDBD[[#This Row],[Fin de Carga]]-OLDBD[[#This Row],[Inicio de Carga]],"")</f>
        <v/>
      </c>
    </row>
    <row r="1057" spans="1:57" x14ac:dyDescent="0.35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6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Salida]]="","",MARÍTIMOS[[#This Row],[Etapa Retiro - Salida]]),"")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Row],[Hora de Carga]]+MARÍTIMOS[[#This Row],[Hora de Posicionamiento]]),"")</f>
        <v/>
      </c>
      <c r="Z1057" s="11" t="str">
        <f>IFERROR(IF(MARÍTIMOS[[#This Row],[Etapa Despacho -  Llegada]]="","",MARÍTIMOS[[#This Row],[Etapa Despacho -  Llegada]]),"")</f>
        <v/>
      </c>
      <c r="AA1057" s="11" t="str">
        <f>IFERROR(IF(MARÍTIMOS[[#This Row],[Etapa Despacho -  Registro]]="","",MARÍTIMOS[[#This Row],[Etapa Despacho - 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 Inicio de Carga]]="","",MARÍTIMOS[[#This Row],[Etapa Despacho -  Inicio de Carga]]),"")</f>
        <v/>
      </c>
      <c r="AD1057" s="11" t="str">
        <f>IFERROR(IF(MARÍTIMOS[[#This Row],[Etapa Despacho -  Fin de Carga]]="","",MARÍTIMOS[[#This Row],[Etapa Despacho -  Fin de Carga]]),"")</f>
        <v/>
      </c>
      <c r="AE1057" s="11" t="str">
        <f>IFERROR(IF(MARÍTIMOS[[#This Row],[Etapa Despacho -  Salida]]="","",MARÍTIMOS[[#This Row],[Etapa Despacho -  Salida]]),"")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5" t="s">
        <v>181</v>
      </c>
      <c r="BB1057" s="53" t="str">
        <f>IFERROR(IF(MARÍTIMOS[[#This Row],[Estatus]]="","",MARÍTIMOS[[#This Row],[Estatus]]),"")</f>
        <v/>
      </c>
      <c r="BC1057" s="45"/>
      <c r="BD1057" s="52" t="str">
        <f>IFERROR(OLDBD[[#This Row],[Salida de almacén de retiro]]-OLDBD[[#This Row],[Ingreso Almacén de retiro]],"")</f>
        <v/>
      </c>
      <c r="BE1057" s="52" t="str">
        <f>IFERROR(OLDBD[[#This Row],[Fin de Carga]]-OLDBD[[#This Row],[Inicio de Carga]],"")</f>
        <v/>
      </c>
    </row>
    <row r="1058" spans="1:57" x14ac:dyDescent="0.35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6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Salida]]="","",MARÍTIMOS[[#This Row],[Etapa Retiro - Salida]]),"")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Row],[Hora de Carga]]+MARÍTIMOS[[#This Row],[Hora de Posicionamiento]]),"")</f>
        <v/>
      </c>
      <c r="Z1058" s="11" t="str">
        <f>IFERROR(IF(MARÍTIMOS[[#This Row],[Etapa Despacho -  Llegada]]="","",MARÍTIMOS[[#This Row],[Etapa Despacho -  Llegada]]),"")</f>
        <v/>
      </c>
      <c r="AA1058" s="11" t="str">
        <f>IFERROR(IF(MARÍTIMOS[[#This Row],[Etapa Despacho -  Registro]]="","",MARÍTIMOS[[#This Row],[Etapa Despacho - 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 Inicio de Carga]]="","",MARÍTIMOS[[#This Row],[Etapa Despacho -  Inicio de Carga]]),"")</f>
        <v/>
      </c>
      <c r="AD1058" s="11" t="str">
        <f>IFERROR(IF(MARÍTIMOS[[#This Row],[Etapa Despacho -  Fin de Carga]]="","",MARÍTIMOS[[#This Row],[Etapa Despacho -  Fin de Carga]]),"")</f>
        <v/>
      </c>
      <c r="AE1058" s="11" t="str">
        <f>IFERROR(IF(MARÍTIMOS[[#This Row],[Etapa Despacho -  Salida]]="","",MARÍTIMOS[[#This Row],[Etapa Despacho -  Salida]]),"")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5" t="s">
        <v>181</v>
      </c>
      <c r="BB1058" s="53" t="str">
        <f>IFERROR(IF(MARÍTIMOS[[#This Row],[Estatus]]="","",MARÍTIMOS[[#This Row],[Estatus]]),"")</f>
        <v/>
      </c>
      <c r="BC1058" s="45"/>
      <c r="BD1058" s="52" t="str">
        <f>IFERROR(OLDBD[[#This Row],[Salida de almacén de retiro]]-OLDBD[[#This Row],[Ingreso Almacén de retiro]],"")</f>
        <v/>
      </c>
      <c r="BE1058" s="52" t="str">
        <f>IFERROR(OLDBD[[#This Row],[Fin de Carga]]-OLDBD[[#This Row],[Inicio de Carga]],"")</f>
        <v/>
      </c>
    </row>
    <row r="1059" spans="1:57" x14ac:dyDescent="0.35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6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Salida]]="","",MARÍTIMOS[[#This Row],[Etapa Retiro - Salida]]),"")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Row],[Hora de Carga]]+MARÍTIMOS[[#This Row],[Hora de Posicionamiento]]),"")</f>
        <v/>
      </c>
      <c r="Z1059" s="11" t="str">
        <f>IFERROR(IF(MARÍTIMOS[[#This Row],[Etapa Despacho -  Llegada]]="","",MARÍTIMOS[[#This Row],[Etapa Despacho -  Llegada]]),"")</f>
        <v/>
      </c>
      <c r="AA1059" s="11" t="str">
        <f>IFERROR(IF(MARÍTIMOS[[#This Row],[Etapa Despacho -  Registro]]="","",MARÍTIMOS[[#This Row],[Etapa Despacho - 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 Inicio de Carga]]="","",MARÍTIMOS[[#This Row],[Etapa Despacho -  Inicio de Carga]]),"")</f>
        <v/>
      </c>
      <c r="AD1059" s="11" t="str">
        <f>IFERROR(IF(MARÍTIMOS[[#This Row],[Etapa Despacho -  Fin de Carga]]="","",MARÍTIMOS[[#This Row],[Etapa Despacho -  Fin de Carga]]),"")</f>
        <v/>
      </c>
      <c r="AE1059" s="11" t="str">
        <f>IFERROR(IF(MARÍTIMOS[[#This Row],[Etapa Despacho -  Salida]]="","",MARÍTIMOS[[#This Row],[Etapa Despacho -  Salida]]),"")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5" t="s">
        <v>181</v>
      </c>
      <c r="BB1059" s="53" t="str">
        <f>IFERROR(IF(MARÍTIMOS[[#This Row],[Estatus]]="","",MARÍTIMOS[[#This Row],[Estatus]]),"")</f>
        <v/>
      </c>
      <c r="BC1059" s="45"/>
      <c r="BD1059" s="52" t="str">
        <f>IFERROR(OLDBD[[#This Row],[Salida de almacén de retiro]]-OLDBD[[#This Row],[Ingreso Almacén de retiro]],"")</f>
        <v/>
      </c>
      <c r="BE1059" s="52" t="str">
        <f>IFERROR(OLDBD[[#This Row],[Fin de Carga]]-OLDBD[[#This Row],[Inicio de Carga]],"")</f>
        <v/>
      </c>
    </row>
    <row r="1060" spans="1:57" x14ac:dyDescent="0.35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6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Salida]]="","",MARÍTIMOS[[#This Row],[Etapa Retiro - Salida]]),"")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Row],[Hora de Carga]]+MARÍTIMOS[[#This Row],[Hora de Posicionamiento]]),"")</f>
        <v/>
      </c>
      <c r="Z1060" s="11" t="str">
        <f>IFERROR(IF(MARÍTIMOS[[#This Row],[Etapa Despacho -  Llegada]]="","",MARÍTIMOS[[#This Row],[Etapa Despacho -  Llegada]]),"")</f>
        <v/>
      </c>
      <c r="AA1060" s="11" t="str">
        <f>IFERROR(IF(MARÍTIMOS[[#This Row],[Etapa Despacho -  Registro]]="","",MARÍTIMOS[[#This Row],[Etapa Despacho - 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 Inicio de Carga]]="","",MARÍTIMOS[[#This Row],[Etapa Despacho -  Inicio de Carga]]),"")</f>
        <v/>
      </c>
      <c r="AD1060" s="11" t="str">
        <f>IFERROR(IF(MARÍTIMOS[[#This Row],[Etapa Despacho -  Fin de Carga]]="","",MARÍTIMOS[[#This Row],[Etapa Despacho -  Fin de Carga]]),"")</f>
        <v/>
      </c>
      <c r="AE1060" s="11" t="str">
        <f>IFERROR(IF(MARÍTIMOS[[#This Row],[Etapa Despacho -  Salida]]="","",MARÍTIMOS[[#This Row],[Etapa Despacho -  Salida]]),"")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5" t="s">
        <v>181</v>
      </c>
      <c r="BB1060" s="53" t="str">
        <f>IFERROR(IF(MARÍTIMOS[[#This Row],[Estatus]]="","",MARÍTIMOS[[#This Row],[Estatus]]),"")</f>
        <v/>
      </c>
      <c r="BC1060" s="45"/>
      <c r="BD1060" s="52" t="str">
        <f>IFERROR(OLDBD[[#This Row],[Salida de almacén de retiro]]-OLDBD[[#This Row],[Ingreso Almacén de retiro]],"")</f>
        <v/>
      </c>
      <c r="BE1060" s="52" t="str">
        <f>IFERROR(OLDBD[[#This Row],[Fin de Carga]]-OLDBD[[#This Row],[Inicio de Carga]],"")</f>
        <v/>
      </c>
    </row>
    <row r="1061" spans="1:57" x14ac:dyDescent="0.35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6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Salida]]="","",MARÍTIMOS[[#This Row],[Etapa Retiro - Salida]]),"")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Row],[Hora de Carga]]+MARÍTIMOS[[#This Row],[Hora de Posicionamiento]]),"")</f>
        <v/>
      </c>
      <c r="Z1061" s="11" t="str">
        <f>IFERROR(IF(MARÍTIMOS[[#This Row],[Etapa Despacho -  Llegada]]="","",MARÍTIMOS[[#This Row],[Etapa Despacho -  Llegada]]),"")</f>
        <v/>
      </c>
      <c r="AA1061" s="11" t="str">
        <f>IFERROR(IF(MARÍTIMOS[[#This Row],[Etapa Despacho -  Registro]]="","",MARÍTIMOS[[#This Row],[Etapa Despacho - 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 Inicio de Carga]]="","",MARÍTIMOS[[#This Row],[Etapa Despacho -  Inicio de Carga]]),"")</f>
        <v/>
      </c>
      <c r="AD1061" s="11" t="str">
        <f>IFERROR(IF(MARÍTIMOS[[#This Row],[Etapa Despacho -  Fin de Carga]]="","",MARÍTIMOS[[#This Row],[Etapa Despacho -  Fin de Carga]]),"")</f>
        <v/>
      </c>
      <c r="AE1061" s="11" t="str">
        <f>IFERROR(IF(MARÍTIMOS[[#This Row],[Etapa Despacho -  Salida]]="","",MARÍTIMOS[[#This Row],[Etapa Despacho -  Salida]]),"")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5" t="s">
        <v>181</v>
      </c>
      <c r="BB1061" s="53" t="str">
        <f>IFERROR(IF(MARÍTIMOS[[#This Row],[Estatus]]="","",MARÍTIMOS[[#This Row],[Estatus]]),"")</f>
        <v/>
      </c>
      <c r="BC1061" s="45"/>
      <c r="BD1061" s="52" t="str">
        <f>IFERROR(OLDBD[[#This Row],[Salida de almacén de retiro]]-OLDBD[[#This Row],[Ingreso Almacén de retiro]],"")</f>
        <v/>
      </c>
      <c r="BE1061" s="52" t="str">
        <f>IFERROR(OLDBD[[#This Row],[Fin de Carga]]-OLDBD[[#This Row],[Inicio de Carga]],"")</f>
        <v/>
      </c>
    </row>
    <row r="1062" spans="1:57" x14ac:dyDescent="0.35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6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Salida]]="","",MARÍTIMOS[[#This Row],[Etapa Retiro - Salida]]),"")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Row],[Hora de Carga]]+MARÍTIMOS[[#This Row],[Hora de Posicionamiento]]),"")</f>
        <v/>
      </c>
      <c r="Z1062" s="11" t="str">
        <f>IFERROR(IF(MARÍTIMOS[[#This Row],[Etapa Despacho -  Llegada]]="","",MARÍTIMOS[[#This Row],[Etapa Despacho -  Llegada]]),"")</f>
        <v/>
      </c>
      <c r="AA1062" s="11" t="str">
        <f>IFERROR(IF(MARÍTIMOS[[#This Row],[Etapa Despacho -  Registro]]="","",MARÍTIMOS[[#This Row],[Etapa Despacho - 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 Inicio de Carga]]="","",MARÍTIMOS[[#This Row],[Etapa Despacho -  Inicio de Carga]]),"")</f>
        <v/>
      </c>
      <c r="AD1062" s="11" t="str">
        <f>IFERROR(IF(MARÍTIMOS[[#This Row],[Etapa Despacho -  Fin de Carga]]="","",MARÍTIMOS[[#This Row],[Etapa Despacho -  Fin de Carga]]),"")</f>
        <v/>
      </c>
      <c r="AE1062" s="11" t="str">
        <f>IFERROR(IF(MARÍTIMOS[[#This Row],[Etapa Despacho -  Salida]]="","",MARÍTIMOS[[#This Row],[Etapa Despacho -  Salida]]),"")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5" t="s">
        <v>181</v>
      </c>
      <c r="BB1062" s="53" t="str">
        <f>IFERROR(IF(MARÍTIMOS[[#This Row],[Estatus]]="","",MARÍTIMOS[[#This Row],[Estatus]]),"")</f>
        <v/>
      </c>
      <c r="BC1062" s="45"/>
      <c r="BD1062" s="52" t="str">
        <f>IFERROR(OLDBD[[#This Row],[Salida de almacén de retiro]]-OLDBD[[#This Row],[Ingreso Almacén de retiro]],"")</f>
        <v/>
      </c>
      <c r="BE1062" s="52" t="str">
        <f>IFERROR(OLDBD[[#This Row],[Fin de Carga]]-OLDBD[[#This Row],[Inicio de Carga]],"")</f>
        <v/>
      </c>
    </row>
    <row r="1063" spans="1:57" x14ac:dyDescent="0.35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6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Salida]]="","",MARÍTIMOS[[#This Row],[Etapa Retiro - Salida]]),"")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Row],[Hora de Carga]]+MARÍTIMOS[[#This Row],[Hora de Posicionamiento]]),"")</f>
        <v/>
      </c>
      <c r="Z1063" s="11" t="str">
        <f>IFERROR(IF(MARÍTIMOS[[#This Row],[Etapa Despacho -  Llegada]]="","",MARÍTIMOS[[#This Row],[Etapa Despacho -  Llegada]]),"")</f>
        <v/>
      </c>
      <c r="AA1063" s="11" t="str">
        <f>IFERROR(IF(MARÍTIMOS[[#This Row],[Etapa Despacho -  Registro]]="","",MARÍTIMOS[[#This Row],[Etapa Despacho - 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 Inicio de Carga]]="","",MARÍTIMOS[[#This Row],[Etapa Despacho -  Inicio de Carga]]),"")</f>
        <v/>
      </c>
      <c r="AD1063" s="11" t="str">
        <f>IFERROR(IF(MARÍTIMOS[[#This Row],[Etapa Despacho -  Fin de Carga]]="","",MARÍTIMOS[[#This Row],[Etapa Despacho -  Fin de Carga]]),"")</f>
        <v/>
      </c>
      <c r="AE1063" s="11" t="str">
        <f>IFERROR(IF(MARÍTIMOS[[#This Row],[Etapa Despacho -  Salida]]="","",MARÍTIMOS[[#This Row],[Etapa Despacho -  Salida]]),"")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5" t="s">
        <v>181</v>
      </c>
      <c r="BB1063" s="53" t="str">
        <f>IFERROR(IF(MARÍTIMOS[[#This Row],[Estatus]]="","",MARÍTIMOS[[#This Row],[Estatus]]),"")</f>
        <v/>
      </c>
      <c r="BC1063" s="45"/>
      <c r="BD1063" s="52" t="str">
        <f>IFERROR(OLDBD[[#This Row],[Salida de almacén de retiro]]-OLDBD[[#This Row],[Ingreso Almacén de retiro]],"")</f>
        <v/>
      </c>
      <c r="BE1063" s="52" t="str">
        <f>IFERROR(OLDBD[[#This Row],[Fin de Carga]]-OLDBD[[#This Row],[Inicio de Carga]],"")</f>
        <v/>
      </c>
    </row>
    <row r="1064" spans="1:57" x14ac:dyDescent="0.35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6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Salida]]="","",MARÍTIMOS[[#This Row],[Etapa Retiro - Salida]]),"")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Row],[Hora de Carga]]+MARÍTIMOS[[#This Row],[Hora de Posicionamiento]]),"")</f>
        <v/>
      </c>
      <c r="Z1064" s="11" t="str">
        <f>IFERROR(IF(MARÍTIMOS[[#This Row],[Etapa Despacho -  Llegada]]="","",MARÍTIMOS[[#This Row],[Etapa Despacho -  Llegada]]),"")</f>
        <v/>
      </c>
      <c r="AA1064" s="11" t="str">
        <f>IFERROR(IF(MARÍTIMOS[[#This Row],[Etapa Despacho -  Registro]]="","",MARÍTIMOS[[#This Row],[Etapa Despacho - 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 Inicio de Carga]]="","",MARÍTIMOS[[#This Row],[Etapa Despacho -  Inicio de Carga]]),"")</f>
        <v/>
      </c>
      <c r="AD1064" s="11" t="str">
        <f>IFERROR(IF(MARÍTIMOS[[#This Row],[Etapa Despacho -  Fin de Carga]]="","",MARÍTIMOS[[#This Row],[Etapa Despacho -  Fin de Carga]]),"")</f>
        <v/>
      </c>
      <c r="AE1064" s="11" t="str">
        <f>IFERROR(IF(MARÍTIMOS[[#This Row],[Etapa Despacho -  Salida]]="","",MARÍTIMOS[[#This Row],[Etapa Despacho -  Salida]]),"")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5" t="s">
        <v>181</v>
      </c>
      <c r="BB1064" s="53" t="str">
        <f>IFERROR(IF(MARÍTIMOS[[#This Row],[Estatus]]="","",MARÍTIMOS[[#This Row],[Estatus]]),"")</f>
        <v/>
      </c>
      <c r="BC1064" s="45"/>
      <c r="BD1064" s="52" t="str">
        <f>IFERROR(OLDBD[[#This Row],[Salida de almacén de retiro]]-OLDBD[[#This Row],[Ingreso Almacén de retiro]],"")</f>
        <v/>
      </c>
      <c r="BE1064" s="52" t="str">
        <f>IFERROR(OLDBD[[#This Row],[Fin de Carga]]-OLDBD[[#This Row],[Inicio de Carga]],"")</f>
        <v/>
      </c>
    </row>
    <row r="1065" spans="1:57" x14ac:dyDescent="0.35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6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Salida]]="","",MARÍTIMOS[[#This Row],[Etapa Retiro - Salida]]),"")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Row],[Hora de Carga]]+MARÍTIMOS[[#This Row],[Hora de Posicionamiento]]),"")</f>
        <v/>
      </c>
      <c r="Z1065" s="11" t="str">
        <f>IFERROR(IF(MARÍTIMOS[[#This Row],[Etapa Despacho -  Llegada]]="","",MARÍTIMOS[[#This Row],[Etapa Despacho -  Llegada]]),"")</f>
        <v/>
      </c>
      <c r="AA1065" s="11" t="str">
        <f>IFERROR(IF(MARÍTIMOS[[#This Row],[Etapa Despacho -  Registro]]="","",MARÍTIMOS[[#This Row],[Etapa Despacho - 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 Inicio de Carga]]="","",MARÍTIMOS[[#This Row],[Etapa Despacho -  Inicio de Carga]]),"")</f>
        <v/>
      </c>
      <c r="AD1065" s="11" t="str">
        <f>IFERROR(IF(MARÍTIMOS[[#This Row],[Etapa Despacho -  Fin de Carga]]="","",MARÍTIMOS[[#This Row],[Etapa Despacho -  Fin de Carga]]),"")</f>
        <v/>
      </c>
      <c r="AE1065" s="11" t="str">
        <f>IFERROR(IF(MARÍTIMOS[[#This Row],[Etapa Despacho -  Salida]]="","",MARÍTIMOS[[#This Row],[Etapa Despacho -  Salida]]),"")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5" t="s">
        <v>181</v>
      </c>
      <c r="BB1065" s="53" t="str">
        <f>IFERROR(IF(MARÍTIMOS[[#This Row],[Estatus]]="","",MARÍTIMOS[[#This Row],[Estatus]]),"")</f>
        <v/>
      </c>
      <c r="BC1065" s="45"/>
      <c r="BD1065" s="52" t="str">
        <f>IFERROR(OLDBD[[#This Row],[Salida de almacén de retiro]]-OLDBD[[#This Row],[Ingreso Almacén de retiro]],"")</f>
        <v/>
      </c>
      <c r="BE1065" s="52" t="str">
        <f>IFERROR(OLDBD[[#This Row],[Fin de Carga]]-OLDBD[[#This Row],[Inicio de Carga]],"")</f>
        <v/>
      </c>
    </row>
    <row r="1066" spans="1:57" x14ac:dyDescent="0.35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6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Salida]]="","",MARÍTIMOS[[#This Row],[Etapa Retiro - Salida]]),"")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Row],[Hora de Carga]]+MARÍTIMOS[[#This Row],[Hora de Posicionamiento]]),"")</f>
        <v/>
      </c>
      <c r="Z1066" s="11" t="str">
        <f>IFERROR(IF(MARÍTIMOS[[#This Row],[Etapa Despacho -  Llegada]]="","",MARÍTIMOS[[#This Row],[Etapa Despacho -  Llegada]]),"")</f>
        <v/>
      </c>
      <c r="AA1066" s="11" t="str">
        <f>IFERROR(IF(MARÍTIMOS[[#This Row],[Etapa Despacho -  Registro]]="","",MARÍTIMOS[[#This Row],[Etapa Despacho - 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 Inicio de Carga]]="","",MARÍTIMOS[[#This Row],[Etapa Despacho -  Inicio de Carga]]),"")</f>
        <v/>
      </c>
      <c r="AD1066" s="11" t="str">
        <f>IFERROR(IF(MARÍTIMOS[[#This Row],[Etapa Despacho -  Fin de Carga]]="","",MARÍTIMOS[[#This Row],[Etapa Despacho -  Fin de Carga]]),"")</f>
        <v/>
      </c>
      <c r="AE1066" s="11" t="str">
        <f>IFERROR(IF(MARÍTIMOS[[#This Row],[Etapa Despacho -  Salida]]="","",MARÍTIMOS[[#This Row],[Etapa Despacho -  Salida]]),"")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5" t="s">
        <v>181</v>
      </c>
      <c r="BB1066" s="53" t="str">
        <f>IFERROR(IF(MARÍTIMOS[[#This Row],[Estatus]]="","",MARÍTIMOS[[#This Row],[Estatus]]),"")</f>
        <v/>
      </c>
      <c r="BC1066" s="45"/>
      <c r="BD1066" s="52" t="str">
        <f>IFERROR(OLDBD[[#This Row],[Salida de almacén de retiro]]-OLDBD[[#This Row],[Ingreso Almacén de retiro]],"")</f>
        <v/>
      </c>
      <c r="BE1066" s="52" t="str">
        <f>IFERROR(OLDBD[[#This Row],[Fin de Carga]]-OLDBD[[#This Row],[Inicio de Carga]],"")</f>
        <v/>
      </c>
    </row>
    <row r="1067" spans="1:57" x14ac:dyDescent="0.35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6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Salida]]="","",MARÍTIMOS[[#This Row],[Etapa Retiro - Salida]]),"")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Row],[Hora de Carga]]+MARÍTIMOS[[#This Row],[Hora de Posicionamiento]]),"")</f>
        <v/>
      </c>
      <c r="Z1067" s="11" t="str">
        <f>IFERROR(IF(MARÍTIMOS[[#This Row],[Etapa Despacho -  Llegada]]="","",MARÍTIMOS[[#This Row],[Etapa Despacho -  Llegada]]),"")</f>
        <v/>
      </c>
      <c r="AA1067" s="11" t="str">
        <f>IFERROR(IF(MARÍTIMOS[[#This Row],[Etapa Despacho -  Registro]]="","",MARÍTIMOS[[#This Row],[Etapa Despacho - 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 Inicio de Carga]]="","",MARÍTIMOS[[#This Row],[Etapa Despacho -  Inicio de Carga]]),"")</f>
        <v/>
      </c>
      <c r="AD1067" s="11" t="str">
        <f>IFERROR(IF(MARÍTIMOS[[#This Row],[Etapa Despacho -  Fin de Carga]]="","",MARÍTIMOS[[#This Row],[Etapa Despacho -  Fin de Carga]]),"")</f>
        <v/>
      </c>
      <c r="AE1067" s="11" t="str">
        <f>IFERROR(IF(MARÍTIMOS[[#This Row],[Etapa Despacho -  Salida]]="","",MARÍTIMOS[[#This Row],[Etapa Despacho -  Salida]]),"")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5" t="s">
        <v>181</v>
      </c>
      <c r="BB1067" s="53" t="str">
        <f>IFERROR(IF(MARÍTIMOS[[#This Row],[Estatus]]="","",MARÍTIMOS[[#This Row],[Estatus]]),"")</f>
        <v/>
      </c>
      <c r="BC1067" s="45"/>
      <c r="BD1067" s="52" t="str">
        <f>IFERROR(OLDBD[[#This Row],[Salida de almacén de retiro]]-OLDBD[[#This Row],[Ingreso Almacén de retiro]],"")</f>
        <v/>
      </c>
      <c r="BE1067" s="52" t="str">
        <f>IFERROR(OLDBD[[#This Row],[Fin de Carga]]-OLDBD[[#This Row],[Inicio de Carga]],"")</f>
        <v/>
      </c>
    </row>
    <row r="1068" spans="1:57" x14ac:dyDescent="0.35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6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Salida]]="","",MARÍTIMOS[[#This Row],[Etapa Retiro - Salida]]),"")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Row],[Hora de Carga]]+MARÍTIMOS[[#This Row],[Hora de Posicionamiento]]),"")</f>
        <v/>
      </c>
      <c r="Z1068" s="11" t="str">
        <f>IFERROR(IF(MARÍTIMOS[[#This Row],[Etapa Despacho -  Llegada]]="","",MARÍTIMOS[[#This Row],[Etapa Despacho -  Llegada]]),"")</f>
        <v/>
      </c>
      <c r="AA1068" s="11" t="str">
        <f>IFERROR(IF(MARÍTIMOS[[#This Row],[Etapa Despacho -  Registro]]="","",MARÍTIMOS[[#This Row],[Etapa Despacho - 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 Inicio de Carga]]="","",MARÍTIMOS[[#This Row],[Etapa Despacho -  Inicio de Carga]]),"")</f>
        <v/>
      </c>
      <c r="AD1068" s="11" t="str">
        <f>IFERROR(IF(MARÍTIMOS[[#This Row],[Etapa Despacho -  Fin de Carga]]="","",MARÍTIMOS[[#This Row],[Etapa Despacho -  Fin de Carga]]),"")</f>
        <v/>
      </c>
      <c r="AE1068" s="11" t="str">
        <f>IFERROR(IF(MARÍTIMOS[[#This Row],[Etapa Despacho -  Salida]]="","",MARÍTIMOS[[#This Row],[Etapa Despacho -  Salida]]),"")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5" t="s">
        <v>181</v>
      </c>
      <c r="BB1068" s="53" t="str">
        <f>IFERROR(IF(MARÍTIMOS[[#This Row],[Estatus]]="","",MARÍTIMOS[[#This Row],[Estatus]]),"")</f>
        <v/>
      </c>
      <c r="BC1068" s="45"/>
      <c r="BD1068" s="52" t="str">
        <f>IFERROR(OLDBD[[#This Row],[Salida de almacén de retiro]]-OLDBD[[#This Row],[Ingreso Almacén de retiro]],"")</f>
        <v/>
      </c>
      <c r="BE1068" s="52" t="str">
        <f>IFERROR(OLDBD[[#This Row],[Fin de Carga]]-OLDBD[[#This Row],[Inicio de Carga]],"")</f>
        <v/>
      </c>
    </row>
    <row r="1069" spans="1:57" x14ac:dyDescent="0.35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6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Salida]]="","",MARÍTIMOS[[#This Row],[Etapa Retiro - Salida]]),"")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Row],[Hora de Carga]]+MARÍTIMOS[[#This Row],[Hora de Posicionamiento]]),"")</f>
        <v/>
      </c>
      <c r="Z1069" s="11" t="str">
        <f>IFERROR(IF(MARÍTIMOS[[#This Row],[Etapa Despacho -  Llegada]]="","",MARÍTIMOS[[#This Row],[Etapa Despacho -  Llegada]]),"")</f>
        <v/>
      </c>
      <c r="AA1069" s="11" t="str">
        <f>IFERROR(IF(MARÍTIMOS[[#This Row],[Etapa Despacho -  Registro]]="","",MARÍTIMOS[[#This Row],[Etapa Despacho - 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 Inicio de Carga]]="","",MARÍTIMOS[[#This Row],[Etapa Despacho -  Inicio de Carga]]),"")</f>
        <v/>
      </c>
      <c r="AD1069" s="11" t="str">
        <f>IFERROR(IF(MARÍTIMOS[[#This Row],[Etapa Despacho -  Fin de Carga]]="","",MARÍTIMOS[[#This Row],[Etapa Despacho -  Fin de Carga]]),"")</f>
        <v/>
      </c>
      <c r="AE1069" s="11" t="str">
        <f>IFERROR(IF(MARÍTIMOS[[#This Row],[Etapa Despacho -  Salida]]="","",MARÍTIMOS[[#This Row],[Etapa Despacho -  Salida]]),"")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5" t="s">
        <v>181</v>
      </c>
      <c r="BB1069" s="53" t="str">
        <f>IFERROR(IF(MARÍTIMOS[[#This Row],[Estatus]]="","",MARÍTIMOS[[#This Row],[Estatus]]),"")</f>
        <v/>
      </c>
      <c r="BC1069" s="45"/>
      <c r="BD1069" s="52" t="str">
        <f>IFERROR(OLDBD[[#This Row],[Salida de almacén de retiro]]-OLDBD[[#This Row],[Ingreso Almacén de retiro]],"")</f>
        <v/>
      </c>
      <c r="BE1069" s="52" t="str">
        <f>IFERROR(OLDBD[[#This Row],[Fin de Carga]]-OLDBD[[#This Row],[Inicio de Carga]],"")</f>
        <v/>
      </c>
    </row>
    <row r="1070" spans="1:57" x14ac:dyDescent="0.35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6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Salida]]="","",MARÍTIMOS[[#This Row],[Etapa Retiro - Salida]]),"")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Row],[Hora de Carga]]+MARÍTIMOS[[#This Row],[Hora de Posicionamiento]]),"")</f>
        <v/>
      </c>
      <c r="Z1070" s="11" t="str">
        <f>IFERROR(IF(MARÍTIMOS[[#This Row],[Etapa Despacho -  Llegada]]="","",MARÍTIMOS[[#This Row],[Etapa Despacho -  Llegada]]),"")</f>
        <v/>
      </c>
      <c r="AA1070" s="11" t="str">
        <f>IFERROR(IF(MARÍTIMOS[[#This Row],[Etapa Despacho -  Registro]]="","",MARÍTIMOS[[#This Row],[Etapa Despacho - 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 Inicio de Carga]]="","",MARÍTIMOS[[#This Row],[Etapa Despacho -  Inicio de Carga]]),"")</f>
        <v/>
      </c>
      <c r="AD1070" s="11" t="str">
        <f>IFERROR(IF(MARÍTIMOS[[#This Row],[Etapa Despacho -  Fin de Carga]]="","",MARÍTIMOS[[#This Row],[Etapa Despacho -  Fin de Carga]]),"")</f>
        <v/>
      </c>
      <c r="AE1070" s="11" t="str">
        <f>IFERROR(IF(MARÍTIMOS[[#This Row],[Etapa Despacho -  Salida]]="","",MARÍTIMOS[[#This Row],[Etapa Despacho -  Salida]]),"")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5" t="s">
        <v>181</v>
      </c>
      <c r="BB1070" s="53" t="str">
        <f>IFERROR(IF(MARÍTIMOS[[#This Row],[Estatus]]="","",MARÍTIMOS[[#This Row],[Estatus]]),"")</f>
        <v/>
      </c>
      <c r="BC1070" s="45"/>
      <c r="BD1070" s="52" t="str">
        <f>IFERROR(OLDBD[[#This Row],[Salida de almacén de retiro]]-OLDBD[[#This Row],[Ingreso Almacén de retiro]],"")</f>
        <v/>
      </c>
      <c r="BE1070" s="52" t="str">
        <f>IFERROR(OLDBD[[#This Row],[Fin de Carga]]-OLDBD[[#This Row],[Inicio de Carga]],"")</f>
        <v/>
      </c>
    </row>
    <row r="1071" spans="1:57" x14ac:dyDescent="0.35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6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Salida]]="","",MARÍTIMOS[[#This Row],[Etapa Retiro - Salida]]),"")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Row],[Hora de Carga]]+MARÍTIMOS[[#This Row],[Hora de Posicionamiento]]),"")</f>
        <v/>
      </c>
      <c r="Z1071" s="11" t="str">
        <f>IFERROR(IF(MARÍTIMOS[[#This Row],[Etapa Despacho -  Llegada]]="","",MARÍTIMOS[[#This Row],[Etapa Despacho -  Llegada]]),"")</f>
        <v/>
      </c>
      <c r="AA1071" s="11" t="str">
        <f>IFERROR(IF(MARÍTIMOS[[#This Row],[Etapa Despacho -  Registro]]="","",MARÍTIMOS[[#This Row],[Etapa Despacho - 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 Inicio de Carga]]="","",MARÍTIMOS[[#This Row],[Etapa Despacho -  Inicio de Carga]]),"")</f>
        <v/>
      </c>
      <c r="AD1071" s="11" t="str">
        <f>IFERROR(IF(MARÍTIMOS[[#This Row],[Etapa Despacho -  Fin de Carga]]="","",MARÍTIMOS[[#This Row],[Etapa Despacho -  Fin de Carga]]),"")</f>
        <v/>
      </c>
      <c r="AE1071" s="11" t="str">
        <f>IFERROR(IF(MARÍTIMOS[[#This Row],[Etapa Despacho -  Salida]]="","",MARÍTIMOS[[#This Row],[Etapa Despacho -  Salida]]),"")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5" t="s">
        <v>181</v>
      </c>
      <c r="BB1071" s="53" t="str">
        <f>IFERROR(IF(MARÍTIMOS[[#This Row],[Estatus]]="","",MARÍTIMOS[[#This Row],[Estatus]]),"")</f>
        <v/>
      </c>
      <c r="BC1071" s="45"/>
      <c r="BD1071" s="52" t="str">
        <f>IFERROR(OLDBD[[#This Row],[Salida de almacén de retiro]]-OLDBD[[#This Row],[Ingreso Almacén de retiro]],"")</f>
        <v/>
      </c>
      <c r="BE1071" s="52" t="str">
        <f>IFERROR(OLDBD[[#This Row],[Fin de Carga]]-OLDBD[[#This Row],[Inicio de Carga]],"")</f>
        <v/>
      </c>
    </row>
    <row r="1072" spans="1:57" x14ac:dyDescent="0.35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6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Salida]]="","",MARÍTIMOS[[#This Row],[Etapa Retiro - Salida]]),"")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Row],[Hora de Carga]]+MARÍTIMOS[[#This Row],[Hora de Posicionamiento]]),"")</f>
        <v/>
      </c>
      <c r="Z1072" s="11" t="str">
        <f>IFERROR(IF(MARÍTIMOS[[#This Row],[Etapa Despacho -  Llegada]]="","",MARÍTIMOS[[#This Row],[Etapa Despacho -  Llegada]]),"")</f>
        <v/>
      </c>
      <c r="AA1072" s="11" t="str">
        <f>IFERROR(IF(MARÍTIMOS[[#This Row],[Etapa Despacho -  Registro]]="","",MARÍTIMOS[[#This Row],[Etapa Despacho - 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 Inicio de Carga]]="","",MARÍTIMOS[[#This Row],[Etapa Despacho -  Inicio de Carga]]),"")</f>
        <v/>
      </c>
      <c r="AD1072" s="11" t="str">
        <f>IFERROR(IF(MARÍTIMOS[[#This Row],[Etapa Despacho -  Fin de Carga]]="","",MARÍTIMOS[[#This Row],[Etapa Despacho -  Fin de Carga]]),"")</f>
        <v/>
      </c>
      <c r="AE1072" s="11" t="str">
        <f>IFERROR(IF(MARÍTIMOS[[#This Row],[Etapa Despacho -  Salida]]="","",MARÍTIMOS[[#This Row],[Etapa Despacho -  Salida]]),"")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5" t="s">
        <v>181</v>
      </c>
      <c r="BB1072" s="53" t="str">
        <f>IFERROR(IF(MARÍTIMOS[[#This Row],[Estatus]]="","",MARÍTIMOS[[#This Row],[Estatus]]),"")</f>
        <v/>
      </c>
      <c r="BC1072" s="45"/>
      <c r="BD1072" s="52" t="str">
        <f>IFERROR(OLDBD[[#This Row],[Salida de almacén de retiro]]-OLDBD[[#This Row],[Ingreso Almacén de retiro]],"")</f>
        <v/>
      </c>
      <c r="BE1072" s="52" t="str">
        <f>IFERROR(OLDBD[[#This Row],[Fin de Carga]]-OLDBD[[#This Row],[Inicio de Carga]],"")</f>
        <v/>
      </c>
    </row>
    <row r="1073" spans="1:57" x14ac:dyDescent="0.35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6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Salida]]="","",MARÍTIMOS[[#This Row],[Etapa Retiro - Salida]]),"")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Row],[Hora de Carga]]+MARÍTIMOS[[#This Row],[Hora de Posicionamiento]]),"")</f>
        <v/>
      </c>
      <c r="Z1073" s="11" t="str">
        <f>IFERROR(IF(MARÍTIMOS[[#This Row],[Etapa Despacho -  Llegada]]="","",MARÍTIMOS[[#This Row],[Etapa Despacho -  Llegada]]),"")</f>
        <v/>
      </c>
      <c r="AA1073" s="11" t="str">
        <f>IFERROR(IF(MARÍTIMOS[[#This Row],[Etapa Despacho -  Registro]]="","",MARÍTIMOS[[#This Row],[Etapa Despacho - 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 Inicio de Carga]]="","",MARÍTIMOS[[#This Row],[Etapa Despacho -  Inicio de Carga]]),"")</f>
        <v/>
      </c>
      <c r="AD1073" s="11" t="str">
        <f>IFERROR(IF(MARÍTIMOS[[#This Row],[Etapa Despacho -  Fin de Carga]]="","",MARÍTIMOS[[#This Row],[Etapa Despacho -  Fin de Carga]]),"")</f>
        <v/>
      </c>
      <c r="AE1073" s="11" t="str">
        <f>IFERROR(IF(MARÍTIMOS[[#This Row],[Etapa Despacho -  Salida]]="","",MARÍTIMOS[[#This Row],[Etapa Despacho -  Salida]]),"")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5" t="s">
        <v>181</v>
      </c>
      <c r="BB1073" s="53" t="str">
        <f>IFERROR(IF(MARÍTIMOS[[#This Row],[Estatus]]="","",MARÍTIMOS[[#This Row],[Estatus]]),"")</f>
        <v/>
      </c>
      <c r="BC1073" s="45"/>
      <c r="BD1073" s="52" t="str">
        <f>IFERROR(OLDBD[[#This Row],[Salida de almacén de retiro]]-OLDBD[[#This Row],[Ingreso Almacén de retiro]],"")</f>
        <v/>
      </c>
      <c r="BE1073" s="52" t="str">
        <f>IFERROR(OLDBD[[#This Row],[Fin de Carga]]-OLDBD[[#This Row],[Inicio de Carga]],"")</f>
        <v/>
      </c>
    </row>
    <row r="1074" spans="1:57" x14ac:dyDescent="0.35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6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Salida]]="","",MARÍTIMOS[[#This Row],[Etapa Retiro - Salida]]),"")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Row],[Hora de Carga]]+MARÍTIMOS[[#This Row],[Hora de Posicionamiento]]),"")</f>
        <v/>
      </c>
      <c r="Z1074" s="11" t="str">
        <f>IFERROR(IF(MARÍTIMOS[[#This Row],[Etapa Despacho -  Llegada]]="","",MARÍTIMOS[[#This Row],[Etapa Despacho -  Llegada]]),"")</f>
        <v/>
      </c>
      <c r="AA1074" s="11" t="str">
        <f>IFERROR(IF(MARÍTIMOS[[#This Row],[Etapa Despacho -  Registro]]="","",MARÍTIMOS[[#This Row],[Etapa Despacho - 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 Inicio de Carga]]="","",MARÍTIMOS[[#This Row],[Etapa Despacho -  Inicio de Carga]]),"")</f>
        <v/>
      </c>
      <c r="AD1074" s="11" t="str">
        <f>IFERROR(IF(MARÍTIMOS[[#This Row],[Etapa Despacho -  Fin de Carga]]="","",MARÍTIMOS[[#This Row],[Etapa Despacho -  Fin de Carga]]),"")</f>
        <v/>
      </c>
      <c r="AE1074" s="11" t="str">
        <f>IFERROR(IF(MARÍTIMOS[[#This Row],[Etapa Despacho -  Salida]]="","",MARÍTIMOS[[#This Row],[Etapa Despacho -  Salida]]),"")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5" t="s">
        <v>181</v>
      </c>
      <c r="BB1074" s="53" t="str">
        <f>IFERROR(IF(MARÍTIMOS[[#This Row],[Estatus]]="","",MARÍTIMOS[[#This Row],[Estatus]]),"")</f>
        <v/>
      </c>
      <c r="BC1074" s="45"/>
      <c r="BD1074" s="52" t="str">
        <f>IFERROR(OLDBD[[#This Row],[Salida de almacén de retiro]]-OLDBD[[#This Row],[Ingreso Almacén de retiro]],"")</f>
        <v/>
      </c>
      <c r="BE1074" s="52" t="str">
        <f>IFERROR(OLDBD[[#This Row],[Fin de Carga]]-OLDBD[[#This Row],[Inicio de Carga]],"")</f>
        <v/>
      </c>
    </row>
    <row r="1075" spans="1:57" x14ac:dyDescent="0.35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6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Salida]]="","",MARÍTIMOS[[#This Row],[Etapa Retiro - Salida]]),"")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Row],[Hora de Carga]]+MARÍTIMOS[[#This Row],[Hora de Posicionamiento]]),"")</f>
        <v/>
      </c>
      <c r="Z1075" s="11" t="str">
        <f>IFERROR(IF(MARÍTIMOS[[#This Row],[Etapa Despacho -  Llegada]]="","",MARÍTIMOS[[#This Row],[Etapa Despacho -  Llegada]]),"")</f>
        <v/>
      </c>
      <c r="AA1075" s="11" t="str">
        <f>IFERROR(IF(MARÍTIMOS[[#This Row],[Etapa Despacho -  Registro]]="","",MARÍTIMOS[[#This Row],[Etapa Despacho - 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 Inicio de Carga]]="","",MARÍTIMOS[[#This Row],[Etapa Despacho -  Inicio de Carga]]),"")</f>
        <v/>
      </c>
      <c r="AD1075" s="11" t="str">
        <f>IFERROR(IF(MARÍTIMOS[[#This Row],[Etapa Despacho -  Fin de Carga]]="","",MARÍTIMOS[[#This Row],[Etapa Despacho -  Fin de Carga]]),"")</f>
        <v/>
      </c>
      <c r="AE1075" s="11" t="str">
        <f>IFERROR(IF(MARÍTIMOS[[#This Row],[Etapa Despacho -  Salida]]="","",MARÍTIMOS[[#This Row],[Etapa Despacho -  Salida]]),"")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5" t="s">
        <v>181</v>
      </c>
      <c r="BB1075" s="53" t="str">
        <f>IFERROR(IF(MARÍTIMOS[[#This Row],[Estatus]]="","",MARÍTIMOS[[#This Row],[Estatus]]),"")</f>
        <v/>
      </c>
      <c r="BC1075" s="45"/>
      <c r="BD1075" s="52" t="str">
        <f>IFERROR(OLDBD[[#This Row],[Salida de almacén de retiro]]-OLDBD[[#This Row],[Ingreso Almacén de retiro]],"")</f>
        <v/>
      </c>
      <c r="BE1075" s="52" t="str">
        <f>IFERROR(OLDBD[[#This Row],[Fin de Carga]]-OLDBD[[#This Row],[Inicio de Carga]],"")</f>
        <v/>
      </c>
    </row>
    <row r="1076" spans="1:57" x14ac:dyDescent="0.35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6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Salida]]="","",MARÍTIMOS[[#This Row],[Etapa Retiro - Salida]]),"")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Row],[Hora de Carga]]+MARÍTIMOS[[#This Row],[Hora de Posicionamiento]]),"")</f>
        <v/>
      </c>
      <c r="Z1076" s="11" t="str">
        <f>IFERROR(IF(MARÍTIMOS[[#This Row],[Etapa Despacho -  Llegada]]="","",MARÍTIMOS[[#This Row],[Etapa Despacho -  Llegada]]),"")</f>
        <v/>
      </c>
      <c r="AA1076" s="11" t="str">
        <f>IFERROR(IF(MARÍTIMOS[[#This Row],[Etapa Despacho -  Registro]]="","",MARÍTIMOS[[#This Row],[Etapa Despacho - 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 Inicio de Carga]]="","",MARÍTIMOS[[#This Row],[Etapa Despacho -  Inicio de Carga]]),"")</f>
        <v/>
      </c>
      <c r="AD1076" s="11" t="str">
        <f>IFERROR(IF(MARÍTIMOS[[#This Row],[Etapa Despacho -  Fin de Carga]]="","",MARÍTIMOS[[#This Row],[Etapa Despacho -  Fin de Carga]]),"")</f>
        <v/>
      </c>
      <c r="AE1076" s="11" t="str">
        <f>IFERROR(IF(MARÍTIMOS[[#This Row],[Etapa Despacho -  Salida]]="","",MARÍTIMOS[[#This Row],[Etapa Despacho -  Salida]]),"")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5" t="s">
        <v>181</v>
      </c>
      <c r="BB1076" s="53" t="str">
        <f>IFERROR(IF(MARÍTIMOS[[#This Row],[Estatus]]="","",MARÍTIMOS[[#This Row],[Estatus]]),"")</f>
        <v/>
      </c>
      <c r="BC1076" s="45"/>
      <c r="BD1076" s="52" t="str">
        <f>IFERROR(OLDBD[[#This Row],[Salida de almacén de retiro]]-OLDBD[[#This Row],[Ingreso Almacén de retiro]],"")</f>
        <v/>
      </c>
      <c r="BE1076" s="52" t="str">
        <f>IFERROR(OLDBD[[#This Row],[Fin de Carga]]-OLDBD[[#This Row],[Inicio de Carga]],"")</f>
        <v/>
      </c>
    </row>
    <row r="1077" spans="1:57" x14ac:dyDescent="0.35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6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Salida]]="","",MARÍTIMOS[[#This Row],[Etapa Retiro - Salida]]),"")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Row],[Hora de Carga]]+MARÍTIMOS[[#This Row],[Hora de Posicionamiento]]),"")</f>
        <v/>
      </c>
      <c r="Z1077" s="11" t="str">
        <f>IFERROR(IF(MARÍTIMOS[[#This Row],[Etapa Despacho -  Llegada]]="","",MARÍTIMOS[[#This Row],[Etapa Despacho -  Llegada]]),"")</f>
        <v/>
      </c>
      <c r="AA1077" s="11" t="str">
        <f>IFERROR(IF(MARÍTIMOS[[#This Row],[Etapa Despacho -  Registro]]="","",MARÍTIMOS[[#This Row],[Etapa Despacho - 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 Inicio de Carga]]="","",MARÍTIMOS[[#This Row],[Etapa Despacho -  Inicio de Carga]]),"")</f>
        <v/>
      </c>
      <c r="AD1077" s="11" t="str">
        <f>IFERROR(IF(MARÍTIMOS[[#This Row],[Etapa Despacho -  Fin de Carga]]="","",MARÍTIMOS[[#This Row],[Etapa Despacho -  Fin de Carga]]),"")</f>
        <v/>
      </c>
      <c r="AE1077" s="11" t="str">
        <f>IFERROR(IF(MARÍTIMOS[[#This Row],[Etapa Despacho -  Salida]]="","",MARÍTIMOS[[#This Row],[Etapa Despacho -  Salida]]),"")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5" t="s">
        <v>181</v>
      </c>
      <c r="BB1077" s="53" t="str">
        <f>IFERROR(IF(MARÍTIMOS[[#This Row],[Estatus]]="","",MARÍTIMOS[[#This Row],[Estatus]]),"")</f>
        <v/>
      </c>
      <c r="BC1077" s="45"/>
      <c r="BD1077" s="52" t="str">
        <f>IFERROR(OLDBD[[#This Row],[Salida de almacén de retiro]]-OLDBD[[#This Row],[Ingreso Almacén de retiro]],"")</f>
        <v/>
      </c>
      <c r="BE1077" s="52" t="str">
        <f>IFERROR(OLDBD[[#This Row],[Fin de Carga]]-OLDBD[[#This Row],[Inicio de Carga]],"")</f>
        <v/>
      </c>
    </row>
    <row r="1078" spans="1:57" x14ac:dyDescent="0.35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6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Salida]]="","",MARÍTIMOS[[#This Row],[Etapa Retiro - Salida]]),"")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Row],[Hora de Carga]]+MARÍTIMOS[[#This Row],[Hora de Posicionamiento]]),"")</f>
        <v/>
      </c>
      <c r="Z1078" s="11" t="str">
        <f>IFERROR(IF(MARÍTIMOS[[#This Row],[Etapa Despacho -  Llegada]]="","",MARÍTIMOS[[#This Row],[Etapa Despacho -  Llegada]]),"")</f>
        <v/>
      </c>
      <c r="AA1078" s="11" t="str">
        <f>IFERROR(IF(MARÍTIMOS[[#This Row],[Etapa Despacho -  Registro]]="","",MARÍTIMOS[[#This Row],[Etapa Despacho - 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 Inicio de Carga]]="","",MARÍTIMOS[[#This Row],[Etapa Despacho -  Inicio de Carga]]),"")</f>
        <v/>
      </c>
      <c r="AD1078" s="11" t="str">
        <f>IFERROR(IF(MARÍTIMOS[[#This Row],[Etapa Despacho -  Fin de Carga]]="","",MARÍTIMOS[[#This Row],[Etapa Despacho -  Fin de Carga]]),"")</f>
        <v/>
      </c>
      <c r="AE1078" s="11" t="str">
        <f>IFERROR(IF(MARÍTIMOS[[#This Row],[Etapa Despacho -  Salida]]="","",MARÍTIMOS[[#This Row],[Etapa Despacho -  Salida]]),"")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5" t="s">
        <v>181</v>
      </c>
      <c r="BB1078" s="53" t="str">
        <f>IFERROR(IF(MARÍTIMOS[[#This Row],[Estatus]]="","",MARÍTIMOS[[#This Row],[Estatus]]),"")</f>
        <v/>
      </c>
      <c r="BC1078" s="45"/>
      <c r="BD1078" s="52" t="str">
        <f>IFERROR(OLDBD[[#This Row],[Salida de almacén de retiro]]-OLDBD[[#This Row],[Ingreso Almacén de retiro]],"")</f>
        <v/>
      </c>
      <c r="BE1078" s="52" t="str">
        <f>IFERROR(OLDBD[[#This Row],[Fin de Carga]]-OLDBD[[#This Row],[Inicio de Carga]],"")</f>
        <v/>
      </c>
    </row>
    <row r="1079" spans="1:57" x14ac:dyDescent="0.35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6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Salida]]="","",MARÍTIMOS[[#This Row],[Etapa Retiro - Salida]]),"")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Row],[Hora de Carga]]+MARÍTIMOS[[#This Row],[Hora de Posicionamiento]]),"")</f>
        <v/>
      </c>
      <c r="Z1079" s="11" t="str">
        <f>IFERROR(IF(MARÍTIMOS[[#This Row],[Etapa Despacho -  Llegada]]="","",MARÍTIMOS[[#This Row],[Etapa Despacho -  Llegada]]),"")</f>
        <v/>
      </c>
      <c r="AA1079" s="11" t="str">
        <f>IFERROR(IF(MARÍTIMOS[[#This Row],[Etapa Despacho -  Registro]]="","",MARÍTIMOS[[#This Row],[Etapa Despacho - 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 Inicio de Carga]]="","",MARÍTIMOS[[#This Row],[Etapa Despacho -  Inicio de Carga]]),"")</f>
        <v/>
      </c>
      <c r="AD1079" s="11" t="str">
        <f>IFERROR(IF(MARÍTIMOS[[#This Row],[Etapa Despacho -  Fin de Carga]]="","",MARÍTIMOS[[#This Row],[Etapa Despacho -  Fin de Carga]]),"")</f>
        <v/>
      </c>
      <c r="AE1079" s="11" t="str">
        <f>IFERROR(IF(MARÍTIMOS[[#This Row],[Etapa Despacho -  Salida]]="","",MARÍTIMOS[[#This Row],[Etapa Despacho -  Salida]]),"")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5" t="s">
        <v>181</v>
      </c>
      <c r="BB1079" s="53" t="str">
        <f>IFERROR(IF(MARÍTIMOS[[#This Row],[Estatus]]="","",MARÍTIMOS[[#This Row],[Estatus]]),"")</f>
        <v/>
      </c>
      <c r="BC1079" s="45"/>
      <c r="BD1079" s="52" t="str">
        <f>IFERROR(OLDBD[[#This Row],[Salida de almacén de retiro]]-OLDBD[[#This Row],[Ingreso Almacén de retiro]],"")</f>
        <v/>
      </c>
      <c r="BE1079" s="52" t="str">
        <f>IFERROR(OLDBD[[#This Row],[Fin de Carga]]-OLDBD[[#This Row],[Inicio de Carga]],"")</f>
        <v/>
      </c>
    </row>
    <row r="1080" spans="1:57" x14ac:dyDescent="0.35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6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Salida]]="","",MARÍTIMOS[[#This Row],[Etapa Retiro - Salida]]),"")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Row],[Hora de Carga]]+MARÍTIMOS[[#This Row],[Hora de Posicionamiento]]),"")</f>
        <v/>
      </c>
      <c r="Z1080" s="11" t="str">
        <f>IFERROR(IF(MARÍTIMOS[[#This Row],[Etapa Despacho -  Llegada]]="","",MARÍTIMOS[[#This Row],[Etapa Despacho -  Llegada]]),"")</f>
        <v/>
      </c>
      <c r="AA1080" s="11" t="str">
        <f>IFERROR(IF(MARÍTIMOS[[#This Row],[Etapa Despacho -  Registro]]="","",MARÍTIMOS[[#This Row],[Etapa Despacho - 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 Inicio de Carga]]="","",MARÍTIMOS[[#This Row],[Etapa Despacho -  Inicio de Carga]]),"")</f>
        <v/>
      </c>
      <c r="AD1080" s="11" t="str">
        <f>IFERROR(IF(MARÍTIMOS[[#This Row],[Etapa Despacho -  Fin de Carga]]="","",MARÍTIMOS[[#This Row],[Etapa Despacho -  Fin de Carga]]),"")</f>
        <v/>
      </c>
      <c r="AE1080" s="11" t="str">
        <f>IFERROR(IF(MARÍTIMOS[[#This Row],[Etapa Despacho -  Salida]]="","",MARÍTIMOS[[#This Row],[Etapa Despacho -  Salida]]),"")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5" t="s">
        <v>181</v>
      </c>
      <c r="BB1080" s="53" t="str">
        <f>IFERROR(IF(MARÍTIMOS[[#This Row],[Estatus]]="","",MARÍTIMOS[[#This Row],[Estatus]]),"")</f>
        <v/>
      </c>
      <c r="BC1080" s="45"/>
      <c r="BD1080" s="52" t="str">
        <f>IFERROR(OLDBD[[#This Row],[Salida de almacén de retiro]]-OLDBD[[#This Row],[Ingreso Almacén de retiro]],"")</f>
        <v/>
      </c>
      <c r="BE1080" s="52" t="str">
        <f>IFERROR(OLDBD[[#This Row],[Fin de Carga]]-OLDBD[[#This Row],[Inicio de Carga]],"")</f>
        <v/>
      </c>
    </row>
    <row r="1081" spans="1:57" x14ac:dyDescent="0.35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6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Salida]]="","",MARÍTIMOS[[#This Row],[Etapa Retiro - Salida]]),"")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Row],[Hora de Carga]]+MARÍTIMOS[[#This Row],[Hora de Posicionamiento]]),"")</f>
        <v/>
      </c>
      <c r="Z1081" s="11" t="str">
        <f>IFERROR(IF(MARÍTIMOS[[#This Row],[Etapa Despacho -  Llegada]]="","",MARÍTIMOS[[#This Row],[Etapa Despacho -  Llegada]]),"")</f>
        <v/>
      </c>
      <c r="AA1081" s="11" t="str">
        <f>IFERROR(IF(MARÍTIMOS[[#This Row],[Etapa Despacho -  Registro]]="","",MARÍTIMOS[[#This Row],[Etapa Despacho - 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 Inicio de Carga]]="","",MARÍTIMOS[[#This Row],[Etapa Despacho -  Inicio de Carga]]),"")</f>
        <v/>
      </c>
      <c r="AD1081" s="11" t="str">
        <f>IFERROR(IF(MARÍTIMOS[[#This Row],[Etapa Despacho -  Fin de Carga]]="","",MARÍTIMOS[[#This Row],[Etapa Despacho -  Fin de Carga]]),"")</f>
        <v/>
      </c>
      <c r="AE1081" s="11" t="str">
        <f>IFERROR(IF(MARÍTIMOS[[#This Row],[Etapa Despacho -  Salida]]="","",MARÍTIMOS[[#This Row],[Etapa Despacho -  Salida]]),"")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5" t="s">
        <v>181</v>
      </c>
      <c r="BB1081" s="53" t="str">
        <f>IFERROR(IF(MARÍTIMOS[[#This Row],[Estatus]]="","",MARÍTIMOS[[#This Row],[Estatus]]),"")</f>
        <v/>
      </c>
      <c r="BC1081" s="45"/>
      <c r="BD1081" s="52" t="str">
        <f>IFERROR(OLDBD[[#This Row],[Salida de almacén de retiro]]-OLDBD[[#This Row],[Ingreso Almacén de retiro]],"")</f>
        <v/>
      </c>
      <c r="BE1081" s="52" t="str">
        <f>IFERROR(OLDBD[[#This Row],[Fin de Carga]]-OLDBD[[#This Row],[Inicio de Carga]],"")</f>
        <v/>
      </c>
    </row>
    <row r="1082" spans="1:57" x14ac:dyDescent="0.35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6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Salida]]="","",MARÍTIMOS[[#This Row],[Etapa Retiro - Salida]]),"")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Row],[Hora de Carga]]+MARÍTIMOS[[#This Row],[Hora de Posicionamiento]]),"")</f>
        <v/>
      </c>
      <c r="Z1082" s="11" t="str">
        <f>IFERROR(IF(MARÍTIMOS[[#This Row],[Etapa Despacho -  Llegada]]="","",MARÍTIMOS[[#This Row],[Etapa Despacho -  Llegada]]),"")</f>
        <v/>
      </c>
      <c r="AA1082" s="11" t="str">
        <f>IFERROR(IF(MARÍTIMOS[[#This Row],[Etapa Despacho -  Registro]]="","",MARÍTIMOS[[#This Row],[Etapa Despacho - 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 Inicio de Carga]]="","",MARÍTIMOS[[#This Row],[Etapa Despacho -  Inicio de Carga]]),"")</f>
        <v/>
      </c>
      <c r="AD1082" s="11" t="str">
        <f>IFERROR(IF(MARÍTIMOS[[#This Row],[Etapa Despacho -  Fin de Carga]]="","",MARÍTIMOS[[#This Row],[Etapa Despacho -  Fin de Carga]]),"")</f>
        <v/>
      </c>
      <c r="AE1082" s="11" t="str">
        <f>IFERROR(IF(MARÍTIMOS[[#This Row],[Etapa Despacho -  Salida]]="","",MARÍTIMOS[[#This Row],[Etapa Despacho -  Salida]]),"")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5" t="s">
        <v>181</v>
      </c>
      <c r="BB1082" s="53" t="str">
        <f>IFERROR(IF(MARÍTIMOS[[#This Row],[Estatus]]="","",MARÍTIMOS[[#This Row],[Estatus]]),"")</f>
        <v/>
      </c>
      <c r="BC1082" s="45"/>
      <c r="BD1082" s="52" t="str">
        <f>IFERROR(OLDBD[[#This Row],[Salida de almacén de retiro]]-OLDBD[[#This Row],[Ingreso Almacén de retiro]],"")</f>
        <v/>
      </c>
      <c r="BE1082" s="52" t="str">
        <f>IFERROR(OLDBD[[#This Row],[Fin de Carga]]-OLDBD[[#This Row],[Inicio de Carga]],"")</f>
        <v/>
      </c>
    </row>
    <row r="1083" spans="1:57" x14ac:dyDescent="0.35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6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Salida]]="","",MARÍTIMOS[[#This Row],[Etapa Retiro - Salida]]),"")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Row],[Hora de Carga]]+MARÍTIMOS[[#This Row],[Hora de Posicionamiento]]),"")</f>
        <v/>
      </c>
      <c r="Z1083" s="11" t="str">
        <f>IFERROR(IF(MARÍTIMOS[[#This Row],[Etapa Despacho -  Llegada]]="","",MARÍTIMOS[[#This Row],[Etapa Despacho -  Llegada]]),"")</f>
        <v/>
      </c>
      <c r="AA1083" s="11" t="str">
        <f>IFERROR(IF(MARÍTIMOS[[#This Row],[Etapa Despacho -  Registro]]="","",MARÍTIMOS[[#This Row],[Etapa Despacho - 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 Inicio de Carga]]="","",MARÍTIMOS[[#This Row],[Etapa Despacho -  Inicio de Carga]]),"")</f>
        <v/>
      </c>
      <c r="AD1083" s="11" t="str">
        <f>IFERROR(IF(MARÍTIMOS[[#This Row],[Etapa Despacho -  Fin de Carga]]="","",MARÍTIMOS[[#This Row],[Etapa Despacho -  Fin de Carga]]),"")</f>
        <v/>
      </c>
      <c r="AE1083" s="11" t="str">
        <f>IFERROR(IF(MARÍTIMOS[[#This Row],[Etapa Despacho -  Salida]]="","",MARÍTIMOS[[#This Row],[Etapa Despacho -  Salida]]),"")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5" t="s">
        <v>181</v>
      </c>
      <c r="BB1083" s="53" t="str">
        <f>IFERROR(IF(MARÍTIMOS[[#This Row],[Estatus]]="","",MARÍTIMOS[[#This Row],[Estatus]]),"")</f>
        <v/>
      </c>
      <c r="BC1083" s="45"/>
      <c r="BD1083" s="52" t="str">
        <f>IFERROR(OLDBD[[#This Row],[Salida de almacén de retiro]]-OLDBD[[#This Row],[Ingreso Almacén de retiro]],"")</f>
        <v/>
      </c>
      <c r="BE1083" s="52" t="str">
        <f>IFERROR(OLDBD[[#This Row],[Fin de Carga]]-OLDBD[[#This Row],[Inicio de Carga]],"")</f>
        <v/>
      </c>
    </row>
    <row r="1084" spans="1:57" x14ac:dyDescent="0.35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6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Salida]]="","",MARÍTIMOS[[#This Row],[Etapa Retiro - Salida]]),"")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Row],[Hora de Carga]]+MARÍTIMOS[[#This Row],[Hora de Posicionamiento]]),"")</f>
        <v/>
      </c>
      <c r="Z1084" s="11" t="str">
        <f>IFERROR(IF(MARÍTIMOS[[#This Row],[Etapa Despacho -  Llegada]]="","",MARÍTIMOS[[#This Row],[Etapa Despacho -  Llegada]]),"")</f>
        <v/>
      </c>
      <c r="AA1084" s="11" t="str">
        <f>IFERROR(IF(MARÍTIMOS[[#This Row],[Etapa Despacho -  Registro]]="","",MARÍTIMOS[[#This Row],[Etapa Despacho - 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 Inicio de Carga]]="","",MARÍTIMOS[[#This Row],[Etapa Despacho -  Inicio de Carga]]),"")</f>
        <v/>
      </c>
      <c r="AD1084" s="11" t="str">
        <f>IFERROR(IF(MARÍTIMOS[[#This Row],[Etapa Despacho -  Fin de Carga]]="","",MARÍTIMOS[[#This Row],[Etapa Despacho -  Fin de Carga]]),"")</f>
        <v/>
      </c>
      <c r="AE1084" s="11" t="str">
        <f>IFERROR(IF(MARÍTIMOS[[#This Row],[Etapa Despacho -  Salida]]="","",MARÍTIMOS[[#This Row],[Etapa Despacho -  Salida]]),"")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5" t="s">
        <v>181</v>
      </c>
      <c r="BB1084" s="53" t="str">
        <f>IFERROR(IF(MARÍTIMOS[[#This Row],[Estatus]]="","",MARÍTIMOS[[#This Row],[Estatus]]),"")</f>
        <v/>
      </c>
      <c r="BC1084" s="45"/>
      <c r="BD1084" s="52" t="str">
        <f>IFERROR(OLDBD[[#This Row],[Salida de almacén de retiro]]-OLDBD[[#This Row],[Ingreso Almacén de retiro]],"")</f>
        <v/>
      </c>
      <c r="BE1084" s="52" t="str">
        <f>IFERROR(OLDBD[[#This Row],[Fin de Carga]]-OLDBD[[#This Row],[Inicio de Carga]],"")</f>
        <v/>
      </c>
    </row>
    <row r="1085" spans="1:57" x14ac:dyDescent="0.35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6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Salida]]="","",MARÍTIMOS[[#This Row],[Etapa Retiro - Salida]]),"")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Row],[Hora de Carga]]+MARÍTIMOS[[#This Row],[Hora de Posicionamiento]]),"")</f>
        <v/>
      </c>
      <c r="Z1085" s="11" t="str">
        <f>IFERROR(IF(MARÍTIMOS[[#This Row],[Etapa Despacho -  Llegada]]="","",MARÍTIMOS[[#This Row],[Etapa Despacho -  Llegada]]),"")</f>
        <v/>
      </c>
      <c r="AA1085" s="11" t="str">
        <f>IFERROR(IF(MARÍTIMOS[[#This Row],[Etapa Despacho -  Registro]]="","",MARÍTIMOS[[#This Row],[Etapa Despacho - 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 Inicio de Carga]]="","",MARÍTIMOS[[#This Row],[Etapa Despacho -  Inicio de Carga]]),"")</f>
        <v/>
      </c>
      <c r="AD1085" s="11" t="str">
        <f>IFERROR(IF(MARÍTIMOS[[#This Row],[Etapa Despacho -  Fin de Carga]]="","",MARÍTIMOS[[#This Row],[Etapa Despacho -  Fin de Carga]]),"")</f>
        <v/>
      </c>
      <c r="AE1085" s="11" t="str">
        <f>IFERROR(IF(MARÍTIMOS[[#This Row],[Etapa Despacho -  Salida]]="","",MARÍTIMOS[[#This Row],[Etapa Despacho -  Salida]]),"")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5" t="s">
        <v>181</v>
      </c>
      <c r="BB1085" s="53" t="str">
        <f>IFERROR(IF(MARÍTIMOS[[#This Row],[Estatus]]="","",MARÍTIMOS[[#This Row],[Estatus]]),"")</f>
        <v/>
      </c>
      <c r="BC1085" s="45"/>
      <c r="BD1085" s="52" t="str">
        <f>IFERROR(OLDBD[[#This Row],[Salida de almacén de retiro]]-OLDBD[[#This Row],[Ingreso Almacén de retiro]],"")</f>
        <v/>
      </c>
      <c r="BE1085" s="52" t="str">
        <f>IFERROR(OLDBD[[#This Row],[Fin de Carga]]-OLDBD[[#This Row],[Inicio de Carga]],"")</f>
        <v/>
      </c>
    </row>
    <row r="1086" spans="1:57" x14ac:dyDescent="0.35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6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Salida]]="","",MARÍTIMOS[[#This Row],[Etapa Retiro - Salida]]),"")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Row],[Hora de Carga]]+MARÍTIMOS[[#This Row],[Hora de Posicionamiento]]),"")</f>
        <v/>
      </c>
      <c r="Z1086" s="11" t="str">
        <f>IFERROR(IF(MARÍTIMOS[[#This Row],[Etapa Despacho -  Llegada]]="","",MARÍTIMOS[[#This Row],[Etapa Despacho -  Llegada]]),"")</f>
        <v/>
      </c>
      <c r="AA1086" s="11" t="str">
        <f>IFERROR(IF(MARÍTIMOS[[#This Row],[Etapa Despacho -  Registro]]="","",MARÍTIMOS[[#This Row],[Etapa Despacho - 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 Inicio de Carga]]="","",MARÍTIMOS[[#This Row],[Etapa Despacho -  Inicio de Carga]]),"")</f>
        <v/>
      </c>
      <c r="AD1086" s="11" t="str">
        <f>IFERROR(IF(MARÍTIMOS[[#This Row],[Etapa Despacho -  Fin de Carga]]="","",MARÍTIMOS[[#This Row],[Etapa Despacho -  Fin de Carga]]),"")</f>
        <v/>
      </c>
      <c r="AE1086" s="11" t="str">
        <f>IFERROR(IF(MARÍTIMOS[[#This Row],[Etapa Despacho -  Salida]]="","",MARÍTIMOS[[#This Row],[Etapa Despacho -  Salida]]),"")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5" t="s">
        <v>181</v>
      </c>
      <c r="BB1086" s="53" t="str">
        <f>IFERROR(IF(MARÍTIMOS[[#This Row],[Estatus]]="","",MARÍTIMOS[[#This Row],[Estatus]]),"")</f>
        <v/>
      </c>
      <c r="BC1086" s="45"/>
      <c r="BD1086" s="52" t="str">
        <f>IFERROR(OLDBD[[#This Row],[Salida de almacén de retiro]]-OLDBD[[#This Row],[Ingreso Almacén de retiro]],"")</f>
        <v/>
      </c>
      <c r="BE1086" s="52" t="str">
        <f>IFERROR(OLDBD[[#This Row],[Fin de Carga]]-OLDBD[[#This Row],[Inicio de Carga]],"")</f>
        <v/>
      </c>
    </row>
    <row r="1087" spans="1:57" x14ac:dyDescent="0.35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6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Salida]]="","",MARÍTIMOS[[#This Row],[Etapa Retiro - Salida]]),"")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Row],[Hora de Carga]]+MARÍTIMOS[[#This Row],[Hora de Posicionamiento]]),"")</f>
        <v/>
      </c>
      <c r="Z1087" s="11" t="str">
        <f>IFERROR(IF(MARÍTIMOS[[#This Row],[Etapa Despacho -  Llegada]]="","",MARÍTIMOS[[#This Row],[Etapa Despacho -  Llegada]]),"")</f>
        <v/>
      </c>
      <c r="AA1087" s="11" t="str">
        <f>IFERROR(IF(MARÍTIMOS[[#This Row],[Etapa Despacho -  Registro]]="","",MARÍTIMOS[[#This Row],[Etapa Despacho - 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 Inicio de Carga]]="","",MARÍTIMOS[[#This Row],[Etapa Despacho -  Inicio de Carga]]),"")</f>
        <v/>
      </c>
      <c r="AD1087" s="11" t="str">
        <f>IFERROR(IF(MARÍTIMOS[[#This Row],[Etapa Despacho -  Fin de Carga]]="","",MARÍTIMOS[[#This Row],[Etapa Despacho -  Fin de Carga]]),"")</f>
        <v/>
      </c>
      <c r="AE1087" s="11" t="str">
        <f>IFERROR(IF(MARÍTIMOS[[#This Row],[Etapa Despacho -  Salida]]="","",MARÍTIMOS[[#This Row],[Etapa Despacho -  Salida]]),"")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5" t="s">
        <v>181</v>
      </c>
      <c r="BB1087" s="53" t="str">
        <f>IFERROR(IF(MARÍTIMOS[[#This Row],[Estatus]]="","",MARÍTIMOS[[#This Row],[Estatus]]),"")</f>
        <v/>
      </c>
      <c r="BC1087" s="45"/>
      <c r="BD1087" s="52" t="str">
        <f>IFERROR(OLDBD[[#This Row],[Salida de almacén de retiro]]-OLDBD[[#This Row],[Ingreso Almacén de retiro]],"")</f>
        <v/>
      </c>
      <c r="BE1087" s="52" t="str">
        <f>IFERROR(OLDBD[[#This Row],[Fin de Carga]]-OLDBD[[#This Row],[Inicio de Carga]],"")</f>
        <v/>
      </c>
    </row>
    <row r="1088" spans="1:57" x14ac:dyDescent="0.35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6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Salida]]="","",MARÍTIMOS[[#This Row],[Etapa Retiro - Salida]]),"")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Row],[Hora de Carga]]+MARÍTIMOS[[#This Row],[Hora de Posicionamiento]]),"")</f>
        <v/>
      </c>
      <c r="Z1088" s="11" t="str">
        <f>IFERROR(IF(MARÍTIMOS[[#This Row],[Etapa Despacho -  Llegada]]="","",MARÍTIMOS[[#This Row],[Etapa Despacho -  Llegada]]),"")</f>
        <v/>
      </c>
      <c r="AA1088" s="11" t="str">
        <f>IFERROR(IF(MARÍTIMOS[[#This Row],[Etapa Despacho -  Registro]]="","",MARÍTIMOS[[#This Row],[Etapa Despacho - 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 Inicio de Carga]]="","",MARÍTIMOS[[#This Row],[Etapa Despacho -  Inicio de Carga]]),"")</f>
        <v/>
      </c>
      <c r="AD1088" s="11" t="str">
        <f>IFERROR(IF(MARÍTIMOS[[#This Row],[Etapa Despacho -  Fin de Carga]]="","",MARÍTIMOS[[#This Row],[Etapa Despacho -  Fin de Carga]]),"")</f>
        <v/>
      </c>
      <c r="AE1088" s="11" t="str">
        <f>IFERROR(IF(MARÍTIMOS[[#This Row],[Etapa Despacho -  Salida]]="","",MARÍTIMOS[[#This Row],[Etapa Despacho -  Salida]]),"")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5" t="s">
        <v>181</v>
      </c>
      <c r="BB1088" s="53" t="str">
        <f>IFERROR(IF(MARÍTIMOS[[#This Row],[Estatus]]="","",MARÍTIMOS[[#This Row],[Estatus]]),"")</f>
        <v/>
      </c>
      <c r="BC1088" s="45"/>
      <c r="BD1088" s="52" t="str">
        <f>IFERROR(OLDBD[[#This Row],[Salida de almacén de retiro]]-OLDBD[[#This Row],[Ingreso Almacén de retiro]],"")</f>
        <v/>
      </c>
      <c r="BE1088" s="52" t="str">
        <f>IFERROR(OLDBD[[#This Row],[Fin de Carga]]-OLDBD[[#This Row],[Inicio de Carga]],"")</f>
        <v/>
      </c>
    </row>
    <row r="1089" spans="1:57" x14ac:dyDescent="0.35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6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Salida]]="","",MARÍTIMOS[[#This Row],[Etapa Retiro - Salida]]),"")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Row],[Hora de Carga]]+MARÍTIMOS[[#This Row],[Hora de Posicionamiento]]),"")</f>
        <v/>
      </c>
      <c r="Z1089" s="11" t="str">
        <f>IFERROR(IF(MARÍTIMOS[[#This Row],[Etapa Despacho -  Llegada]]="","",MARÍTIMOS[[#This Row],[Etapa Despacho -  Llegada]]),"")</f>
        <v/>
      </c>
      <c r="AA1089" s="11" t="str">
        <f>IFERROR(IF(MARÍTIMOS[[#This Row],[Etapa Despacho -  Registro]]="","",MARÍTIMOS[[#This Row],[Etapa Despacho - 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 Inicio de Carga]]="","",MARÍTIMOS[[#This Row],[Etapa Despacho -  Inicio de Carga]]),"")</f>
        <v/>
      </c>
      <c r="AD1089" s="11" t="str">
        <f>IFERROR(IF(MARÍTIMOS[[#This Row],[Etapa Despacho -  Fin de Carga]]="","",MARÍTIMOS[[#This Row],[Etapa Despacho -  Fin de Carga]]),"")</f>
        <v/>
      </c>
      <c r="AE1089" s="11" t="str">
        <f>IFERROR(IF(MARÍTIMOS[[#This Row],[Etapa Despacho -  Salida]]="","",MARÍTIMOS[[#This Row],[Etapa Despacho -  Salida]]),"")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5" t="s">
        <v>181</v>
      </c>
      <c r="BB1089" s="53" t="str">
        <f>IFERROR(IF(MARÍTIMOS[[#This Row],[Estatus]]="","",MARÍTIMOS[[#This Row],[Estatus]]),"")</f>
        <v/>
      </c>
      <c r="BC1089" s="45"/>
      <c r="BD1089" s="52" t="str">
        <f>IFERROR(OLDBD[[#This Row],[Salida de almacén de retiro]]-OLDBD[[#This Row],[Ingreso Almacén de retiro]],"")</f>
        <v/>
      </c>
      <c r="BE1089" s="52" t="str">
        <f>IFERROR(OLDBD[[#This Row],[Fin de Carga]]-OLDBD[[#This Row],[Inicio de Carga]],"")</f>
        <v/>
      </c>
    </row>
    <row r="1090" spans="1:57" x14ac:dyDescent="0.35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6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Salida]]="","",MARÍTIMOS[[#This Row],[Etapa Retiro - Salida]]),"")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Row],[Hora de Carga]]+MARÍTIMOS[[#This Row],[Hora de Posicionamiento]]),"")</f>
        <v/>
      </c>
      <c r="Z1090" s="11" t="str">
        <f>IFERROR(IF(MARÍTIMOS[[#This Row],[Etapa Despacho -  Llegada]]="","",MARÍTIMOS[[#This Row],[Etapa Despacho -  Llegada]]),"")</f>
        <v/>
      </c>
      <c r="AA1090" s="11" t="str">
        <f>IFERROR(IF(MARÍTIMOS[[#This Row],[Etapa Despacho -  Registro]]="","",MARÍTIMOS[[#This Row],[Etapa Despacho - 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 Inicio de Carga]]="","",MARÍTIMOS[[#This Row],[Etapa Despacho -  Inicio de Carga]]),"")</f>
        <v/>
      </c>
      <c r="AD1090" s="11" t="str">
        <f>IFERROR(IF(MARÍTIMOS[[#This Row],[Etapa Despacho -  Fin de Carga]]="","",MARÍTIMOS[[#This Row],[Etapa Despacho -  Fin de Carga]]),"")</f>
        <v/>
      </c>
      <c r="AE1090" s="11" t="str">
        <f>IFERROR(IF(MARÍTIMOS[[#This Row],[Etapa Despacho -  Salida]]="","",MARÍTIMOS[[#This Row],[Etapa Despacho -  Salida]]),"")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5" t="s">
        <v>181</v>
      </c>
      <c r="BB1090" s="53" t="str">
        <f>IFERROR(IF(MARÍTIMOS[[#This Row],[Estatus]]="","",MARÍTIMOS[[#This Row],[Estatus]]),"")</f>
        <v/>
      </c>
      <c r="BC1090" s="45"/>
      <c r="BD1090" s="52" t="str">
        <f>IFERROR(OLDBD[[#This Row],[Salida de almacén de retiro]]-OLDBD[[#This Row],[Ingreso Almacén de retiro]],"")</f>
        <v/>
      </c>
      <c r="BE1090" s="52" t="str">
        <f>IFERROR(OLDBD[[#This Row],[Fin de Carga]]-OLDBD[[#This Row],[Inicio de Carga]],"")</f>
        <v/>
      </c>
    </row>
    <row r="1091" spans="1:57" x14ac:dyDescent="0.35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6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Salida]]="","",MARÍTIMOS[[#This Row],[Etapa Retiro - Salida]]),"")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Row],[Hora de Carga]]+MARÍTIMOS[[#This Row],[Hora de Posicionamiento]]),"")</f>
        <v/>
      </c>
      <c r="Z1091" s="11" t="str">
        <f>IFERROR(IF(MARÍTIMOS[[#This Row],[Etapa Despacho -  Llegada]]="","",MARÍTIMOS[[#This Row],[Etapa Despacho -  Llegada]]),"")</f>
        <v/>
      </c>
      <c r="AA1091" s="11" t="str">
        <f>IFERROR(IF(MARÍTIMOS[[#This Row],[Etapa Despacho -  Registro]]="","",MARÍTIMOS[[#This Row],[Etapa Despacho - 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 Inicio de Carga]]="","",MARÍTIMOS[[#This Row],[Etapa Despacho -  Inicio de Carga]]),"")</f>
        <v/>
      </c>
      <c r="AD1091" s="11" t="str">
        <f>IFERROR(IF(MARÍTIMOS[[#This Row],[Etapa Despacho -  Fin de Carga]]="","",MARÍTIMOS[[#This Row],[Etapa Despacho -  Fin de Carga]]),"")</f>
        <v/>
      </c>
      <c r="AE1091" s="11" t="str">
        <f>IFERROR(IF(MARÍTIMOS[[#This Row],[Etapa Despacho -  Salida]]="","",MARÍTIMOS[[#This Row],[Etapa Despacho -  Salida]]),"")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5" t="s">
        <v>181</v>
      </c>
      <c r="BB1091" s="53" t="str">
        <f>IFERROR(IF(MARÍTIMOS[[#This Row],[Estatus]]="","",MARÍTIMOS[[#This Row],[Estatus]]),"")</f>
        <v/>
      </c>
      <c r="BC1091" s="45"/>
      <c r="BD1091" s="52" t="str">
        <f>IFERROR(OLDBD[[#This Row],[Salida de almacén de retiro]]-OLDBD[[#This Row],[Ingreso Almacén de retiro]],"")</f>
        <v/>
      </c>
      <c r="BE1091" s="52" t="str">
        <f>IFERROR(OLDBD[[#This Row],[Fin de Carga]]-OLDBD[[#This Row],[Inicio de Carga]],"")</f>
        <v/>
      </c>
    </row>
    <row r="1092" spans="1:57" x14ac:dyDescent="0.35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6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Salida]]="","",MARÍTIMOS[[#This Row],[Etapa Retiro - Salida]]),"")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Row],[Hora de Carga]]+MARÍTIMOS[[#This Row],[Hora de Posicionamiento]]),"")</f>
        <v/>
      </c>
      <c r="Z1092" s="11" t="str">
        <f>IFERROR(IF(MARÍTIMOS[[#This Row],[Etapa Despacho -  Llegada]]="","",MARÍTIMOS[[#This Row],[Etapa Despacho -  Llegada]]),"")</f>
        <v/>
      </c>
      <c r="AA1092" s="11" t="str">
        <f>IFERROR(IF(MARÍTIMOS[[#This Row],[Etapa Despacho -  Registro]]="","",MARÍTIMOS[[#This Row],[Etapa Despacho - 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 Inicio de Carga]]="","",MARÍTIMOS[[#This Row],[Etapa Despacho -  Inicio de Carga]]),"")</f>
        <v/>
      </c>
      <c r="AD1092" s="11" t="str">
        <f>IFERROR(IF(MARÍTIMOS[[#This Row],[Etapa Despacho -  Fin de Carga]]="","",MARÍTIMOS[[#This Row],[Etapa Despacho -  Fin de Carga]]),"")</f>
        <v/>
      </c>
      <c r="AE1092" s="11" t="str">
        <f>IFERROR(IF(MARÍTIMOS[[#This Row],[Etapa Despacho -  Salida]]="","",MARÍTIMOS[[#This Row],[Etapa Despacho -  Salida]]),"")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5" t="s">
        <v>181</v>
      </c>
      <c r="BB1092" s="53" t="str">
        <f>IFERROR(IF(MARÍTIMOS[[#This Row],[Estatus]]="","",MARÍTIMOS[[#This Row],[Estatus]]),"")</f>
        <v/>
      </c>
      <c r="BC1092" s="45"/>
      <c r="BD1092" s="52" t="str">
        <f>IFERROR(OLDBD[[#This Row],[Salida de almacén de retiro]]-OLDBD[[#This Row],[Ingreso Almacén de retiro]],"")</f>
        <v/>
      </c>
      <c r="BE1092" s="52" t="str">
        <f>IFERROR(OLDBD[[#This Row],[Fin de Carga]]-OLDBD[[#This Row],[Inicio de Carga]],"")</f>
        <v/>
      </c>
    </row>
    <row r="1093" spans="1:57" x14ac:dyDescent="0.35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6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Salida]]="","",MARÍTIMOS[[#This Row],[Etapa Retiro - Salida]]),"")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Row],[Hora de Carga]]+MARÍTIMOS[[#This Row],[Hora de Posicionamiento]]),"")</f>
        <v/>
      </c>
      <c r="Z1093" s="11" t="str">
        <f>IFERROR(IF(MARÍTIMOS[[#This Row],[Etapa Despacho -  Llegada]]="","",MARÍTIMOS[[#This Row],[Etapa Despacho -  Llegada]]),"")</f>
        <v/>
      </c>
      <c r="AA1093" s="11" t="str">
        <f>IFERROR(IF(MARÍTIMOS[[#This Row],[Etapa Despacho -  Registro]]="","",MARÍTIMOS[[#This Row],[Etapa Despacho - 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 Inicio de Carga]]="","",MARÍTIMOS[[#This Row],[Etapa Despacho -  Inicio de Carga]]),"")</f>
        <v/>
      </c>
      <c r="AD1093" s="11" t="str">
        <f>IFERROR(IF(MARÍTIMOS[[#This Row],[Etapa Despacho -  Fin de Carga]]="","",MARÍTIMOS[[#This Row],[Etapa Despacho -  Fin de Carga]]),"")</f>
        <v/>
      </c>
      <c r="AE1093" s="11" t="str">
        <f>IFERROR(IF(MARÍTIMOS[[#This Row],[Etapa Despacho -  Salida]]="","",MARÍTIMOS[[#This Row],[Etapa Despacho -  Salida]]),"")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5" t="s">
        <v>181</v>
      </c>
      <c r="BB1093" s="53" t="str">
        <f>IFERROR(IF(MARÍTIMOS[[#This Row],[Estatus]]="","",MARÍTIMOS[[#This Row],[Estatus]]),"")</f>
        <v/>
      </c>
      <c r="BC1093" s="45"/>
      <c r="BD1093" s="52" t="str">
        <f>IFERROR(OLDBD[[#This Row],[Salida de almacén de retiro]]-OLDBD[[#This Row],[Ingreso Almacén de retiro]],"")</f>
        <v/>
      </c>
      <c r="BE1093" s="52" t="str">
        <f>IFERROR(OLDBD[[#This Row],[Fin de Carga]]-OLDBD[[#This Row],[Inicio de Carga]],"")</f>
        <v/>
      </c>
    </row>
    <row r="1094" spans="1:57" x14ac:dyDescent="0.35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6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Salida]]="","",MARÍTIMOS[[#This Row],[Etapa Retiro - Salida]]),"")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Row],[Hora de Carga]]+MARÍTIMOS[[#This Row],[Hora de Posicionamiento]]),"")</f>
        <v/>
      </c>
      <c r="Z1094" s="11" t="str">
        <f>IFERROR(IF(MARÍTIMOS[[#This Row],[Etapa Despacho -  Llegada]]="","",MARÍTIMOS[[#This Row],[Etapa Despacho -  Llegada]]),"")</f>
        <v/>
      </c>
      <c r="AA1094" s="11" t="str">
        <f>IFERROR(IF(MARÍTIMOS[[#This Row],[Etapa Despacho -  Registro]]="","",MARÍTIMOS[[#This Row],[Etapa Despacho - 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 Inicio de Carga]]="","",MARÍTIMOS[[#This Row],[Etapa Despacho -  Inicio de Carga]]),"")</f>
        <v/>
      </c>
      <c r="AD1094" s="11" t="str">
        <f>IFERROR(IF(MARÍTIMOS[[#This Row],[Etapa Despacho -  Fin de Carga]]="","",MARÍTIMOS[[#This Row],[Etapa Despacho -  Fin de Carga]]),"")</f>
        <v/>
      </c>
      <c r="AE1094" s="11" t="str">
        <f>IFERROR(IF(MARÍTIMOS[[#This Row],[Etapa Despacho -  Salida]]="","",MARÍTIMOS[[#This Row],[Etapa Despacho -  Salida]]),"")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5" t="s">
        <v>181</v>
      </c>
      <c r="BB1094" s="53" t="str">
        <f>IFERROR(IF(MARÍTIMOS[[#This Row],[Estatus]]="","",MARÍTIMOS[[#This Row],[Estatus]]),"")</f>
        <v/>
      </c>
      <c r="BC1094" s="45"/>
      <c r="BD1094" s="52" t="str">
        <f>IFERROR(OLDBD[[#This Row],[Salida de almacén de retiro]]-OLDBD[[#This Row],[Ingreso Almacén de retiro]],"")</f>
        <v/>
      </c>
      <c r="BE1094" s="52" t="str">
        <f>IFERROR(OLDBD[[#This Row],[Fin de Carga]]-OLDBD[[#This Row],[Inicio de Carga]],"")</f>
        <v/>
      </c>
    </row>
    <row r="1095" spans="1:57" x14ac:dyDescent="0.35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6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Salida]]="","",MARÍTIMOS[[#This Row],[Etapa Retiro - Salida]]),"")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Row],[Hora de Carga]]+MARÍTIMOS[[#This Row],[Hora de Posicionamiento]]),"")</f>
        <v/>
      </c>
      <c r="Z1095" s="11" t="str">
        <f>IFERROR(IF(MARÍTIMOS[[#This Row],[Etapa Despacho -  Llegada]]="","",MARÍTIMOS[[#This Row],[Etapa Despacho -  Llegada]]),"")</f>
        <v/>
      </c>
      <c r="AA1095" s="11" t="str">
        <f>IFERROR(IF(MARÍTIMOS[[#This Row],[Etapa Despacho -  Registro]]="","",MARÍTIMOS[[#This Row],[Etapa Despacho - 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 Inicio de Carga]]="","",MARÍTIMOS[[#This Row],[Etapa Despacho -  Inicio de Carga]]),"")</f>
        <v/>
      </c>
      <c r="AD1095" s="11" t="str">
        <f>IFERROR(IF(MARÍTIMOS[[#This Row],[Etapa Despacho -  Fin de Carga]]="","",MARÍTIMOS[[#This Row],[Etapa Despacho -  Fin de Carga]]),"")</f>
        <v/>
      </c>
      <c r="AE1095" s="11" t="str">
        <f>IFERROR(IF(MARÍTIMOS[[#This Row],[Etapa Despacho -  Salida]]="","",MARÍTIMOS[[#This Row],[Etapa Despacho -  Salida]]),"")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5" t="s">
        <v>181</v>
      </c>
      <c r="BB1095" s="53" t="str">
        <f>IFERROR(IF(MARÍTIMOS[[#This Row],[Estatus]]="","",MARÍTIMOS[[#This Row],[Estatus]]),"")</f>
        <v/>
      </c>
      <c r="BC1095" s="45"/>
      <c r="BD1095" s="52" t="str">
        <f>IFERROR(OLDBD[[#This Row],[Salida de almacén de retiro]]-OLDBD[[#This Row],[Ingreso Almacén de retiro]],"")</f>
        <v/>
      </c>
      <c r="BE1095" s="52" t="str">
        <f>IFERROR(OLDBD[[#This Row],[Fin de Carga]]-OLDBD[[#This Row],[Inicio de Carga]],"")</f>
        <v/>
      </c>
    </row>
    <row r="1096" spans="1:57" x14ac:dyDescent="0.35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6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Salida]]="","",MARÍTIMOS[[#This Row],[Etapa Retiro - Salida]]),"")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Row],[Hora de Carga]]+MARÍTIMOS[[#This Row],[Hora de Posicionamiento]]),"")</f>
        <v/>
      </c>
      <c r="Z1096" s="11" t="str">
        <f>IFERROR(IF(MARÍTIMOS[[#This Row],[Etapa Despacho -  Llegada]]="","",MARÍTIMOS[[#This Row],[Etapa Despacho -  Llegada]]),"")</f>
        <v/>
      </c>
      <c r="AA1096" s="11" t="str">
        <f>IFERROR(IF(MARÍTIMOS[[#This Row],[Etapa Despacho -  Registro]]="","",MARÍTIMOS[[#This Row],[Etapa Despacho - 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 Inicio de Carga]]="","",MARÍTIMOS[[#This Row],[Etapa Despacho -  Inicio de Carga]]),"")</f>
        <v/>
      </c>
      <c r="AD1096" s="11" t="str">
        <f>IFERROR(IF(MARÍTIMOS[[#This Row],[Etapa Despacho -  Fin de Carga]]="","",MARÍTIMOS[[#This Row],[Etapa Despacho -  Fin de Carga]]),"")</f>
        <v/>
      </c>
      <c r="AE1096" s="11" t="str">
        <f>IFERROR(IF(MARÍTIMOS[[#This Row],[Etapa Despacho -  Salida]]="","",MARÍTIMOS[[#This Row],[Etapa Despacho -  Salida]]),"")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5" t="s">
        <v>181</v>
      </c>
      <c r="BB1096" s="53" t="str">
        <f>IFERROR(IF(MARÍTIMOS[[#This Row],[Estatus]]="","",MARÍTIMOS[[#This Row],[Estatus]]),"")</f>
        <v/>
      </c>
      <c r="BC1096" s="45"/>
      <c r="BD1096" s="52" t="str">
        <f>IFERROR(OLDBD[[#This Row],[Salida de almacén de retiro]]-OLDBD[[#This Row],[Ingreso Almacén de retiro]],"")</f>
        <v/>
      </c>
      <c r="BE1096" s="52" t="str">
        <f>IFERROR(OLDBD[[#This Row],[Fin de Carga]]-OLDBD[[#This Row],[Inicio de Carga]],"")</f>
        <v/>
      </c>
    </row>
    <row r="1097" spans="1:57" x14ac:dyDescent="0.35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6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Salida]]="","",MARÍTIMOS[[#This Row],[Etapa Retiro - Salida]]),"")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Row],[Hora de Carga]]+MARÍTIMOS[[#This Row],[Hora de Posicionamiento]]),"")</f>
        <v/>
      </c>
      <c r="Z1097" s="11" t="str">
        <f>IFERROR(IF(MARÍTIMOS[[#This Row],[Etapa Despacho -  Llegada]]="","",MARÍTIMOS[[#This Row],[Etapa Despacho -  Llegada]]),"")</f>
        <v/>
      </c>
      <c r="AA1097" s="11" t="str">
        <f>IFERROR(IF(MARÍTIMOS[[#This Row],[Etapa Despacho -  Registro]]="","",MARÍTIMOS[[#This Row],[Etapa Despacho - 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 Inicio de Carga]]="","",MARÍTIMOS[[#This Row],[Etapa Despacho -  Inicio de Carga]]),"")</f>
        <v/>
      </c>
      <c r="AD1097" s="11" t="str">
        <f>IFERROR(IF(MARÍTIMOS[[#This Row],[Etapa Despacho -  Fin de Carga]]="","",MARÍTIMOS[[#This Row],[Etapa Despacho -  Fin de Carga]]),"")</f>
        <v/>
      </c>
      <c r="AE1097" s="11" t="str">
        <f>IFERROR(IF(MARÍTIMOS[[#This Row],[Etapa Despacho -  Salida]]="","",MARÍTIMOS[[#This Row],[Etapa Despacho -  Salida]]),"")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5" t="s">
        <v>181</v>
      </c>
      <c r="BB1097" s="53" t="str">
        <f>IFERROR(IF(MARÍTIMOS[[#This Row],[Estatus]]="","",MARÍTIMOS[[#This Row],[Estatus]]),"")</f>
        <v/>
      </c>
      <c r="BC1097" s="45"/>
      <c r="BD1097" s="52" t="str">
        <f>IFERROR(OLDBD[[#This Row],[Salida de almacén de retiro]]-OLDBD[[#This Row],[Ingreso Almacén de retiro]],"")</f>
        <v/>
      </c>
      <c r="BE1097" s="52" t="str">
        <f>IFERROR(OLDBD[[#This Row],[Fin de Carga]]-OLDBD[[#This Row],[Inicio de Carga]],"")</f>
        <v/>
      </c>
    </row>
    <row r="1098" spans="1:57" x14ac:dyDescent="0.35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6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Salida]]="","",MARÍTIMOS[[#This Row],[Etapa Retiro - Salida]]),"")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Row],[Hora de Carga]]+MARÍTIMOS[[#This Row],[Hora de Posicionamiento]]),"")</f>
        <v/>
      </c>
      <c r="Z1098" s="11" t="str">
        <f>IFERROR(IF(MARÍTIMOS[[#This Row],[Etapa Despacho -  Llegada]]="","",MARÍTIMOS[[#This Row],[Etapa Despacho -  Llegada]]),"")</f>
        <v/>
      </c>
      <c r="AA1098" s="11" t="str">
        <f>IFERROR(IF(MARÍTIMOS[[#This Row],[Etapa Despacho -  Registro]]="","",MARÍTIMOS[[#This Row],[Etapa Despacho - 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 Inicio de Carga]]="","",MARÍTIMOS[[#This Row],[Etapa Despacho -  Inicio de Carga]]),"")</f>
        <v/>
      </c>
      <c r="AD1098" s="11" t="str">
        <f>IFERROR(IF(MARÍTIMOS[[#This Row],[Etapa Despacho -  Fin de Carga]]="","",MARÍTIMOS[[#This Row],[Etapa Despacho -  Fin de Carga]]),"")</f>
        <v/>
      </c>
      <c r="AE1098" s="11" t="str">
        <f>IFERROR(IF(MARÍTIMOS[[#This Row],[Etapa Despacho -  Salida]]="","",MARÍTIMOS[[#This Row],[Etapa Despacho -  Salida]]),"")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5" t="s">
        <v>181</v>
      </c>
      <c r="BB1098" s="53" t="str">
        <f>IFERROR(IF(MARÍTIMOS[[#This Row],[Estatus]]="","",MARÍTIMOS[[#This Row],[Estatus]]),"")</f>
        <v/>
      </c>
      <c r="BC1098" s="45"/>
      <c r="BD1098" s="52" t="str">
        <f>IFERROR(OLDBD[[#This Row],[Salida de almacén de retiro]]-OLDBD[[#This Row],[Ingreso Almacén de retiro]],"")</f>
        <v/>
      </c>
      <c r="BE1098" s="52" t="str">
        <f>IFERROR(OLDBD[[#This Row],[Fin de Carga]]-OLDBD[[#This Row],[Inicio de Carga]],"")</f>
        <v/>
      </c>
    </row>
    <row r="1099" spans="1:57" x14ac:dyDescent="0.35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6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Salida]]="","",MARÍTIMOS[[#This Row],[Etapa Retiro - Salida]]),"")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Row],[Hora de Carga]]+MARÍTIMOS[[#This Row],[Hora de Posicionamiento]]),"")</f>
        <v/>
      </c>
      <c r="Z1099" s="11" t="str">
        <f>IFERROR(IF(MARÍTIMOS[[#This Row],[Etapa Despacho -  Llegada]]="","",MARÍTIMOS[[#This Row],[Etapa Despacho -  Llegada]]),"")</f>
        <v/>
      </c>
      <c r="AA1099" s="11" t="str">
        <f>IFERROR(IF(MARÍTIMOS[[#This Row],[Etapa Despacho -  Registro]]="","",MARÍTIMOS[[#This Row],[Etapa Despacho - 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 Inicio de Carga]]="","",MARÍTIMOS[[#This Row],[Etapa Despacho -  Inicio de Carga]]),"")</f>
        <v/>
      </c>
      <c r="AD1099" s="11" t="str">
        <f>IFERROR(IF(MARÍTIMOS[[#This Row],[Etapa Despacho -  Fin de Carga]]="","",MARÍTIMOS[[#This Row],[Etapa Despacho -  Fin de Carga]]),"")</f>
        <v/>
      </c>
      <c r="AE1099" s="11" t="str">
        <f>IFERROR(IF(MARÍTIMOS[[#This Row],[Etapa Despacho -  Salida]]="","",MARÍTIMOS[[#This Row],[Etapa Despacho -  Salida]]),"")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5" t="s">
        <v>181</v>
      </c>
      <c r="BB1099" s="53" t="str">
        <f>IFERROR(IF(MARÍTIMOS[[#This Row],[Estatus]]="","",MARÍTIMOS[[#This Row],[Estatus]]),"")</f>
        <v/>
      </c>
      <c r="BC1099" s="45"/>
      <c r="BD1099" s="52" t="str">
        <f>IFERROR(OLDBD[[#This Row],[Salida de almacén de retiro]]-OLDBD[[#This Row],[Ingreso Almacén de retiro]],"")</f>
        <v/>
      </c>
      <c r="BE1099" s="52" t="str">
        <f>IFERROR(OLDBD[[#This Row],[Fin de Carga]]-OLDBD[[#This Row],[Inicio de Carga]],"")</f>
        <v/>
      </c>
    </row>
    <row r="1100" spans="1:57" x14ac:dyDescent="0.35">
      <c r="A1100" s="1"/>
      <c r="B1100" s="1" t="str">
        <f>IFERROR(IF(MARÍTIMOS[[#This Row],[PP]]="","",MARÍTIMOS[[#This Row],[PP]]),"")</f>
        <v/>
      </c>
      <c r="C1100" s="1" t="str">
        <f>IFERROR(IF(MARÍTIMOS[[#This Row],[Sede]]="","",MARÍTIMOS[[#This Row],[Sede]]),"")</f>
        <v/>
      </c>
      <c r="D1100" s="1" t="str">
        <f>IFERROR(IF(MARÍTIMOS[[#This Row],[Instruction]]="","",MARÍTIMOS[[#This Row],[Instruction]]),"")</f>
        <v/>
      </c>
      <c r="E1100" s="1"/>
      <c r="F1100" s="2" t="str">
        <f>IFERROR(IF(MARÍTIMOS[[#This Row],[Transportista]]="","",MARÍTIMOS[[#This Row],[Transportista]]),"")</f>
        <v/>
      </c>
      <c r="G1100" s="2" t="str">
        <f>IFERROR(IF(MARÍTIMOS[[#This Row],[Tercero]]="","",MARÍTIMOS[[#This Row],[Tercero]]),"")</f>
        <v/>
      </c>
      <c r="H1100" s="2" t="str">
        <f>IFERROR(IF(MARÍTIMOS[[#This Row],[Razón Social]]="","",MARÍTIMOS[[#This Row],[Razón Social]]),"")</f>
        <v/>
      </c>
      <c r="I1100" s="2" t="str">
        <f>IFERROR(IF(MARÍTIMOS[[#This Row],[RUC]]="","",MARÍTIMOS[[#This Row],[RUC]]),"")</f>
        <v/>
      </c>
      <c r="J1100" s="2" t="str">
        <f>IFERROR(IF(MARÍTIMOS[[#This Row],[Placa Tracto]]="","",MARÍTIMOS[[#This Row],[Placa Tracto]]),"")</f>
        <v/>
      </c>
      <c r="K1100" s="2" t="str">
        <f>IFERROR(IF(MARÍTIMOS[[#This Row],[Placa Carreta]]="","",MARÍTIMOS[[#This Row],[Placa Carreta]]),"")</f>
        <v/>
      </c>
      <c r="L1100" s="46" t="str">
        <f>IFERROR(IF(MARÍTIMOS[[#This Row],[Conductor]]="","",MARÍTIMOS[[#This Row],[Conductor]]),"")</f>
        <v/>
      </c>
      <c r="M1100" s="2" t="str">
        <f>IFERROR(IF(MARÍTIMOS[[#This Row],[Licencia]]="","",MARÍTIMOS[[#This Row],[Licencia]]),"")</f>
        <v/>
      </c>
      <c r="N1100" s="2" t="str">
        <f>IFERROR(IF(MARÍTIMOS[[#This Row],[Número de Contacto]]="","",MARÍTIMOS[[#This Row],[Número de Contacto]]),"")</f>
        <v/>
      </c>
      <c r="O1100" s="10" t="str">
        <f>IFERROR(IF(MARÍTIMOS[[#This Row],[Booking|AWB|CRT]]="","",MARÍTIMOS[[#This Row],[Booking|AWB|CRT]]),"")</f>
        <v/>
      </c>
      <c r="P1100" s="2" t="str">
        <f>IFERROR(IF(MARÍTIMOS[[#This Row],[Contenedor]]="","",MARÍTIMOS[[#This Row],[Contenedor]]),"")</f>
        <v/>
      </c>
      <c r="Q1100" s="2" t="str">
        <f>IFERROR(IF(MARÍTIMOS[[#This Row],[Puerto de Retiro]]="","",MARÍTIMOS[[#This Row],[Puerto de Retiro]]),"")</f>
        <v/>
      </c>
      <c r="R1100" s="2" t="str">
        <f>IFERROR(IF(MARÍTIMOS[[#This Row],[Almacén de Retiro]]="","",MARÍTIMOS[[#This Row],[Almacén de Retiro]]),"")</f>
        <v/>
      </c>
      <c r="S1100" s="11" t="str">
        <f>IFERROR(IF(MARÍTIMOS[[#This Row],[Etapa Retiro - Cita]]="","",MARÍTIMOS[[#This Row],[Etapa Retiro - Cita]]),"")</f>
        <v/>
      </c>
      <c r="T1100" s="11" t="str">
        <f>IFERROR(IF(MARÍTIMOS[[#This Row],[Etapa Retiro - Llegada]]="","",MARÍTIMOS[[#This Row],[Etapa Retiro - Llegada]]),"")</f>
        <v/>
      </c>
      <c r="U1100" s="11" t="str">
        <f>IFERROR(IF(MARÍTIMOS[[#This Row],[Etapa Retiro - Ingreso]]="","",MARÍTIMOS[[#This Row],[Etapa Retiro - Ingreso]]),"")</f>
        <v/>
      </c>
      <c r="V1100" s="11" t="str">
        <f>IFERROR(IF(MARÍTIMOS[[#This Row],[Etapa Retiro - Atención]]="","",MARÍTIMOS[[#This Row],[Etapa Retiro - Atención]]),"")</f>
        <v/>
      </c>
      <c r="W1100" s="11" t="str">
        <f>IFERROR(IF(MARÍTIMOS[[#This Row],[Etapa Retiro - Salida]]="","",MARÍTIMOS[[#This Row],[Etapa Retiro - Salida]]),"")</f>
        <v/>
      </c>
      <c r="X1100" s="11" t="str">
        <f>IFERROR(IF(MARÍTIMOS[[#This Row],[Etapa Retiro - Inicio de Ruta]]="","",MARÍTIMOS[[#This Row],[Etapa Retiro - Inicio de Ruta]]),"")</f>
        <v/>
      </c>
      <c r="Y1100" s="11" t="str">
        <f>IFERROR(IF(MARÍTIMOS[[#This Row],[Hora de Posicionamiento]]="","",MARÍTIMOS[[#This Row],[Hora de Carga]]+MARÍTIMOS[[#This Row],[Hora de Posicionamiento]]),"")</f>
        <v/>
      </c>
      <c r="Z1100" s="11" t="str">
        <f>IFERROR(IF(MARÍTIMOS[[#This Row],[Etapa Despacho -  Llegada]]="","",MARÍTIMOS[[#This Row],[Etapa Despacho -  Llegada]]),"")</f>
        <v/>
      </c>
      <c r="AA1100" s="11" t="str">
        <f>IFERROR(IF(MARÍTIMOS[[#This Row],[Etapa Despacho -  Registro]]="","",MARÍTIMOS[[#This Row],[Etapa Despacho -  Registro]]),"")</f>
        <v/>
      </c>
      <c r="AB1100" s="11" t="str">
        <f>IFERROR(IF(MARÍTIMOS[[#This Row],[Inspección Externa]]="","",MARÍTIMOS[[#This Row],[Inspección Externa]]),"")</f>
        <v/>
      </c>
      <c r="AC1100" s="11" t="str">
        <f>IFERROR(IF(MARÍTIMOS[[#This Row],[Etapa Despacho -  Inicio de Carga]]="","",MARÍTIMOS[[#This Row],[Etapa Despacho -  Inicio de Carga]]),"")</f>
        <v/>
      </c>
      <c r="AD1100" s="11" t="str">
        <f>IFERROR(IF(MARÍTIMOS[[#This Row],[Etapa Despacho -  Fin de Carga]]="","",MARÍTIMOS[[#This Row],[Etapa Despacho -  Fin de Carga]]),"")</f>
        <v/>
      </c>
      <c r="AE1100" s="11" t="str">
        <f>IFERROR(IF(MARÍTIMOS[[#This Row],[Etapa Despacho -  Salida]]="","",MARÍTIMOS[[#This Row],[Etapa Despacho -  Salida]]),"")</f>
        <v/>
      </c>
      <c r="AF1100" s="2" t="str">
        <f>IFERROR(IF(MARÍTIMOS[[#This Row],[Puerto de Embarque]]="","",MARÍTIMOS[[#This Row],[Puerto de Embarque]]),"")</f>
        <v/>
      </c>
      <c r="AG1100" s="2" t="str">
        <f>IFERROR(IF(MARÍTIMOS[[#This Row],[Almacén de Ingreso]]="","",MARÍTIMOS[[#This Row],[Almacén de Ingreso]]),"")</f>
        <v/>
      </c>
      <c r="AH1100" s="11" t="str">
        <f>IFERROR(IF(MARÍTIMOS[[#This Row],[Etapa Ingreso - Cita]]="","",MARÍTIMOS[[#This Row],[Etapa Ingreso - Cita]]),"")</f>
        <v/>
      </c>
      <c r="AI1100" s="11" t="str">
        <f>IFERROR(IF(MARÍTIMOS[[#This Row],[Etapa Ingreso - Llegada]]="","",MARÍTIMOS[[#This Row],[Etapa Ingreso - Llegada]]),"")</f>
        <v/>
      </c>
      <c r="AJ1100" s="11" t="str">
        <f>IFERROR(IF(MARÍTIMOS[[#This Row],[Etapa Ingreso - Ingeso]]="","",MARÍTIMOS[[#This Row],[Etapa Ingreso - Ingeso]]),"")</f>
        <v/>
      </c>
      <c r="AK1100" s="11" t="str">
        <f>IFERROR(IF(MARÍTIMOS[[#This Row],[Etapa Ingreso - Atención]]="","",MARÍTIMOS[[#This Row],[Etapa Ingreso - Atención]]),"")</f>
        <v/>
      </c>
      <c r="AL1100" s="11" t="str">
        <f>IFERROR(IF(MARÍTIMOS[[#This Row],[Etapa Ingreso - Salida]]="","",MARÍTIMOS[[#This Row],[Etapa Ingreso - Salida]]),"")</f>
        <v/>
      </c>
      <c r="AM1100" s="2" t="str">
        <f>IFERROR(IF(MARÍTIMOS[[#This Row],[FCL]]="","",MARÍTIMOS[[#This Row],[FCL]]),"")</f>
        <v/>
      </c>
      <c r="AN1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100" s="4" t="str" cm="1">
        <f t="array" ref="AO1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100" s="5" t="str">
        <f>IFERROR(OLDBD[[#This Row],[Llegada a packing]]-OLDBD[[#This Row],[Inicio de Ruta]],"")</f>
        <v/>
      </c>
      <c r="AQ1100" s="6" t="str">
        <f>IFERROR(OLDBD[[#This Row],[Inicio de Ruta]]-OLDBD[[#This Row],[Salida de almacén de retiro]],"")</f>
        <v/>
      </c>
      <c r="AR1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00" s="8" t="str" cm="1">
        <f t="array" ref="AS1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00" s="9" t="str">
        <f>IFERROR(OLDBD[[#This Row],[Ingreso Packing]]-OLDBD[[#This Row],[Registro en Packing]],"")</f>
        <v/>
      </c>
      <c r="AV1100" s="9" t="str">
        <f>IFERROR(OLDBD[[#This Row],[Ingreso Packing]]-OLDBD[[#This Row],[Llegada a packing]],"")</f>
        <v/>
      </c>
      <c r="AW1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00" s="5" t="str">
        <f>IFERROR(OLDBD[[#This Row],[Llegada Almacén de Ingreso]]-OLDBD[[#This Row],[Salida Packing]],"")</f>
        <v/>
      </c>
      <c r="AY1100" s="4" t="str" cm="1">
        <f t="array" ref="AY1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100" s="45" t="s">
        <v>181</v>
      </c>
      <c r="BB1100" s="53" t="str">
        <f>IFERROR(IF(MARÍTIMOS[[#This Row],[Estatus]]="","",MARÍTIMOS[[#This Row],[Estatus]]),"")</f>
        <v/>
      </c>
      <c r="BC1100" s="45"/>
      <c r="BD1100" s="52" t="str">
        <f>IFERROR(OLDBD[[#This Row],[Salida de almacén de retiro]]-OLDBD[[#This Row],[Ingreso Almacén de retiro]],"")</f>
        <v/>
      </c>
      <c r="BE1100" s="52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5" x14ac:dyDescent="0.35"/>
  <cols>
    <col min="1" max="1" width="18.54296875" bestFit="1" customWidth="1"/>
    <col min="2" max="2" width="37.1796875" customWidth="1"/>
    <col min="3" max="3" width="12.1796875" customWidth="1"/>
    <col min="4" max="4" width="35.54296875" customWidth="1"/>
    <col min="5" max="5" width="54.36328125" customWidth="1"/>
    <col min="6" max="6" width="48.36328125" customWidth="1"/>
    <col min="8" max="8" width="18.08984375" customWidth="1"/>
  </cols>
  <sheetData>
    <row r="1" spans="1:8" ht="14.15" customHeight="1" x14ac:dyDescent="0.35">
      <c r="A1" s="22" t="s">
        <v>85</v>
      </c>
      <c r="B1" s="23" t="s">
        <v>86</v>
      </c>
      <c r="C1" s="24" t="s">
        <v>87</v>
      </c>
      <c r="D1" s="23" t="s">
        <v>88</v>
      </c>
      <c r="E1" s="24" t="s">
        <v>89</v>
      </c>
      <c r="F1" s="24" t="s">
        <v>90</v>
      </c>
    </row>
    <row r="2" spans="1:8" ht="111" customHeight="1" x14ac:dyDescent="0.35">
      <c r="A2" s="25" t="s">
        <v>91</v>
      </c>
      <c r="B2" s="26" t="s">
        <v>37</v>
      </c>
      <c r="C2" s="27" t="s">
        <v>92</v>
      </c>
      <c r="D2" s="28" t="s">
        <v>93</v>
      </c>
      <c r="E2" s="28" t="s">
        <v>94</v>
      </c>
      <c r="F2" s="29" t="s">
        <v>95</v>
      </c>
    </row>
    <row r="3" spans="1:8" ht="118.5" customHeight="1" x14ac:dyDescent="0.35">
      <c r="A3" s="25" t="s">
        <v>91</v>
      </c>
      <c r="B3" s="26" t="s">
        <v>38</v>
      </c>
      <c r="C3" s="27" t="s">
        <v>92</v>
      </c>
      <c r="D3" s="28" t="s">
        <v>96</v>
      </c>
      <c r="E3" s="28" t="s">
        <v>97</v>
      </c>
      <c r="F3" s="29" t="s">
        <v>98</v>
      </c>
      <c r="H3" s="30"/>
    </row>
    <row r="4" spans="1:8" ht="28.5" customHeight="1" x14ac:dyDescent="0.35">
      <c r="A4" s="25" t="s">
        <v>91</v>
      </c>
      <c r="B4" s="26" t="s">
        <v>40</v>
      </c>
      <c r="C4" s="27" t="s">
        <v>56</v>
      </c>
      <c r="D4" s="28" t="s">
        <v>99</v>
      </c>
      <c r="E4" s="31" t="s">
        <v>100</v>
      </c>
      <c r="F4" s="32"/>
    </row>
    <row r="5" spans="1:8" ht="29" x14ac:dyDescent="0.35">
      <c r="A5" s="25" t="s">
        <v>91</v>
      </c>
      <c r="B5" s="26" t="s">
        <v>39</v>
      </c>
      <c r="C5" s="27" t="s">
        <v>56</v>
      </c>
      <c r="D5" s="33" t="s">
        <v>101</v>
      </c>
      <c r="E5" s="31" t="s">
        <v>100</v>
      </c>
      <c r="F5" s="32"/>
    </row>
    <row r="6" spans="1:8" ht="71.5" customHeight="1" x14ac:dyDescent="0.35">
      <c r="A6" s="34" t="s">
        <v>102</v>
      </c>
      <c r="B6" s="35" t="s">
        <v>41</v>
      </c>
      <c r="C6" s="27" t="s">
        <v>92</v>
      </c>
      <c r="D6" s="28" t="s">
        <v>103</v>
      </c>
      <c r="E6" s="36" t="s">
        <v>104</v>
      </c>
      <c r="F6" s="37" t="s">
        <v>105</v>
      </c>
    </row>
    <row r="7" spans="1:8" ht="33.65" customHeight="1" x14ac:dyDescent="0.35">
      <c r="A7" s="34" t="s">
        <v>102</v>
      </c>
      <c r="B7" s="35" t="s">
        <v>43</v>
      </c>
      <c r="C7" s="27" t="s">
        <v>92</v>
      </c>
      <c r="D7" s="28" t="s">
        <v>106</v>
      </c>
      <c r="E7" s="28" t="s">
        <v>107</v>
      </c>
      <c r="F7" s="37" t="s">
        <v>108</v>
      </c>
    </row>
    <row r="8" spans="1:8" ht="43.25" customHeight="1" x14ac:dyDescent="0.35">
      <c r="A8" s="34" t="s">
        <v>102</v>
      </c>
      <c r="B8" s="35" t="s">
        <v>42</v>
      </c>
      <c r="C8" s="27" t="s">
        <v>92</v>
      </c>
      <c r="D8" s="33" t="s">
        <v>109</v>
      </c>
      <c r="E8" s="28" t="s">
        <v>110</v>
      </c>
      <c r="F8" s="37" t="s">
        <v>111</v>
      </c>
    </row>
    <row r="9" spans="1:8" ht="72" customHeight="1" x14ac:dyDescent="0.35">
      <c r="A9" s="34" t="s">
        <v>102</v>
      </c>
      <c r="B9" s="35" t="s">
        <v>46</v>
      </c>
      <c r="C9" s="27" t="s">
        <v>92</v>
      </c>
      <c r="D9" s="38" t="s">
        <v>112</v>
      </c>
      <c r="E9" s="39" t="s">
        <v>113</v>
      </c>
      <c r="F9" s="37" t="s">
        <v>111</v>
      </c>
    </row>
    <row r="10" spans="1:8" hidden="1" x14ac:dyDescent="0.35">
      <c r="A10" s="34" t="s">
        <v>102</v>
      </c>
      <c r="B10" s="35" t="s">
        <v>44</v>
      </c>
      <c r="C10" s="27" t="s">
        <v>56</v>
      </c>
      <c r="D10" s="33" t="s">
        <v>114</v>
      </c>
      <c r="E10" s="28"/>
      <c r="F10" s="32"/>
    </row>
    <row r="11" spans="1:8" hidden="1" x14ac:dyDescent="0.35">
      <c r="A11" s="34" t="s">
        <v>102</v>
      </c>
      <c r="B11" s="35" t="s">
        <v>45</v>
      </c>
      <c r="C11" s="27" t="s">
        <v>56</v>
      </c>
      <c r="D11" s="33" t="s">
        <v>115</v>
      </c>
      <c r="E11" s="28"/>
      <c r="F11" s="32"/>
    </row>
    <row r="12" spans="1:8" ht="115.25" customHeight="1" x14ac:dyDescent="0.35">
      <c r="A12" s="34" t="s">
        <v>116</v>
      </c>
      <c r="B12" s="40" t="s">
        <v>48</v>
      </c>
      <c r="C12" s="27" t="s">
        <v>92</v>
      </c>
      <c r="D12" s="33" t="s">
        <v>117</v>
      </c>
      <c r="E12" s="28" t="s">
        <v>97</v>
      </c>
      <c r="F12" s="29" t="s">
        <v>98</v>
      </c>
    </row>
    <row r="13" spans="1:8" ht="100.75" customHeight="1" x14ac:dyDescent="0.35">
      <c r="A13" s="34" t="s">
        <v>116</v>
      </c>
      <c r="B13" s="40" t="s">
        <v>49</v>
      </c>
      <c r="C13" s="27" t="s">
        <v>92</v>
      </c>
      <c r="D13" s="33" t="s">
        <v>118</v>
      </c>
      <c r="E13" s="28" t="s">
        <v>94</v>
      </c>
      <c r="F13" s="29" t="s">
        <v>95</v>
      </c>
    </row>
    <row r="14" spans="1:8" ht="27.65" hidden="1" customHeight="1" x14ac:dyDescent="0.35">
      <c r="A14" s="34" t="s">
        <v>116</v>
      </c>
      <c r="B14" s="41" t="s">
        <v>47</v>
      </c>
      <c r="C14" s="27" t="s">
        <v>56</v>
      </c>
      <c r="D14" s="38" t="s">
        <v>119</v>
      </c>
      <c r="E14" s="28"/>
      <c r="F14" s="32"/>
    </row>
    <row r="15" spans="1:8" x14ac:dyDescent="0.35">
      <c r="A15" s="34" t="s">
        <v>102</v>
      </c>
      <c r="B15" s="42" t="s">
        <v>52</v>
      </c>
      <c r="C15" s="43"/>
      <c r="D15" s="44"/>
      <c r="E15" s="38"/>
      <c r="F15" s="3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2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Erika Alice Rodriguez Quiroz</cp:lastModifiedBy>
  <dcterms:created xsi:type="dcterms:W3CDTF">2015-06-05T18:19:34Z</dcterms:created>
  <dcterms:modified xsi:type="dcterms:W3CDTF">2026-08-26T21:00:49Z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